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6.xml" ContentType="application/vnd.ms-excel.person+xml"/>
  <Override PartName="/xl/persons/person95.xml" ContentType="application/vnd.ms-excel.person+xml"/>
  <Override PartName="/xl/persons/person1.xml" ContentType="application/vnd.ms-excel.person+xml"/>
  <Override PartName="/xl/persons/person20.xml" ContentType="application/vnd.ms-excel.person+xml"/>
  <Override PartName="/xl/persons/person26.xml" ContentType="application/vnd.ms-excel.person+xml"/>
  <Override PartName="/xl/persons/person41.xml" ContentType="application/vnd.ms-excel.person+xml"/>
  <Override PartName="/xl/persons/person48.xml" ContentType="application/vnd.ms-excel.person+xml"/>
  <Override PartName="/xl/persons/person64.xml" ContentType="application/vnd.ms-excel.person+xml"/>
  <Override PartName="/xl/persons/person69.xml" ContentType="application/vnd.ms-excel.person+xml"/>
  <Override PartName="/xl/persons/person89.xml" ContentType="application/vnd.ms-excel.person+xml"/>
  <Override PartName="/xl/persons/person87.xml" ContentType="application/vnd.ms-excel.person+xml"/>
  <Override PartName="/xl/persons/person11.xml" ContentType="application/vnd.ms-excel.person+xml"/>
  <Override PartName="/xl/persons/person10.xml" ContentType="application/vnd.ms-excel.person+xml"/>
  <Override PartName="/xl/persons/person29.xml" ContentType="application/vnd.ms-excel.person+xml"/>
  <Override PartName="/xl/persons/person36.xml" ContentType="application/vnd.ms-excel.person+xml"/>
  <Override PartName="/xl/persons/person54.xml" ContentType="application/vnd.ms-excel.person+xml"/>
  <Override PartName="/xl/persons/person59.xml" ContentType="application/vnd.ms-excel.person+xml"/>
  <Override PartName="/xl/persons/person82.xml" ContentType="application/vnd.ms-excel.person+xml"/>
  <Override PartName="/xl/persons/person100.xml" ContentType="application/vnd.ms-excel.person+xml"/>
  <Override PartName="/xl/persons/person70.xml" ContentType="application/vnd.ms-excel.person+xml"/>
  <Override PartName="/xl/persons/person75.xml" ContentType="application/vnd.ms-excel.person+xml"/>
  <Override PartName="/xl/persons/person45.xml" ContentType="application/vnd.ms-excel.person+xml"/>
  <Override PartName="/xl/persons/person24.xml" ContentType="application/vnd.ms-excel.person+xml"/>
  <Override PartName="/xl/persons/person5.xml" ContentType="application/vnd.ms-excel.person+xml"/>
  <Override PartName="/xl/persons/person4.xml" ContentType="application/vnd.ms-excel.person+xml"/>
  <Override PartName="/xl/persons/person27.xml" ContentType="application/vnd.ms-excel.person+xml"/>
  <Override PartName="/xl/persons/person49.xml" ContentType="application/vnd.ms-excel.person+xml"/>
  <Override PartName="/xl/persons/person93.xml" ContentType="application/vnd.ms-excel.person+xml"/>
  <Override PartName="/xl/persons/person98.xml" ContentType="application/vnd.ms-excel.person+xml"/>
  <Override PartName="/xl/persons/person60.xml" ContentType="application/vnd.ms-excel.person+xml"/>
  <Override PartName="/xl/persons/person65.xml" ContentType="application/vnd.ms-excel.person+xml"/>
  <Override PartName="/xl/persons/person13.xml" ContentType="application/vnd.ms-excel.person+xml"/>
  <Override PartName="/xl/persons/person16.xml" ContentType="application/vnd.ms-excel.person+xml"/>
  <Override PartName="/xl/persons/person38.xml" ContentType="application/vnd.ms-excel.person+xml"/>
  <Override PartName="/xl/persons/person83.xml" ContentType="application/vnd.ms-excel.person+xml"/>
  <Override PartName="/xl/persons/person88.xml" ContentType="application/vnd.ms-excel.person+xml"/>
  <Override PartName="/xl/persons/person.xml" ContentType="application/vnd.ms-excel.person+xml"/>
  <Override PartName="/xl/persons/person34.xml" ContentType="application/vnd.ms-excel.person+xml"/>
  <Override PartName="/xl/persons/person50.xml" ContentType="application/vnd.ms-excel.person+xml"/>
  <Override PartName="/xl/persons/person55.xml" ContentType="application/vnd.ms-excel.person+xml"/>
  <Override PartName="/xl/persons/person71.xml" ContentType="application/vnd.ms-excel.person+xml"/>
  <Override PartName="/xl/persons/person76.xml" ContentType="application/vnd.ms-excel.person+xml"/>
  <Override PartName="/xl/persons/person0.xml" ContentType="application/vnd.ms-excel.person+xml"/>
  <Override PartName="/xl/persons/person7.xml" ContentType="application/vnd.ms-excel.person+xml"/>
  <Override PartName="/xl/persons/person28.xml" ContentType="application/vnd.ms-excel.person+xml"/>
  <Override PartName="/xl/persons/person94.xml" ContentType="application/vnd.ms-excel.person+xml"/>
  <Override PartName="/xl/persons/person99.xml" ContentType="application/vnd.ms-excel.person+xml"/>
  <Override PartName="/xl/persons/person43.xml" ContentType="application/vnd.ms-excel.person+xml"/>
  <Override PartName="/xl/persons/person40.xml" ContentType="application/vnd.ms-excel.person+xml"/>
  <Override PartName="/xl/persons/person22.xml" ContentType="application/vnd.ms-excel.person+xml"/>
  <Override PartName="/xl/persons/person61.xml" ContentType="application/vnd.ms-excel.person+xml"/>
  <Override PartName="/xl/persons/person66.xml" ContentType="application/vnd.ms-excel.person+xml"/>
  <Override PartName="/xl/persons/person92.xml" ContentType="application/vnd.ms-excel.person+xml"/>
  <Override PartName="/xl/persons/person18.xml" ContentType="application/vnd.ms-excel.person+xml"/>
  <Override PartName="/xl/persons/person103.xml" ContentType="application/vnd.ms-excel.person+xml"/>
  <Override PartName="/xl/persons/person86.xml" ContentType="application/vnd.ms-excel.person+xml"/>
  <Override PartName="/xl/persons/person79.xml" ContentType="application/vnd.ms-excel.person+xml"/>
  <Override PartName="/xl/persons/person57.xml" ContentType="application/vnd.ms-excel.person+xml"/>
  <Override PartName="/xl/persons/person14.xml" ContentType="application/vnd.ms-excel.person+xml"/>
  <Override PartName="/xl/persons/person30.xml" ContentType="application/vnd.ms-excel.person+xml"/>
  <Override PartName="/xl/persons/person33.xml" ContentType="application/vnd.ms-excel.person+xml"/>
  <Override PartName="/xl/persons/person73.xml" ContentType="application/vnd.ms-excel.person+xml"/>
  <Override PartName="/xl/persons/person51.xml" ContentType="application/vnd.ms-excel.person+xml"/>
  <Override PartName="/xl/persons/person9.xml" ContentType="application/vnd.ms-excel.person+xml"/>
  <Override PartName="/xl/persons/person97.xml" ContentType="application/vnd.ms-excel.person+xml"/>
  <Override PartName="/xl/persons/person91.xml" ContentType="application/vnd.ms-excel.person+xml"/>
  <Override PartName="/xl/persons/person68.xml" ContentType="application/vnd.ms-excel.person+xml"/>
  <Override PartName="/xl/persons/person21.xml" ContentType="application/vnd.ms-excel.person+xml"/>
  <Override PartName="/xl/persons/person2.xml" ContentType="application/vnd.ms-excel.person+xml"/>
  <Override PartName="/xl/persons/person23.xml" ContentType="application/vnd.ms-excel.person+xml"/>
  <Override PartName="/xl/persons/person46.xml" ContentType="application/vnd.ms-excel.person+xml"/>
  <Override PartName="/xl/persons/person39.xml" ContentType="application/vnd.ms-excel.person+xml"/>
  <Override PartName="/xl/persons/person62.xml" ContentType="application/vnd.ms-excel.person+xml"/>
  <Override PartName="/xl/persons/person85.xml" ContentType="application/vnd.ms-excel.person+xml"/>
  <Override PartName="/xl/persons/person81.xml" ContentType="application/vnd.ms-excel.person+xml"/>
  <Override PartName="/xl/persons/person17.xml" ContentType="application/vnd.ms-excel.person+xml"/>
  <Override PartName="/xl/persons/person12.xml" ContentType="application/vnd.ms-excel.person+xml"/>
  <Override PartName="/xl/persons/person35.xml" ContentType="application/vnd.ms-excel.person+xml"/>
  <Override PartName="/xl/persons/person56.xml" ContentType="application/vnd.ms-excel.person+xml"/>
  <Override PartName="/xl/persons/person102.xml" ContentType="application/vnd.ms-excel.person+xml"/>
  <Override PartName="/xl/persons/person78.xml" ContentType="application/vnd.ms-excel.person+xml"/>
  <Override PartName="/xl/persons/person32.xml" ContentType="application/vnd.ms-excel.person+xml"/>
  <Override PartName="/xl/persons/person52.xml" ContentType="application/vnd.ms-excel.person+xml"/>
  <Override PartName="/xl/persons/person72.xml" ContentType="application/vnd.ms-excel.person+xml"/>
  <Override PartName="/xl/persons/person96.xml" ContentType="application/vnd.ms-excel.person+xml"/>
  <Override PartName="/xl/persons/person3.xml" ContentType="application/vnd.ms-excel.person+xml"/>
  <Override PartName="/xl/persons/person25.xml" ContentType="application/vnd.ms-excel.person+xml"/>
  <Override PartName="/xl/persons/person47.xml" ContentType="application/vnd.ms-excel.person+xml"/>
  <Override PartName="/xl/persons/person90.xml" ContentType="application/vnd.ms-excel.person+xml"/>
  <Override PartName="/xl/persons/person44.xml" ContentType="application/vnd.ms-excel.person+xml"/>
  <Override PartName="/xl/persons/person42.xml" ContentType="application/vnd.ms-excel.person+xml"/>
  <Override PartName="/xl/persons/person19.xml" ContentType="application/vnd.ms-excel.person+xml"/>
  <Override PartName="/xl/persons/person63.xml" ContentType="application/vnd.ms-excel.person+xml"/>
  <Override PartName="/xl/persons/person67.xml" ContentType="application/vnd.ms-excel.person+xml"/>
  <Override PartName="/xl/persons/person37.xml" ContentType="application/vnd.ms-excel.person+xml"/>
  <Override PartName="/xl/persons/person15.xml" ContentType="application/vnd.ms-excel.person+xml"/>
  <Override PartName="/xl/persons/person84.xml" ContentType="application/vnd.ms-excel.person+xml"/>
  <Override PartName="/xl/persons/person101.xml" ContentType="application/vnd.ms-excel.person+xml"/>
  <Override PartName="/xl/persons/person8.xml" ContentType="application/vnd.ms-excel.person+xml"/>
  <Override PartName="/xl/persons/person31.xml" ContentType="application/vnd.ms-excel.person+xml"/>
  <Override PartName="/xl/persons/person53.xml" ContentType="application/vnd.ms-excel.person+xml"/>
  <Override PartName="/xl/persons/person58.xml" ContentType="application/vnd.ms-excel.person+xml"/>
  <Override PartName="/xl/persons/person74.xml" ContentType="application/vnd.ms-excel.person+xml"/>
  <Override PartName="/xl/persons/person77.xml" ContentType="application/vnd.ms-excel.person+xml"/>
  <Override PartName="/xl/persons/person8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juc\Desktop\jo\2026\RANKING\"/>
    </mc:Choice>
  </mc:AlternateContent>
  <xr:revisionPtr revIDLastSave="0" documentId="13_ncr:1_{92311438-9861-4D59-B99B-508C90AB818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abs-48" sheetId="1" r:id="rId1"/>
    <sheet name="abs-52" sheetId="16" r:id="rId2"/>
    <sheet name="abs-57" sheetId="17" r:id="rId3"/>
    <sheet name="abs -63" sheetId="18" r:id="rId4"/>
    <sheet name="abs-70" sheetId="19" r:id="rId5"/>
    <sheet name="abs-78" sheetId="20" r:id="rId6"/>
    <sheet name="abs+78" sheetId="21" r:id="rId7"/>
    <sheet name="abs-60" sheetId="22" r:id="rId8"/>
    <sheet name="abs-66" sheetId="23" r:id="rId9"/>
    <sheet name="abs-73" sheetId="24" r:id="rId10"/>
    <sheet name="abs-81" sheetId="25" r:id="rId11"/>
    <sheet name="abs-90" sheetId="26" r:id="rId12"/>
    <sheet name="abs-100" sheetId="27" r:id="rId13"/>
    <sheet name="abs+100" sheetId="28" r:id="rId14"/>
  </sheets>
  <calcPr calcId="191029"/>
</workbook>
</file>

<file path=xl/calcChain.xml><?xml version="1.0" encoding="utf-8"?>
<calcChain xmlns="http://schemas.openxmlformats.org/spreadsheetml/2006/main">
  <c r="DN27" i="18" l="1"/>
  <c r="DO27" i="18" s="1"/>
  <c r="DW27" i="18" s="1"/>
  <c r="BT27" i="18"/>
  <c r="EE26" i="28"/>
  <c r="EF26" i="28" s="1"/>
  <c r="EN26" i="28" s="1"/>
  <c r="CC26" i="28"/>
  <c r="EE25" i="28"/>
  <c r="EF25" i="28" s="1"/>
  <c r="EN25" i="28" s="1"/>
  <c r="CC25" i="28"/>
  <c r="EE44" i="26"/>
  <c r="EF44" i="26" s="1"/>
  <c r="EL44" i="26" s="1"/>
  <c r="DL44" i="26"/>
  <c r="EE34" i="26"/>
  <c r="EF34" i="26" s="1"/>
  <c r="EL34" i="26" s="1"/>
  <c r="DL34" i="26"/>
  <c r="FI81" i="25"/>
  <c r="CX81" i="25"/>
  <c r="EB71" i="24"/>
  <c r="EC71" i="24"/>
  <c r="EK71" i="24" s="1"/>
  <c r="CQ71" i="24"/>
  <c r="DL34" i="22"/>
  <c r="DM34" i="22" s="1"/>
  <c r="DU34" i="22" s="1"/>
  <c r="CA34" i="22"/>
  <c r="DN21" i="18"/>
  <c r="DO21" i="18" s="1"/>
  <c r="DW21" i="18" s="1"/>
  <c r="BT21" i="18"/>
  <c r="DU27" i="17"/>
  <c r="BW34" i="17"/>
  <c r="BW27" i="17"/>
  <c r="EX59" i="25"/>
  <c r="EY59" i="25" s="1"/>
  <c r="FI59" i="25" s="1"/>
  <c r="CX59" i="25"/>
  <c r="EB67" i="24"/>
  <c r="EC67" i="24" s="1"/>
  <c r="EK67" i="24" s="1"/>
  <c r="CV29" i="19" l="1"/>
  <c r="CW29" i="19" s="1"/>
  <c r="DE29" i="19" s="1"/>
  <c r="CV36" i="19"/>
  <c r="CW36" i="19" s="1"/>
  <c r="DE36" i="19" s="1"/>
  <c r="BO29" i="19"/>
  <c r="BO36" i="19"/>
  <c r="DN29" i="18"/>
  <c r="DO29" i="18" s="1"/>
  <c r="DW29" i="18" s="1"/>
  <c r="BT29" i="18"/>
  <c r="EP47" i="27"/>
  <c r="EQ47" i="27" s="1"/>
  <c r="EV47" i="27" s="1"/>
  <c r="CJ47" i="27"/>
  <c r="EE60" i="26"/>
  <c r="EF60" i="26" s="1"/>
  <c r="EL60" i="26" s="1"/>
  <c r="DL60" i="26"/>
  <c r="CQ67" i="24"/>
  <c r="EB48" i="24"/>
  <c r="EC48" i="24" s="1"/>
  <c r="EK48" i="24" s="1"/>
  <c r="CQ48" i="24"/>
  <c r="EE34" i="23"/>
  <c r="EF34" i="23" s="1"/>
  <c r="EN34" i="23" s="1"/>
  <c r="CK34" i="23"/>
  <c r="EE24" i="28"/>
  <c r="EF24" i="28" s="1"/>
  <c r="EN24" i="28" s="1"/>
  <c r="CC24" i="28"/>
  <c r="EE23" i="28"/>
  <c r="EF23" i="28" s="1"/>
  <c r="EN23" i="28" s="1"/>
  <c r="CC23" i="28"/>
  <c r="BO34" i="19"/>
  <c r="CV34" i="19"/>
  <c r="CW34" i="19" s="1"/>
  <c r="DE34" i="19" s="1"/>
  <c r="CT24" i="16"/>
  <c r="CU24" i="16" s="1"/>
  <c r="CZ24" i="16" s="1"/>
  <c r="CG24" i="16"/>
  <c r="EE22" i="28"/>
  <c r="EF22" i="28" s="1"/>
  <c r="EN22" i="28" s="1"/>
  <c r="CC22" i="28"/>
  <c r="CJ50" i="27"/>
  <c r="EP50" i="27"/>
  <c r="EQ50" i="27" s="1"/>
  <c r="EV50" i="27" s="1"/>
  <c r="EX84" i="25"/>
  <c r="EY84" i="25" s="1"/>
  <c r="FI84" i="25" s="1"/>
  <c r="CX84" i="25"/>
  <c r="EE29" i="23"/>
  <c r="EF29" i="23" s="1"/>
  <c r="EN29" i="23" s="1"/>
  <c r="EE49" i="23"/>
  <c r="EF49" i="23" s="1"/>
  <c r="EN49" i="23" s="1"/>
  <c r="CK29" i="23"/>
  <c r="CK49" i="23"/>
  <c r="DL33" i="22"/>
  <c r="DM33" i="22" s="1"/>
  <c r="DU33" i="22" s="1"/>
  <c r="CA33" i="22"/>
  <c r="CC20" i="20"/>
  <c r="CD20" i="20" s="1"/>
  <c r="CF20" i="20" s="1"/>
  <c r="BD20" i="20"/>
  <c r="EB45" i="24"/>
  <c r="EC45" i="24" s="1"/>
  <c r="EK45" i="24" s="1"/>
  <c r="CQ45" i="24"/>
  <c r="DU34" i="17"/>
  <c r="DN14" i="18" l="1"/>
  <c r="DO14" i="18" s="1"/>
  <c r="DW14" i="18" s="1"/>
  <c r="DN33" i="18"/>
  <c r="DO33" i="18" s="1"/>
  <c r="DW33" i="18" s="1"/>
  <c r="BT14" i="18"/>
  <c r="BT33" i="18"/>
  <c r="CT27" i="16"/>
  <c r="CU27" i="16" s="1"/>
  <c r="CZ27" i="16" s="1"/>
  <c r="CG27" i="16"/>
  <c r="EP29" i="27"/>
  <c r="EQ29" i="27" s="1"/>
  <c r="EV29" i="27" s="1"/>
  <c r="EP44" i="27"/>
  <c r="EQ44" i="27" s="1"/>
  <c r="EV44" i="27" s="1"/>
  <c r="CJ29" i="27"/>
  <c r="CJ44" i="27"/>
  <c r="EE43" i="26"/>
  <c r="EF43" i="26" s="1"/>
  <c r="EL43" i="26" s="1"/>
  <c r="DL43" i="26"/>
  <c r="EX30" i="25"/>
  <c r="EY30" i="25" s="1"/>
  <c r="FI30" i="25" s="1"/>
  <c r="EX46" i="25"/>
  <c r="EY46" i="25" s="1"/>
  <c r="FI46" i="25" s="1"/>
  <c r="EX71" i="25"/>
  <c r="EY71" i="25" s="1"/>
  <c r="FI71" i="25" s="1"/>
  <c r="EX72" i="25"/>
  <c r="EY72" i="25" s="1"/>
  <c r="FI72" i="25" s="1"/>
  <c r="EX73" i="25"/>
  <c r="EY73" i="25" s="1"/>
  <c r="FI73" i="25" s="1"/>
  <c r="CX30" i="25"/>
  <c r="CX46" i="25"/>
  <c r="CX71" i="25"/>
  <c r="CX72" i="25"/>
  <c r="CX73" i="25"/>
  <c r="EB28" i="24"/>
  <c r="EC28" i="24" s="1"/>
  <c r="EK28" i="24" s="1"/>
  <c r="EB49" i="24"/>
  <c r="EC49" i="24" s="1"/>
  <c r="EK49" i="24" s="1"/>
  <c r="EB62" i="24"/>
  <c r="EC62" i="24" s="1"/>
  <c r="EK62" i="24" s="1"/>
  <c r="EB63" i="24"/>
  <c r="EC63" i="24" s="1"/>
  <c r="EK63" i="24" s="1"/>
  <c r="CQ28" i="24"/>
  <c r="CQ49" i="24"/>
  <c r="CQ62" i="24"/>
  <c r="CQ63" i="24"/>
  <c r="DL25" i="22"/>
  <c r="DM25" i="22" s="1"/>
  <c r="DU25" i="22" s="1"/>
  <c r="CA25" i="22"/>
  <c r="DN20" i="18" l="1"/>
  <c r="DO20" i="18" s="1"/>
  <c r="DW20" i="18" s="1"/>
  <c r="BT20" i="18"/>
  <c r="EE56" i="26"/>
  <c r="EF56" i="26" s="1"/>
  <c r="EL56" i="26" s="1"/>
  <c r="EE45" i="26"/>
  <c r="EF45" i="26" s="1"/>
  <c r="EL45" i="26" s="1"/>
  <c r="DL56" i="26"/>
  <c r="DL45" i="26"/>
  <c r="EX76" i="25"/>
  <c r="EY76" i="25" s="1"/>
  <c r="FI76" i="25" s="1"/>
  <c r="CX76" i="25"/>
  <c r="EE32" i="23"/>
  <c r="EF32" i="23" s="1"/>
  <c r="EN32" i="23" s="1"/>
  <c r="EE45" i="23"/>
  <c r="EF45" i="23" s="1"/>
  <c r="EN45" i="23" s="1"/>
  <c r="CK32" i="23"/>
  <c r="CK45" i="23"/>
  <c r="DL30" i="22"/>
  <c r="DM30" i="22" s="1"/>
  <c r="DU30" i="22" s="1"/>
  <c r="CA30" i="22"/>
  <c r="DL22" i="17"/>
  <c r="DM22" i="17" s="1"/>
  <c r="DU22" i="17" s="1"/>
  <c r="BW22" i="17"/>
  <c r="CT20" i="16"/>
  <c r="CU20" i="16" s="1"/>
  <c r="CZ20" i="16" s="1"/>
  <c r="CG20" i="16"/>
  <c r="EE16" i="28"/>
  <c r="EF16" i="28" s="1"/>
  <c r="EN16" i="28" s="1"/>
  <c r="EE31" i="28"/>
  <c r="EF31" i="28" s="1"/>
  <c r="EN31" i="28" s="1"/>
  <c r="CC16" i="28"/>
  <c r="CC31" i="28"/>
  <c r="EP31" i="27"/>
  <c r="EQ31" i="27" s="1"/>
  <c r="EV31" i="27" s="1"/>
  <c r="CJ31" i="27"/>
  <c r="EX32" i="25"/>
  <c r="EY32" i="25" s="1"/>
  <c r="FI32" i="25" s="1"/>
  <c r="EX74" i="25"/>
  <c r="EY74" i="25" s="1"/>
  <c r="FI74" i="25" s="1"/>
  <c r="EX75" i="25"/>
  <c r="EY75" i="25" s="1"/>
  <c r="FI75" i="25" s="1"/>
  <c r="CX32" i="25"/>
  <c r="CX74" i="25"/>
  <c r="CX75" i="25"/>
  <c r="EB17" i="24"/>
  <c r="EC17" i="24" s="1"/>
  <c r="EK17" i="24" s="1"/>
  <c r="EB43" i="24"/>
  <c r="EC43" i="24" s="1"/>
  <c r="EK43" i="24" s="1"/>
  <c r="EB34" i="24"/>
  <c r="EC34" i="24" s="1"/>
  <c r="EK34" i="24" s="1"/>
  <c r="CQ17" i="24"/>
  <c r="CQ43" i="24"/>
  <c r="CQ34" i="24"/>
  <c r="EE23" i="23"/>
  <c r="EF23" i="23" s="1"/>
  <c r="EN23" i="23" s="1"/>
  <c r="EE21" i="23"/>
  <c r="EF21" i="23" s="1"/>
  <c r="EN21" i="23" s="1"/>
  <c r="CK23" i="23"/>
  <c r="CK21" i="23"/>
  <c r="DL29" i="22"/>
  <c r="DM29" i="22" s="1"/>
  <c r="DU29" i="22" s="1"/>
  <c r="CA29" i="22"/>
  <c r="DN35" i="18"/>
  <c r="DO35" i="18" s="1"/>
  <c r="DW35" i="18" s="1"/>
  <c r="BT35" i="18"/>
  <c r="DL24" i="17"/>
  <c r="DM24" i="17" s="1"/>
  <c r="DU24" i="17" s="1"/>
  <c r="BW24" i="17"/>
  <c r="EP46" i="27"/>
  <c r="EQ46" i="27" s="1"/>
  <c r="EV46" i="27" s="1"/>
  <c r="CJ46" i="27"/>
  <c r="EE38" i="26"/>
  <c r="EF38" i="26" s="1"/>
  <c r="EL38" i="26" s="1"/>
  <c r="EE39" i="26"/>
  <c r="EF39" i="26" s="1"/>
  <c r="EL39" i="26" s="1"/>
  <c r="DL38" i="26"/>
  <c r="DL39" i="26"/>
  <c r="EX27" i="25"/>
  <c r="EY27" i="25" s="1"/>
  <c r="FI27" i="25" s="1"/>
  <c r="EX55" i="25"/>
  <c r="EY55" i="25"/>
  <c r="FI55" i="25" s="1"/>
  <c r="EX54" i="25"/>
  <c r="EY54" i="25" s="1"/>
  <c r="FI54" i="25" s="1"/>
  <c r="CX27" i="25"/>
  <c r="CX55" i="25"/>
  <c r="CX54" i="25"/>
  <c r="CQ64" i="24"/>
  <c r="EB64" i="24"/>
  <c r="EC64" i="24" s="1"/>
  <c r="EK64" i="24" s="1"/>
  <c r="EE33" i="23"/>
  <c r="EF33" i="23" s="1"/>
  <c r="EN33" i="23" s="1"/>
  <c r="EE24" i="23"/>
  <c r="EF24" i="23" s="1"/>
  <c r="EN24" i="23" s="1"/>
  <c r="CK33" i="23"/>
  <c r="CK24" i="23"/>
  <c r="CC17" i="20"/>
  <c r="CD17" i="20" s="1"/>
  <c r="CF17" i="20" s="1"/>
  <c r="BD17" i="20"/>
  <c r="EE29" i="26"/>
  <c r="EF29" i="26" s="1"/>
  <c r="EL29" i="26" s="1"/>
  <c r="DL29" i="26"/>
  <c r="EX52" i="25"/>
  <c r="EY52" i="25" s="1"/>
  <c r="FI52" i="25" s="1"/>
  <c r="CX52" i="25"/>
  <c r="EP35" i="27"/>
  <c r="EQ35" i="27" s="1"/>
  <c r="EV35" i="27" s="1"/>
  <c r="CJ35" i="27"/>
  <c r="FA12" i="25"/>
  <c r="CV19" i="19"/>
  <c r="CW19" i="19" s="1"/>
  <c r="DE19" i="19" s="1"/>
  <c r="BO19" i="19"/>
  <c r="EX68" i="25"/>
  <c r="EY68" i="25" s="1"/>
  <c r="FI68" i="25" s="1"/>
  <c r="EX69" i="25"/>
  <c r="EY69" i="25" s="1"/>
  <c r="FI69" i="25" s="1"/>
  <c r="CX68" i="25"/>
  <c r="CX69" i="25"/>
  <c r="EB22" i="24"/>
  <c r="EC22" i="24" s="1"/>
  <c r="EK22" i="24" s="1"/>
  <c r="EB29" i="24"/>
  <c r="EC29" i="24" s="1"/>
  <c r="EK29" i="24" s="1"/>
  <c r="EB59" i="24"/>
  <c r="EC59" i="24" s="1"/>
  <c r="EK59" i="24" s="1"/>
  <c r="EB60" i="24"/>
  <c r="EC60" i="24" s="1"/>
  <c r="EK60" i="24" s="1"/>
  <c r="CQ22" i="24"/>
  <c r="CQ29" i="24"/>
  <c r="CQ59" i="24"/>
  <c r="CQ60" i="24"/>
  <c r="EE44" i="23"/>
  <c r="EF44" i="23" s="1"/>
  <c r="EN44" i="23" s="1"/>
  <c r="CK44" i="23"/>
  <c r="DL20" i="22"/>
  <c r="DM20" i="22" s="1"/>
  <c r="DU20" i="22" s="1"/>
  <c r="CA20" i="22"/>
  <c r="EP24" i="27"/>
  <c r="EQ24" i="27" s="1"/>
  <c r="EV24" i="27" s="1"/>
  <c r="EP49" i="27"/>
  <c r="EQ49" i="27" s="1"/>
  <c r="EV49" i="27" s="1"/>
  <c r="CJ49" i="27"/>
  <c r="CJ24" i="27"/>
  <c r="EX49" i="25"/>
  <c r="EY49" i="25" s="1"/>
  <c r="FI49" i="25" s="1"/>
  <c r="EX58" i="25"/>
  <c r="EY58" i="25" s="1"/>
  <c r="FI58" i="25" s="1"/>
  <c r="EX80" i="25"/>
  <c r="EY80" i="25" s="1"/>
  <c r="FI80" i="25" s="1"/>
  <c r="CX49" i="25"/>
  <c r="CX58" i="25"/>
  <c r="CX80" i="25"/>
  <c r="EB42" i="24"/>
  <c r="EC42" i="24" s="1"/>
  <c r="EK42" i="24" s="1"/>
  <c r="CQ42" i="24"/>
  <c r="EB14" i="24"/>
  <c r="EC14" i="24" s="1"/>
  <c r="EK14" i="24" s="1"/>
  <c r="CQ14" i="24"/>
  <c r="DL32" i="22"/>
  <c r="DM32" i="22" s="1"/>
  <c r="DU32" i="22" s="1"/>
  <c r="CA32" i="22"/>
  <c r="CT18" i="16"/>
  <c r="CU18" i="16" s="1"/>
  <c r="CZ18" i="16" s="1"/>
  <c r="CG18" i="16"/>
  <c r="CV32" i="19"/>
  <c r="CW32" i="19" s="1"/>
  <c r="DE32" i="19" s="1"/>
  <c r="BO32" i="19"/>
  <c r="DL19" i="17" l="1"/>
  <c r="DM19" i="17" s="1"/>
  <c r="DU19" i="17" s="1"/>
  <c r="BW19" i="17"/>
  <c r="EP26" i="27"/>
  <c r="EQ26" i="27"/>
  <c r="EV26" i="27" s="1"/>
  <c r="EP25" i="27"/>
  <c r="EQ25" i="27" s="1"/>
  <c r="EV25" i="27" s="1"/>
  <c r="CJ25" i="27"/>
  <c r="CJ26" i="27"/>
  <c r="CT21" i="16"/>
  <c r="CU21" i="16" s="1"/>
  <c r="CZ21" i="16" s="1"/>
  <c r="CG21" i="16"/>
  <c r="BW20" i="17"/>
  <c r="DL20" i="17"/>
  <c r="DM20" i="17" s="1"/>
  <c r="DU20" i="17" s="1"/>
  <c r="DL31" i="22"/>
  <c r="DM31" i="22" s="1"/>
  <c r="DU31" i="22" s="1"/>
  <c r="CA31" i="22"/>
  <c r="CV31" i="19"/>
  <c r="CW31" i="19" s="1"/>
  <c r="DE31" i="19" s="1"/>
  <c r="BO31" i="19"/>
  <c r="EP30" i="27"/>
  <c r="EQ30" i="27" s="1"/>
  <c r="EV30" i="27" s="1"/>
  <c r="CJ30" i="27"/>
  <c r="CV28" i="19"/>
  <c r="CW28" i="19" s="1"/>
  <c r="DE28" i="19" s="1"/>
  <c r="BO28" i="19"/>
  <c r="DN26" i="18"/>
  <c r="DO26" i="18" s="1"/>
  <c r="DW26" i="18" s="1"/>
  <c r="BT26" i="18"/>
  <c r="EE21" i="28"/>
  <c r="EF21" i="28" s="1"/>
  <c r="EN21" i="28" s="1"/>
  <c r="CC21" i="28"/>
  <c r="CT21" i="21"/>
  <c r="CU21" i="21" s="1"/>
  <c r="CY21" i="21" s="1"/>
  <c r="BR21" i="21"/>
  <c r="EH17" i="1"/>
  <c r="EI17" i="1" s="1"/>
  <c r="ET17" i="1" s="1"/>
  <c r="BO17" i="1"/>
  <c r="EX45" i="25"/>
  <c r="EY45" i="25" s="1"/>
  <c r="FI45" i="25" s="1"/>
  <c r="EX56" i="25"/>
  <c r="EY56" i="25" s="1"/>
  <c r="FI56" i="25" s="1"/>
  <c r="CX56" i="25"/>
  <c r="CX45" i="25"/>
  <c r="EB23" i="24"/>
  <c r="EC23" i="24" s="1"/>
  <c r="EK23" i="24" s="1"/>
  <c r="EB55" i="24"/>
  <c r="EC55" i="24" s="1"/>
  <c r="EK55" i="24" s="1"/>
  <c r="CQ55" i="24"/>
  <c r="CQ23" i="24"/>
  <c r="DN19" i="18"/>
  <c r="DO19" i="18" s="1"/>
  <c r="DW19" i="18" s="1"/>
  <c r="BT19" i="18"/>
  <c r="EE61" i="26"/>
  <c r="EF61" i="26" s="1"/>
  <c r="EL61" i="26" s="1"/>
  <c r="DL61" i="26"/>
  <c r="EB24" i="24"/>
  <c r="EC24" i="24" s="1"/>
  <c r="EK24" i="24" s="1"/>
  <c r="EB70" i="24"/>
  <c r="EC70" i="24" s="1"/>
  <c r="EK70" i="24" s="1"/>
  <c r="CQ24" i="24"/>
  <c r="CQ70" i="24"/>
  <c r="EE17" i="26"/>
  <c r="EF17" i="26" s="1"/>
  <c r="EL17" i="26" s="1"/>
  <c r="EE21" i="26"/>
  <c r="EF21" i="26" s="1"/>
  <c r="EL21" i="26" s="1"/>
  <c r="EE54" i="26"/>
  <c r="EF54" i="26" s="1"/>
  <c r="EL54" i="26" s="1"/>
  <c r="DL54" i="26"/>
  <c r="DL17" i="26"/>
  <c r="DL21" i="26"/>
  <c r="CV13" i="19"/>
  <c r="CW13" i="19" s="1"/>
  <c r="DE13" i="19" s="1"/>
  <c r="BO13" i="19"/>
  <c r="EE30" i="26"/>
  <c r="EF30" i="26" s="1"/>
  <c r="EL30" i="26" s="1"/>
  <c r="DL30" i="26"/>
  <c r="EX79" i="25"/>
  <c r="EY79" i="25" s="1"/>
  <c r="FI79" i="25" s="1"/>
  <c r="EX50" i="25"/>
  <c r="EY50" i="25" s="1"/>
  <c r="FI50" i="25" s="1"/>
  <c r="CX79" i="25"/>
  <c r="CX50" i="25"/>
  <c r="EB52" i="24"/>
  <c r="EC52" i="24" s="1"/>
  <c r="EK52" i="24" s="1"/>
  <c r="EB32" i="24"/>
  <c r="EC32" i="24" s="1"/>
  <c r="EK32" i="24" s="1"/>
  <c r="CQ52" i="24"/>
  <c r="CQ32" i="24"/>
  <c r="EE48" i="23"/>
  <c r="EF48" i="23" s="1"/>
  <c r="EN48" i="23" s="1"/>
  <c r="EE20" i="23"/>
  <c r="EF20" i="23" s="1"/>
  <c r="EN20" i="23" s="1"/>
  <c r="CK48" i="23"/>
  <c r="CK20" i="23"/>
  <c r="DL17" i="22"/>
  <c r="DM17" i="22" s="1"/>
  <c r="DU17" i="22" s="1"/>
  <c r="CA17" i="22"/>
  <c r="EP43" i="27"/>
  <c r="EQ43" i="27" s="1"/>
  <c r="EV43" i="27" s="1"/>
  <c r="CJ43" i="27"/>
  <c r="CT15" i="16"/>
  <c r="CU15" i="16" s="1"/>
  <c r="CZ15" i="16" s="1"/>
  <c r="CG15" i="16"/>
  <c r="EP33" i="27"/>
  <c r="EQ33" i="27" s="1"/>
  <c r="EV33" i="27" s="1"/>
  <c r="CJ33" i="27"/>
  <c r="EX70" i="25"/>
  <c r="EY70" i="25" s="1"/>
  <c r="FI70" i="25" s="1"/>
  <c r="CX70" i="25"/>
  <c r="BR20" i="21" l="1"/>
  <c r="CT20" i="21"/>
  <c r="CU20" i="21" s="1"/>
  <c r="CY20" i="21" s="1"/>
  <c r="CV30" i="19"/>
  <c r="CW30" i="19" s="1"/>
  <c r="DE30" i="19" s="1"/>
  <c r="BO30" i="19"/>
  <c r="DL26" i="17"/>
  <c r="DM26" i="17" s="1"/>
  <c r="DU26" i="17" s="1"/>
  <c r="BW26" i="17"/>
  <c r="EE15" i="28"/>
  <c r="EF15" i="28" s="1"/>
  <c r="EN15" i="28" s="1"/>
  <c r="EE33" i="28"/>
  <c r="EF33" i="28" s="1"/>
  <c r="EN33" i="28" s="1"/>
  <c r="CC15" i="28"/>
  <c r="CC33" i="28"/>
  <c r="EL35" i="26"/>
  <c r="EL41" i="26"/>
  <c r="EL59" i="26"/>
  <c r="DL35" i="26"/>
  <c r="DL41" i="26"/>
  <c r="DL59" i="26"/>
  <c r="EX21" i="25"/>
  <c r="EY21" i="25" s="1"/>
  <c r="FI21" i="25" s="1"/>
  <c r="CX21" i="25"/>
  <c r="DU13" i="23"/>
  <c r="DS46" i="23"/>
  <c r="DT46" i="23" s="1"/>
  <c r="AV26" i="20" l="1"/>
  <c r="AW26" i="20" s="1"/>
  <c r="BD26" i="20" s="1"/>
  <c r="AV27" i="20"/>
  <c r="AW27" i="20" s="1"/>
  <c r="BD27" i="20" s="1"/>
  <c r="CC26" i="20"/>
  <c r="CD26" i="20" s="1"/>
  <c r="CF26" i="20" s="1"/>
  <c r="CC27" i="20"/>
  <c r="CD27" i="20" s="1"/>
  <c r="CF27" i="20" s="1"/>
  <c r="DL33" i="17"/>
  <c r="DM33" i="17" s="1"/>
  <c r="DU33" i="17" s="1"/>
  <c r="BO33" i="17"/>
  <c r="BP33" i="17" s="1"/>
  <c r="BW33" i="17" s="1"/>
  <c r="BC23" i="16"/>
  <c r="BZ23" i="16" s="1"/>
  <c r="CG23" i="16" s="1"/>
  <c r="BC13" i="16"/>
  <c r="BZ13" i="16" s="1"/>
  <c r="CG13" i="16" s="1"/>
  <c r="BC25" i="16"/>
  <c r="BZ25" i="16" s="1"/>
  <c r="CG25" i="16" s="1"/>
  <c r="BC26" i="16"/>
  <c r="BZ26" i="16" s="1"/>
  <c r="CG26" i="16" s="1"/>
  <c r="BC14" i="16"/>
  <c r="BZ14" i="16" s="1"/>
  <c r="CG14" i="16" s="1"/>
  <c r="CT14" i="16"/>
  <c r="CU14" i="16" s="1"/>
  <c r="CZ14" i="16" s="1"/>
  <c r="EP57" i="27"/>
  <c r="EQ57" i="27" s="1"/>
  <c r="EV57" i="27" s="1"/>
  <c r="EP58" i="27"/>
  <c r="EQ58" i="27" s="1"/>
  <c r="EV58" i="27" s="1"/>
  <c r="CB57" i="27"/>
  <c r="CC57" i="27" s="1"/>
  <c r="CJ57" i="27" s="1"/>
  <c r="CB58" i="27"/>
  <c r="CC58" i="27" s="1"/>
  <c r="CJ58" i="27" s="1"/>
  <c r="EE67" i="26"/>
  <c r="EF67" i="26" s="1"/>
  <c r="EL67" i="26" s="1"/>
  <c r="EE68" i="26"/>
  <c r="EF68" i="26" s="1"/>
  <c r="EL68" i="26" s="1"/>
  <c r="EE36" i="26"/>
  <c r="EF36" i="26" s="1"/>
  <c r="EL36" i="26" s="1"/>
  <c r="CH67" i="26"/>
  <c r="DE67" i="26" s="1"/>
  <c r="DL67" i="26" s="1"/>
  <c r="CH68" i="26"/>
  <c r="DE68" i="26" s="1"/>
  <c r="DL68" i="26" s="1"/>
  <c r="CH36" i="26"/>
  <c r="DE36" i="26" s="1"/>
  <c r="DL36" i="26" s="1"/>
  <c r="EX40" i="25"/>
  <c r="EY40" i="25" s="1"/>
  <c r="FI40" i="25" s="1"/>
  <c r="EX61" i="25"/>
  <c r="EY61" i="25" s="1"/>
  <c r="FI61" i="25" s="1"/>
  <c r="EX62" i="25"/>
  <c r="EY62" i="25" s="1"/>
  <c r="FI62" i="25" s="1"/>
  <c r="EX63" i="25"/>
  <c r="EY63" i="25" s="1"/>
  <c r="FI63" i="25" s="1"/>
  <c r="EX19" i="25"/>
  <c r="EY19" i="25" s="1"/>
  <c r="FI19" i="25" s="1"/>
  <c r="EX39" i="25"/>
  <c r="EY39" i="25" s="1"/>
  <c r="FI39" i="25" s="1"/>
  <c r="EX65" i="25"/>
  <c r="EY65" i="25" s="1"/>
  <c r="FI65" i="25" s="1"/>
  <c r="EX43" i="25"/>
  <c r="EY43" i="25" s="1"/>
  <c r="FI43" i="25" s="1"/>
  <c r="EX78" i="25"/>
  <c r="EY78" i="25" s="1"/>
  <c r="FI78" i="25" s="1"/>
  <c r="EX83" i="25"/>
  <c r="EY83" i="25" s="1"/>
  <c r="FI83" i="25" s="1"/>
  <c r="EX86" i="25"/>
  <c r="EY86" i="25" s="1"/>
  <c r="FI86" i="25" s="1"/>
  <c r="EX88" i="25"/>
  <c r="EY88" i="25" s="1"/>
  <c r="FI88" i="25" s="1"/>
  <c r="EX89" i="25"/>
  <c r="EY89" i="25" s="1"/>
  <c r="FI89" i="25" s="1"/>
  <c r="EX90" i="25"/>
  <c r="EY90" i="25" s="1"/>
  <c r="FI90" i="25" s="1"/>
  <c r="EX93" i="25"/>
  <c r="EY93" i="25" s="1"/>
  <c r="FI93" i="25" s="1"/>
  <c r="EX57" i="25"/>
  <c r="EY57" i="25" s="1"/>
  <c r="FI57" i="25" s="1"/>
  <c r="EX11" i="25"/>
  <c r="EY11" i="25" s="1"/>
  <c r="FI11" i="25" s="1"/>
  <c r="EX12" i="25"/>
  <c r="EY12" i="25" s="1"/>
  <c r="FI12" i="25" s="1"/>
  <c r="CP93" i="25"/>
  <c r="CQ93" i="25" s="1"/>
  <c r="CX93" i="25" s="1"/>
  <c r="EB35" i="24"/>
  <c r="EC35" i="24" s="1"/>
  <c r="EK35" i="24" s="1"/>
  <c r="EB19" i="24"/>
  <c r="EC19" i="24" s="1"/>
  <c r="EK19" i="24" s="1"/>
  <c r="EB31" i="24"/>
  <c r="EC31" i="24" s="1"/>
  <c r="EK31" i="24" s="1"/>
  <c r="EB39" i="24"/>
  <c r="EC39" i="24" s="1"/>
  <c r="EK39" i="24" s="1"/>
  <c r="EB46" i="24"/>
  <c r="EC46" i="24" s="1"/>
  <c r="EK46" i="24" s="1"/>
  <c r="EB36" i="24"/>
  <c r="EC36" i="24" s="1"/>
  <c r="EK36" i="24" s="1"/>
  <c r="EB47" i="24"/>
  <c r="EC47" i="24" s="1"/>
  <c r="EK47" i="24" s="1"/>
  <c r="EB54" i="24"/>
  <c r="EC54" i="24" s="1"/>
  <c r="EK54" i="24" s="1"/>
  <c r="EB40" i="24"/>
  <c r="EC40" i="24" s="1"/>
  <c r="EK40" i="24" s="1"/>
  <c r="EB56" i="24"/>
  <c r="EC56" i="24" s="1"/>
  <c r="EK56" i="24" s="1"/>
  <c r="EB61" i="24"/>
  <c r="EC61" i="24" s="1"/>
  <c r="EK61" i="24" s="1"/>
  <c r="EB66" i="24"/>
  <c r="EC66" i="24" s="1"/>
  <c r="EK66" i="24" s="1"/>
  <c r="EB57" i="24"/>
  <c r="EC57" i="24" s="1"/>
  <c r="EK57" i="24" s="1"/>
  <c r="EB68" i="24"/>
  <c r="EC68" i="24" s="1"/>
  <c r="EK68" i="24" s="1"/>
  <c r="EB69" i="24"/>
  <c r="EC69" i="24" s="1"/>
  <c r="EK69" i="24" s="1"/>
  <c r="EB50" i="24"/>
  <c r="EC50" i="24" s="1"/>
  <c r="EK50" i="24" s="1"/>
  <c r="EB38" i="24"/>
  <c r="EC38" i="24" s="1"/>
  <c r="EK38" i="24" s="1"/>
  <c r="EB73" i="24"/>
  <c r="EC73" i="24" s="1"/>
  <c r="EK73" i="24" s="1"/>
  <c r="CI50" i="24"/>
  <c r="CJ50" i="24" s="1"/>
  <c r="CQ50" i="24" s="1"/>
  <c r="CI38" i="24"/>
  <c r="CJ38" i="24" s="1"/>
  <c r="CQ38" i="24" s="1"/>
  <c r="CI73" i="24"/>
  <c r="CJ73" i="24" s="1"/>
  <c r="CQ73" i="24" s="1"/>
  <c r="DL13" i="22"/>
  <c r="DM13" i="22" s="1"/>
  <c r="DU13" i="22" s="1"/>
  <c r="DL35" i="22"/>
  <c r="DM35" i="22" s="1"/>
  <c r="DU35" i="22" s="1"/>
  <c r="DL38" i="22"/>
  <c r="DM38" i="22" s="1"/>
  <c r="DU38" i="22" s="1"/>
  <c r="DL39" i="22"/>
  <c r="DM39" i="22" s="1"/>
  <c r="DU39" i="22" s="1"/>
  <c r="DL28" i="22"/>
  <c r="DM28" i="22" s="1"/>
  <c r="DU28" i="22" s="1"/>
  <c r="DL41" i="22"/>
  <c r="DM41" i="22" s="1"/>
  <c r="DU41" i="22" s="1"/>
  <c r="DL42" i="22"/>
  <c r="DM42" i="22" s="1"/>
  <c r="DU42" i="22" s="1"/>
  <c r="DL46" i="22"/>
  <c r="DM46" i="22" s="1"/>
  <c r="DU46" i="22" s="1"/>
  <c r="DL40" i="22"/>
  <c r="DM40" i="22" s="1"/>
  <c r="DU40" i="22" s="1"/>
  <c r="BS40" i="22"/>
  <c r="BT40" i="22" s="1"/>
  <c r="CA40" i="22" s="1"/>
  <c r="BS46" i="22"/>
  <c r="BT46" i="22" s="1"/>
  <c r="CA46" i="22" s="1"/>
  <c r="CP26" i="16"/>
  <c r="CQ26" i="16" s="1"/>
  <c r="CT26" i="16" s="1"/>
  <c r="CU26" i="16" s="1"/>
  <c r="CZ26" i="16" s="1"/>
  <c r="CP90" i="25"/>
  <c r="CQ90" i="25" s="1"/>
  <c r="CX90" i="25" s="1"/>
  <c r="BS39" i="22"/>
  <c r="BT39" i="22" s="1"/>
  <c r="CA39" i="22" s="1"/>
  <c r="DQ16" i="1"/>
  <c r="DR16" i="1" s="1"/>
  <c r="EH16" i="1" s="1"/>
  <c r="EI16" i="1" s="1"/>
  <c r="ET16" i="1" s="1"/>
  <c r="BG16" i="1"/>
  <c r="BH16" i="1" s="1"/>
  <c r="BO16" i="1" s="1"/>
  <c r="DW49" i="26" l="1"/>
  <c r="DX49" i="26" s="1"/>
  <c r="EE49" i="26" s="1"/>
  <c r="EF49" i="26" s="1"/>
  <c r="EL49" i="26" s="1"/>
  <c r="DW66" i="26"/>
  <c r="DX66" i="26" s="1"/>
  <c r="EE66" i="26" s="1"/>
  <c r="EF66" i="26" s="1"/>
  <c r="EL66" i="26" s="1"/>
  <c r="CH66" i="26"/>
  <c r="DE66" i="26" s="1"/>
  <c r="DL66" i="26" s="1"/>
  <c r="CH49" i="26"/>
  <c r="DE49" i="26" s="1"/>
  <c r="DL49" i="26" s="1"/>
  <c r="CZ28" i="18"/>
  <c r="DA28" i="18" s="1"/>
  <c r="DN28" i="18" s="1"/>
  <c r="DO28" i="18" s="1"/>
  <c r="DW28" i="18" s="1"/>
  <c r="BL28" i="18"/>
  <c r="BM28" i="18" s="1"/>
  <c r="BT28" i="18" s="1"/>
  <c r="BG14" i="1"/>
  <c r="BH14" i="1" s="1"/>
  <c r="BO14" i="1" s="1"/>
  <c r="EE28" i="27"/>
  <c r="EF28" i="27" s="1"/>
  <c r="EP28" i="27" s="1"/>
  <c r="EQ28" i="27" s="1"/>
  <c r="EV28" i="27" s="1"/>
  <c r="CB28" i="27"/>
  <c r="CC28" i="27" s="1"/>
  <c r="CJ28" i="27" s="1"/>
  <c r="EX51" i="25"/>
  <c r="EY51" i="25" s="1"/>
  <c r="FI51" i="25" s="1"/>
  <c r="CP51" i="25"/>
  <c r="CQ51" i="25" s="1"/>
  <c r="CX51" i="25" s="1"/>
  <c r="CP43" i="25"/>
  <c r="CQ43" i="25" s="1"/>
  <c r="CX43" i="25" s="1"/>
  <c r="CI57" i="24"/>
  <c r="CJ57" i="24" s="1"/>
  <c r="CQ57" i="24" s="1"/>
  <c r="CI47" i="24"/>
  <c r="CJ47" i="24" s="1"/>
  <c r="CQ47" i="24" s="1"/>
  <c r="DE26" i="22"/>
  <c r="DF26" i="22" s="1"/>
  <c r="DL26" i="22" s="1"/>
  <c r="DM26" i="22" s="1"/>
  <c r="DU26" i="22" s="1"/>
  <c r="BS26" i="22"/>
  <c r="BT26" i="22" s="1"/>
  <c r="CA26" i="22" s="1"/>
  <c r="DW22" i="26" l="1"/>
  <c r="DX22" i="26" s="1"/>
  <c r="EE22" i="26" s="1"/>
  <c r="EF22" i="26" s="1"/>
  <c r="EL22" i="26" s="1"/>
  <c r="DW40" i="26"/>
  <c r="DX40" i="26" s="1"/>
  <c r="EE40" i="26" s="1"/>
  <c r="EF40" i="26" s="1"/>
  <c r="EL40" i="26" s="1"/>
  <c r="CH22" i="26"/>
  <c r="DE22" i="26" s="1"/>
  <c r="DL22" i="26" s="1"/>
  <c r="CH40" i="26"/>
  <c r="DE40" i="26" s="1"/>
  <c r="DL40" i="26" s="1"/>
  <c r="CP19" i="25"/>
  <c r="CQ19" i="25" s="1"/>
  <c r="CX19" i="25" s="1"/>
  <c r="EE26" i="23"/>
  <c r="EF26" i="23" s="1"/>
  <c r="EN26" i="23" s="1"/>
  <c r="CC26" i="23"/>
  <c r="CD26" i="23" s="1"/>
  <c r="CK26" i="23" s="1"/>
  <c r="CZ30" i="18"/>
  <c r="DA30" i="18" s="1"/>
  <c r="DN30" i="18" s="1"/>
  <c r="DO30" i="18" s="1"/>
  <c r="DW30" i="18" s="1"/>
  <c r="BL30" i="18"/>
  <c r="BM30" i="18" s="1"/>
  <c r="BT30" i="18" s="1"/>
  <c r="CP23" i="19"/>
  <c r="CQ23" i="19" s="1"/>
  <c r="CV23" i="19" s="1"/>
  <c r="CW23" i="19" s="1"/>
  <c r="DE23" i="19" s="1"/>
  <c r="BG23" i="19"/>
  <c r="BH23" i="19" s="1"/>
  <c r="BO23" i="19" s="1"/>
  <c r="DA16" i="17"/>
  <c r="DB16" i="17" s="1"/>
  <c r="DL16" i="17" s="1"/>
  <c r="DM16" i="17" s="1"/>
  <c r="DU16" i="17" s="1"/>
  <c r="BO16" i="17"/>
  <c r="BP16" i="17" s="1"/>
  <c r="BW16" i="17" s="1"/>
  <c r="DR14" i="28"/>
  <c r="DS14" i="28" s="1"/>
  <c r="EE14" i="28" s="1"/>
  <c r="EF14" i="28" s="1"/>
  <c r="EN14" i="28" s="1"/>
  <c r="BU14" i="28"/>
  <c r="BV14" i="28" s="1"/>
  <c r="CC14" i="28" s="1"/>
  <c r="DW19" i="26"/>
  <c r="DX19" i="26" s="1"/>
  <c r="EE19" i="26" s="1"/>
  <c r="EF19" i="26" s="1"/>
  <c r="EL19" i="26" s="1"/>
  <c r="CH19" i="26"/>
  <c r="DE19" i="26" s="1"/>
  <c r="DL19" i="26" s="1"/>
  <c r="CZ36" i="18"/>
  <c r="DA36" i="18" s="1"/>
  <c r="DN36" i="18" s="1"/>
  <c r="DO36" i="18" s="1"/>
  <c r="DW36" i="18" s="1"/>
  <c r="BL36" i="18"/>
  <c r="BM36" i="18" s="1"/>
  <c r="BT36" i="18" s="1"/>
  <c r="DW37" i="26"/>
  <c r="DX37" i="26" s="1"/>
  <c r="EE37" i="26" s="1"/>
  <c r="EF37" i="26" s="1"/>
  <c r="EL37" i="26" s="1"/>
  <c r="CH37" i="26"/>
  <c r="DE37" i="26" s="1"/>
  <c r="DL37" i="26" s="1"/>
  <c r="CP63" i="25"/>
  <c r="CQ63" i="25" s="1"/>
  <c r="CX63" i="25" s="1"/>
  <c r="CP89" i="25"/>
  <c r="CQ89" i="25" s="1"/>
  <c r="CX89" i="25" s="1"/>
  <c r="DQ19" i="1"/>
  <c r="DR19" i="1" s="1"/>
  <c r="EH19" i="1" s="1"/>
  <c r="EI19" i="1" s="1"/>
  <c r="ET19" i="1" s="1"/>
  <c r="BG19" i="1"/>
  <c r="BH19" i="1" s="1"/>
  <c r="BO19" i="1" s="1"/>
  <c r="EE20" i="27"/>
  <c r="EF20" i="27" s="1"/>
  <c r="EP20" i="27" s="1"/>
  <c r="EQ20" i="27" s="1"/>
  <c r="EV20" i="27" s="1"/>
  <c r="CB20" i="27"/>
  <c r="CC20" i="27" s="1"/>
  <c r="CJ20" i="27" s="1"/>
  <c r="CP86" i="25"/>
  <c r="CQ86" i="25" s="1"/>
  <c r="CX86" i="25" s="1"/>
  <c r="EX25" i="25"/>
  <c r="EY25" i="25" s="1"/>
  <c r="FI25" i="25" s="1"/>
  <c r="CP25" i="25"/>
  <c r="CQ25" i="25" s="1"/>
  <c r="CX25" i="25" s="1"/>
  <c r="CP40" i="25"/>
  <c r="CQ40" i="25" s="1"/>
  <c r="CX40" i="25" s="1"/>
  <c r="EX38" i="25"/>
  <c r="EY38" i="25" s="1"/>
  <c r="FI38" i="25" s="1"/>
  <c r="CP38" i="25"/>
  <c r="CQ38" i="25" s="1"/>
  <c r="CX38" i="25" s="1"/>
  <c r="CZ31" i="18"/>
  <c r="DA31" i="18" s="1"/>
  <c r="DN31" i="18" s="1"/>
  <c r="DO31" i="18" s="1"/>
  <c r="DW31" i="18" s="1"/>
  <c r="BL31" i="18"/>
  <c r="BM31" i="18" s="1"/>
  <c r="BT31" i="18" s="1"/>
  <c r="DW24" i="26"/>
  <c r="DX24" i="26" s="1"/>
  <c r="EE24" i="26" s="1"/>
  <c r="EF24" i="26" s="1"/>
  <c r="EL24" i="26" s="1"/>
  <c r="CH24" i="26"/>
  <c r="DE24" i="26" s="1"/>
  <c r="DL24" i="26" s="1"/>
  <c r="BY14" i="20"/>
  <c r="BZ14" i="20" s="1"/>
  <c r="CC14" i="20" s="1"/>
  <c r="CD14" i="20" s="1"/>
  <c r="CF14" i="20" s="1"/>
  <c r="AV14" i="20"/>
  <c r="AW14" i="20" s="1"/>
  <c r="BD14" i="20" s="1"/>
  <c r="EE27" i="27"/>
  <c r="EF27" i="27" s="1"/>
  <c r="EP27" i="27" s="1"/>
  <c r="EQ27" i="27" s="1"/>
  <c r="EV27" i="27" s="1"/>
  <c r="EE34" i="27"/>
  <c r="EF34" i="27" s="1"/>
  <c r="EP34" i="27" s="1"/>
  <c r="EQ34" i="27" s="1"/>
  <c r="EV34" i="27" s="1"/>
  <c r="EE37" i="27"/>
  <c r="EF37" i="27" s="1"/>
  <c r="EP37" i="27" s="1"/>
  <c r="EQ37" i="27" s="1"/>
  <c r="EV37" i="27" s="1"/>
  <c r="CB27" i="27"/>
  <c r="CC27" i="27" s="1"/>
  <c r="CJ27" i="27" s="1"/>
  <c r="CB34" i="27"/>
  <c r="CC34" i="27" s="1"/>
  <c r="CJ34" i="27" s="1"/>
  <c r="CB37" i="27"/>
  <c r="CC37" i="27" s="1"/>
  <c r="CJ37" i="27" s="1"/>
  <c r="CP12" i="25"/>
  <c r="CQ12" i="25" s="1"/>
  <c r="CX12" i="25" s="1"/>
  <c r="CP11" i="21"/>
  <c r="CQ11" i="21" s="1"/>
  <c r="CT11" i="21" s="1"/>
  <c r="CU11" i="21" s="1"/>
  <c r="CY11" i="21" s="1"/>
  <c r="BJ11" i="21"/>
  <c r="BK11" i="21" s="1"/>
  <c r="BR11" i="21" s="1"/>
  <c r="BY13" i="20"/>
  <c r="BZ13" i="20" s="1"/>
  <c r="CC13" i="20" s="1"/>
  <c r="CD13" i="20" s="1"/>
  <c r="CF13" i="20" s="1"/>
  <c r="BY19" i="20"/>
  <c r="BZ19" i="20" s="1"/>
  <c r="CC19" i="20" s="1"/>
  <c r="CD19" i="20" s="1"/>
  <c r="CF19" i="20" s="1"/>
  <c r="BY22" i="20"/>
  <c r="BZ22" i="20" s="1"/>
  <c r="CC22" i="20" s="1"/>
  <c r="CD22" i="20" s="1"/>
  <c r="CF22" i="20" s="1"/>
  <c r="AV22" i="20"/>
  <c r="AW22" i="20" s="1"/>
  <c r="BD22" i="20" s="1"/>
  <c r="AV13" i="20"/>
  <c r="AW13" i="20" s="1"/>
  <c r="BD13" i="20" s="1"/>
  <c r="AV19" i="20"/>
  <c r="AW19" i="20" s="1"/>
  <c r="BD19" i="20" s="1"/>
  <c r="CP24" i="19"/>
  <c r="CQ24" i="19" s="1"/>
  <c r="CV24" i="19" s="1"/>
  <c r="CW24" i="19" s="1"/>
  <c r="DE24" i="19" s="1"/>
  <c r="BG24" i="19"/>
  <c r="BH24" i="19" s="1"/>
  <c r="BO24" i="19" s="1"/>
  <c r="CZ32" i="18"/>
  <c r="DA32" i="18" s="1"/>
  <c r="DN32" i="18" s="1"/>
  <c r="DO32" i="18" s="1"/>
  <c r="DW32" i="18" s="1"/>
  <c r="BL32" i="18"/>
  <c r="BM32" i="18" s="1"/>
  <c r="BT32" i="18" s="1"/>
  <c r="CP13" i="16"/>
  <c r="CQ13" i="16" s="1"/>
  <c r="CT13" i="16" s="1"/>
  <c r="CU13" i="16" s="1"/>
  <c r="CZ13" i="16" s="1"/>
  <c r="DW46" i="26"/>
  <c r="DX46" i="26" s="1"/>
  <c r="EE46" i="26" s="1"/>
  <c r="EF46" i="26" s="1"/>
  <c r="EL46" i="26" s="1"/>
  <c r="CH46" i="26"/>
  <c r="DE46" i="26" s="1"/>
  <c r="DL46" i="26" s="1"/>
  <c r="CI66" i="24"/>
  <c r="CJ66" i="24" s="1"/>
  <c r="CQ66" i="24" s="1"/>
  <c r="CI35" i="24"/>
  <c r="CJ35" i="24" s="1"/>
  <c r="CQ35" i="24" s="1"/>
  <c r="EE42" i="23"/>
  <c r="EF42" i="23" s="1"/>
  <c r="EN42" i="23" s="1"/>
  <c r="CC42" i="23"/>
  <c r="CD42" i="23" s="1"/>
  <c r="CK42" i="23" s="1"/>
  <c r="EE38" i="27"/>
  <c r="EF38" i="27" s="1"/>
  <c r="EP38" i="27" s="1"/>
  <c r="EQ38" i="27" s="1"/>
  <c r="EV38" i="27" s="1"/>
  <c r="EE32" i="27"/>
  <c r="EF32" i="27" s="1"/>
  <c r="EP32" i="27" s="1"/>
  <c r="EQ32" i="27" s="1"/>
  <c r="EV32" i="27" s="1"/>
  <c r="CB38" i="27"/>
  <c r="CC38" i="27" s="1"/>
  <c r="CJ38" i="27" s="1"/>
  <c r="CB32" i="27"/>
  <c r="CC32" i="27" s="1"/>
  <c r="CJ32" i="27" s="1"/>
  <c r="DW53" i="26"/>
  <c r="DX53" i="26" s="1"/>
  <c r="EE53" i="26" s="1"/>
  <c r="EF53" i="26" s="1"/>
  <c r="EL53" i="26" s="1"/>
  <c r="CH53" i="26"/>
  <c r="DE53" i="26" s="1"/>
  <c r="DL53" i="26" s="1"/>
  <c r="EX33" i="25"/>
  <c r="EY33" i="25" s="1"/>
  <c r="FI33" i="25" s="1"/>
  <c r="CP33" i="25"/>
  <c r="CQ33" i="25" s="1"/>
  <c r="CX33" i="25" s="1"/>
  <c r="CP17" i="21"/>
  <c r="CQ17" i="21" s="1"/>
  <c r="CT17" i="21" s="1"/>
  <c r="CU17" i="21" s="1"/>
  <c r="CY17" i="21" s="1"/>
  <c r="BJ17" i="21"/>
  <c r="BK17" i="21" s="1"/>
  <c r="BR17" i="21" s="1"/>
  <c r="CZ23" i="18"/>
  <c r="DA23" i="18" s="1"/>
  <c r="DN23" i="18" s="1"/>
  <c r="DO23" i="18" s="1"/>
  <c r="DW23" i="18" s="1"/>
  <c r="BL23" i="18"/>
  <c r="BM23" i="18" s="1"/>
  <c r="BT23" i="18" s="1"/>
  <c r="EX41" i="25"/>
  <c r="EY41" i="25" s="1"/>
  <c r="FI41" i="25" s="1"/>
  <c r="CP41" i="25"/>
  <c r="CQ41" i="25" s="1"/>
  <c r="CX41" i="25" s="1"/>
  <c r="AY12" i="1"/>
  <c r="EB18" i="24"/>
  <c r="EC18" i="24" s="1"/>
  <c r="EK18" i="24" s="1"/>
  <c r="CZ37" i="18"/>
  <c r="DA37" i="18" s="1"/>
  <c r="DN37" i="18" s="1"/>
  <c r="DO37" i="18" s="1"/>
  <c r="DW37" i="18" s="1"/>
  <c r="BL37" i="18"/>
  <c r="BM37" i="18" s="1"/>
  <c r="BT37" i="18" s="1"/>
  <c r="DA31" i="17"/>
  <c r="DB31" i="17" s="1"/>
  <c r="DL31" i="17" s="1"/>
  <c r="DM31" i="17" s="1"/>
  <c r="DU31" i="17" s="1"/>
  <c r="BO31" i="17"/>
  <c r="BP31" i="17" s="1"/>
  <c r="BW31" i="17" s="1"/>
  <c r="CP25" i="16"/>
  <c r="CQ25" i="16" s="1"/>
  <c r="CT25" i="16" s="1"/>
  <c r="CU25" i="16" s="1"/>
  <c r="CZ25" i="16" s="1"/>
  <c r="DR13" i="28"/>
  <c r="DS13" i="28" s="1"/>
  <c r="EE13" i="28" s="1"/>
  <c r="EF13" i="28" s="1"/>
  <c r="EN13" i="28" s="1"/>
  <c r="BU13" i="28"/>
  <c r="BV13" i="28" s="1"/>
  <c r="CC13" i="28" s="1"/>
  <c r="EE36" i="27"/>
  <c r="EF36" i="27" s="1"/>
  <c r="EP36" i="27" s="1"/>
  <c r="EQ36" i="27" s="1"/>
  <c r="EV36" i="27" s="1"/>
  <c r="CB36" i="27"/>
  <c r="CC36" i="27" s="1"/>
  <c r="CJ36" i="27" s="1"/>
  <c r="CH47" i="26"/>
  <c r="DE47" i="26" s="1"/>
  <c r="DL47" i="26" s="1"/>
  <c r="DW62" i="26"/>
  <c r="DX62" i="26" s="1"/>
  <c r="EE62" i="26" s="1"/>
  <c r="EF62" i="26" s="1"/>
  <c r="EL62" i="26" s="1"/>
  <c r="CH62" i="26"/>
  <c r="DE62" i="26" s="1"/>
  <c r="DL62" i="26" s="1"/>
  <c r="CP57" i="25"/>
  <c r="CQ57" i="25" s="1"/>
  <c r="CX57" i="25" s="1"/>
  <c r="CP11" i="25"/>
  <c r="CQ11" i="25" s="1"/>
  <c r="CX11" i="25" s="1"/>
  <c r="EE37" i="23"/>
  <c r="EF37" i="23" s="1"/>
  <c r="EN37" i="23" s="1"/>
  <c r="CC37" i="23"/>
  <c r="CD37" i="23" s="1"/>
  <c r="CK37" i="23" s="1"/>
  <c r="DE24" i="22"/>
  <c r="DF24" i="22" s="1"/>
  <c r="DL24" i="22" s="1"/>
  <c r="DM24" i="22" s="1"/>
  <c r="DU24" i="22" s="1"/>
  <c r="BS24" i="22"/>
  <c r="BT24" i="22" s="1"/>
  <c r="CA24" i="22" s="1"/>
  <c r="DW16" i="26"/>
  <c r="DX16" i="26" s="1"/>
  <c r="EE16" i="26" s="1"/>
  <c r="EF16" i="26" s="1"/>
  <c r="EL16" i="26" s="1"/>
  <c r="CH16" i="26"/>
  <c r="DE16" i="26" s="1"/>
  <c r="DL16" i="26" s="1"/>
  <c r="CP13" i="21"/>
  <c r="CQ13" i="21" s="1"/>
  <c r="CT13" i="21" s="1"/>
  <c r="CU13" i="21" s="1"/>
  <c r="CY13" i="21" s="1"/>
  <c r="BJ13" i="21"/>
  <c r="BK13" i="21" s="1"/>
  <c r="BR13" i="21" s="1"/>
  <c r="CZ24" i="18"/>
  <c r="DA24" i="18" s="1"/>
  <c r="DN24" i="18" s="1"/>
  <c r="DO24" i="18" s="1"/>
  <c r="DW24" i="18" s="1"/>
  <c r="CZ12" i="18"/>
  <c r="DA12" i="18" s="1"/>
  <c r="DN12" i="18" s="1"/>
  <c r="DO12" i="18" s="1"/>
  <c r="DW12" i="18" s="1"/>
  <c r="BL24" i="18"/>
  <c r="BM24" i="18" s="1"/>
  <c r="BT24" i="18" s="1"/>
  <c r="BL12" i="18"/>
  <c r="BM12" i="18" s="1"/>
  <c r="BT12" i="18" s="1"/>
  <c r="DA32" i="17"/>
  <c r="DB32" i="17" s="1"/>
  <c r="DL32" i="17" s="1"/>
  <c r="DM32" i="17" s="1"/>
  <c r="DU32" i="17" s="1"/>
  <c r="BO32" i="17"/>
  <c r="BP32" i="17" s="1"/>
  <c r="BW32" i="17" s="1"/>
  <c r="CP23" i="16"/>
  <c r="CQ23" i="16" s="1"/>
  <c r="CT23" i="16" s="1"/>
  <c r="CU23" i="16" s="1"/>
  <c r="CZ23" i="16" s="1"/>
  <c r="DR18" i="28"/>
  <c r="DS18" i="28" s="1"/>
  <c r="EE18" i="28" s="1"/>
  <c r="EF18" i="28" s="1"/>
  <c r="EN18" i="28" s="1"/>
  <c r="DR32" i="28"/>
  <c r="DS32" i="28" s="1"/>
  <c r="EE32" i="28" s="1"/>
  <c r="EF32" i="28" s="1"/>
  <c r="EN32" i="28" s="1"/>
  <c r="BU18" i="28"/>
  <c r="BV18" i="28" s="1"/>
  <c r="CC18" i="28" s="1"/>
  <c r="BU32" i="28"/>
  <c r="BV32" i="28" s="1"/>
  <c r="CC32" i="28" s="1"/>
  <c r="EE45" i="27"/>
  <c r="EF45" i="27" s="1"/>
  <c r="EP45" i="27" s="1"/>
  <c r="EQ45" i="27" s="1"/>
  <c r="EV45" i="27" s="1"/>
  <c r="CB45" i="27"/>
  <c r="CC45" i="27" s="1"/>
  <c r="CJ45" i="27" s="1"/>
  <c r="EX53" i="25"/>
  <c r="EY53" i="25" s="1"/>
  <c r="FI53" i="25" s="1"/>
  <c r="CP53" i="25"/>
  <c r="CQ53" i="25" s="1"/>
  <c r="CX53" i="25" s="1"/>
  <c r="CP83" i="25"/>
  <c r="CQ83" i="25" s="1"/>
  <c r="CX83" i="25" s="1"/>
  <c r="CP39" i="25"/>
  <c r="CQ39" i="25" s="1"/>
  <c r="CX39" i="25" s="1"/>
  <c r="CI56" i="24"/>
  <c r="CJ56" i="24" s="1"/>
  <c r="CQ56" i="24" s="1"/>
  <c r="CI68" i="24"/>
  <c r="CJ68" i="24" s="1"/>
  <c r="CQ68" i="24" s="1"/>
  <c r="CI40" i="24"/>
  <c r="CJ40" i="24" s="1"/>
  <c r="CQ40" i="24" s="1"/>
  <c r="CI69" i="24"/>
  <c r="CJ69" i="24" s="1"/>
  <c r="CQ69" i="24" s="1"/>
  <c r="EE16" i="23"/>
  <c r="EF16" i="23" s="1"/>
  <c r="EN16" i="23" s="1"/>
  <c r="EE28" i="23"/>
  <c r="EF28" i="23" s="1"/>
  <c r="EN28" i="23" s="1"/>
  <c r="EE36" i="23"/>
  <c r="EF36" i="23" s="1"/>
  <c r="EN36" i="23" s="1"/>
  <c r="CC16" i="23"/>
  <c r="CD16" i="23" s="1"/>
  <c r="CK16" i="23" s="1"/>
  <c r="CC28" i="23"/>
  <c r="CD28" i="23" s="1"/>
  <c r="CK28" i="23" s="1"/>
  <c r="CC36" i="23"/>
  <c r="CD36" i="23" s="1"/>
  <c r="CK36" i="23" s="1"/>
  <c r="BY12" i="20"/>
  <c r="BZ12" i="20" s="1"/>
  <c r="CC12" i="20" s="1"/>
  <c r="CD12" i="20" s="1"/>
  <c r="CF12" i="20" s="1"/>
  <c r="BY18" i="20"/>
  <c r="BZ18" i="20" s="1"/>
  <c r="CC18" i="20" s="1"/>
  <c r="CD18" i="20" s="1"/>
  <c r="CF18" i="20" s="1"/>
  <c r="BY24" i="20"/>
  <c r="BZ24" i="20" s="1"/>
  <c r="CC24" i="20" s="1"/>
  <c r="CD24" i="20" s="1"/>
  <c r="CF24" i="20" s="1"/>
  <c r="BY21" i="20"/>
  <c r="BZ21" i="20" s="1"/>
  <c r="CC21" i="20" s="1"/>
  <c r="CD21" i="20" s="1"/>
  <c r="CF21" i="20" s="1"/>
  <c r="AV12" i="20"/>
  <c r="AW12" i="20" s="1"/>
  <c r="BD12" i="20" s="1"/>
  <c r="AV18" i="20"/>
  <c r="AW18" i="20" s="1"/>
  <c r="BD18" i="20" s="1"/>
  <c r="AV24" i="20"/>
  <c r="AW24" i="20" s="1"/>
  <c r="BD24" i="20" s="1"/>
  <c r="AV21" i="20"/>
  <c r="AW21" i="20" s="1"/>
  <c r="BD21" i="20" s="1"/>
  <c r="CP19" i="21"/>
  <c r="CQ19" i="21" s="1"/>
  <c r="CT19" i="21" s="1"/>
  <c r="CU19" i="21" s="1"/>
  <c r="CY19" i="21" s="1"/>
  <c r="BJ19" i="21"/>
  <c r="BK19" i="21" s="1"/>
  <c r="BR19" i="21" s="1"/>
  <c r="CP18" i="19"/>
  <c r="CQ18" i="19" s="1"/>
  <c r="CV18" i="19" s="1"/>
  <c r="CW18" i="19" s="1"/>
  <c r="DE18" i="19" s="1"/>
  <c r="CP26" i="19"/>
  <c r="CQ26" i="19" s="1"/>
  <c r="CV26" i="19" s="1"/>
  <c r="CW26" i="19" s="1"/>
  <c r="DE26" i="19" s="1"/>
  <c r="CP15" i="19"/>
  <c r="CQ15" i="19" s="1"/>
  <c r="CV15" i="19" s="1"/>
  <c r="CW15" i="19" s="1"/>
  <c r="DE15" i="19" s="1"/>
  <c r="CP27" i="19"/>
  <c r="CQ27" i="19" s="1"/>
  <c r="CV27" i="19" s="1"/>
  <c r="CW27" i="19" s="1"/>
  <c r="DE27" i="19" s="1"/>
  <c r="BG18" i="19"/>
  <c r="BH18" i="19" s="1"/>
  <c r="BO18" i="19" s="1"/>
  <c r="BG26" i="19"/>
  <c r="BH26" i="19" s="1"/>
  <c r="BO26" i="19" s="1"/>
  <c r="BG15" i="19"/>
  <c r="BH15" i="19" s="1"/>
  <c r="BO15" i="19" s="1"/>
  <c r="BG27" i="19"/>
  <c r="BH27" i="19" s="1"/>
  <c r="BO27" i="19" s="1"/>
  <c r="DA18" i="17"/>
  <c r="DB18" i="17" s="1"/>
  <c r="DL18" i="17" s="1"/>
  <c r="DM18" i="17" s="1"/>
  <c r="DU18" i="17" s="1"/>
  <c r="DA28" i="17"/>
  <c r="DB28" i="17" s="1"/>
  <c r="DL28" i="17" s="1"/>
  <c r="DM28" i="17" s="1"/>
  <c r="DU28" i="17" s="1"/>
  <c r="DA21" i="17"/>
  <c r="DB21" i="17" s="1"/>
  <c r="DL21" i="17" s="1"/>
  <c r="DM21" i="17" s="1"/>
  <c r="DU21" i="17" s="1"/>
  <c r="BO18" i="17"/>
  <c r="BP18" i="17" s="1"/>
  <c r="BW18" i="17" s="1"/>
  <c r="BO28" i="17"/>
  <c r="BP28" i="17" s="1"/>
  <c r="BW28" i="17" s="1"/>
  <c r="BO21" i="17"/>
  <c r="BP21" i="17" s="1"/>
  <c r="BW21" i="17" s="1"/>
  <c r="EE20" i="28"/>
  <c r="EF20" i="28" s="1"/>
  <c r="EN20" i="28" s="1"/>
  <c r="BU20" i="28"/>
  <c r="BV20" i="28" s="1"/>
  <c r="CC20" i="28" s="1"/>
  <c r="EE22" i="27"/>
  <c r="EF22" i="27" s="1"/>
  <c r="EP22" i="27" s="1"/>
  <c r="EQ22" i="27" s="1"/>
  <c r="EV22" i="27" s="1"/>
  <c r="EE39" i="27"/>
  <c r="EF39" i="27" s="1"/>
  <c r="EP39" i="27" s="1"/>
  <c r="EQ39" i="27" s="1"/>
  <c r="EV39" i="27" s="1"/>
  <c r="CB22" i="27"/>
  <c r="CC22" i="27" s="1"/>
  <c r="CJ22" i="27" s="1"/>
  <c r="CB39" i="27"/>
  <c r="CC39" i="27" s="1"/>
  <c r="CJ39" i="27" s="1"/>
  <c r="DW28" i="26"/>
  <c r="DX28" i="26" s="1"/>
  <c r="EE28" i="26" s="1"/>
  <c r="EF28" i="26" s="1"/>
  <c r="EL28" i="26" s="1"/>
  <c r="DW20" i="26"/>
  <c r="DX20" i="26" s="1"/>
  <c r="EE20" i="26" s="1"/>
  <c r="EF20" i="26" s="1"/>
  <c r="EL20" i="26" s="1"/>
  <c r="DW58" i="26"/>
  <c r="DX58" i="26" s="1"/>
  <c r="EE58" i="26" s="1"/>
  <c r="EF58" i="26" s="1"/>
  <c r="EL58" i="26" s="1"/>
  <c r="DW55" i="26"/>
  <c r="DX55" i="26" s="1"/>
  <c r="EE55" i="26" s="1"/>
  <c r="EF55" i="26" s="1"/>
  <c r="EL55" i="26" s="1"/>
  <c r="DW47" i="26"/>
  <c r="DX47" i="26" s="1"/>
  <c r="EE47" i="26" s="1"/>
  <c r="EF47" i="26" s="1"/>
  <c r="EL47" i="26" s="1"/>
  <c r="CH28" i="26"/>
  <c r="DE28" i="26" s="1"/>
  <c r="DL28" i="26" s="1"/>
  <c r="CH20" i="26"/>
  <c r="DE20" i="26" s="1"/>
  <c r="DL20" i="26" s="1"/>
  <c r="CH58" i="26"/>
  <c r="DE58" i="26" s="1"/>
  <c r="DL58" i="26" s="1"/>
  <c r="CH55" i="26"/>
  <c r="DE55" i="26" s="1"/>
  <c r="DL55" i="26" s="1"/>
  <c r="EX14" i="25"/>
  <c r="EY14" i="25" s="1"/>
  <c r="FI14" i="25" s="1"/>
  <c r="CP14" i="25"/>
  <c r="CQ14" i="25" s="1"/>
  <c r="CX14" i="25" s="1"/>
  <c r="CI36" i="24"/>
  <c r="CJ36" i="24" s="1"/>
  <c r="CQ36" i="24" s="1"/>
  <c r="CI31" i="24"/>
  <c r="CJ31" i="24" s="1"/>
  <c r="CQ31" i="24" s="1"/>
  <c r="EE31" i="23"/>
  <c r="EF31" i="23" s="1"/>
  <c r="EN31" i="23" s="1"/>
  <c r="CC31" i="23"/>
  <c r="CD31" i="23" s="1"/>
  <c r="CK31" i="23" s="1"/>
  <c r="BS13" i="22"/>
  <c r="BT13" i="22" s="1"/>
  <c r="CA13" i="22" s="1"/>
  <c r="BY11" i="20"/>
  <c r="BZ11" i="20" s="1"/>
  <c r="CC11" i="20" s="1"/>
  <c r="CD11" i="20" s="1"/>
  <c r="CF11" i="20" s="1"/>
  <c r="AV11" i="20"/>
  <c r="AW11" i="20" s="1"/>
  <c r="BD11" i="20" s="1"/>
  <c r="DW51" i="26"/>
  <c r="DX51" i="26" s="1"/>
  <c r="EE51" i="26" s="1"/>
  <c r="EF51" i="26" s="1"/>
  <c r="EL51" i="26" s="1"/>
  <c r="CH51" i="26"/>
  <c r="DE51" i="26" s="1"/>
  <c r="DL51" i="26" s="1"/>
  <c r="CZ13" i="18"/>
  <c r="DA13" i="18" s="1"/>
  <c r="DN13" i="18" s="1"/>
  <c r="DO13" i="18" s="1"/>
  <c r="DW13" i="18" s="1"/>
  <c r="CZ22" i="18"/>
  <c r="DA22" i="18" s="1"/>
  <c r="DN22" i="18" s="1"/>
  <c r="DO22" i="18" s="1"/>
  <c r="DW22" i="18" s="1"/>
  <c r="BL13" i="18"/>
  <c r="BM13" i="18" s="1"/>
  <c r="BT13" i="18" s="1"/>
  <c r="BL22" i="18"/>
  <c r="BM22" i="18" s="1"/>
  <c r="BT22" i="18" s="1"/>
  <c r="EE51" i="27"/>
  <c r="EF51" i="27" s="1"/>
  <c r="EP51" i="27" s="1"/>
  <c r="EQ51" i="27" s="1"/>
  <c r="EV51" i="27" s="1"/>
  <c r="CB51" i="27"/>
  <c r="CC51" i="27" s="1"/>
  <c r="CJ51" i="27" s="1"/>
  <c r="BS42" i="22"/>
  <c r="BT42" i="22" s="1"/>
  <c r="CA42" i="22" s="1"/>
  <c r="EE12" i="27"/>
  <c r="EF12" i="27" s="1"/>
  <c r="EP12" i="27" s="1"/>
  <c r="EQ12" i="27" s="1"/>
  <c r="EV12" i="27" s="1"/>
  <c r="CB12" i="27"/>
  <c r="CC12" i="27" s="1"/>
  <c r="CJ12" i="27" s="1"/>
  <c r="EE29" i="28"/>
  <c r="EF29" i="28" s="1"/>
  <c r="EN29" i="28" s="1"/>
  <c r="BU29" i="28"/>
  <c r="BV29" i="28" s="1"/>
  <c r="CC29" i="28" s="1"/>
  <c r="CP65" i="25"/>
  <c r="CQ65" i="25" s="1"/>
  <c r="CX65" i="25" s="1"/>
  <c r="EE42" i="27"/>
  <c r="EF42" i="27" s="1"/>
  <c r="EP42" i="27" s="1"/>
  <c r="EQ42" i="27" s="1"/>
  <c r="EV42" i="27" s="1"/>
  <c r="CB42" i="27"/>
  <c r="CC42" i="27" s="1"/>
  <c r="CJ42" i="27" s="1"/>
  <c r="CZ18" i="18"/>
  <c r="DA18" i="18" s="1"/>
  <c r="DN18" i="18" s="1"/>
  <c r="DO18" i="18" s="1"/>
  <c r="DW18" i="18" s="1"/>
  <c r="BL18" i="18"/>
  <c r="BM18" i="18" s="1"/>
  <c r="BT18" i="18" s="1"/>
  <c r="DW50" i="26"/>
  <c r="DX50" i="26" s="1"/>
  <c r="EE50" i="26" s="1"/>
  <c r="EF50" i="26" s="1"/>
  <c r="EL50" i="26" s="1"/>
  <c r="CH50" i="26"/>
  <c r="DE50" i="26" s="1"/>
  <c r="DL50" i="26" s="1"/>
  <c r="BS38" i="22"/>
  <c r="BT38" i="22" s="1"/>
  <c r="CA38" i="22" s="1"/>
  <c r="CI19" i="24"/>
  <c r="CJ19" i="24" s="1"/>
  <c r="CQ19" i="24" s="1"/>
  <c r="CI39" i="24"/>
  <c r="CJ39" i="24" s="1"/>
  <c r="CQ39" i="24" s="1"/>
  <c r="EE41" i="23"/>
  <c r="EF41" i="23" s="1"/>
  <c r="EN41" i="23" s="1"/>
  <c r="CC41" i="23"/>
  <c r="CD41" i="23" s="1"/>
  <c r="CK41" i="23" s="1"/>
  <c r="DW52" i="26"/>
  <c r="DX52" i="26" s="1"/>
  <c r="EE52" i="26" s="1"/>
  <c r="EF52" i="26" s="1"/>
  <c r="EL52" i="26" s="1"/>
  <c r="DW65" i="26"/>
  <c r="DX65" i="26" s="1"/>
  <c r="EE65" i="26" s="1"/>
  <c r="EF65" i="26" s="1"/>
  <c r="EL65" i="26" s="1"/>
  <c r="CH65" i="26"/>
  <c r="DE65" i="26" s="1"/>
  <c r="DL65" i="26" s="1"/>
  <c r="CH52" i="26"/>
  <c r="DE52" i="26" s="1"/>
  <c r="DL52" i="26" s="1"/>
  <c r="EE27" i="28"/>
  <c r="EF27" i="28" s="1"/>
  <c r="EN27" i="28" s="1"/>
  <c r="BU27" i="28"/>
  <c r="BV27" i="28" s="1"/>
  <c r="CC27" i="28" s="1"/>
  <c r="EE40" i="23" l="1"/>
  <c r="EF40" i="23" s="1"/>
  <c r="EN40" i="23" s="1"/>
  <c r="CC40" i="23"/>
  <c r="CD40" i="23" s="1"/>
  <c r="CK40" i="23" s="1"/>
  <c r="DA23" i="17"/>
  <c r="DB23" i="17" s="1"/>
  <c r="DL23" i="17" s="1"/>
  <c r="DM23" i="17" s="1"/>
  <c r="DU23" i="17" s="1"/>
  <c r="BO23" i="17"/>
  <c r="BP23" i="17" s="1"/>
  <c r="BW23" i="17" s="1"/>
  <c r="CP62" i="25"/>
  <c r="CQ62" i="25" s="1"/>
  <c r="CX62" i="25" s="1"/>
  <c r="CP88" i="25"/>
  <c r="CQ88" i="25" s="1"/>
  <c r="CX88" i="25" s="1"/>
  <c r="DW64" i="26"/>
  <c r="DX64" i="26" s="1"/>
  <c r="EE64" i="26" s="1"/>
  <c r="EF64" i="26" s="1"/>
  <c r="EL64" i="26" s="1"/>
  <c r="CH64" i="26"/>
  <c r="DE64" i="26" s="1"/>
  <c r="DL64" i="26" s="1"/>
  <c r="CZ17" i="18"/>
  <c r="DA17" i="18" s="1"/>
  <c r="DN17" i="18" s="1"/>
  <c r="DO17" i="18" s="1"/>
  <c r="DW17" i="18" s="1"/>
  <c r="BL17" i="18"/>
  <c r="BM17" i="18" s="1"/>
  <c r="BT17" i="18" s="1"/>
  <c r="EE35" i="23"/>
  <c r="EF35" i="23" s="1"/>
  <c r="EN35" i="23" s="1"/>
  <c r="CC35" i="23"/>
  <c r="CD35" i="23" s="1"/>
  <c r="CK35" i="23" s="1"/>
  <c r="BY16" i="20"/>
  <c r="BZ16" i="20" s="1"/>
  <c r="CC16" i="20" s="1"/>
  <c r="CD16" i="20" s="1"/>
  <c r="CF16" i="20" s="1"/>
  <c r="AV16" i="20"/>
  <c r="AW16" i="20" s="1"/>
  <c r="BD16" i="20" s="1"/>
  <c r="EX44" i="25"/>
  <c r="EY44" i="25" s="1"/>
  <c r="FI44" i="25" s="1"/>
  <c r="CP44" i="25"/>
  <c r="CQ44" i="25" s="1"/>
  <c r="CX44" i="25" s="1"/>
  <c r="BS35" i="22"/>
  <c r="BT35" i="22" s="1"/>
  <c r="CA35" i="22" s="1"/>
  <c r="EE28" i="28"/>
  <c r="EF28" i="28" s="1"/>
  <c r="EN28" i="28" s="1"/>
  <c r="BU28" i="28"/>
  <c r="BV28" i="28" s="1"/>
  <c r="CC28" i="28" s="1"/>
  <c r="EE41" i="27"/>
  <c r="EF41" i="27" s="1"/>
  <c r="EP41" i="27" s="1"/>
  <c r="EQ41" i="27" s="1"/>
  <c r="EV41" i="27" s="1"/>
  <c r="CB41" i="27"/>
  <c r="CC41" i="27" s="1"/>
  <c r="CJ41" i="27" s="1"/>
  <c r="EB21" i="24"/>
  <c r="EC21" i="24" s="1"/>
  <c r="EK21" i="24" s="1"/>
  <c r="CI21" i="24"/>
  <c r="CJ21" i="24" s="1"/>
  <c r="CQ21" i="24" s="1"/>
  <c r="DQ14" i="1"/>
  <c r="DR14" i="1" s="1"/>
  <c r="EH14" i="1" s="1"/>
  <c r="EI14" i="1" s="1"/>
  <c r="ET14" i="1" s="1"/>
  <c r="BS41" i="22"/>
  <c r="BT41" i="22" s="1"/>
  <c r="CA41" i="22" s="1"/>
  <c r="DA29" i="17"/>
  <c r="DB29" i="17" s="1"/>
  <c r="DL29" i="17" s="1"/>
  <c r="DM29" i="17" s="1"/>
  <c r="DU29" i="17" s="1"/>
  <c r="BO29" i="17"/>
  <c r="BP29" i="17" s="1"/>
  <c r="BW29" i="17" s="1"/>
  <c r="DQ15" i="1"/>
  <c r="DR15" i="1" s="1"/>
  <c r="EH15" i="1" s="1"/>
  <c r="EI15" i="1" s="1"/>
  <c r="ET15" i="1" s="1"/>
  <c r="BG15" i="1"/>
  <c r="BH15" i="1" s="1"/>
  <c r="BO15" i="1" s="1"/>
  <c r="DW48" i="26"/>
  <c r="DX48" i="26" s="1"/>
  <c r="EE48" i="26" s="1"/>
  <c r="EF48" i="26" s="1"/>
  <c r="EL48" i="26" s="1"/>
  <c r="DW63" i="26"/>
  <c r="DX63" i="26" s="1"/>
  <c r="EE63" i="26" s="1"/>
  <c r="EF63" i="26" s="1"/>
  <c r="EL63" i="26" s="1"/>
  <c r="CH48" i="26"/>
  <c r="DE48" i="26" s="1"/>
  <c r="DL48" i="26" s="1"/>
  <c r="CH63" i="26"/>
  <c r="DE63" i="26" s="1"/>
  <c r="DL63" i="26" s="1"/>
  <c r="CP61" i="25"/>
  <c r="CQ61" i="25" s="1"/>
  <c r="CX61" i="25" s="1"/>
  <c r="CP78" i="25"/>
  <c r="CQ78" i="25" s="1"/>
  <c r="CX78" i="25" s="1"/>
  <c r="CI54" i="24"/>
  <c r="CJ54" i="24" s="1"/>
  <c r="CQ54" i="24" s="1"/>
  <c r="CI61" i="24"/>
  <c r="CJ61" i="24" s="1"/>
  <c r="CQ61" i="24" s="1"/>
  <c r="BU12" i="28"/>
  <c r="BV12" i="28" s="1"/>
  <c r="CC12" i="28" s="1"/>
  <c r="EE12" i="28"/>
  <c r="EF12" i="28" s="1"/>
  <c r="EN12" i="28" s="1"/>
  <c r="EG54" i="27"/>
  <c r="CP35" i="25"/>
  <c r="CQ35" i="25" s="1"/>
  <c r="CX35" i="25" s="1"/>
  <c r="EX35" i="25"/>
  <c r="EY35" i="25" s="1"/>
  <c r="FI35" i="25" s="1"/>
  <c r="CI18" i="24"/>
  <c r="CJ18" i="24" s="1"/>
  <c r="CQ18" i="24" s="1"/>
  <c r="CI46" i="24"/>
  <c r="CJ46" i="24" s="1"/>
  <c r="CQ46" i="24" s="1"/>
  <c r="CC47" i="23"/>
  <c r="CD47" i="23" s="1"/>
  <c r="CK47" i="23" s="1"/>
  <c r="CC43" i="23"/>
  <c r="CD43" i="23" s="1"/>
  <c r="CK43" i="23" s="1"/>
  <c r="EE47" i="23"/>
  <c r="EF47" i="23" s="1"/>
  <c r="EN47" i="23" s="1"/>
  <c r="EE43" i="23"/>
  <c r="EF43" i="23" s="1"/>
  <c r="EN43" i="23" s="1"/>
  <c r="BK28" i="22"/>
  <c r="BL28" i="22" s="1"/>
  <c r="BS28" i="22" s="1"/>
  <c r="BT28" i="22" s="1"/>
  <c r="CA28" i="22" s="1"/>
  <c r="DG15" i="22"/>
  <c r="DG14" i="22"/>
  <c r="DG12" i="22"/>
  <c r="BG37" i="19"/>
  <c r="BH37" i="19" s="1"/>
  <c r="BO37" i="19" s="1"/>
  <c r="CV37" i="19"/>
  <c r="CW37" i="19" s="1"/>
  <c r="DE37" i="19" s="1"/>
  <c r="DA15" i="17"/>
  <c r="DB15" i="17" s="1"/>
  <c r="DL15" i="17" s="1"/>
  <c r="DM15" i="17" s="1"/>
  <c r="DU15" i="17" s="1"/>
  <c r="BO15" i="17"/>
  <c r="BP15" i="17" s="1"/>
  <c r="BW15" i="17" s="1"/>
  <c r="BM30" i="28"/>
  <c r="BN30" i="28" s="1"/>
  <c r="BU30" i="28" s="1"/>
  <c r="BV30" i="28" s="1"/>
  <c r="CC30" i="28" s="1"/>
  <c r="BT13" i="27"/>
  <c r="BU13" i="27" s="1"/>
  <c r="CB13" i="27" s="1"/>
  <c r="CC13" i="27" s="1"/>
  <c r="CJ13" i="27" s="1"/>
  <c r="BT21" i="27"/>
  <c r="BU21" i="27" s="1"/>
  <c r="CB21" i="27" s="1"/>
  <c r="CC21" i="27" s="1"/>
  <c r="CJ21" i="27" s="1"/>
  <c r="BT55" i="27"/>
  <c r="BU55" i="27" s="1"/>
  <c r="CB55" i="27" s="1"/>
  <c r="CC55" i="27" s="1"/>
  <c r="CJ55" i="27" s="1"/>
  <c r="BT15" i="27"/>
  <c r="BU15" i="27" s="1"/>
  <c r="CB15" i="27" s="1"/>
  <c r="CC15" i="27" s="1"/>
  <c r="CJ15" i="27" s="1"/>
  <c r="BT16" i="27"/>
  <c r="DW16" i="27" s="1"/>
  <c r="BT23" i="27"/>
  <c r="BU23" i="27" s="1"/>
  <c r="CB23" i="27" s="1"/>
  <c r="CC23" i="27" s="1"/>
  <c r="CJ23" i="27" s="1"/>
  <c r="BT40" i="27"/>
  <c r="BU40" i="27" s="1"/>
  <c r="CB40" i="27" s="1"/>
  <c r="CC40" i="27" s="1"/>
  <c r="CJ40" i="27" s="1"/>
  <c r="BT48" i="27"/>
  <c r="DW48" i="27" s="1"/>
  <c r="BT11" i="27"/>
  <c r="BU11" i="27" s="1"/>
  <c r="CB11" i="27" s="1"/>
  <c r="CC11" i="27" s="1"/>
  <c r="CJ11" i="27" s="1"/>
  <c r="BZ33" i="26"/>
  <c r="DP33" i="26" s="1"/>
  <c r="BZ14" i="26"/>
  <c r="CA14" i="26" s="1"/>
  <c r="CH14" i="26" s="1"/>
  <c r="DE14" i="26" s="1"/>
  <c r="DL14" i="26" s="1"/>
  <c r="BZ42" i="26"/>
  <c r="CA42" i="26" s="1"/>
  <c r="CH42" i="26" s="1"/>
  <c r="DE42" i="26" s="1"/>
  <c r="DL42" i="26" s="1"/>
  <c r="BZ31" i="26"/>
  <c r="CA31" i="26" s="1"/>
  <c r="CH31" i="26" s="1"/>
  <c r="DE31" i="26" s="1"/>
  <c r="DL31" i="26" s="1"/>
  <c r="BZ15" i="26"/>
  <c r="CA15" i="26" s="1"/>
  <c r="CH15" i="26" s="1"/>
  <c r="DE15" i="26" s="1"/>
  <c r="DL15" i="26" s="1"/>
  <c r="BZ13" i="26"/>
  <c r="CA13" i="26" s="1"/>
  <c r="CH13" i="26" s="1"/>
  <c r="DE13" i="26" s="1"/>
  <c r="DL13" i="26" s="1"/>
  <c r="BZ32" i="26"/>
  <c r="CA32" i="26" s="1"/>
  <c r="CH32" i="26" s="1"/>
  <c r="DE32" i="26" s="1"/>
  <c r="DL32" i="26" s="1"/>
  <c r="CH18" i="25"/>
  <c r="CI18" i="25" s="1"/>
  <c r="CP18" i="25" s="1"/>
  <c r="CQ18" i="25" s="1"/>
  <c r="CX18" i="25" s="1"/>
  <c r="CH91" i="25"/>
  <c r="CI91" i="25" s="1"/>
  <c r="CP91" i="25" s="1"/>
  <c r="CQ91" i="25" s="1"/>
  <c r="CX91" i="25" s="1"/>
  <c r="CH22" i="25"/>
  <c r="DU22" i="25" s="1"/>
  <c r="CH42" i="25"/>
  <c r="CI42" i="25" s="1"/>
  <c r="CP42" i="25" s="1"/>
  <c r="CQ42" i="25" s="1"/>
  <c r="CX42" i="25" s="1"/>
  <c r="CH60" i="25"/>
  <c r="CI60" i="25" s="1"/>
  <c r="CP60" i="25" s="1"/>
  <c r="CQ60" i="25" s="1"/>
  <c r="CX60" i="25" s="1"/>
  <c r="CH92" i="25"/>
  <c r="CI92" i="25" s="1"/>
  <c r="CP92" i="25" s="1"/>
  <c r="CQ92" i="25" s="1"/>
  <c r="CX92" i="25" s="1"/>
  <c r="CH15" i="25"/>
  <c r="CI15" i="25" s="1"/>
  <c r="CP15" i="25" s="1"/>
  <c r="CQ15" i="25" s="1"/>
  <c r="CX15" i="25" s="1"/>
  <c r="CH37" i="25"/>
  <c r="CI37" i="25" s="1"/>
  <c r="CP37" i="25" s="1"/>
  <c r="CQ37" i="25" s="1"/>
  <c r="CX37" i="25" s="1"/>
  <c r="CH31" i="25"/>
  <c r="CI31" i="25" s="1"/>
  <c r="CP31" i="25" s="1"/>
  <c r="CQ31" i="25" s="1"/>
  <c r="CX31" i="25" s="1"/>
  <c r="CH77" i="25"/>
  <c r="DU77" i="25" s="1"/>
  <c r="CH29" i="25"/>
  <c r="CI29" i="25" s="1"/>
  <c r="CP29" i="25" s="1"/>
  <c r="CQ29" i="25" s="1"/>
  <c r="CX29" i="25" s="1"/>
  <c r="CH26" i="25"/>
  <c r="CI26" i="25" s="1"/>
  <c r="CP26" i="25" s="1"/>
  <c r="CQ26" i="25" s="1"/>
  <c r="CX26" i="25" s="1"/>
  <c r="CH87" i="25"/>
  <c r="CI87" i="25" s="1"/>
  <c r="CP87" i="25" s="1"/>
  <c r="CQ87" i="25" s="1"/>
  <c r="CX87" i="25" s="1"/>
  <c r="CH85" i="25"/>
  <c r="CI85" i="25" s="1"/>
  <c r="CP85" i="25" s="1"/>
  <c r="CQ85" i="25" s="1"/>
  <c r="CX85" i="25" s="1"/>
  <c r="CH48" i="25"/>
  <c r="DU48" i="25" s="1"/>
  <c r="CH17" i="25"/>
  <c r="CI17" i="25" s="1"/>
  <c r="CP17" i="25" s="1"/>
  <c r="CQ17" i="25" s="1"/>
  <c r="CX17" i="25" s="1"/>
  <c r="CH24" i="25"/>
  <c r="CI24" i="25" s="1"/>
  <c r="CP24" i="25" s="1"/>
  <c r="CQ24" i="25" s="1"/>
  <c r="CX24" i="25" s="1"/>
  <c r="CA12" i="24"/>
  <c r="CB12" i="24" s="1"/>
  <c r="CI12" i="24" s="1"/>
  <c r="CJ12" i="24" s="1"/>
  <c r="CQ12" i="24" s="1"/>
  <c r="CA20" i="24"/>
  <c r="DO20" i="24" s="1"/>
  <c r="CA72" i="24"/>
  <c r="DO72" i="24" s="1"/>
  <c r="CA44" i="24"/>
  <c r="CB44" i="24" s="1"/>
  <c r="CI44" i="24" s="1"/>
  <c r="CJ44" i="24" s="1"/>
  <c r="CQ44" i="24" s="1"/>
  <c r="CA65" i="24"/>
  <c r="DO65" i="24" s="1"/>
  <c r="CA30" i="24"/>
  <c r="DO30" i="24" s="1"/>
  <c r="CA53" i="24"/>
  <c r="CB53" i="24" s="1"/>
  <c r="CI53" i="24" s="1"/>
  <c r="CJ53" i="24" s="1"/>
  <c r="CQ53" i="24" s="1"/>
  <c r="CA37" i="24"/>
  <c r="CB37" i="24" s="1"/>
  <c r="CI37" i="24" s="1"/>
  <c r="CJ37" i="24" s="1"/>
  <c r="CQ37" i="24" s="1"/>
  <c r="CA15" i="24"/>
  <c r="CB15" i="24" s="1"/>
  <c r="CI15" i="24" s="1"/>
  <c r="CJ15" i="24" s="1"/>
  <c r="CQ15" i="24" s="1"/>
  <c r="BU51" i="23"/>
  <c r="BV51" i="23" s="1"/>
  <c r="CC51" i="23" s="1"/>
  <c r="CD51" i="23" s="1"/>
  <c r="CK51" i="23" s="1"/>
  <c r="BU17" i="23"/>
  <c r="DK17" i="23" s="1"/>
  <c r="BU27" i="23"/>
  <c r="BV27" i="23" s="1"/>
  <c r="CC27" i="23" s="1"/>
  <c r="CD27" i="23" s="1"/>
  <c r="CK27" i="23" s="1"/>
  <c r="BU30" i="23"/>
  <c r="BV30" i="23" s="1"/>
  <c r="CC30" i="23" s="1"/>
  <c r="CD30" i="23" s="1"/>
  <c r="CK30" i="23" s="1"/>
  <c r="BU46" i="23"/>
  <c r="BV46" i="23" s="1"/>
  <c r="CC46" i="23" s="1"/>
  <c r="CD46" i="23" s="1"/>
  <c r="CK46" i="23" s="1"/>
  <c r="BK21" i="22"/>
  <c r="BL21" i="22" s="1"/>
  <c r="BS21" i="22" s="1"/>
  <c r="BT21" i="22" s="1"/>
  <c r="CA21" i="22" s="1"/>
  <c r="BK22" i="22"/>
  <c r="BL22" i="22" s="1"/>
  <c r="BS22" i="22" s="1"/>
  <c r="BT22" i="22" s="1"/>
  <c r="CA22" i="22" s="1"/>
  <c r="BK36" i="22"/>
  <c r="BL36" i="22" s="1"/>
  <c r="BS36" i="22" s="1"/>
  <c r="BT36" i="22" s="1"/>
  <c r="CA36" i="22" s="1"/>
  <c r="BK11" i="22"/>
  <c r="BL11" i="22" s="1"/>
  <c r="BS11" i="22" s="1"/>
  <c r="BT11" i="22" s="1"/>
  <c r="CA11" i="22" s="1"/>
  <c r="BK16" i="22"/>
  <c r="BL16" i="22" s="1"/>
  <c r="BS16" i="22" s="1"/>
  <c r="BT16" i="22" s="1"/>
  <c r="CA16" i="22" s="1"/>
  <c r="BK23" i="22"/>
  <c r="BL23" i="22" s="1"/>
  <c r="BS23" i="22" s="1"/>
  <c r="BT23" i="22" s="1"/>
  <c r="CA23" i="22" s="1"/>
  <c r="BK18" i="22"/>
  <c r="CX18" i="22" s="1"/>
  <c r="BK19" i="22"/>
  <c r="BL19" i="22" s="1"/>
  <c r="BS19" i="22" s="1"/>
  <c r="BT19" i="22" s="1"/>
  <c r="CA19" i="22" s="1"/>
  <c r="BK45" i="22"/>
  <c r="BL45" i="22" s="1"/>
  <c r="BS45" i="22" s="1"/>
  <c r="BT45" i="22" s="1"/>
  <c r="CA45" i="22" s="1"/>
  <c r="BK27" i="22"/>
  <c r="CX27" i="22" s="1"/>
  <c r="BB14" i="21"/>
  <c r="CK14" i="21" s="1"/>
  <c r="BB12" i="21"/>
  <c r="BC12" i="21" s="1"/>
  <c r="BJ12" i="21" s="1"/>
  <c r="BK12" i="21" s="1"/>
  <c r="BR12" i="21" s="1"/>
  <c r="BB15" i="21"/>
  <c r="CK15" i="21" s="1"/>
  <c r="AN15" i="20"/>
  <c r="AO15" i="20" s="1"/>
  <c r="AV15" i="20" s="1"/>
  <c r="AW15" i="20" s="1"/>
  <c r="BD15" i="20" s="1"/>
  <c r="AY11" i="19"/>
  <c r="CK11" i="19" s="1"/>
  <c r="AY17" i="19"/>
  <c r="CK17" i="19" s="1"/>
  <c r="AY25" i="19"/>
  <c r="CK25" i="19" s="1"/>
  <c r="AY20" i="19"/>
  <c r="CK20" i="19" s="1"/>
  <c r="AY33" i="19"/>
  <c r="CK33" i="19" s="1"/>
  <c r="BD15" i="18"/>
  <c r="CS15" i="18" s="1"/>
  <c r="BD34" i="18"/>
  <c r="BE34" i="18" s="1"/>
  <c r="BL34" i="18" s="1"/>
  <c r="BM34" i="18" s="1"/>
  <c r="BT34" i="18" s="1"/>
  <c r="BD25" i="18"/>
  <c r="CS25" i="18" s="1"/>
  <c r="BG13" i="17"/>
  <c r="BH13" i="17" s="1"/>
  <c r="BO13" i="17" s="1"/>
  <c r="BP13" i="17" s="1"/>
  <c r="BW13" i="17" s="1"/>
  <c r="AU16" i="16"/>
  <c r="AV16" i="16" s="1"/>
  <c r="BC16" i="16" s="1"/>
  <c r="BZ16" i="16" s="1"/>
  <c r="CG16" i="16" s="1"/>
  <c r="AU12" i="16"/>
  <c r="AV12" i="16" s="1"/>
  <c r="BC12" i="16" s="1"/>
  <c r="BZ12" i="16" s="1"/>
  <c r="CG12" i="16" s="1"/>
  <c r="AU19" i="16"/>
  <c r="CK19" i="16" s="1"/>
  <c r="AU22" i="16"/>
  <c r="AV22" i="16" s="1"/>
  <c r="BC22" i="16" s="1"/>
  <c r="BZ22" i="16" s="1"/>
  <c r="CG22" i="16" s="1"/>
  <c r="AU11" i="16"/>
  <c r="AV11" i="16" s="1"/>
  <c r="BC11" i="16" s="1"/>
  <c r="BZ11" i="16" s="1"/>
  <c r="CG11" i="16" s="1"/>
  <c r="CZ12" i="1"/>
  <c r="DA12" i="1" s="1"/>
  <c r="AZ12" i="1"/>
  <c r="BG12" i="1" s="1"/>
  <c r="BH12" i="1" s="1"/>
  <c r="BO12" i="1" s="1"/>
  <c r="DW13" i="26"/>
  <c r="DX13" i="26" s="1"/>
  <c r="EE13" i="26" s="1"/>
  <c r="EF13" i="26" s="1"/>
  <c r="EL13" i="26" s="1"/>
  <c r="DW32" i="26"/>
  <c r="DX32" i="26" s="1"/>
  <c r="EE32" i="26" s="1"/>
  <c r="EF32" i="26" s="1"/>
  <c r="EL32" i="26" s="1"/>
  <c r="DT37" i="24"/>
  <c r="DU37" i="24" s="1"/>
  <c r="EB37" i="24" s="1"/>
  <c r="EC37" i="24" s="1"/>
  <c r="EK37" i="24" s="1"/>
  <c r="DT15" i="24"/>
  <c r="DU15" i="24" s="1"/>
  <c r="EB15" i="24" s="1"/>
  <c r="EC15" i="24" s="1"/>
  <c r="EK15" i="24" s="1"/>
  <c r="EE46" i="23"/>
  <c r="EF46" i="23" s="1"/>
  <c r="EN46" i="23" s="1"/>
  <c r="CI15" i="21"/>
  <c r="CJ15" i="21" s="1"/>
  <c r="CI14" i="21"/>
  <c r="CJ14" i="21" s="1"/>
  <c r="BS15" i="20"/>
  <c r="BT15" i="20" s="1"/>
  <c r="CR25" i="18"/>
  <c r="DH30" i="28"/>
  <c r="DI30" i="28" s="1"/>
  <c r="DU55" i="27"/>
  <c r="DV55" i="27" s="1"/>
  <c r="DM30" i="24"/>
  <c r="DN30" i="24" s="1"/>
  <c r="DM72" i="24"/>
  <c r="DN72" i="24" s="1"/>
  <c r="CV19" i="22"/>
  <c r="CW19" i="22" s="1"/>
  <c r="DM53" i="24"/>
  <c r="DN53" i="24" s="1"/>
  <c r="DN42" i="26"/>
  <c r="DO42" i="26" s="1"/>
  <c r="DI27" i="23"/>
  <c r="DJ27" i="23" s="1"/>
  <c r="CI33" i="19"/>
  <c r="CJ33" i="19" s="1"/>
  <c r="DS15" i="25"/>
  <c r="DT15" i="25" s="1"/>
  <c r="CI20" i="19"/>
  <c r="CJ20" i="19" s="1"/>
  <c r="CI17" i="19"/>
  <c r="CJ17" i="19" s="1"/>
  <c r="DN33" i="26"/>
  <c r="DO33" i="26" s="1"/>
  <c r="CR13" i="17"/>
  <c r="CS13" i="17" s="1"/>
  <c r="DI30" i="23"/>
  <c r="DJ30" i="23" s="1"/>
  <c r="DU48" i="27"/>
  <c r="DV48" i="27" s="1"/>
  <c r="CI25" i="19"/>
  <c r="CJ25" i="19" s="1"/>
  <c r="CI16" i="16"/>
  <c r="CJ16" i="16" s="1"/>
  <c r="DU16" i="27"/>
  <c r="DV16" i="27" s="1"/>
  <c r="DN31" i="26"/>
  <c r="DO31" i="26" s="1"/>
  <c r="DS48" i="25"/>
  <c r="DT48" i="25" s="1"/>
  <c r="DI17" i="23"/>
  <c r="DJ17" i="23" s="1"/>
  <c r="DS17" i="23" s="1"/>
  <c r="DT17" i="23" s="1"/>
  <c r="CI11" i="19"/>
  <c r="CJ11" i="19" s="1"/>
  <c r="DM20" i="24"/>
  <c r="DN20" i="24" s="1"/>
  <c r="CR15" i="18"/>
  <c r="DS22" i="25"/>
  <c r="DT22" i="25" s="1"/>
  <c r="DS31" i="25"/>
  <c r="DT31" i="25" s="1"/>
  <c r="DM65" i="24"/>
  <c r="DN65" i="24" s="1"/>
  <c r="CV18" i="22"/>
  <c r="CW18" i="22" s="1"/>
  <c r="DS77" i="25"/>
  <c r="DT77" i="25" s="1"/>
  <c r="CI19" i="16"/>
  <c r="CJ19" i="16" s="1"/>
  <c r="CV27" i="22"/>
  <c r="CW27" i="22" s="1"/>
  <c r="DO53" i="24" l="1"/>
  <c r="DT53" i="24" s="1"/>
  <c r="DU53" i="24" s="1"/>
  <c r="EB53" i="24" s="1"/>
  <c r="EC53" i="24" s="1"/>
  <c r="EK53" i="24" s="1"/>
  <c r="BU15" i="20"/>
  <c r="BY15" i="20" s="1"/>
  <c r="BZ15" i="20" s="1"/>
  <c r="CC15" i="20" s="1"/>
  <c r="CD15" i="20" s="1"/>
  <c r="CF15" i="20" s="1"/>
  <c r="DP42" i="26"/>
  <c r="DW42" i="26" s="1"/>
  <c r="DX42" i="26" s="1"/>
  <c r="EE42" i="26" s="1"/>
  <c r="EF42" i="26" s="1"/>
  <c r="EL42" i="26" s="1"/>
  <c r="BU16" i="27"/>
  <c r="CB16" i="27" s="1"/>
  <c r="CC16" i="27" s="1"/>
  <c r="CJ16" i="27" s="1"/>
  <c r="DU15" i="25"/>
  <c r="EI15" i="25" s="1"/>
  <c r="EJ15" i="25" s="1"/>
  <c r="EX15" i="25" s="1"/>
  <c r="EY15" i="25" s="1"/>
  <c r="FI15" i="25" s="1"/>
  <c r="DK27" i="23"/>
  <c r="DP31" i="26"/>
  <c r="DW31" i="26" s="1"/>
  <c r="DX31" i="26" s="1"/>
  <c r="EE31" i="26" s="1"/>
  <c r="EF31" i="26" s="1"/>
  <c r="EL31" i="26" s="1"/>
  <c r="BU48" i="27"/>
  <c r="CB48" i="27" s="1"/>
  <c r="CC48" i="27" s="1"/>
  <c r="CJ48" i="27" s="1"/>
  <c r="DW55" i="27"/>
  <c r="EE55" i="27" s="1"/>
  <c r="EF55" i="27" s="1"/>
  <c r="EP55" i="27" s="1"/>
  <c r="EQ55" i="27" s="1"/>
  <c r="EV55" i="27" s="1"/>
  <c r="DJ30" i="28"/>
  <c r="DR30" i="28" s="1"/>
  <c r="DS30" i="28" s="1"/>
  <c r="EE30" i="28" s="1"/>
  <c r="EF30" i="28" s="1"/>
  <c r="EN30" i="28" s="1"/>
  <c r="AZ17" i="19"/>
  <c r="BG17" i="19" s="1"/>
  <c r="BH17" i="19" s="1"/>
  <c r="BO17" i="19" s="1"/>
  <c r="DK30" i="23"/>
  <c r="DS30" i="23" s="1"/>
  <c r="DT30" i="23" s="1"/>
  <c r="BV17" i="23"/>
  <c r="CC17" i="23" s="1"/>
  <c r="CD17" i="23" s="1"/>
  <c r="CK17" i="23" s="1"/>
  <c r="CA33" i="26"/>
  <c r="CH33" i="26" s="1"/>
  <c r="DE33" i="26" s="1"/>
  <c r="DL33" i="26" s="1"/>
  <c r="DU31" i="25"/>
  <c r="EI31" i="25" s="1"/>
  <c r="EJ31" i="25" s="1"/>
  <c r="EX31" i="25" s="1"/>
  <c r="EY31" i="25" s="1"/>
  <c r="FI31" i="25" s="1"/>
  <c r="CI48" i="25"/>
  <c r="CP48" i="25" s="1"/>
  <c r="CQ48" i="25" s="1"/>
  <c r="CX48" i="25" s="1"/>
  <c r="CI77" i="25"/>
  <c r="CP77" i="25" s="1"/>
  <c r="CQ77" i="25" s="1"/>
  <c r="CX77" i="25" s="1"/>
  <c r="CI22" i="25"/>
  <c r="CP22" i="25" s="1"/>
  <c r="CQ22" i="25" s="1"/>
  <c r="CX22" i="25" s="1"/>
  <c r="EI77" i="25"/>
  <c r="EJ77" i="25" s="1"/>
  <c r="EX77" i="25" s="1"/>
  <c r="EY77" i="25" s="1"/>
  <c r="FI77" i="25" s="1"/>
  <c r="CB65" i="24"/>
  <c r="CI65" i="24" s="1"/>
  <c r="CJ65" i="24" s="1"/>
  <c r="CQ65" i="24" s="1"/>
  <c r="CB20" i="24"/>
  <c r="CI20" i="24" s="1"/>
  <c r="CJ20" i="24" s="1"/>
  <c r="CQ20" i="24" s="1"/>
  <c r="CB30" i="24"/>
  <c r="CI30" i="24" s="1"/>
  <c r="CJ30" i="24" s="1"/>
  <c r="CQ30" i="24" s="1"/>
  <c r="CB72" i="24"/>
  <c r="CI72" i="24" s="1"/>
  <c r="CJ72" i="24" s="1"/>
  <c r="CQ72" i="24" s="1"/>
  <c r="DT65" i="24"/>
  <c r="DU65" i="24" s="1"/>
  <c r="EB65" i="24" s="1"/>
  <c r="EC65" i="24" s="1"/>
  <c r="EK65" i="24" s="1"/>
  <c r="DT20" i="24"/>
  <c r="DU20" i="24" s="1"/>
  <c r="EB20" i="24" s="1"/>
  <c r="EC20" i="24" s="1"/>
  <c r="EK20" i="24" s="1"/>
  <c r="DT72" i="24"/>
  <c r="DU72" i="24" s="1"/>
  <c r="EB72" i="24" s="1"/>
  <c r="EC72" i="24" s="1"/>
  <c r="EK72" i="24" s="1"/>
  <c r="EE17" i="23"/>
  <c r="EF17" i="23" s="1"/>
  <c r="EN17" i="23" s="1"/>
  <c r="CX19" i="22"/>
  <c r="DE19" i="22" s="1"/>
  <c r="DF19" i="22" s="1"/>
  <c r="DL19" i="22" s="1"/>
  <c r="DM19" i="22" s="1"/>
  <c r="DU19" i="22" s="1"/>
  <c r="BL27" i="22"/>
  <c r="BS27" i="22" s="1"/>
  <c r="BT27" i="22" s="1"/>
  <c r="CA27" i="22" s="1"/>
  <c r="BL18" i="22"/>
  <c r="BS18" i="22" s="1"/>
  <c r="BT18" i="22" s="1"/>
  <c r="CA18" i="22" s="1"/>
  <c r="DE18" i="22"/>
  <c r="DF18" i="22" s="1"/>
  <c r="DL18" i="22" s="1"/>
  <c r="DM18" i="22" s="1"/>
  <c r="DU18" i="22" s="1"/>
  <c r="BC14" i="21"/>
  <c r="BJ14" i="21" s="1"/>
  <c r="BK14" i="21" s="1"/>
  <c r="BR14" i="21" s="1"/>
  <c r="BC15" i="21"/>
  <c r="BJ15" i="21" s="1"/>
  <c r="BK15" i="21" s="1"/>
  <c r="BR15" i="21" s="1"/>
  <c r="AZ11" i="19"/>
  <c r="BG11" i="19" s="1"/>
  <c r="BH11" i="19" s="1"/>
  <c r="BO11" i="19" s="1"/>
  <c r="AZ33" i="19"/>
  <c r="BG33" i="19" s="1"/>
  <c r="BH33" i="19" s="1"/>
  <c r="BO33" i="19" s="1"/>
  <c r="AZ20" i="19"/>
  <c r="BG20" i="19" s="1"/>
  <c r="BH20" i="19" s="1"/>
  <c r="BO20" i="19" s="1"/>
  <c r="AZ25" i="19"/>
  <c r="BG25" i="19" s="1"/>
  <c r="BH25" i="19" s="1"/>
  <c r="BO25" i="19" s="1"/>
  <c r="CP20" i="19"/>
  <c r="CQ20" i="19" s="1"/>
  <c r="CV20" i="19" s="1"/>
  <c r="CW20" i="19" s="1"/>
  <c r="DE20" i="19" s="1"/>
  <c r="CP33" i="19"/>
  <c r="CQ33" i="19" s="1"/>
  <c r="CV33" i="19" s="1"/>
  <c r="CW33" i="19" s="1"/>
  <c r="DE33" i="19" s="1"/>
  <c r="BE25" i="18"/>
  <c r="BL25" i="18" s="1"/>
  <c r="BM25" i="18" s="1"/>
  <c r="BT25" i="18" s="1"/>
  <c r="BE15" i="18"/>
  <c r="BL15" i="18" s="1"/>
  <c r="BM15" i="18" s="1"/>
  <c r="BT15" i="18" s="1"/>
  <c r="CZ15" i="18"/>
  <c r="DA15" i="18" s="1"/>
  <c r="DN15" i="18" s="1"/>
  <c r="DO15" i="18" s="1"/>
  <c r="DW15" i="18" s="1"/>
  <c r="CT13" i="17"/>
  <c r="DA13" i="17" s="1"/>
  <c r="DB13" i="17" s="1"/>
  <c r="DL13" i="17" s="1"/>
  <c r="DM13" i="17" s="1"/>
  <c r="DU13" i="17" s="1"/>
  <c r="CK16" i="16"/>
  <c r="CP16" i="16" s="1"/>
  <c r="CQ16" i="16" s="1"/>
  <c r="CT16" i="16" s="1"/>
  <c r="CU16" i="16" s="1"/>
  <c r="CZ16" i="16" s="1"/>
  <c r="AV19" i="16"/>
  <c r="BC19" i="16" s="1"/>
  <c r="BZ19" i="16" s="1"/>
  <c r="CG19" i="16" s="1"/>
  <c r="DB12" i="1"/>
  <c r="DQ12" i="1" s="1"/>
  <c r="DR12" i="1" s="1"/>
  <c r="EH12" i="1" s="1"/>
  <c r="EI12" i="1" s="1"/>
  <c r="ET12" i="1" s="1"/>
  <c r="EE16" i="27"/>
  <c r="EF16" i="27" s="1"/>
  <c r="EP16" i="27" s="1"/>
  <c r="EQ16" i="27" s="1"/>
  <c r="EV16" i="27" s="1"/>
  <c r="DW33" i="26"/>
  <c r="DX33" i="26" s="1"/>
  <c r="EE33" i="26" s="1"/>
  <c r="EF33" i="26" s="1"/>
  <c r="EL33" i="26" s="1"/>
  <c r="EI48" i="25"/>
  <c r="EJ48" i="25" s="1"/>
  <c r="EX48" i="25" s="1"/>
  <c r="EY48" i="25" s="1"/>
  <c r="FI48" i="25" s="1"/>
  <c r="EI22" i="25"/>
  <c r="EJ22" i="25" s="1"/>
  <c r="EX22" i="25" s="1"/>
  <c r="EY22" i="25" s="1"/>
  <c r="FI22" i="25" s="1"/>
  <c r="DT30" i="24"/>
  <c r="DU30" i="24" s="1"/>
  <c r="EB30" i="24" s="1"/>
  <c r="EC30" i="24" s="1"/>
  <c r="EK30" i="24" s="1"/>
  <c r="DE27" i="22"/>
  <c r="DF27" i="22" s="1"/>
  <c r="DL27" i="22" s="1"/>
  <c r="DM27" i="22" s="1"/>
  <c r="DU27" i="22" s="1"/>
  <c r="CP15" i="21"/>
  <c r="CQ15" i="21" s="1"/>
  <c r="CT15" i="21" s="1"/>
  <c r="CU15" i="21" s="1"/>
  <c r="CY15" i="21" s="1"/>
  <c r="CP25" i="19"/>
  <c r="CQ25" i="19" s="1"/>
  <c r="CV25" i="19" s="1"/>
  <c r="CW25" i="19" s="1"/>
  <c r="DE25" i="19" s="1"/>
  <c r="CP11" i="19"/>
  <c r="CQ11" i="19" s="1"/>
  <c r="CV11" i="19" s="1"/>
  <c r="CW11" i="19" s="1"/>
  <c r="DE11" i="19" s="1"/>
  <c r="CZ25" i="18"/>
  <c r="DA25" i="18" s="1"/>
  <c r="DN25" i="18" s="1"/>
  <c r="DO25" i="18" s="1"/>
  <c r="DW25" i="18" s="1"/>
  <c r="CP19" i="16"/>
  <c r="CQ19" i="16" s="1"/>
  <c r="CT19" i="16" s="1"/>
  <c r="CU19" i="16" s="1"/>
  <c r="CZ19" i="16" s="1"/>
  <c r="CP14" i="21"/>
  <c r="CQ14" i="21" s="1"/>
  <c r="CT14" i="21" s="1"/>
  <c r="CU14" i="21" s="1"/>
  <c r="CY14" i="21" s="1"/>
  <c r="CP17" i="19"/>
  <c r="CQ17" i="19" s="1"/>
  <c r="CV17" i="19" s="1"/>
  <c r="CW17" i="19" s="1"/>
  <c r="DE17" i="19" s="1"/>
  <c r="EE48" i="27"/>
  <c r="EF48" i="27" s="1"/>
  <c r="EP48" i="27" s="1"/>
  <c r="EQ48" i="27" s="1"/>
  <c r="EV48" i="27" s="1"/>
  <c r="CK12" i="21"/>
  <c r="CS34" i="18"/>
  <c r="CI22" i="16"/>
  <c r="CJ22" i="16" s="1"/>
  <c r="CK11" i="16"/>
  <c r="CP11" i="16" s="1"/>
  <c r="CQ11" i="16" s="1"/>
  <c r="CT11" i="16" s="1"/>
  <c r="CU11" i="16" s="1"/>
  <c r="CZ11" i="16" s="1"/>
  <c r="CK22" i="16"/>
  <c r="DU21" i="27"/>
  <c r="DV21" i="27" s="1"/>
  <c r="DU40" i="27"/>
  <c r="DV40" i="27" s="1"/>
  <c r="DW11" i="27"/>
  <c r="DW21" i="27"/>
  <c r="DW40" i="27"/>
  <c r="DP14" i="26"/>
  <c r="DS87" i="25"/>
  <c r="DT87" i="25" s="1"/>
  <c r="DU87" i="25"/>
  <c r="DU85" i="25"/>
  <c r="DU37" i="25"/>
  <c r="DS37" i="25"/>
  <c r="DT37" i="25" s="1"/>
  <c r="DM12" i="24"/>
  <c r="DN12" i="24" s="1"/>
  <c r="DO12" i="24"/>
  <c r="CX22" i="22"/>
  <c r="CX23" i="22"/>
  <c r="CX11" i="22"/>
  <c r="CV11" i="22"/>
  <c r="CW11" i="22" s="1"/>
  <c r="CR34" i="18"/>
  <c r="DU11" i="27"/>
  <c r="DV11" i="27" s="1"/>
  <c r="DN14" i="26"/>
  <c r="DO14" i="26" s="1"/>
  <c r="DS85" i="25"/>
  <c r="DT85" i="25" s="1"/>
  <c r="DS91" i="25"/>
  <c r="DT91" i="25" s="1"/>
  <c r="DS60" i="25"/>
  <c r="DT60" i="25" s="1"/>
  <c r="DU91" i="25"/>
  <c r="DU60" i="25"/>
  <c r="DM44" i="24"/>
  <c r="DN44" i="24" s="1"/>
  <c r="DO44" i="24"/>
  <c r="CV22" i="22"/>
  <c r="CW22" i="22" s="1"/>
  <c r="CV23" i="22"/>
  <c r="CW23" i="22" s="1"/>
  <c r="CI12" i="21"/>
  <c r="CJ12" i="21" s="1"/>
  <c r="EE30" i="23" l="1"/>
  <c r="EF30" i="23" s="1"/>
  <c r="EN30" i="23" s="1"/>
  <c r="DS27" i="23"/>
  <c r="DT27" i="23" s="1"/>
  <c r="EE27" i="23" s="1"/>
  <c r="EF27" i="23" s="1"/>
  <c r="EN27" i="23" s="1"/>
  <c r="EE11" i="27"/>
  <c r="EF11" i="27" s="1"/>
  <c r="EP11" i="27" s="1"/>
  <c r="EQ11" i="27" s="1"/>
  <c r="EV11" i="27" s="1"/>
  <c r="EI87" i="25"/>
  <c r="EJ87" i="25" s="1"/>
  <c r="EX87" i="25" s="1"/>
  <c r="EY87" i="25" s="1"/>
  <c r="FI87" i="25" s="1"/>
  <c r="DE23" i="22"/>
  <c r="DF23" i="22" s="1"/>
  <c r="DL23" i="22" s="1"/>
  <c r="DM23" i="22" s="1"/>
  <c r="DU23" i="22" s="1"/>
  <c r="EE40" i="27"/>
  <c r="EF40" i="27" s="1"/>
  <c r="EP40" i="27" s="1"/>
  <c r="EQ40" i="27" s="1"/>
  <c r="EV40" i="27" s="1"/>
  <c r="DW14" i="26"/>
  <c r="DX14" i="26" s="1"/>
  <c r="EE14" i="26" s="1"/>
  <c r="EF14" i="26" s="1"/>
  <c r="EL14" i="26" s="1"/>
  <c r="EI37" i="25"/>
  <c r="EJ37" i="25" s="1"/>
  <c r="EX37" i="25" s="1"/>
  <c r="EY37" i="25" s="1"/>
  <c r="FI37" i="25" s="1"/>
  <c r="EI60" i="25"/>
  <c r="EJ60" i="25" s="1"/>
  <c r="EX60" i="25" s="1"/>
  <c r="EY60" i="25" s="1"/>
  <c r="FI60" i="25" s="1"/>
  <c r="EI85" i="25"/>
  <c r="EJ85" i="25" s="1"/>
  <c r="EX85" i="25" s="1"/>
  <c r="EY85" i="25" s="1"/>
  <c r="FI85" i="25" s="1"/>
  <c r="DT12" i="24"/>
  <c r="DU12" i="24" s="1"/>
  <c r="EB12" i="24" s="1"/>
  <c r="EC12" i="24" s="1"/>
  <c r="EK12" i="24" s="1"/>
  <c r="DT44" i="24"/>
  <c r="DU44" i="24" s="1"/>
  <c r="EB44" i="24" s="1"/>
  <c r="EC44" i="24" s="1"/>
  <c r="EK44" i="24" s="1"/>
  <c r="DE11" i="22"/>
  <c r="DF11" i="22" s="1"/>
  <c r="DL11" i="22" s="1"/>
  <c r="DM11" i="22" s="1"/>
  <c r="DU11" i="22" s="1"/>
  <c r="DE22" i="22"/>
  <c r="DF22" i="22" s="1"/>
  <c r="DL22" i="22" s="1"/>
  <c r="DM22" i="22" s="1"/>
  <c r="DU22" i="22" s="1"/>
  <c r="CZ34" i="18"/>
  <c r="DA34" i="18" s="1"/>
  <c r="DN34" i="18" s="1"/>
  <c r="DO34" i="18" s="1"/>
  <c r="DW34" i="18" s="1"/>
  <c r="CP22" i="16"/>
  <c r="CQ22" i="16" s="1"/>
  <c r="CT22" i="16" s="1"/>
  <c r="CU22" i="16" s="1"/>
  <c r="CZ22" i="16" s="1"/>
  <c r="EE21" i="27"/>
  <c r="EF21" i="27" s="1"/>
  <c r="EP21" i="27" s="1"/>
  <c r="EQ21" i="27" s="1"/>
  <c r="EV21" i="27" s="1"/>
  <c r="CP12" i="21"/>
  <c r="CQ12" i="21" s="1"/>
  <c r="CT12" i="21" s="1"/>
  <c r="CU12" i="21" s="1"/>
  <c r="CY12" i="21" s="1"/>
  <c r="EI91" i="25"/>
  <c r="EJ91" i="25" s="1"/>
  <c r="EX91" i="25" s="1"/>
  <c r="EY91" i="25" s="1"/>
  <c r="FI91" i="25" s="1"/>
  <c r="DI51" i="23"/>
  <c r="DJ51" i="23" s="1"/>
  <c r="DK51" i="23"/>
  <c r="DS51" i="23" l="1"/>
  <c r="DT51" i="23" s="1"/>
  <c r="EE51" i="23"/>
  <c r="EF51" i="23" s="1"/>
  <c r="EN51" i="23" s="1"/>
  <c r="DP15" i="26"/>
  <c r="DU18" i="25"/>
  <c r="DU42" i="25"/>
  <c r="DU29" i="25"/>
  <c r="DU26" i="25"/>
  <c r="DU17" i="25"/>
  <c r="DU24" i="25"/>
  <c r="DW13" i="27"/>
  <c r="DW15" i="27"/>
  <c r="DW23" i="27"/>
  <c r="CK12" i="16"/>
  <c r="DS26" i="25"/>
  <c r="DT26" i="25" s="1"/>
  <c r="DS92" i="25"/>
  <c r="DT92" i="25" s="1"/>
  <c r="DU92" i="25"/>
  <c r="CV45" i="22"/>
  <c r="CW45" i="22" s="1"/>
  <c r="CX36" i="22"/>
  <c r="CX16" i="22"/>
  <c r="CX21" i="22"/>
  <c r="CX45" i="22"/>
  <c r="CV21" i="22"/>
  <c r="CW21" i="22" s="1"/>
  <c r="DS42" i="25"/>
  <c r="DT42" i="25" s="1"/>
  <c r="CV16" i="22"/>
  <c r="CW16" i="22" s="1"/>
  <c r="DU15" i="27"/>
  <c r="DV15" i="27" s="1"/>
  <c r="DS29" i="25"/>
  <c r="DT29" i="25" s="1"/>
  <c r="DS24" i="25"/>
  <c r="DT24" i="25" s="1"/>
  <c r="DU13" i="27"/>
  <c r="DV13" i="27" s="1"/>
  <c r="DU23" i="27"/>
  <c r="DV23" i="27" s="1"/>
  <c r="DS17" i="25"/>
  <c r="DT17" i="25" s="1"/>
  <c r="CV36" i="22"/>
  <c r="CW36" i="22" s="1"/>
  <c r="DE36" i="22" s="1"/>
  <c r="DF36" i="22" s="1"/>
  <c r="DL36" i="22" s="1"/>
  <c r="DM36" i="22" s="1"/>
  <c r="DU36" i="22" s="1"/>
  <c r="CI12" i="16"/>
  <c r="CJ12" i="16" s="1"/>
  <c r="DN15" i="26"/>
  <c r="DO15" i="26" s="1"/>
  <c r="DS18" i="25"/>
  <c r="DT18" i="25" s="1"/>
  <c r="DW15" i="26" l="1"/>
  <c r="DX15" i="26" s="1"/>
  <c r="EE15" i="26" s="1"/>
  <c r="EF15" i="26" s="1"/>
  <c r="EL15" i="26" s="1"/>
  <c r="EI26" i="25"/>
  <c r="EJ26" i="25" s="1"/>
  <c r="EX26" i="25" s="1"/>
  <c r="EY26" i="25" s="1"/>
  <c r="FI26" i="25" s="1"/>
  <c r="EI92" i="25"/>
  <c r="EJ92" i="25" s="1"/>
  <c r="EX92" i="25" s="1"/>
  <c r="EY92" i="25" s="1"/>
  <c r="FI92" i="25" s="1"/>
  <c r="EI17" i="25"/>
  <c r="EJ17" i="25" s="1"/>
  <c r="EX17" i="25" s="1"/>
  <c r="EY17" i="25" s="1"/>
  <c r="FI17" i="25" s="1"/>
  <c r="EE23" i="27"/>
  <c r="EF23" i="27" s="1"/>
  <c r="EP23" i="27" s="1"/>
  <c r="EQ23" i="27" s="1"/>
  <c r="EV23" i="27" s="1"/>
  <c r="EI29" i="25"/>
  <c r="EJ29" i="25" s="1"/>
  <c r="EX29" i="25" s="1"/>
  <c r="EY29" i="25" s="1"/>
  <c r="FI29" i="25" s="1"/>
  <c r="EE15" i="27"/>
  <c r="EF15" i="27" s="1"/>
  <c r="EP15" i="27" s="1"/>
  <c r="EQ15" i="27" s="1"/>
  <c r="EV15" i="27" s="1"/>
  <c r="EI42" i="25"/>
  <c r="EJ42" i="25" s="1"/>
  <c r="EX42" i="25" s="1"/>
  <c r="EY42" i="25" s="1"/>
  <c r="FI42" i="25" s="1"/>
  <c r="DE45" i="22"/>
  <c r="DF45" i="22" s="1"/>
  <c r="DL45" i="22" s="1"/>
  <c r="DM45" i="22" s="1"/>
  <c r="DU45" i="22" s="1"/>
  <c r="DE21" i="22"/>
  <c r="DF21" i="22" s="1"/>
  <c r="DL21" i="22" s="1"/>
  <c r="DM21" i="22" s="1"/>
  <c r="DU21" i="22" s="1"/>
  <c r="CP12" i="16"/>
  <c r="CQ12" i="16" s="1"/>
  <c r="CT12" i="16" s="1"/>
  <c r="CU12" i="16" s="1"/>
  <c r="CZ12" i="16" s="1"/>
  <c r="EI18" i="25"/>
  <c r="EJ18" i="25" s="1"/>
  <c r="EX18" i="25" s="1"/>
  <c r="EY18" i="25" s="1"/>
  <c r="FI18" i="25" s="1"/>
  <c r="DE16" i="22"/>
  <c r="DF16" i="22" s="1"/>
  <c r="DL16" i="22" s="1"/>
  <c r="DM16" i="22" s="1"/>
  <c r="DU16" i="22" s="1"/>
  <c r="EI24" i="25"/>
  <c r="EJ24" i="25" s="1"/>
  <c r="EX24" i="25" s="1"/>
  <c r="EY24" i="25" s="1"/>
  <c r="FI24" i="25" s="1"/>
  <c r="EE13" i="27"/>
  <c r="EF13" i="27" s="1"/>
  <c r="EP13" i="27" s="1"/>
  <c r="EQ13" i="27" s="1"/>
  <c r="EV13" i="27" s="1"/>
  <c r="AW18" i="27"/>
  <c r="CL18" i="27"/>
  <c r="DU18" i="27"/>
  <c r="AJ23" i="21"/>
  <c r="AK23" i="21" s="1"/>
  <c r="BB23" i="21" s="1"/>
  <c r="BC23" i="21" s="1"/>
  <c r="BJ23" i="21" s="1"/>
  <c r="BK23" i="21" s="1"/>
  <c r="BR23" i="21" s="1"/>
  <c r="AJ16" i="21"/>
  <c r="AK16" i="21" s="1"/>
  <c r="BB16" i="21" s="1"/>
  <c r="BC16" i="21" s="1"/>
  <c r="BJ16" i="21" s="1"/>
  <c r="BK16" i="21" s="1"/>
  <c r="BR16" i="21" s="1"/>
  <c r="AJ22" i="21"/>
  <c r="AK22" i="21" s="1"/>
  <c r="BB22" i="21" s="1"/>
  <c r="BC22" i="21" s="1"/>
  <c r="BJ22" i="21" s="1"/>
  <c r="BK22" i="21" s="1"/>
  <c r="BR22" i="21" s="1"/>
  <c r="AC25" i="20"/>
  <c r="AD25" i="20" s="1"/>
  <c r="AN25" i="20" s="1"/>
  <c r="AO25" i="20" s="1"/>
  <c r="AV25" i="20" s="1"/>
  <c r="AW25" i="20" s="1"/>
  <c r="BD25" i="20" s="1"/>
  <c r="BQ14" i="19"/>
  <c r="AE16" i="19"/>
  <c r="AF16" i="19" s="1"/>
  <c r="AY16" i="19" s="1"/>
  <c r="AZ16" i="19" s="1"/>
  <c r="BG16" i="19" s="1"/>
  <c r="BH16" i="19" s="1"/>
  <c r="BO16" i="19" s="1"/>
  <c r="AE39" i="19"/>
  <c r="AF39" i="19" s="1"/>
  <c r="AY39" i="19" s="1"/>
  <c r="AZ39" i="19" s="1"/>
  <c r="BG39" i="19" s="1"/>
  <c r="BH39" i="19" s="1"/>
  <c r="BO39" i="19" s="1"/>
  <c r="AE12" i="19"/>
  <c r="AF12" i="19" s="1"/>
  <c r="AY12" i="19" s="1"/>
  <c r="AZ12" i="19" s="1"/>
  <c r="BG12" i="19" s="1"/>
  <c r="BH12" i="19" s="1"/>
  <c r="BO12" i="19" s="1"/>
  <c r="AE35" i="19"/>
  <c r="AF35" i="19" s="1"/>
  <c r="AY35" i="19" s="1"/>
  <c r="AZ35" i="19" s="1"/>
  <c r="BG35" i="19" s="1"/>
  <c r="BH35" i="19" s="1"/>
  <c r="BO35" i="19" s="1"/>
  <c r="AE14" i="19"/>
  <c r="AI38" i="18"/>
  <c r="AJ38" i="18" s="1"/>
  <c r="BD38" i="18" s="1"/>
  <c r="BE38" i="18" s="1"/>
  <c r="BL38" i="18" s="1"/>
  <c r="BM38" i="18" s="1"/>
  <c r="BT38" i="18" s="1"/>
  <c r="AN30" i="17"/>
  <c r="AO30" i="17" s="1"/>
  <c r="BG30" i="17" s="1"/>
  <c r="BH30" i="17" s="1"/>
  <c r="BO30" i="17" s="1"/>
  <c r="BP30" i="17" s="1"/>
  <c r="BW30" i="17" s="1"/>
  <c r="AN17" i="17"/>
  <c r="AO17" i="17" s="1"/>
  <c r="BG17" i="17" s="1"/>
  <c r="BH17" i="17" s="1"/>
  <c r="BO17" i="17" s="1"/>
  <c r="BP17" i="17" s="1"/>
  <c r="BW17" i="17" s="1"/>
  <c r="AN25" i="17"/>
  <c r="AO25" i="17" s="1"/>
  <c r="BG25" i="17" s="1"/>
  <c r="BH25" i="17" s="1"/>
  <c r="BO25" i="17" s="1"/>
  <c r="BP25" i="17" s="1"/>
  <c r="BW25" i="17" s="1"/>
  <c r="AN14" i="17"/>
  <c r="AO14" i="17" s="1"/>
  <c r="BG14" i="17" s="1"/>
  <c r="BH14" i="17" s="1"/>
  <c r="BO14" i="17" s="1"/>
  <c r="BP14" i="17" s="1"/>
  <c r="BW14" i="17" s="1"/>
  <c r="AB17" i="16"/>
  <c r="AC17" i="16" s="1"/>
  <c r="AU17" i="16" s="1"/>
  <c r="AV17" i="16" s="1"/>
  <c r="BC17" i="16" s="1"/>
  <c r="BZ17" i="16" s="1"/>
  <c r="CG17" i="16" s="1"/>
  <c r="AE18" i="1"/>
  <c r="AF18" i="1" s="1"/>
  <c r="AY18" i="1" s="1"/>
  <c r="AZ18" i="1" s="1"/>
  <c r="BG18" i="1" s="1"/>
  <c r="BH18" i="1" s="1"/>
  <c r="BO18" i="1" s="1"/>
  <c r="AE11" i="1"/>
  <c r="AF11" i="1" s="1"/>
  <c r="AY11" i="1" s="1"/>
  <c r="AZ11" i="1" s="1"/>
  <c r="BG11" i="1" s="1"/>
  <c r="BH11" i="1" s="1"/>
  <c r="BO11" i="1" s="1"/>
  <c r="AT11" i="28"/>
  <c r="AU11" i="28" s="1"/>
  <c r="BM11" i="28" s="1"/>
  <c r="BN11" i="28" s="1"/>
  <c r="BU11" i="28" s="1"/>
  <c r="BV11" i="28" s="1"/>
  <c r="CC11" i="28" s="1"/>
  <c r="AT17" i="28"/>
  <c r="AU17" i="28" s="1"/>
  <c r="BM17" i="28" s="1"/>
  <c r="BN17" i="28" s="1"/>
  <c r="BU17" i="28" s="1"/>
  <c r="BV17" i="28" s="1"/>
  <c r="CC17" i="28" s="1"/>
  <c r="AW52" i="27"/>
  <c r="AX52" i="27" s="1"/>
  <c r="BT52" i="27" s="1"/>
  <c r="BU52" i="27" s="1"/>
  <c r="CB52" i="27" s="1"/>
  <c r="CC52" i="27" s="1"/>
  <c r="CJ52" i="27" s="1"/>
  <c r="AW14" i="27"/>
  <c r="AX14" i="27" s="1"/>
  <c r="BT14" i="27" s="1"/>
  <c r="BU14" i="27" s="1"/>
  <c r="CB14" i="27" s="1"/>
  <c r="CC14" i="27" s="1"/>
  <c r="CJ14" i="27" s="1"/>
  <c r="AZ26" i="26"/>
  <c r="BA26" i="26" s="1"/>
  <c r="BZ26" i="26" s="1"/>
  <c r="CA26" i="26" s="1"/>
  <c r="CH26" i="26" s="1"/>
  <c r="DE26" i="26" s="1"/>
  <c r="DL26" i="26" s="1"/>
  <c r="AZ12" i="26"/>
  <c r="BA12" i="26" s="1"/>
  <c r="BZ12" i="26" s="1"/>
  <c r="CA12" i="26" s="1"/>
  <c r="CH12" i="26" s="1"/>
  <c r="DE12" i="26" s="1"/>
  <c r="DL12" i="26" s="1"/>
  <c r="AZ57" i="26"/>
  <c r="BA57" i="26" s="1"/>
  <c r="BZ57" i="26" s="1"/>
  <c r="CA57" i="26" s="1"/>
  <c r="CH57" i="26" s="1"/>
  <c r="DE57" i="26" s="1"/>
  <c r="DL57" i="26" s="1"/>
  <c r="AZ25" i="26"/>
  <c r="BA25" i="26" s="1"/>
  <c r="BZ25" i="26" s="1"/>
  <c r="CA25" i="26" s="1"/>
  <c r="CH25" i="26" s="1"/>
  <c r="DE25" i="26" s="1"/>
  <c r="DL25" i="26" s="1"/>
  <c r="AZ23" i="26"/>
  <c r="BA23" i="26" s="1"/>
  <c r="BZ23" i="26" s="1"/>
  <c r="CA23" i="26" s="1"/>
  <c r="CH23" i="26" s="1"/>
  <c r="DE23" i="26" s="1"/>
  <c r="DL23" i="26" s="1"/>
  <c r="BF23" i="25"/>
  <c r="BG23" i="25" s="1"/>
  <c r="CH23" i="25" s="1"/>
  <c r="CI23" i="25" s="1"/>
  <c r="CP23" i="25" s="1"/>
  <c r="CQ23" i="25" s="1"/>
  <c r="CX23" i="25" s="1"/>
  <c r="BF13" i="25"/>
  <c r="BG13" i="25" s="1"/>
  <c r="CH13" i="25" s="1"/>
  <c r="CI13" i="25" s="1"/>
  <c r="CP13" i="25" s="1"/>
  <c r="CQ13" i="25" s="1"/>
  <c r="CX13" i="25" s="1"/>
  <c r="BF28" i="25"/>
  <c r="BG28" i="25" s="1"/>
  <c r="CH28" i="25" s="1"/>
  <c r="CI28" i="25" s="1"/>
  <c r="CP28" i="25" s="1"/>
  <c r="CQ28" i="25" s="1"/>
  <c r="CX28" i="25" s="1"/>
  <c r="BF82" i="25"/>
  <c r="BG82" i="25" s="1"/>
  <c r="CH82" i="25" s="1"/>
  <c r="CI82" i="25" s="1"/>
  <c r="CP82" i="25" s="1"/>
  <c r="CQ82" i="25" s="1"/>
  <c r="CX82" i="25" s="1"/>
  <c r="BB33" i="24"/>
  <c r="BC33" i="24" s="1"/>
  <c r="BB16" i="24"/>
  <c r="BC16" i="24" s="1"/>
  <c r="CA16" i="24" s="1"/>
  <c r="CB16" i="24" s="1"/>
  <c r="CI16" i="24" s="1"/>
  <c r="CJ16" i="24" s="1"/>
  <c r="CQ16" i="24" s="1"/>
  <c r="BB41" i="24"/>
  <c r="BC41" i="24" s="1"/>
  <c r="CA41" i="24" s="1"/>
  <c r="CB41" i="24" s="1"/>
  <c r="CI41" i="24" s="1"/>
  <c r="CJ41" i="24" s="1"/>
  <c r="CQ41" i="24" s="1"/>
  <c r="BB58" i="24"/>
  <c r="BC58" i="24" s="1"/>
  <c r="CA58" i="24" s="1"/>
  <c r="CB58" i="24" s="1"/>
  <c r="CI58" i="24" s="1"/>
  <c r="CJ58" i="24" s="1"/>
  <c r="CQ58" i="24" s="1"/>
  <c r="AV13" i="23"/>
  <c r="AW13" i="23" s="1"/>
  <c r="BU13" i="23" s="1"/>
  <c r="BV13" i="23" s="1"/>
  <c r="CC13" i="23" s="1"/>
  <c r="CD13" i="23" s="1"/>
  <c r="CK13" i="23" s="1"/>
  <c r="AV50" i="23"/>
  <c r="AW50" i="23" s="1"/>
  <c r="BU50" i="23" s="1"/>
  <c r="BV50" i="23" s="1"/>
  <c r="CC50" i="23" s="1"/>
  <c r="CD50" i="23" s="1"/>
  <c r="CK50" i="23" s="1"/>
  <c r="AV12" i="23"/>
  <c r="AW12" i="23" s="1"/>
  <c r="BU12" i="23" s="1"/>
  <c r="BV12" i="23" s="1"/>
  <c r="CC12" i="23" s="1"/>
  <c r="CD12" i="23" s="1"/>
  <c r="CK12" i="23" s="1"/>
  <c r="AV15" i="23"/>
  <c r="AW15" i="23" s="1"/>
  <c r="BU15" i="23" s="1"/>
  <c r="BV15" i="23" s="1"/>
  <c r="CC15" i="23" s="1"/>
  <c r="CD15" i="23" s="1"/>
  <c r="CK15" i="23" s="1"/>
  <c r="AV39" i="23"/>
  <c r="AW39" i="23" s="1"/>
  <c r="BU39" i="23" s="1"/>
  <c r="BV39" i="23" s="1"/>
  <c r="CC39" i="23" s="1"/>
  <c r="CD39" i="23" s="1"/>
  <c r="CK39" i="23" s="1"/>
  <c r="AV38" i="23"/>
  <c r="AW38" i="23" s="1"/>
  <c r="BU38" i="23" s="1"/>
  <c r="BV38" i="23" s="1"/>
  <c r="CC38" i="23" s="1"/>
  <c r="CD38" i="23" s="1"/>
  <c r="CK38" i="23" s="1"/>
  <c r="AM43" i="22"/>
  <c r="AN43" i="22" s="1"/>
  <c r="BK43" i="22" s="1"/>
  <c r="BL43" i="22" s="1"/>
  <c r="BS43" i="22" s="1"/>
  <c r="BT43" i="22" s="1"/>
  <c r="CA43" i="22" s="1"/>
  <c r="AM15" i="22"/>
  <c r="AN15" i="22" s="1"/>
  <c r="BK15" i="22" s="1"/>
  <c r="BL15" i="22" s="1"/>
  <c r="BS15" i="22" s="1"/>
  <c r="BT15" i="22" s="1"/>
  <c r="CA15" i="22" s="1"/>
  <c r="AM37" i="22"/>
  <c r="AN37" i="22" s="1"/>
  <c r="BK37" i="22" s="1"/>
  <c r="BL37" i="22" s="1"/>
  <c r="BS37" i="22" s="1"/>
  <c r="BT37" i="22" s="1"/>
  <c r="CA37" i="22" s="1"/>
  <c r="CA33" i="24" l="1"/>
  <c r="CB33" i="24" s="1"/>
  <c r="CI33" i="24" s="1"/>
  <c r="CJ33" i="24" s="1"/>
  <c r="CQ33" i="24" s="1"/>
  <c r="BU25" i="20"/>
  <c r="CT14" i="17"/>
  <c r="CT25" i="17"/>
  <c r="CT17" i="17"/>
  <c r="CT30" i="17"/>
  <c r="DP26" i="26"/>
  <c r="DU82" i="25"/>
  <c r="DU13" i="25"/>
  <c r="DU23" i="25"/>
  <c r="DU28" i="25"/>
  <c r="CK22" i="21"/>
  <c r="CK16" i="21"/>
  <c r="CK23" i="21"/>
  <c r="CK16" i="19"/>
  <c r="CK35" i="19"/>
  <c r="CK12" i="19"/>
  <c r="CK39" i="19"/>
  <c r="CS38" i="18"/>
  <c r="DJ17" i="28"/>
  <c r="DJ11" i="28"/>
  <c r="DK39" i="23"/>
  <c r="DK15" i="23"/>
  <c r="DK12" i="23"/>
  <c r="DK50" i="23"/>
  <c r="DK13" i="23"/>
  <c r="DK38" i="23"/>
  <c r="DW52" i="27"/>
  <c r="DW14" i="27"/>
  <c r="DP12" i="26"/>
  <c r="DP23" i="26"/>
  <c r="DP25" i="26"/>
  <c r="DP57" i="26"/>
  <c r="DO16" i="24"/>
  <c r="DO41" i="24"/>
  <c r="DO58" i="24"/>
  <c r="CX43" i="22"/>
  <c r="CX15" i="22"/>
  <c r="CX37" i="22"/>
  <c r="CK17" i="16"/>
  <c r="DB11" i="1"/>
  <c r="DB18" i="1"/>
  <c r="DV18" i="27"/>
  <c r="CM18" i="27"/>
  <c r="AX18" i="27"/>
  <c r="BT18" i="27" s="1"/>
  <c r="BU18" i="27" s="1"/>
  <c r="CB18" i="27" s="1"/>
  <c r="CC18" i="27" s="1"/>
  <c r="CJ18" i="27" s="1"/>
  <c r="BR14" i="19"/>
  <c r="CI14" i="19" s="1"/>
  <c r="CJ14" i="19" s="1"/>
  <c r="AF14" i="19"/>
  <c r="AY14" i="19" s="1"/>
  <c r="AZ14" i="19" s="1"/>
  <c r="BG14" i="19" s="1"/>
  <c r="BH14" i="19" s="1"/>
  <c r="BO14" i="19" s="1"/>
  <c r="BZ14" i="17"/>
  <c r="CR14" i="17" s="1"/>
  <c r="BY25" i="17"/>
  <c r="BY14" i="17"/>
  <c r="BZ25" i="17"/>
  <c r="CR25" i="17" s="1"/>
  <c r="CZ11" i="1"/>
  <c r="CE11" i="1"/>
  <c r="CF11" i="1"/>
  <c r="CS41" i="24"/>
  <c r="CS58" i="24"/>
  <c r="CT16" i="24"/>
  <c r="CT41" i="24"/>
  <c r="CT58" i="24"/>
  <c r="CN38" i="23"/>
  <c r="DI38" i="23" s="1"/>
  <c r="DJ38" i="23" s="1"/>
  <c r="DS38" i="23" s="1"/>
  <c r="DT38" i="23" s="1"/>
  <c r="BT22" i="21"/>
  <c r="BU22" i="21"/>
  <c r="DA28" i="25"/>
  <c r="CZ28" i="25"/>
  <c r="CS16" i="24"/>
  <c r="CD43" i="22"/>
  <c r="CC43" i="22"/>
  <c r="DO33" i="24" l="1"/>
  <c r="EE38" i="23"/>
  <c r="EF38" i="23" s="1"/>
  <c r="EN38" i="23" s="1"/>
  <c r="CS25" i="17"/>
  <c r="DA25" i="17" s="1"/>
  <c r="DB25" i="17" s="1"/>
  <c r="DL25" i="17" s="1"/>
  <c r="DM25" i="17" s="1"/>
  <c r="DU25" i="17" s="1"/>
  <c r="CK14" i="19"/>
  <c r="CP14" i="19" s="1"/>
  <c r="CQ14" i="19" s="1"/>
  <c r="CV14" i="19" s="1"/>
  <c r="CW14" i="19" s="1"/>
  <c r="DE14" i="19" s="1"/>
  <c r="CV43" i="22"/>
  <c r="CW43" i="22" s="1"/>
  <c r="DE43" i="22" s="1"/>
  <c r="DF43" i="22" s="1"/>
  <c r="DL43" i="22" s="1"/>
  <c r="DM43" i="22" s="1"/>
  <c r="DU43" i="22" s="1"/>
  <c r="DW18" i="27"/>
  <c r="EE18" i="27" s="1"/>
  <c r="EF18" i="27" s="1"/>
  <c r="EP18" i="27" s="1"/>
  <c r="EQ18" i="27" s="1"/>
  <c r="EV18" i="27" s="1"/>
  <c r="DM41" i="24"/>
  <c r="DN41" i="24" s="1"/>
  <c r="DT41" i="24" s="1"/>
  <c r="DU41" i="24" s="1"/>
  <c r="EB41" i="24" s="1"/>
  <c r="EC41" i="24" s="1"/>
  <c r="EK41" i="24" s="1"/>
  <c r="CS14" i="17"/>
  <c r="DA14" i="17" s="1"/>
  <c r="DB14" i="17" s="1"/>
  <c r="DL14" i="17" s="1"/>
  <c r="DM14" i="17" s="1"/>
  <c r="DU14" i="17" s="1"/>
  <c r="DA11" i="1"/>
  <c r="DQ11" i="1" s="1"/>
  <c r="DR11" i="1" s="1"/>
  <c r="EH11" i="1" s="1"/>
  <c r="EI11" i="1" s="1"/>
  <c r="ET11" i="1" s="1"/>
  <c r="DM16" i="24"/>
  <c r="DN16" i="24" s="1"/>
  <c r="DT16" i="24" s="1"/>
  <c r="DU16" i="24" s="1"/>
  <c r="EB16" i="24" s="1"/>
  <c r="EC16" i="24" s="1"/>
  <c r="EK16" i="24" s="1"/>
  <c r="DM58" i="24"/>
  <c r="DN58" i="24" s="1"/>
  <c r="DT58" i="24" s="1"/>
  <c r="DU58" i="24" s="1"/>
  <c r="EB58" i="24" s="1"/>
  <c r="EC58" i="24" s="1"/>
  <c r="EK58" i="24" s="1"/>
  <c r="CI22" i="21"/>
  <c r="CJ22" i="21" s="1"/>
  <c r="CP22" i="21" s="1"/>
  <c r="CQ22" i="21" s="1"/>
  <c r="CT22" i="21" s="1"/>
  <c r="CU22" i="21" s="1"/>
  <c r="CY22" i="21" s="1"/>
  <c r="DS28" i="25"/>
  <c r="DT28" i="25" s="1"/>
  <c r="EI28" i="25" s="1"/>
  <c r="EJ28" i="25" s="1"/>
  <c r="EX28" i="25" s="1"/>
  <c r="EY28" i="25" s="1"/>
  <c r="FI28" i="25" s="1"/>
  <c r="DA23" i="25" l="1"/>
  <c r="BZ30" i="17"/>
  <c r="CR30" i="17" s="1"/>
  <c r="CJ23" i="26"/>
  <c r="BY30" i="17"/>
  <c r="BD17" i="16"/>
  <c r="BE17" i="16"/>
  <c r="CI23" i="26"/>
  <c r="CZ13" i="25"/>
  <c r="CZ23" i="25"/>
  <c r="DA13" i="25"/>
  <c r="DN23" i="26" l="1"/>
  <c r="DO23" i="26" s="1"/>
  <c r="DW23" i="26" s="1"/>
  <c r="DX23" i="26" s="1"/>
  <c r="EE23" i="26" s="1"/>
  <c r="EF23" i="26" s="1"/>
  <c r="EL23" i="26" s="1"/>
  <c r="CS30" i="17"/>
  <c r="DA30" i="17" s="1"/>
  <c r="DB30" i="17" s="1"/>
  <c r="DL30" i="17" s="1"/>
  <c r="DM30" i="17" s="1"/>
  <c r="DU30" i="17" s="1"/>
  <c r="CI17" i="16"/>
  <c r="CJ17" i="16" s="1"/>
  <c r="CP17" i="16" s="1"/>
  <c r="CQ17" i="16" s="1"/>
  <c r="CT17" i="16" s="1"/>
  <c r="CU17" i="16" s="1"/>
  <c r="CZ17" i="16" s="1"/>
  <c r="DS13" i="25"/>
  <c r="DT13" i="25" s="1"/>
  <c r="EI13" i="25" s="1"/>
  <c r="EJ13" i="25" s="1"/>
  <c r="EX13" i="25" s="1"/>
  <c r="EY13" i="25" s="1"/>
  <c r="FI13" i="25" s="1"/>
  <c r="DS23" i="25"/>
  <c r="DT23" i="25" s="1"/>
  <c r="EI23" i="25" s="1"/>
  <c r="EJ23" i="25" s="1"/>
  <c r="EX23" i="25" s="1"/>
  <c r="EY23" i="25" s="1"/>
  <c r="FI23" i="25" s="1"/>
  <c r="CF11" i="28"/>
  <c r="DH11" i="28" s="1"/>
  <c r="CF17" i="28"/>
  <c r="CM14" i="27"/>
  <c r="CM52" i="27"/>
  <c r="CI25" i="26"/>
  <c r="CJ57" i="26"/>
  <c r="CJ25" i="26"/>
  <c r="DA82" i="25"/>
  <c r="CM50" i="23"/>
  <c r="CN12" i="23"/>
  <c r="CN13" i="23"/>
  <c r="CN50" i="23"/>
  <c r="BR39" i="19"/>
  <c r="BR16" i="19"/>
  <c r="BR12" i="19"/>
  <c r="BR35" i="19"/>
  <c r="BW38" i="18"/>
  <c r="BY17" i="17"/>
  <c r="BZ17" i="17"/>
  <c r="CR17" i="17" s="1"/>
  <c r="BU16" i="21"/>
  <c r="BT16" i="21"/>
  <c r="BT23" i="21"/>
  <c r="BU23" i="21"/>
  <c r="CL52" i="27"/>
  <c r="CI57" i="26"/>
  <c r="CM15" i="23"/>
  <c r="CN39" i="23"/>
  <c r="CN15" i="23"/>
  <c r="CD15" i="22"/>
  <c r="CC15" i="22"/>
  <c r="CD37" i="22"/>
  <c r="BQ12" i="19"/>
  <c r="BG25" i="20"/>
  <c r="CE17" i="28"/>
  <c r="CJ12" i="26"/>
  <c r="CJ26" i="26"/>
  <c r="CF18" i="1"/>
  <c r="CC37" i="22"/>
  <c r="CI12" i="26"/>
  <c r="CM13" i="23"/>
  <c r="X14" i="22"/>
  <c r="Y14" i="22" s="1"/>
  <c r="AM14" i="22" s="1"/>
  <c r="AN14" i="22" s="1"/>
  <c r="BK14" i="22" s="1"/>
  <c r="BL14" i="22" s="1"/>
  <c r="BS14" i="22" s="1"/>
  <c r="BT14" i="22" s="1"/>
  <c r="CA14" i="22" s="1"/>
  <c r="CC14" i="22"/>
  <c r="CE11" i="28"/>
  <c r="CS33" i="24"/>
  <c r="CM12" i="23"/>
  <c r="CM39" i="23"/>
  <c r="BQ39" i="19"/>
  <c r="BQ35" i="19"/>
  <c r="BF25" i="20"/>
  <c r="CN14" i="27"/>
  <c r="CO14" i="27"/>
  <c r="DB82" i="25"/>
  <c r="DI82" i="25" s="1"/>
  <c r="CZ82" i="25"/>
  <c r="CK26" i="26"/>
  <c r="CT26" i="26" s="1"/>
  <c r="CE18" i="1"/>
  <c r="DU52" i="27" l="1"/>
  <c r="DV52" i="27" s="1"/>
  <c r="EE52" i="27" s="1"/>
  <c r="EF52" i="27" s="1"/>
  <c r="EP52" i="27" s="1"/>
  <c r="EQ52" i="27" s="1"/>
  <c r="EV52" i="27" s="1"/>
  <c r="DN12" i="26"/>
  <c r="DO12" i="26" s="1"/>
  <c r="DW12" i="26" s="1"/>
  <c r="DX12" i="26" s="1"/>
  <c r="EE12" i="26" s="1"/>
  <c r="EF12" i="26" s="1"/>
  <c r="EL12" i="26" s="1"/>
  <c r="DN57" i="26"/>
  <c r="DO57" i="26" s="1"/>
  <c r="DW57" i="26" s="1"/>
  <c r="DX57" i="26" s="1"/>
  <c r="EE57" i="26" s="1"/>
  <c r="EF57" i="26" s="1"/>
  <c r="EL57" i="26" s="1"/>
  <c r="CI16" i="21"/>
  <c r="CJ16" i="21" s="1"/>
  <c r="CP16" i="21" s="1"/>
  <c r="CQ16" i="21" s="1"/>
  <c r="CT16" i="21" s="1"/>
  <c r="CU16" i="21" s="1"/>
  <c r="CY16" i="21" s="1"/>
  <c r="CX14" i="22"/>
  <c r="CS17" i="17"/>
  <c r="DA17" i="17" s="1"/>
  <c r="DB17" i="17" s="1"/>
  <c r="DL17" i="17" s="1"/>
  <c r="DM17" i="17" s="1"/>
  <c r="DU17" i="17" s="1"/>
  <c r="DI11" i="28"/>
  <c r="DR11" i="28" s="1"/>
  <c r="DS11" i="28" s="1"/>
  <c r="EE11" i="28" s="1"/>
  <c r="EF11" i="28" s="1"/>
  <c r="EN11" i="28" s="1"/>
  <c r="DN25" i="26"/>
  <c r="DO25" i="26" s="1"/>
  <c r="DW25" i="26" s="1"/>
  <c r="DX25" i="26" s="1"/>
  <c r="EE25" i="26" s="1"/>
  <c r="EF25" i="26" s="1"/>
  <c r="EL25" i="26" s="1"/>
  <c r="DN26" i="26"/>
  <c r="DO26" i="26" s="1"/>
  <c r="DW26" i="26" s="1"/>
  <c r="DX26" i="26" s="1"/>
  <c r="EE26" i="26" s="1"/>
  <c r="EF26" i="26" s="1"/>
  <c r="EL26" i="26" s="1"/>
  <c r="CI35" i="19"/>
  <c r="CJ35" i="19" s="1"/>
  <c r="CP35" i="19" s="1"/>
  <c r="CQ35" i="19" s="1"/>
  <c r="CV35" i="19" s="1"/>
  <c r="CW35" i="19" s="1"/>
  <c r="DE35" i="19" s="1"/>
  <c r="CI23" i="21"/>
  <c r="CJ23" i="21" s="1"/>
  <c r="CP23" i="21" s="1"/>
  <c r="CQ23" i="21" s="1"/>
  <c r="CT23" i="21" s="1"/>
  <c r="CU23" i="21" s="1"/>
  <c r="CY23" i="21" s="1"/>
  <c r="CI12" i="19"/>
  <c r="CJ12" i="19" s="1"/>
  <c r="CP12" i="19" s="1"/>
  <c r="CQ12" i="19" s="1"/>
  <c r="CV12" i="19" s="1"/>
  <c r="CW12" i="19" s="1"/>
  <c r="DE12" i="19" s="1"/>
  <c r="DI12" i="23"/>
  <c r="DJ12" i="23" s="1"/>
  <c r="DI15" i="23"/>
  <c r="DJ15" i="23" s="1"/>
  <c r="DI50" i="23"/>
  <c r="DJ50" i="23" s="1"/>
  <c r="DI39" i="23"/>
  <c r="DJ39" i="23" s="1"/>
  <c r="DI13" i="23"/>
  <c r="DJ13" i="23" s="1"/>
  <c r="CV15" i="22"/>
  <c r="CW15" i="22" s="1"/>
  <c r="DE15" i="22" s="1"/>
  <c r="DF15" i="22" s="1"/>
  <c r="DL15" i="22" s="1"/>
  <c r="DM15" i="22" s="1"/>
  <c r="DU15" i="22" s="1"/>
  <c r="CV37" i="22"/>
  <c r="CW37" i="22" s="1"/>
  <c r="DE37" i="22" s="1"/>
  <c r="DF37" i="22" s="1"/>
  <c r="DL37" i="22" s="1"/>
  <c r="DM37" i="22" s="1"/>
  <c r="DU37" i="22" s="1"/>
  <c r="BS25" i="20"/>
  <c r="BT25" i="20" s="1"/>
  <c r="BY25" i="20" s="1"/>
  <c r="BZ25" i="20" s="1"/>
  <c r="CC25" i="20" s="1"/>
  <c r="CD25" i="20" s="1"/>
  <c r="CF25" i="20" s="1"/>
  <c r="CI39" i="19"/>
  <c r="CJ39" i="19" s="1"/>
  <c r="CP39" i="19" s="1"/>
  <c r="CQ39" i="19" s="1"/>
  <c r="CV39" i="19" s="1"/>
  <c r="CW39" i="19" s="1"/>
  <c r="DE39" i="19" s="1"/>
  <c r="DD14" i="27"/>
  <c r="DU14" i="27" s="1"/>
  <c r="DV14" i="27" s="1"/>
  <c r="EE14" i="27" s="1"/>
  <c r="EF14" i="27" s="1"/>
  <c r="EP14" i="27" s="1"/>
  <c r="EQ14" i="27" s="1"/>
  <c r="EV14" i="27" s="1"/>
  <c r="DH17" i="28"/>
  <c r="DI17" i="28" s="1"/>
  <c r="DR17" i="28" s="1"/>
  <c r="DS17" i="28" s="1"/>
  <c r="EE17" i="28" s="1"/>
  <c r="EF17" i="28" s="1"/>
  <c r="EN17" i="28" s="1"/>
  <c r="CZ18" i="1"/>
  <c r="DA18" i="1" s="1"/>
  <c r="DQ18" i="1" s="1"/>
  <c r="DR18" i="1" s="1"/>
  <c r="EH18" i="1" s="1"/>
  <c r="EI18" i="1" s="1"/>
  <c r="ET18" i="1" s="1"/>
  <c r="DS82" i="25"/>
  <c r="DT82" i="25" s="1"/>
  <c r="EI82" i="25" s="1"/>
  <c r="EJ82" i="25" s="1"/>
  <c r="EX82" i="25" s="1"/>
  <c r="EY82" i="25" s="1"/>
  <c r="FI82" i="25" s="1"/>
  <c r="DS15" i="23" l="1"/>
  <c r="DT15" i="23" s="1"/>
  <c r="EE15" i="23" s="1"/>
  <c r="EF15" i="23" s="1"/>
  <c r="EN15" i="23" s="1"/>
  <c r="DS50" i="23"/>
  <c r="DT50" i="23" s="1"/>
  <c r="EE50" i="23" s="1"/>
  <c r="EF50" i="23" s="1"/>
  <c r="EN50" i="23" s="1"/>
  <c r="DS39" i="23"/>
  <c r="DT39" i="23" s="1"/>
  <c r="EE39" i="23" s="1"/>
  <c r="EF39" i="23" s="1"/>
  <c r="EN39" i="23" s="1"/>
  <c r="DS12" i="23"/>
  <c r="DT12" i="23" s="1"/>
  <c r="EE12" i="23" s="1"/>
  <c r="EF12" i="23" s="1"/>
  <c r="EN12" i="23" s="1"/>
  <c r="DS13" i="23"/>
  <c r="DT13" i="23" s="1"/>
  <c r="EE13" i="23" s="1"/>
  <c r="EF13" i="23" s="1"/>
  <c r="EN13" i="23" s="1"/>
  <c r="CL53" i="27"/>
  <c r="CL17" i="27"/>
  <c r="CL56" i="27"/>
  <c r="CI27" i="26"/>
  <c r="CI18" i="26"/>
  <c r="CZ47" i="25"/>
  <c r="CZ64" i="25"/>
  <c r="CZ66" i="25"/>
  <c r="CZ34" i="25"/>
  <c r="CZ67" i="25"/>
  <c r="CZ20" i="25"/>
  <c r="CS11" i="24"/>
  <c r="CS13" i="24"/>
  <c r="CS51" i="24"/>
  <c r="CM18" i="23"/>
  <c r="CM22" i="23"/>
  <c r="CM25" i="23"/>
  <c r="CC44" i="22"/>
  <c r="CC12" i="22"/>
  <c r="BT24" i="21"/>
  <c r="BT18" i="21"/>
  <c r="BQ22" i="19"/>
  <c r="BQ21" i="19"/>
  <c r="BQ38" i="19"/>
  <c r="BY12" i="17"/>
  <c r="BD28" i="16"/>
  <c r="CE20" i="1"/>
  <c r="CE13" i="1"/>
  <c r="T24" i="21" l="1"/>
  <c r="U24" i="21" s="1"/>
  <c r="AJ24" i="21" s="1"/>
  <c r="AK24" i="21" s="1"/>
  <c r="BB24" i="21" s="1"/>
  <c r="BC24" i="21" s="1"/>
  <c r="BJ24" i="21" s="1"/>
  <c r="BK24" i="21" s="1"/>
  <c r="BR24" i="21" s="1"/>
  <c r="T18" i="21"/>
  <c r="U18" i="21" s="1"/>
  <c r="AJ18" i="21" s="1"/>
  <c r="AK18" i="21" s="1"/>
  <c r="BB18" i="21" s="1"/>
  <c r="BC18" i="21" s="1"/>
  <c r="BJ18" i="21" s="1"/>
  <c r="BK18" i="21" s="1"/>
  <c r="BR18" i="21" s="1"/>
  <c r="R23" i="20"/>
  <c r="S23" i="20" s="1"/>
  <c r="AC23" i="20" s="1"/>
  <c r="AD23" i="20" s="1"/>
  <c r="AN23" i="20" s="1"/>
  <c r="AO23" i="20" s="1"/>
  <c r="AV23" i="20" s="1"/>
  <c r="AW23" i="20" s="1"/>
  <c r="BD23" i="20" s="1"/>
  <c r="R22" i="19"/>
  <c r="S22" i="19" s="1"/>
  <c r="AE22" i="19" s="1"/>
  <c r="AF22" i="19" s="1"/>
  <c r="AY22" i="19" s="1"/>
  <c r="AZ22" i="19" s="1"/>
  <c r="BG22" i="19" s="1"/>
  <c r="BH22" i="19" s="1"/>
  <c r="BO22" i="19" s="1"/>
  <c r="R21" i="19"/>
  <c r="S21" i="19" s="1"/>
  <c r="AE21" i="19" s="1"/>
  <c r="AF21" i="19" s="1"/>
  <c r="AY21" i="19" s="1"/>
  <c r="AZ21" i="19" s="1"/>
  <c r="BG21" i="19" s="1"/>
  <c r="BH21" i="19" s="1"/>
  <c r="BO21" i="19" s="1"/>
  <c r="R38" i="19"/>
  <c r="S38" i="19" s="1"/>
  <c r="AE38" i="19" s="1"/>
  <c r="AF38" i="19" s="1"/>
  <c r="AY38" i="19" s="1"/>
  <c r="AZ38" i="19" s="1"/>
  <c r="BG38" i="19" s="1"/>
  <c r="BH38" i="19" s="1"/>
  <c r="BO38" i="19" s="1"/>
  <c r="S16" i="18"/>
  <c r="T16" i="18" s="1"/>
  <c r="AI16" i="18" s="1"/>
  <c r="AJ16" i="18" s="1"/>
  <c r="BD16" i="18" s="1"/>
  <c r="BE16" i="18" s="1"/>
  <c r="BL16" i="18" s="1"/>
  <c r="BM16" i="18" s="1"/>
  <c r="BT16" i="18" s="1"/>
  <c r="S11" i="18"/>
  <c r="T11" i="18" s="1"/>
  <c r="AI11" i="18" s="1"/>
  <c r="AJ11" i="18" s="1"/>
  <c r="BD11" i="18" s="1"/>
  <c r="BE11" i="18" s="1"/>
  <c r="BL11" i="18" s="1"/>
  <c r="BM11" i="18" s="1"/>
  <c r="BT11" i="18" s="1"/>
  <c r="U12" i="17"/>
  <c r="V12" i="17" s="1"/>
  <c r="AN12" i="17" s="1"/>
  <c r="AO12" i="17" s="1"/>
  <c r="BG12" i="17" s="1"/>
  <c r="BH12" i="17" s="1"/>
  <c r="BO12" i="17" s="1"/>
  <c r="BP12" i="17" s="1"/>
  <c r="BW12" i="17" s="1"/>
  <c r="U11" i="17"/>
  <c r="V11" i="17" s="1"/>
  <c r="AN11" i="17" s="1"/>
  <c r="AO11" i="17" s="1"/>
  <c r="BG11" i="17" s="1"/>
  <c r="BH11" i="17" s="1"/>
  <c r="BO11" i="17" s="1"/>
  <c r="BP11" i="17" s="1"/>
  <c r="BW11" i="17" s="1"/>
  <c r="Q29" i="16"/>
  <c r="R29" i="16" s="1"/>
  <c r="AB29" i="16" s="1"/>
  <c r="AC29" i="16" s="1"/>
  <c r="AU29" i="16" s="1"/>
  <c r="AV29" i="16" s="1"/>
  <c r="BC29" i="16" s="1"/>
  <c r="BZ29" i="16" s="1"/>
  <c r="CG29" i="16" s="1"/>
  <c r="Q28" i="16"/>
  <c r="R28" i="16" s="1"/>
  <c r="AB28" i="16" s="1"/>
  <c r="AC28" i="16" s="1"/>
  <c r="AU28" i="16" s="1"/>
  <c r="AV28" i="16" s="1"/>
  <c r="BC28" i="16" s="1"/>
  <c r="BZ28" i="16" s="1"/>
  <c r="CG28" i="16" s="1"/>
  <c r="P20" i="1"/>
  <c r="P13" i="1"/>
  <c r="P21" i="1"/>
  <c r="Z19" i="28"/>
  <c r="AA19" i="28" s="1"/>
  <c r="AT19" i="28" s="1"/>
  <c r="AU19" i="28" s="1"/>
  <c r="BM19" i="28" s="1"/>
  <c r="BN19" i="28" s="1"/>
  <c r="BU19" i="28" s="1"/>
  <c r="BV19" i="28" s="1"/>
  <c r="CC19" i="28" s="1"/>
  <c r="Z34" i="28"/>
  <c r="AA34" i="28" s="1"/>
  <c r="AT34" i="28" s="1"/>
  <c r="AU34" i="28" s="1"/>
  <c r="BM34" i="28" s="1"/>
  <c r="BN34" i="28" s="1"/>
  <c r="BU34" i="28" s="1"/>
  <c r="BV34" i="28" s="1"/>
  <c r="CC34" i="28" s="1"/>
  <c r="AA53" i="27"/>
  <c r="AB53" i="27" s="1"/>
  <c r="AW53" i="27" s="1"/>
  <c r="AX53" i="27" s="1"/>
  <c r="BT53" i="27" s="1"/>
  <c r="BU53" i="27" s="1"/>
  <c r="CB53" i="27" s="1"/>
  <c r="CC53" i="27" s="1"/>
  <c r="CJ53" i="27" s="1"/>
  <c r="AA54" i="27"/>
  <c r="AB54" i="27" s="1"/>
  <c r="AW54" i="27" s="1"/>
  <c r="AX54" i="27" s="1"/>
  <c r="BT54" i="27" s="1"/>
  <c r="BU54" i="27" s="1"/>
  <c r="CB54" i="27" s="1"/>
  <c r="CC54" i="27" s="1"/>
  <c r="CJ54" i="27" s="1"/>
  <c r="AA17" i="27"/>
  <c r="AB17" i="27" s="1"/>
  <c r="AW17" i="27" s="1"/>
  <c r="AX17" i="27" s="1"/>
  <c r="BT17" i="27" s="1"/>
  <c r="BU17" i="27" s="1"/>
  <c r="CB17" i="27" s="1"/>
  <c r="CC17" i="27" s="1"/>
  <c r="CJ17" i="27" s="1"/>
  <c r="AA56" i="27"/>
  <c r="AB56" i="27" s="1"/>
  <c r="AW56" i="27" s="1"/>
  <c r="AX56" i="27" s="1"/>
  <c r="BT56" i="27" s="1"/>
  <c r="BU56" i="27" s="1"/>
  <c r="CB56" i="27" s="1"/>
  <c r="CC56" i="27" s="1"/>
  <c r="CJ56" i="27" s="1"/>
  <c r="AA19" i="27"/>
  <c r="AB19" i="27" s="1"/>
  <c r="AW19" i="27" s="1"/>
  <c r="AX19" i="27" s="1"/>
  <c r="BT19" i="27" s="1"/>
  <c r="BU19" i="27" s="1"/>
  <c r="CB19" i="27" s="1"/>
  <c r="CC19" i="27" s="1"/>
  <c r="CJ19" i="27" s="1"/>
  <c r="AD27" i="26"/>
  <c r="AE27" i="26" s="1"/>
  <c r="AZ27" i="26" s="1"/>
  <c r="BA27" i="26" s="1"/>
  <c r="BZ27" i="26" s="1"/>
  <c r="CA27" i="26" s="1"/>
  <c r="CH27" i="26" s="1"/>
  <c r="DE27" i="26" s="1"/>
  <c r="DL27" i="26" s="1"/>
  <c r="AD18" i="26"/>
  <c r="AE18" i="26" s="1"/>
  <c r="AZ18" i="26" s="1"/>
  <c r="BA18" i="26" s="1"/>
  <c r="BZ18" i="26" s="1"/>
  <c r="CA18" i="26" s="1"/>
  <c r="CH18" i="26" s="1"/>
  <c r="DE18" i="26" s="1"/>
  <c r="DL18" i="26" s="1"/>
  <c r="AD11" i="26"/>
  <c r="AE11" i="26" s="1"/>
  <c r="AZ11" i="26" s="1"/>
  <c r="BA11" i="26" s="1"/>
  <c r="BZ11" i="26" s="1"/>
  <c r="CA11" i="26" s="1"/>
  <c r="CH11" i="26" s="1"/>
  <c r="DE11" i="26" s="1"/>
  <c r="DL11" i="26" s="1"/>
  <c r="AG36" i="25"/>
  <c r="AH36" i="25" s="1"/>
  <c r="BF36" i="25" s="1"/>
  <c r="BG36" i="25" s="1"/>
  <c r="CH36" i="25" s="1"/>
  <c r="CI36" i="25" s="1"/>
  <c r="CP36" i="25" s="1"/>
  <c r="CQ36" i="25" s="1"/>
  <c r="CX36" i="25" s="1"/>
  <c r="AG47" i="25"/>
  <c r="AH47" i="25" s="1"/>
  <c r="BF47" i="25" s="1"/>
  <c r="BG47" i="25" s="1"/>
  <c r="CH47" i="25" s="1"/>
  <c r="CI47" i="25" s="1"/>
  <c r="CP47" i="25" s="1"/>
  <c r="CQ47" i="25" s="1"/>
  <c r="CX47" i="25" s="1"/>
  <c r="AG16" i="25"/>
  <c r="AH16" i="25" s="1"/>
  <c r="BF16" i="25" s="1"/>
  <c r="BG16" i="25" s="1"/>
  <c r="CH16" i="25" s="1"/>
  <c r="CI16" i="25" s="1"/>
  <c r="CP16" i="25" s="1"/>
  <c r="CQ16" i="25" s="1"/>
  <c r="CX16" i="25" s="1"/>
  <c r="AG64" i="25"/>
  <c r="AH64" i="25" s="1"/>
  <c r="BF64" i="25" s="1"/>
  <c r="BG64" i="25" s="1"/>
  <c r="CH64" i="25" s="1"/>
  <c r="CI64" i="25" s="1"/>
  <c r="CP64" i="25" s="1"/>
  <c r="CQ64" i="25" s="1"/>
  <c r="CX64" i="25" s="1"/>
  <c r="AG66" i="25"/>
  <c r="AH66" i="25" s="1"/>
  <c r="BF66" i="25" s="1"/>
  <c r="BG66" i="25" s="1"/>
  <c r="CH66" i="25" s="1"/>
  <c r="CI66" i="25" s="1"/>
  <c r="CP66" i="25" s="1"/>
  <c r="CQ66" i="25" s="1"/>
  <c r="CX66" i="25" s="1"/>
  <c r="AG34" i="25"/>
  <c r="AH34" i="25" s="1"/>
  <c r="BF34" i="25" s="1"/>
  <c r="BG34" i="25" s="1"/>
  <c r="CH34" i="25" s="1"/>
  <c r="CI34" i="25" s="1"/>
  <c r="CP34" i="25" s="1"/>
  <c r="CQ34" i="25" s="1"/>
  <c r="CX34" i="25" s="1"/>
  <c r="AG67" i="25"/>
  <c r="AH67" i="25" s="1"/>
  <c r="BF67" i="25" s="1"/>
  <c r="BG67" i="25" s="1"/>
  <c r="CH67" i="25" s="1"/>
  <c r="CI67" i="25" s="1"/>
  <c r="CP67" i="25" s="1"/>
  <c r="CQ67" i="25" s="1"/>
  <c r="CX67" i="25" s="1"/>
  <c r="AG20" i="25"/>
  <c r="AH20" i="25" s="1"/>
  <c r="BF20" i="25" s="1"/>
  <c r="BG20" i="25" s="1"/>
  <c r="CH20" i="25" s="1"/>
  <c r="CI20" i="25" s="1"/>
  <c r="CP20" i="25" s="1"/>
  <c r="CQ20" i="25" s="1"/>
  <c r="CX20" i="25" s="1"/>
  <c r="AD11" i="24"/>
  <c r="AE11" i="24" s="1"/>
  <c r="BB11" i="24" s="1"/>
  <c r="BC11" i="24" s="1"/>
  <c r="CA11" i="24" s="1"/>
  <c r="CB11" i="24" s="1"/>
  <c r="CI11" i="24" s="1"/>
  <c r="CJ11" i="24" s="1"/>
  <c r="CQ11" i="24" s="1"/>
  <c r="AD26" i="24"/>
  <c r="AE26" i="24" s="1"/>
  <c r="BB26" i="24" s="1"/>
  <c r="BC26" i="24" s="1"/>
  <c r="CA26" i="24" s="1"/>
  <c r="CB26" i="24" s="1"/>
  <c r="CI26" i="24" s="1"/>
  <c r="CJ26" i="24" s="1"/>
  <c r="CQ26" i="24" s="1"/>
  <c r="AD25" i="24"/>
  <c r="AE25" i="24" s="1"/>
  <c r="BB25" i="24" s="1"/>
  <c r="BC25" i="24" s="1"/>
  <c r="CA25" i="24" s="1"/>
  <c r="CB25" i="24" s="1"/>
  <c r="CI25" i="24" s="1"/>
  <c r="CJ25" i="24" s="1"/>
  <c r="CQ25" i="24" s="1"/>
  <c r="AD13" i="24"/>
  <c r="AE13" i="24" s="1"/>
  <c r="BB13" i="24" s="1"/>
  <c r="BC13" i="24" s="1"/>
  <c r="CA13" i="24" s="1"/>
  <c r="CB13" i="24" s="1"/>
  <c r="CI13" i="24" s="1"/>
  <c r="CJ13" i="24" s="1"/>
  <c r="CQ13" i="24" s="1"/>
  <c r="AD51" i="24"/>
  <c r="AE51" i="24" s="1"/>
  <c r="BB51" i="24" s="1"/>
  <c r="BC51" i="24" s="1"/>
  <c r="CA51" i="24" s="1"/>
  <c r="CB51" i="24" s="1"/>
  <c r="CI51" i="24" s="1"/>
  <c r="CJ51" i="24" s="1"/>
  <c r="CQ51" i="24" s="1"/>
  <c r="AD27" i="24"/>
  <c r="AE27" i="24" s="1"/>
  <c r="BB27" i="24" s="1"/>
  <c r="BC27" i="24" s="1"/>
  <c r="CA27" i="24" s="1"/>
  <c r="CB27" i="24" s="1"/>
  <c r="CI27" i="24" s="1"/>
  <c r="CJ27" i="24" s="1"/>
  <c r="CQ27" i="24" s="1"/>
  <c r="AC11" i="23"/>
  <c r="AD11" i="23" s="1"/>
  <c r="AV11" i="23" s="1"/>
  <c r="AW11" i="23" s="1"/>
  <c r="BU11" i="23" s="1"/>
  <c r="BV11" i="23" s="1"/>
  <c r="CC11" i="23" s="1"/>
  <c r="CD11" i="23" s="1"/>
  <c r="CK11" i="23" s="1"/>
  <c r="AC19" i="23"/>
  <c r="AD19" i="23" s="1"/>
  <c r="AV19" i="23" s="1"/>
  <c r="AW19" i="23" s="1"/>
  <c r="BU19" i="23" s="1"/>
  <c r="BV19" i="23" s="1"/>
  <c r="CC19" i="23" s="1"/>
  <c r="CD19" i="23" s="1"/>
  <c r="CK19" i="23" s="1"/>
  <c r="AC22" i="23"/>
  <c r="AD22" i="23" s="1"/>
  <c r="AV22" i="23" s="1"/>
  <c r="AW22" i="23" s="1"/>
  <c r="BU22" i="23" s="1"/>
  <c r="BV22" i="23" s="1"/>
  <c r="CC22" i="23" s="1"/>
  <c r="CD22" i="23" s="1"/>
  <c r="CK22" i="23" s="1"/>
  <c r="AC14" i="23"/>
  <c r="AD14" i="23" s="1"/>
  <c r="AV14" i="23" s="1"/>
  <c r="AW14" i="23" s="1"/>
  <c r="BU14" i="23" s="1"/>
  <c r="BV14" i="23" s="1"/>
  <c r="CC14" i="23" s="1"/>
  <c r="CD14" i="23" s="1"/>
  <c r="CK14" i="23" s="1"/>
  <c r="AC18" i="23"/>
  <c r="AD18" i="23" s="1"/>
  <c r="AV18" i="23" s="1"/>
  <c r="AW18" i="23" s="1"/>
  <c r="BU18" i="23" s="1"/>
  <c r="BV18" i="23" s="1"/>
  <c r="CC18" i="23" s="1"/>
  <c r="CD18" i="23" s="1"/>
  <c r="CK18" i="23" s="1"/>
  <c r="AC25" i="23"/>
  <c r="AD25" i="23" s="1"/>
  <c r="AV25" i="23" s="1"/>
  <c r="AW25" i="23" s="1"/>
  <c r="BU25" i="23" s="1"/>
  <c r="BV25" i="23" s="1"/>
  <c r="CC25" i="23" s="1"/>
  <c r="CD25" i="23" s="1"/>
  <c r="CK25" i="23" s="1"/>
  <c r="AC52" i="23"/>
  <c r="AD52" i="23" s="1"/>
  <c r="AV52" i="23" s="1"/>
  <c r="AW52" i="23" s="1"/>
  <c r="BU52" i="23" s="1"/>
  <c r="BV52" i="23" s="1"/>
  <c r="CC52" i="23" s="1"/>
  <c r="CD52" i="23" s="1"/>
  <c r="CK52" i="23" s="1"/>
  <c r="X44" i="22"/>
  <c r="Y44" i="22" s="1"/>
  <c r="AM44" i="22" s="1"/>
  <c r="AN44" i="22" s="1"/>
  <c r="BK44" i="22" s="1"/>
  <c r="BL44" i="22" s="1"/>
  <c r="BS44" i="22" s="1"/>
  <c r="BT44" i="22" s="1"/>
  <c r="CA44" i="22" s="1"/>
  <c r="X12" i="22"/>
  <c r="Y12" i="22" s="1"/>
  <c r="AM12" i="22" s="1"/>
  <c r="AN12" i="22" s="1"/>
  <c r="BK12" i="22" s="1"/>
  <c r="BL12" i="22" s="1"/>
  <c r="BS12" i="22" s="1"/>
  <c r="BT12" i="22" s="1"/>
  <c r="CA12" i="22" s="1"/>
  <c r="CK24" i="21" l="1"/>
  <c r="BU23" i="20"/>
  <c r="CK22" i="19"/>
  <c r="CT11" i="17"/>
  <c r="CT12" i="17"/>
  <c r="CS11" i="18"/>
  <c r="DO11" i="24"/>
  <c r="DU47" i="25"/>
  <c r="DU67" i="25"/>
  <c r="DU34" i="25"/>
  <c r="DU20" i="25"/>
  <c r="DU66" i="25"/>
  <c r="DU64" i="25"/>
  <c r="DU16" i="25"/>
  <c r="DW17" i="27"/>
  <c r="CK18" i="21"/>
  <c r="CK21" i="19"/>
  <c r="CK38" i="19"/>
  <c r="CS16" i="18"/>
  <c r="DJ19" i="28"/>
  <c r="DJ34" i="28"/>
  <c r="DK25" i="23"/>
  <c r="DK18" i="23"/>
  <c r="DK14" i="23"/>
  <c r="DK52" i="23"/>
  <c r="DK22" i="23"/>
  <c r="DK19" i="23"/>
  <c r="DK11" i="23"/>
  <c r="DU36" i="25"/>
  <c r="DW56" i="27"/>
  <c r="DW19" i="27"/>
  <c r="DW54" i="27"/>
  <c r="DW53" i="27"/>
  <c r="DP11" i="26"/>
  <c r="DP18" i="26"/>
  <c r="DP27" i="26"/>
  <c r="DO26" i="24"/>
  <c r="DO51" i="24"/>
  <c r="DO13" i="24"/>
  <c r="DO27" i="24"/>
  <c r="DO25" i="24"/>
  <c r="CX44" i="22"/>
  <c r="CX12" i="22"/>
  <c r="CK28" i="16"/>
  <c r="CK29" i="16"/>
  <c r="CT33" i="24"/>
  <c r="DM33" i="24" s="1"/>
  <c r="DN33" i="24" s="1"/>
  <c r="DT33" i="24" s="1"/>
  <c r="DU33" i="24" s="1"/>
  <c r="EB33" i="24" s="1"/>
  <c r="EC33" i="24" s="1"/>
  <c r="EK33" i="24" s="1"/>
  <c r="BW11" i="18"/>
  <c r="BW16" i="18"/>
  <c r="CF19" i="28"/>
  <c r="CF34" i="28"/>
  <c r="BZ12" i="17"/>
  <c r="CR12" i="17" s="1"/>
  <c r="CS12" i="17" s="1"/>
  <c r="BR38" i="19"/>
  <c r="CI38" i="19" s="1"/>
  <c r="CJ38" i="19" s="1"/>
  <c r="BG23" i="20"/>
  <c r="BU18" i="21"/>
  <c r="CI18" i="21" s="1"/>
  <c r="CJ18" i="21" s="1"/>
  <c r="BU24" i="21"/>
  <c r="CI24" i="21" s="1"/>
  <c r="CJ24" i="21" s="1"/>
  <c r="DA34" i="25"/>
  <c r="DS34" i="25" s="1"/>
  <c r="DT34" i="25" s="1"/>
  <c r="DA20" i="25"/>
  <c r="DS20" i="25" s="1"/>
  <c r="DT20" i="25" s="1"/>
  <c r="DA36" i="25"/>
  <c r="DA66" i="25"/>
  <c r="DS66" i="25" s="1"/>
  <c r="DT66" i="25" s="1"/>
  <c r="DA64" i="25"/>
  <c r="DS64" i="25" s="1"/>
  <c r="DT64" i="25" s="1"/>
  <c r="DA16" i="25"/>
  <c r="DA67" i="25"/>
  <c r="DS67" i="25" s="1"/>
  <c r="DT67" i="25" s="1"/>
  <c r="DA47" i="25"/>
  <c r="DS47" i="25" s="1"/>
  <c r="DT47" i="25" s="1"/>
  <c r="BE28" i="16"/>
  <c r="BE29" i="16"/>
  <c r="CT27" i="24"/>
  <c r="CT11" i="24"/>
  <c r="DM11" i="24" s="1"/>
  <c r="DN11" i="24" s="1"/>
  <c r="CT26" i="24"/>
  <c r="CT51" i="24"/>
  <c r="DM51" i="24" s="1"/>
  <c r="DN51" i="24" s="1"/>
  <c r="CT13" i="24"/>
  <c r="DM13" i="24" s="1"/>
  <c r="DN13" i="24" s="1"/>
  <c r="CT25" i="24"/>
  <c r="CJ11" i="26"/>
  <c r="CJ27" i="26"/>
  <c r="DN27" i="26" s="1"/>
  <c r="DO27" i="26" s="1"/>
  <c r="CJ18" i="26"/>
  <c r="DN18" i="26" s="1"/>
  <c r="DO18" i="26" s="1"/>
  <c r="CM54" i="27"/>
  <c r="CM53" i="27"/>
  <c r="DU53" i="27" s="1"/>
  <c r="DV53" i="27" s="1"/>
  <c r="CM19" i="27"/>
  <c r="CM56" i="27"/>
  <c r="CM17" i="27"/>
  <c r="DU17" i="27" s="1"/>
  <c r="DV17" i="27" s="1"/>
  <c r="CN11" i="23"/>
  <c r="CN14" i="23"/>
  <c r="CN25" i="23"/>
  <c r="DI25" i="23" s="1"/>
  <c r="DJ25" i="23" s="1"/>
  <c r="CN18" i="23"/>
  <c r="DI18" i="23" s="1"/>
  <c r="DJ18" i="23" s="1"/>
  <c r="CN19" i="23"/>
  <c r="CN22" i="23"/>
  <c r="DI22" i="23" s="1"/>
  <c r="DJ22" i="23" s="1"/>
  <c r="CN52" i="23"/>
  <c r="CD44" i="22"/>
  <c r="CV44" i="22" s="1"/>
  <c r="CW44" i="22" s="1"/>
  <c r="CD14" i="22"/>
  <c r="CV14" i="22" s="1"/>
  <c r="CW14" i="22" s="1"/>
  <c r="DE14" i="22" s="1"/>
  <c r="DF14" i="22" s="1"/>
  <c r="DL14" i="22" s="1"/>
  <c r="DM14" i="22" s="1"/>
  <c r="DU14" i="22" s="1"/>
  <c r="CD12" i="22"/>
  <c r="CV12" i="22" s="1"/>
  <c r="CW12" i="22" s="1"/>
  <c r="Q13" i="1"/>
  <c r="AE13" i="1" s="1"/>
  <c r="AF13" i="1" s="1"/>
  <c r="AY13" i="1" s="1"/>
  <c r="AZ13" i="1" s="1"/>
  <c r="BG13" i="1" s="1"/>
  <c r="BH13" i="1" s="1"/>
  <c r="BO13" i="1" s="1"/>
  <c r="BQ13" i="1"/>
  <c r="BZ11" i="17"/>
  <c r="BQ20" i="1"/>
  <c r="Q20" i="1"/>
  <c r="AE20" i="1" s="1"/>
  <c r="AF20" i="1" s="1"/>
  <c r="AY20" i="1" s="1"/>
  <c r="AZ20" i="1" s="1"/>
  <c r="BG20" i="1" s="1"/>
  <c r="BH20" i="1" s="1"/>
  <c r="BO20" i="1" s="1"/>
  <c r="BQ21" i="1"/>
  <c r="Q21" i="1"/>
  <c r="AE21" i="1" s="1"/>
  <c r="AF21" i="1" s="1"/>
  <c r="AY21" i="1" s="1"/>
  <c r="AZ21" i="1" s="1"/>
  <c r="BG21" i="1" s="1"/>
  <c r="BH21" i="1" s="1"/>
  <c r="BO21" i="1" s="1"/>
  <c r="CN56" i="27"/>
  <c r="DD56" i="27" s="1"/>
  <c r="DB67" i="25"/>
  <c r="DI67" i="25" s="1"/>
  <c r="CE12" i="22"/>
  <c r="CN12" i="22" s="1"/>
  <c r="DS25" i="23" l="1"/>
  <c r="DT25" i="23" s="1"/>
  <c r="EE25" i="23" s="1"/>
  <c r="EF25" i="23" s="1"/>
  <c r="EN25" i="23" s="1"/>
  <c r="EI34" i="25"/>
  <c r="EJ34" i="25" s="1"/>
  <c r="EX34" i="25" s="1"/>
  <c r="EY34" i="25" s="1"/>
  <c r="FI34" i="25" s="1"/>
  <c r="DS18" i="23"/>
  <c r="DT18" i="23" s="1"/>
  <c r="EE18" i="23" s="1"/>
  <c r="EF18" i="23" s="1"/>
  <c r="EN18" i="23" s="1"/>
  <c r="DS22" i="23"/>
  <c r="DT22" i="23" s="1"/>
  <c r="EE22" i="23" s="1"/>
  <c r="EF22" i="23" s="1"/>
  <c r="EN22" i="23" s="1"/>
  <c r="EI67" i="25"/>
  <c r="EJ67" i="25" s="1"/>
  <c r="EX67" i="25" s="1"/>
  <c r="EY67" i="25" s="1"/>
  <c r="FI67" i="25" s="1"/>
  <c r="EI64" i="25"/>
  <c r="EJ64" i="25" s="1"/>
  <c r="EX64" i="25" s="1"/>
  <c r="EY64" i="25" s="1"/>
  <c r="FI64" i="25" s="1"/>
  <c r="EI66" i="25"/>
  <c r="EJ66" i="25" s="1"/>
  <c r="EX66" i="25" s="1"/>
  <c r="EY66" i="25" s="1"/>
  <c r="FI66" i="25" s="1"/>
  <c r="EI20" i="25"/>
  <c r="EJ20" i="25" s="1"/>
  <c r="EX20" i="25" s="1"/>
  <c r="EY20" i="25" s="1"/>
  <c r="FI20" i="25" s="1"/>
  <c r="DE12" i="22"/>
  <c r="DF12" i="22" s="1"/>
  <c r="DL12" i="22" s="1"/>
  <c r="DM12" i="22" s="1"/>
  <c r="DU12" i="22" s="1"/>
  <c r="DW27" i="26"/>
  <c r="DX27" i="26" s="1"/>
  <c r="EE27" i="26" s="1"/>
  <c r="EF27" i="26" s="1"/>
  <c r="EL27" i="26" s="1"/>
  <c r="DW18" i="26"/>
  <c r="DX18" i="26" s="1"/>
  <c r="EE18" i="26" s="1"/>
  <c r="EF18" i="26" s="1"/>
  <c r="EL18" i="26" s="1"/>
  <c r="DT51" i="24"/>
  <c r="DU51" i="24" s="1"/>
  <c r="EB51" i="24" s="1"/>
  <c r="EC51" i="24" s="1"/>
  <c r="EK51" i="24" s="1"/>
  <c r="DT11" i="24"/>
  <c r="DU11" i="24" s="1"/>
  <c r="EB11" i="24" s="1"/>
  <c r="EC11" i="24" s="1"/>
  <c r="EK11" i="24" s="1"/>
  <c r="DE44" i="22"/>
  <c r="DF44" i="22" s="1"/>
  <c r="DL44" i="22" s="1"/>
  <c r="DM44" i="22" s="1"/>
  <c r="DU44" i="22" s="1"/>
  <c r="DA12" i="17"/>
  <c r="DB12" i="17" s="1"/>
  <c r="DL12" i="17" s="1"/>
  <c r="DM12" i="17" s="1"/>
  <c r="DU12" i="17" s="1"/>
  <c r="EE17" i="27"/>
  <c r="EF17" i="27" s="1"/>
  <c r="EP17" i="27" s="1"/>
  <c r="EQ17" i="27" s="1"/>
  <c r="EV17" i="27" s="1"/>
  <c r="DT13" i="24"/>
  <c r="DU13" i="24" s="1"/>
  <c r="EB13" i="24" s="1"/>
  <c r="EC13" i="24" s="1"/>
  <c r="EK13" i="24" s="1"/>
  <c r="CP24" i="21"/>
  <c r="CQ24" i="21" s="1"/>
  <c r="CT24" i="21" s="1"/>
  <c r="CU24" i="21" s="1"/>
  <c r="CY24" i="21" s="1"/>
  <c r="DB20" i="1"/>
  <c r="CP18" i="21"/>
  <c r="CQ18" i="21" s="1"/>
  <c r="CT18" i="21" s="1"/>
  <c r="CU18" i="21" s="1"/>
  <c r="CY18" i="21" s="1"/>
  <c r="EI47" i="25"/>
  <c r="EJ47" i="25" s="1"/>
  <c r="EX47" i="25" s="1"/>
  <c r="EY47" i="25" s="1"/>
  <c r="FI47" i="25" s="1"/>
  <c r="CP38" i="19"/>
  <c r="CQ38" i="19" s="1"/>
  <c r="CV38" i="19" s="1"/>
  <c r="CW38" i="19" s="1"/>
  <c r="DE38" i="19" s="1"/>
  <c r="EE53" i="27"/>
  <c r="EF53" i="27" s="1"/>
  <c r="EP53" i="27" s="1"/>
  <c r="EQ53" i="27" s="1"/>
  <c r="EV53" i="27" s="1"/>
  <c r="DB21" i="1"/>
  <c r="DB13" i="1"/>
  <c r="DU56" i="27"/>
  <c r="DV56" i="27" s="1"/>
  <c r="EE56" i="27" s="1"/>
  <c r="EF56" i="27" s="1"/>
  <c r="EP56" i="27" s="1"/>
  <c r="EQ56" i="27" s="1"/>
  <c r="EV56" i="27" s="1"/>
  <c r="BR22" i="19"/>
  <c r="CI22" i="19" s="1"/>
  <c r="CJ22" i="19" s="1"/>
  <c r="CP22" i="19" s="1"/>
  <c r="CQ22" i="19" s="1"/>
  <c r="CV22" i="19" s="1"/>
  <c r="CW22" i="19" s="1"/>
  <c r="DE22" i="19" s="1"/>
  <c r="BR21" i="19"/>
  <c r="CI21" i="19" s="1"/>
  <c r="CJ21" i="19" s="1"/>
  <c r="CP21" i="19" s="1"/>
  <c r="CQ21" i="19" s="1"/>
  <c r="CV21" i="19" s="1"/>
  <c r="CW21" i="19" s="1"/>
  <c r="DE21" i="19" s="1"/>
  <c r="CF13" i="1"/>
  <c r="CZ13" i="1" s="1"/>
  <c r="DA13" i="1" s="1"/>
  <c r="CF21" i="1"/>
  <c r="CF20" i="1"/>
  <c r="CZ20" i="1" s="1"/>
  <c r="DA20" i="1" s="1"/>
  <c r="DQ13" i="1" l="1"/>
  <c r="DR13" i="1" s="1"/>
  <c r="EH13" i="1" s="1"/>
  <c r="EI13" i="1" s="1"/>
  <c r="ET13" i="1" s="1"/>
  <c r="DQ20" i="1"/>
  <c r="DR20" i="1" s="1"/>
  <c r="EH20" i="1" s="1"/>
  <c r="EI20" i="1" s="1"/>
  <c r="ET20" i="1" s="1"/>
  <c r="BS21" i="19"/>
  <c r="BY21" i="19" s="1"/>
  <c r="BN28" i="16" l="1"/>
  <c r="CI28" i="16" s="1"/>
  <c r="CJ28" i="16" s="1"/>
  <c r="CP28" i="16" s="1"/>
  <c r="CQ28" i="16" s="1"/>
  <c r="CT28" i="16" s="1"/>
  <c r="CU28" i="16" s="1"/>
  <c r="CZ28" i="16" s="1"/>
  <c r="CO18" i="23"/>
  <c r="CX18" i="23" s="1"/>
  <c r="DB36" i="25" l="1"/>
  <c r="DB16" i="25"/>
  <c r="DB20" i="25"/>
  <c r="DI20" i="25" s="1"/>
  <c r="DB47" i="25"/>
  <c r="DB66" i="25"/>
  <c r="DB64" i="25"/>
  <c r="DB34" i="25"/>
  <c r="CA12" i="17" l="1"/>
  <c r="CH12" i="17" s="1"/>
  <c r="CU11" i="24" l="1"/>
  <c r="DD11" i="24" s="1"/>
  <c r="BV18" i="21" l="1"/>
  <c r="CA18" i="21" s="1"/>
  <c r="DC16" i="25" l="1"/>
  <c r="CZ16" i="25" l="1"/>
  <c r="DS16" i="25" s="1"/>
  <c r="DT16" i="25" s="1"/>
  <c r="EI16" i="25" s="1"/>
  <c r="EJ16" i="25" s="1"/>
  <c r="EX16" i="25" s="1"/>
  <c r="EY16" i="25" s="1"/>
  <c r="FI16" i="25" s="1"/>
  <c r="DI16" i="25"/>
  <c r="CN17" i="27"/>
  <c r="DD17" i="27" s="1"/>
  <c r="DI34" i="25" l="1"/>
  <c r="CO25" i="23"/>
  <c r="CX25" i="23" s="1"/>
  <c r="CE44" i="22"/>
  <c r="CN44" i="22" s="1"/>
  <c r="CK27" i="26" l="1"/>
  <c r="CT27" i="26" l="1"/>
  <c r="CN53" i="27" l="1"/>
  <c r="DD53" i="27" s="1"/>
  <c r="CK18" i="26"/>
  <c r="DI66" i="25"/>
  <c r="DI47" i="25"/>
  <c r="CU13" i="24"/>
  <c r="DD13" i="24" s="1"/>
  <c r="CU51" i="24"/>
  <c r="DD51" i="24" s="1"/>
  <c r="CO22" i="23"/>
  <c r="CX22" i="23" s="1"/>
  <c r="CE14" i="22"/>
  <c r="CN14" i="22" s="1"/>
  <c r="CD13" i="1"/>
  <c r="BS38" i="19"/>
  <c r="BY38" i="19" s="1"/>
  <c r="BS22" i="19"/>
  <c r="BY22" i="19" s="1"/>
  <c r="BV24" i="21"/>
  <c r="CA24" i="21" s="1"/>
  <c r="CT18" i="26" l="1"/>
  <c r="CK11" i="26" l="1"/>
  <c r="CD20" i="1" l="1"/>
  <c r="DI64" i="25" l="1"/>
  <c r="CL11" i="26" l="1"/>
  <c r="CI11" i="26" l="1"/>
  <c r="DN11" i="26" s="1"/>
  <c r="DO11" i="26" s="1"/>
  <c r="DW11" i="26" s="1"/>
  <c r="DX11" i="26" s="1"/>
  <c r="EE11" i="26" s="1"/>
  <c r="EF11" i="26" s="1"/>
  <c r="EL11" i="26" s="1"/>
  <c r="CT11" i="26"/>
  <c r="CP14" i="23"/>
  <c r="CM14" i="23" s="1"/>
  <c r="DI14" i="23" s="1"/>
  <c r="DJ14" i="23" s="1"/>
  <c r="CP11" i="23"/>
  <c r="CM11" i="23" s="1"/>
  <c r="DI11" i="23" s="1"/>
  <c r="DJ11" i="23" s="1"/>
  <c r="CP19" i="23"/>
  <c r="CM19" i="23" s="1"/>
  <c r="DI19" i="23" s="1"/>
  <c r="DJ19" i="23" s="1"/>
  <c r="CP52" i="23"/>
  <c r="CM52" i="23" s="1"/>
  <c r="DI52" i="23" s="1"/>
  <c r="DJ52" i="23" s="1"/>
  <c r="CO11" i="23"/>
  <c r="CO19" i="23"/>
  <c r="CO52" i="23"/>
  <c r="CO14" i="23"/>
  <c r="CH34" i="28"/>
  <c r="CE34" i="28" s="1"/>
  <c r="DH34" i="28" s="1"/>
  <c r="DI34" i="28" s="1"/>
  <c r="DR34" i="28" s="1"/>
  <c r="DS34" i="28" s="1"/>
  <c r="EE34" i="28" s="1"/>
  <c r="EF34" i="28" s="1"/>
  <c r="EN34" i="28" s="1"/>
  <c r="CG34" i="28"/>
  <c r="CH19" i="28"/>
  <c r="CE19" i="28" s="1"/>
  <c r="DH19" i="28" s="1"/>
  <c r="DI19" i="28" s="1"/>
  <c r="DR19" i="28" s="1"/>
  <c r="DS19" i="28" s="1"/>
  <c r="EE19" i="28" s="1"/>
  <c r="EF19" i="28" s="1"/>
  <c r="EN19" i="28" s="1"/>
  <c r="CG19" i="28"/>
  <c r="CO54" i="27"/>
  <c r="CL54" i="27" s="1"/>
  <c r="DU54" i="27" s="1"/>
  <c r="DV54" i="27" s="1"/>
  <c r="EE54" i="27" s="1"/>
  <c r="EF54" i="27" s="1"/>
  <c r="EP54" i="27" s="1"/>
  <c r="EQ54" i="27" s="1"/>
  <c r="EV54" i="27" s="1"/>
  <c r="CN54" i="27"/>
  <c r="CO19" i="27"/>
  <c r="CL19" i="27" s="1"/>
  <c r="DU19" i="27" s="1"/>
  <c r="DV19" i="27" s="1"/>
  <c r="EE19" i="27" s="1"/>
  <c r="EF19" i="27" s="1"/>
  <c r="EP19" i="27" s="1"/>
  <c r="EQ19" i="27" s="1"/>
  <c r="EV19" i="27" s="1"/>
  <c r="CN19" i="27"/>
  <c r="DC36" i="25"/>
  <c r="CV26" i="24"/>
  <c r="CS26" i="24" s="1"/>
  <c r="DM26" i="24" s="1"/>
  <c r="DN26" i="24" s="1"/>
  <c r="DT26" i="24" s="1"/>
  <c r="DU26" i="24" s="1"/>
  <c r="EB26" i="24" s="1"/>
  <c r="EC26" i="24" s="1"/>
  <c r="EK26" i="24" s="1"/>
  <c r="CU26" i="24"/>
  <c r="CV27" i="24"/>
  <c r="CS27" i="24" s="1"/>
  <c r="DM27" i="24" s="1"/>
  <c r="DN27" i="24" s="1"/>
  <c r="DT27" i="24" s="1"/>
  <c r="DU27" i="24" s="1"/>
  <c r="EB27" i="24" s="1"/>
  <c r="EC27" i="24" s="1"/>
  <c r="EK27" i="24" s="1"/>
  <c r="CV25" i="24"/>
  <c r="CS25" i="24" s="1"/>
  <c r="DM25" i="24" s="1"/>
  <c r="DN25" i="24" s="1"/>
  <c r="DT25" i="24" s="1"/>
  <c r="DU25" i="24" s="1"/>
  <c r="EB25" i="24" s="1"/>
  <c r="EC25" i="24" s="1"/>
  <c r="EK25" i="24" s="1"/>
  <c r="DS19" i="23" l="1"/>
  <c r="DT19" i="23" s="1"/>
  <c r="EE19" i="23" s="1"/>
  <c r="EF19" i="23" s="1"/>
  <c r="EN19" i="23" s="1"/>
  <c r="DS11" i="23"/>
  <c r="DT11" i="23" s="1"/>
  <c r="EE11" i="23" s="1"/>
  <c r="EF11" i="23" s="1"/>
  <c r="EN11" i="23" s="1"/>
  <c r="DS52" i="23"/>
  <c r="DT52" i="23" s="1"/>
  <c r="EE52" i="23" s="1"/>
  <c r="EF52" i="23" s="1"/>
  <c r="EN52" i="23" s="1"/>
  <c r="DS14" i="23"/>
  <c r="DT14" i="23" s="1"/>
  <c r="EE14" i="23" s="1"/>
  <c r="EF14" i="23" s="1"/>
  <c r="EN14" i="23" s="1"/>
  <c r="CT19" i="28"/>
  <c r="DD26" i="24"/>
  <c r="DD54" i="27"/>
  <c r="DD19" i="27"/>
  <c r="CZ36" i="25"/>
  <c r="DS36" i="25" s="1"/>
  <c r="DT36" i="25" s="1"/>
  <c r="EI36" i="25" s="1"/>
  <c r="EJ36" i="25" s="1"/>
  <c r="EX36" i="25" s="1"/>
  <c r="EY36" i="25" s="1"/>
  <c r="FI36" i="25" s="1"/>
  <c r="DI36" i="25"/>
  <c r="CX11" i="23"/>
  <c r="CX52" i="23"/>
  <c r="CT34" i="28"/>
  <c r="CU25" i="24"/>
  <c r="DD25" i="24" s="1"/>
  <c r="CU27" i="24"/>
  <c r="DD27" i="24" s="1"/>
  <c r="CX14" i="23"/>
  <c r="CX19" i="23"/>
  <c r="BI23" i="20"/>
  <c r="BF23" i="20" s="1"/>
  <c r="BS23" i="20" s="1"/>
  <c r="BT23" i="20" s="1"/>
  <c r="BY23" i="20" s="1"/>
  <c r="BZ23" i="20" s="1"/>
  <c r="CC23" i="20" s="1"/>
  <c r="CD23" i="20" s="1"/>
  <c r="CF23" i="20" s="1"/>
  <c r="BH23" i="20"/>
  <c r="BX38" i="18"/>
  <c r="BY38" i="18"/>
  <c r="BV38" i="18" s="1"/>
  <c r="CQ38" i="18" s="1"/>
  <c r="CR38" i="18" s="1"/>
  <c r="CZ38" i="18" s="1"/>
  <c r="DA38" i="18" s="1"/>
  <c r="DN38" i="18" s="1"/>
  <c r="DO38" i="18" s="1"/>
  <c r="DW38" i="18" s="1"/>
  <c r="BY16" i="18"/>
  <c r="BX16" i="18"/>
  <c r="BY11" i="18"/>
  <c r="BX11" i="18"/>
  <c r="CB11" i="17"/>
  <c r="BY11" i="17" s="1"/>
  <c r="CR11" i="17" s="1"/>
  <c r="CS11" i="17" s="1"/>
  <c r="DA11" i="17" s="1"/>
  <c r="DB11" i="17" s="1"/>
  <c r="DL11" i="17" s="1"/>
  <c r="DM11" i="17" s="1"/>
  <c r="DU11" i="17" s="1"/>
  <c r="CA11" i="17"/>
  <c r="BF29" i="16"/>
  <c r="BD29" i="16" s="1"/>
  <c r="CI29" i="16" s="1"/>
  <c r="CJ29" i="16" s="1"/>
  <c r="CP29" i="16" s="1"/>
  <c r="CQ29" i="16" s="1"/>
  <c r="CT29" i="16" s="1"/>
  <c r="CU29" i="16" s="1"/>
  <c r="CZ29" i="16" s="1"/>
  <c r="BR21" i="1"/>
  <c r="BM23" i="20" l="1"/>
  <c r="BV11" i="18"/>
  <c r="CQ11" i="18" s="1"/>
  <c r="CR11" i="18" s="1"/>
  <c r="CZ11" i="18" s="1"/>
  <c r="DA11" i="18" s="1"/>
  <c r="DN11" i="18" s="1"/>
  <c r="DO11" i="18" s="1"/>
  <c r="DW11" i="18" s="1"/>
  <c r="BV16" i="18"/>
  <c r="CR16" i="18" s="1"/>
  <c r="CZ16" i="18" s="1"/>
  <c r="DA16" i="18" s="1"/>
  <c r="DN16" i="18" s="1"/>
  <c r="DO16" i="18" s="1"/>
  <c r="DW16" i="18" s="1"/>
  <c r="CG16" i="18"/>
  <c r="CG11" i="18"/>
  <c r="CH11" i="17"/>
  <c r="CE21" i="1"/>
  <c r="CZ21" i="1" s="1"/>
  <c r="DA21" i="1" s="1"/>
  <c r="DQ21" i="1" s="1"/>
  <c r="DR21" i="1" s="1"/>
  <c r="EH21" i="1" s="1"/>
  <c r="EI21" i="1" s="1"/>
  <c r="ET21" i="1" s="1"/>
  <c r="CD21" i="1"/>
  <c r="CG38" i="18"/>
  <c r="BN29" i="16"/>
  <c r="BQ16" i="19" l="1"/>
  <c r="CI16" i="19" s="1"/>
  <c r="CJ16" i="19" s="1"/>
  <c r="CP16" i="19" s="1"/>
  <c r="CQ16" i="19" s="1"/>
  <c r="CV16" i="19" s="1"/>
  <c r="CW16" i="19" s="1"/>
  <c r="DE16" i="19" s="1"/>
</calcChain>
</file>

<file path=xl/sharedStrings.xml><?xml version="1.0" encoding="utf-8"?>
<sst xmlns="http://schemas.openxmlformats.org/spreadsheetml/2006/main" count="5266" uniqueCount="917">
  <si>
    <t>CATEG.</t>
  </si>
  <si>
    <t>SEXO</t>
  </si>
  <si>
    <t>PESO</t>
  </si>
  <si>
    <t>FEDERACION DE JUDO DE CHILE</t>
  </si>
  <si>
    <t>NOMBRE</t>
  </si>
  <si>
    <t>CLUB</t>
  </si>
  <si>
    <t>JUDITH</t>
  </si>
  <si>
    <t>HIROSHIMA</t>
  </si>
  <si>
    <t>JUDOKAN</t>
  </si>
  <si>
    <t>TOTAL</t>
  </si>
  <si>
    <t>ABSOLUTA</t>
  </si>
  <si>
    <t>F</t>
  </si>
  <si>
    <t>PUDETO</t>
  </si>
  <si>
    <t>FUJILOLEN</t>
  </si>
  <si>
    <t>KARINA</t>
  </si>
  <si>
    <t>YAMA HARASHI</t>
  </si>
  <si>
    <t>ZENRYOKU</t>
  </si>
  <si>
    <t>RIO CRUCES</t>
  </si>
  <si>
    <t>CAMILA</t>
  </si>
  <si>
    <t>PUDAHUEL</t>
  </si>
  <si>
    <t>SEBASTIAN</t>
  </si>
  <si>
    <t>DIEGO</t>
  </si>
  <si>
    <t>LUIS</t>
  </si>
  <si>
    <t>NICOLAS</t>
  </si>
  <si>
    <t>EJERCITO</t>
  </si>
  <si>
    <t>KOBE</t>
  </si>
  <si>
    <t>JUAN</t>
  </si>
  <si>
    <t>FELIPE</t>
  </si>
  <si>
    <t>GUSTAVO</t>
  </si>
  <si>
    <t>CAMILO</t>
  </si>
  <si>
    <t>JORGE</t>
  </si>
  <si>
    <t>MY GARDEN</t>
  </si>
  <si>
    <t>JOSE</t>
  </si>
  <si>
    <t>THOMAS</t>
  </si>
  <si>
    <t>OSCAR</t>
  </si>
  <si>
    <t>FRANCISCO</t>
  </si>
  <si>
    <t>SHIRU</t>
  </si>
  <si>
    <t>FRANCO</t>
  </si>
  <si>
    <t>MAHO</t>
  </si>
  <si>
    <t>MARY DEE</t>
  </si>
  <si>
    <t>HUGO</t>
  </si>
  <si>
    <t>PANGUI</t>
  </si>
  <si>
    <t>MARCELA</t>
  </si>
  <si>
    <t>FUJIYAMA</t>
  </si>
  <si>
    <t>JOVANNY</t>
  </si>
  <si>
    <t>ALLYSON</t>
  </si>
  <si>
    <t>JUAN PABLO</t>
  </si>
  <si>
    <t>CARAB ARICA</t>
  </si>
  <si>
    <t>ELIZABETH</t>
  </si>
  <si>
    <t>LUCAS</t>
  </si>
  <si>
    <t>KODOKAN</t>
  </si>
  <si>
    <t>KUMIKATA</t>
  </si>
  <si>
    <t>DANGELO</t>
  </si>
  <si>
    <t>MAGOTACHI</t>
  </si>
  <si>
    <t>CONSTANZA</t>
  </si>
  <si>
    <t>REINALDO</t>
  </si>
  <si>
    <t>RANKING INTERNACIONAL 2022</t>
  </si>
  <si>
    <t>SHOGAI ÑUÑOA</t>
  </si>
  <si>
    <t>SELECTIVO</t>
  </si>
  <si>
    <t>% RANKING</t>
  </si>
  <si>
    <t>NACIONAL</t>
  </si>
  <si>
    <t>APELLIDOS</t>
  </si>
  <si>
    <t>SHOGAI</t>
  </si>
  <si>
    <t>FERNANDA</t>
  </si>
  <si>
    <t>CRICHNA</t>
  </si>
  <si>
    <t>ADELA</t>
  </si>
  <si>
    <t>MARTINA</t>
  </si>
  <si>
    <t>U CHILE</t>
  </si>
  <si>
    <t>NAC</t>
  </si>
  <si>
    <t xml:space="preserve">VALENZUELA </t>
  </si>
  <si>
    <t>MICHAEL</t>
  </si>
  <si>
    <t>CARB ARICA</t>
  </si>
  <si>
    <t>M100</t>
  </si>
  <si>
    <t>DANIEL</t>
  </si>
  <si>
    <t>SANDRO</t>
  </si>
  <si>
    <t>FABIAN</t>
  </si>
  <si>
    <t>NAGASAKI</t>
  </si>
  <si>
    <t>GS</t>
  </si>
  <si>
    <t>ISRAEL</t>
  </si>
  <si>
    <t>OPEN</t>
  </si>
  <si>
    <t>REP CHE</t>
  </si>
  <si>
    <t>TUR</t>
  </si>
  <si>
    <t>RE</t>
  </si>
  <si>
    <t>XII</t>
  </si>
  <si>
    <t>M</t>
  </si>
  <si>
    <t>XV</t>
  </si>
  <si>
    <t>ARAYA</t>
  </si>
  <si>
    <t>JARA</t>
  </si>
  <si>
    <t>DIAZ</t>
  </si>
  <si>
    <t xml:space="preserve">CHAVEZ </t>
  </si>
  <si>
    <t>CHAVEZ</t>
  </si>
  <si>
    <t xml:space="preserve">SOTO </t>
  </si>
  <si>
    <t xml:space="preserve">VARGAS </t>
  </si>
  <si>
    <t>LEY</t>
  </si>
  <si>
    <t xml:space="preserve">CACERES </t>
  </si>
  <si>
    <t>SMOJE</t>
  </si>
  <si>
    <t xml:space="preserve">TAPIA </t>
  </si>
  <si>
    <t>CHOQUE</t>
  </si>
  <si>
    <t xml:space="preserve">SALAMANCA </t>
  </si>
  <si>
    <t>CARVAJAL</t>
  </si>
  <si>
    <t xml:space="preserve">PEREZ </t>
  </si>
  <si>
    <t>ALVAREZ</t>
  </si>
  <si>
    <t xml:space="preserve">GONZALEZ </t>
  </si>
  <si>
    <t>ESPINOZA</t>
  </si>
  <si>
    <t>PEREZ</t>
  </si>
  <si>
    <t>CASTILLO</t>
  </si>
  <si>
    <t>FUENZALIDA</t>
  </si>
  <si>
    <t>CARPIO</t>
  </si>
  <si>
    <t xml:space="preserve">SAN MARTIN </t>
  </si>
  <si>
    <t>SALINAS</t>
  </si>
  <si>
    <t>GUERRERO</t>
  </si>
  <si>
    <t>ARRIAGADA</t>
  </si>
  <si>
    <t>ROZAS</t>
  </si>
  <si>
    <t>BUDOKAN</t>
  </si>
  <si>
    <t>TOSCANINI</t>
  </si>
  <si>
    <t>MESA</t>
  </si>
  <si>
    <t>MEZA</t>
  </si>
  <si>
    <t xml:space="preserve">SANCHEZ </t>
  </si>
  <si>
    <t xml:space="preserve">BOTTO </t>
  </si>
  <si>
    <t>IZURIETA</t>
  </si>
  <si>
    <t>PE</t>
  </si>
  <si>
    <t>PERU</t>
  </si>
  <si>
    <t>GUTIERREZ</t>
  </si>
  <si>
    <t>JAQUE</t>
  </si>
  <si>
    <t xml:space="preserve">CALDERON </t>
  </si>
  <si>
    <t>TORRES</t>
  </si>
  <si>
    <t xml:space="preserve">SEGURA </t>
  </si>
  <si>
    <t>SOTO</t>
  </si>
  <si>
    <t>MORA</t>
  </si>
  <si>
    <t>OSSES</t>
  </si>
  <si>
    <t>MONTAÑO</t>
  </si>
  <si>
    <t>LORETO</t>
  </si>
  <si>
    <t>I</t>
  </si>
  <si>
    <t>VARGAS</t>
  </si>
  <si>
    <t>ROJAS</t>
  </si>
  <si>
    <t>AGUILAR</t>
  </si>
  <si>
    <t>HUMBERTO</t>
  </si>
  <si>
    <t>DAVILA</t>
  </si>
  <si>
    <t>AGUILERA</t>
  </si>
  <si>
    <t>GOMEZ</t>
  </si>
  <si>
    <t>PALMA</t>
  </si>
  <si>
    <t>ZARATE</t>
  </si>
  <si>
    <t>CAROCA</t>
  </si>
  <si>
    <t>NICOLE</t>
  </si>
  <si>
    <t xml:space="preserve">BRICEÑO </t>
  </si>
  <si>
    <t>GONZALEZ</t>
  </si>
  <si>
    <t>GARCIA</t>
  </si>
  <si>
    <t xml:space="preserve">MERA </t>
  </si>
  <si>
    <t>RODRIGUEZ</t>
  </si>
  <si>
    <t>QUIJADA</t>
  </si>
  <si>
    <t xml:space="preserve">SOLIS </t>
  </si>
  <si>
    <t>SANDOVAL</t>
  </si>
  <si>
    <t>EASTMAN</t>
  </si>
  <si>
    <t>QUEVEDO</t>
  </si>
  <si>
    <t>MUÑOZ</t>
  </si>
  <si>
    <t>CRISTIAN</t>
  </si>
  <si>
    <t>VIII</t>
  </si>
  <si>
    <t>YEPEZ</t>
  </si>
  <si>
    <t>ALEJANDRO</t>
  </si>
  <si>
    <t>JHOEL</t>
  </si>
  <si>
    <t>IRIGOYEN</t>
  </si>
  <si>
    <t>NAVARETTE</t>
  </si>
  <si>
    <t>CRISTOBAL</t>
  </si>
  <si>
    <t>RODRIGO</t>
  </si>
  <si>
    <t>HERRERA</t>
  </si>
  <si>
    <t>CONTRERAS</t>
  </si>
  <si>
    <t xml:space="preserve">ESPINOZA </t>
  </si>
  <si>
    <t>IX</t>
  </si>
  <si>
    <t>CARRASCO</t>
  </si>
  <si>
    <t>IVAN</t>
  </si>
  <si>
    <t>NA CC</t>
  </si>
  <si>
    <t>STGO</t>
  </si>
  <si>
    <t>30.04</t>
  </si>
  <si>
    <t>KATHERINE</t>
  </si>
  <si>
    <t>VALENTINA</t>
  </si>
  <si>
    <t>LAGOS</t>
  </si>
  <si>
    <t>ULLOA</t>
  </si>
  <si>
    <t>JADE</t>
  </si>
  <si>
    <t>LA PINTANA</t>
  </si>
  <si>
    <t>GARRIDO</t>
  </si>
  <si>
    <t xml:space="preserve">ALFARO </t>
  </si>
  <si>
    <t>VIDELA</t>
  </si>
  <si>
    <t xml:space="preserve">QUEVEDO </t>
  </si>
  <si>
    <t xml:space="preserve">CORTES </t>
  </si>
  <si>
    <t>CALDERON</t>
  </si>
  <si>
    <t>OJEDA</t>
  </si>
  <si>
    <t>MONSERRATT</t>
  </si>
  <si>
    <t>PARRA</t>
  </si>
  <si>
    <t>BASTIAN</t>
  </si>
  <si>
    <t>PROY. G NAVIA</t>
  </si>
  <si>
    <t>VERA</t>
  </si>
  <si>
    <t>FERNANDEZ</t>
  </si>
  <si>
    <t>GALAZ</t>
  </si>
  <si>
    <t>JITA KYOEI</t>
  </si>
  <si>
    <t>JOAQUIN</t>
  </si>
  <si>
    <t>QUEZADA</t>
  </si>
  <si>
    <t>BRYAN</t>
  </si>
  <si>
    <t>SAMURAI</t>
  </si>
  <si>
    <t>JIMENEZ</t>
  </si>
  <si>
    <t>MENDOZA</t>
  </si>
  <si>
    <t>HERNAN</t>
  </si>
  <si>
    <t>LOPEZ</t>
  </si>
  <si>
    <t>LABBE</t>
  </si>
  <si>
    <t>BENJAMIN</t>
  </si>
  <si>
    <t>CORNEJO</t>
  </si>
  <si>
    <t>ACADEMIA ROMO</t>
  </si>
  <si>
    <t>JOHAN</t>
  </si>
  <si>
    <t>DAVID</t>
  </si>
  <si>
    <t>LEYTON</t>
  </si>
  <si>
    <t>EDUARDO</t>
  </si>
  <si>
    <t>RIOS</t>
  </si>
  <si>
    <t>ARISMENDI</t>
  </si>
  <si>
    <t>BIZAMA</t>
  </si>
  <si>
    <t>HERNANDEZ</t>
  </si>
  <si>
    <t>NAVARRO</t>
  </si>
  <si>
    <t>CARDENAS</t>
  </si>
  <si>
    <t>TOPP</t>
  </si>
  <si>
    <t>LIENAN</t>
  </si>
  <si>
    <t>GALLARDO</t>
  </si>
  <si>
    <t>CERON</t>
  </si>
  <si>
    <t>ACUÑA</t>
  </si>
  <si>
    <t>BELMAR</t>
  </si>
  <si>
    <t>ESPAÑA</t>
  </si>
  <si>
    <t>LEIVA</t>
  </si>
  <si>
    <t>NA ZS</t>
  </si>
  <si>
    <t>PAN</t>
  </si>
  <si>
    <t>ZEPEDA</t>
  </si>
  <si>
    <t>CARREÑO</t>
  </si>
  <si>
    <t>CARLOS</t>
  </si>
  <si>
    <t>JAIME CHARLES</t>
  </si>
  <si>
    <t>PENA</t>
  </si>
  <si>
    <t>FLORES</t>
  </si>
  <si>
    <t>ALEXANDER</t>
  </si>
  <si>
    <t>U ANTOFAGASTA</t>
  </si>
  <si>
    <t>KLINGENBERG</t>
  </si>
  <si>
    <t>SVEN</t>
  </si>
  <si>
    <t>SENSEI PARRA</t>
  </si>
  <si>
    <t>JULIO</t>
  </si>
  <si>
    <t>ALMEIDA</t>
  </si>
  <si>
    <t>DARIO</t>
  </si>
  <si>
    <t>GUAJARDO</t>
  </si>
  <si>
    <t>VARAS</t>
  </si>
  <si>
    <t>GERARDO</t>
  </si>
  <si>
    <t>KYOUDAI</t>
  </si>
  <si>
    <t>ZUÑIGA</t>
  </si>
  <si>
    <t>UNIV ANTOFAGASTA</t>
  </si>
  <si>
    <t>RIVERA</t>
  </si>
  <si>
    <t>RUIZ</t>
  </si>
  <si>
    <t>KOSAI</t>
  </si>
  <si>
    <t>CHACON</t>
  </si>
  <si>
    <t>ESTEFANIA</t>
  </si>
  <si>
    <t>BARBARA</t>
  </si>
  <si>
    <t>VENEGAS</t>
  </si>
  <si>
    <t>GIADROSIC</t>
  </si>
  <si>
    <t>KORBLER</t>
  </si>
  <si>
    <t>VASQUEZ</t>
  </si>
  <si>
    <t>FIGUEROA</t>
  </si>
  <si>
    <t>OCEDA</t>
  </si>
  <si>
    <t>CORTES</t>
  </si>
  <si>
    <t>V</t>
  </si>
  <si>
    <t>MORENO</t>
  </si>
  <si>
    <t>III-IV</t>
  </si>
  <si>
    <t>VELIZ</t>
  </si>
  <si>
    <t>MATIAS</t>
  </si>
  <si>
    <t>KAZOKU JC</t>
  </si>
  <si>
    <t>JAVIERA</t>
  </si>
  <si>
    <t>II</t>
  </si>
  <si>
    <t>DINASTIA</t>
  </si>
  <si>
    <t>LETELIER</t>
  </si>
  <si>
    <t>EDISON</t>
  </si>
  <si>
    <t>ZAPATA</t>
  </si>
  <si>
    <t>YAMASHITA</t>
  </si>
  <si>
    <t>ESCRICH</t>
  </si>
  <si>
    <t>ERIK</t>
  </si>
  <si>
    <t>KUWAHARA</t>
  </si>
  <si>
    <t>FUJIKO</t>
  </si>
  <si>
    <t>ACEVEDO</t>
  </si>
  <si>
    <t>FULEHO</t>
  </si>
  <si>
    <t>VIÑA</t>
  </si>
  <si>
    <t>FOLCHI</t>
  </si>
  <si>
    <t>TOMAS</t>
  </si>
  <si>
    <t>MILLAS</t>
  </si>
  <si>
    <t>OSVALDO</t>
  </si>
  <si>
    <t>VAYTHIARE</t>
  </si>
  <si>
    <t>SJM</t>
  </si>
  <si>
    <t>ANTONIA</t>
  </si>
  <si>
    <t>ZS</t>
  </si>
  <si>
    <t>ZC</t>
  </si>
  <si>
    <t>MGL</t>
  </si>
  <si>
    <t>ZN</t>
  </si>
  <si>
    <t>IQQ</t>
  </si>
  <si>
    <t>JJBB</t>
  </si>
  <si>
    <t>COL</t>
  </si>
  <si>
    <t>CORAL</t>
  </si>
  <si>
    <t>MURGAS</t>
  </si>
  <si>
    <t>HUN</t>
  </si>
  <si>
    <t>NA ZC</t>
  </si>
  <si>
    <t>MICAELA</t>
  </si>
  <si>
    <t>MACKARENA</t>
  </si>
  <si>
    <t>AGUIRRE</t>
  </si>
  <si>
    <t>SOLAR</t>
  </si>
  <si>
    <t>SERGIO</t>
  </si>
  <si>
    <t>GP</t>
  </si>
  <si>
    <t>CRO</t>
  </si>
  <si>
    <t>XIV</t>
  </si>
  <si>
    <t>VI</t>
  </si>
  <si>
    <t>COLCHAGUA</t>
  </si>
  <si>
    <t>MAGDALENA</t>
  </si>
  <si>
    <t>XI</t>
  </si>
  <si>
    <t>MAURICIO</t>
  </si>
  <si>
    <t>ANTONELLA</t>
  </si>
  <si>
    <t>AUT</t>
  </si>
  <si>
    <t>REP DOM</t>
  </si>
  <si>
    <t>ITA</t>
  </si>
  <si>
    <t>XIII</t>
  </si>
  <si>
    <t>FICA</t>
  </si>
  <si>
    <t>NA ZN</t>
  </si>
  <si>
    <t>AH</t>
  </si>
  <si>
    <t>MEYER</t>
  </si>
  <si>
    <t>FABRICIO</t>
  </si>
  <si>
    <t>DONOSO</t>
  </si>
  <si>
    <t>YEISON</t>
  </si>
  <si>
    <t>CACERES</t>
  </si>
  <si>
    <t>MUN</t>
  </si>
  <si>
    <t>UZB</t>
  </si>
  <si>
    <t>JJSS</t>
  </si>
  <si>
    <t>PAR</t>
  </si>
  <si>
    <t>L</t>
  </si>
  <si>
    <t>JEYMI</t>
  </si>
  <si>
    <t>EAU</t>
  </si>
  <si>
    <t>SENSEI TEMUCO</t>
  </si>
  <si>
    <t>SU</t>
  </si>
  <si>
    <t>ARG</t>
  </si>
  <si>
    <t>AZE</t>
  </si>
  <si>
    <t>NA</t>
  </si>
  <si>
    <t>CJ</t>
  </si>
  <si>
    <t>CELSO</t>
  </si>
  <si>
    <t>CASTAÑEDA</t>
  </si>
  <si>
    <t>ALFREDO</t>
  </si>
  <si>
    <t>FN</t>
  </si>
  <si>
    <t>MASTER</t>
  </si>
  <si>
    <t>ISR</t>
  </si>
  <si>
    <t>RANKING INTERNACIONAL 2023</t>
  </si>
  <si>
    <t>URRA</t>
  </si>
  <si>
    <t>PATRICIO</t>
  </si>
  <si>
    <t>ANAHIS</t>
  </si>
  <si>
    <t>GS ISR</t>
  </si>
  <si>
    <t>GS FRA</t>
  </si>
  <si>
    <t>OPEN TUN</t>
  </si>
  <si>
    <t>OPEN COL</t>
  </si>
  <si>
    <t>GS GEO</t>
  </si>
  <si>
    <t>GS TUR</t>
  </si>
  <si>
    <t>02.04</t>
  </si>
  <si>
    <t>01.04</t>
  </si>
  <si>
    <t>SAMIT</t>
  </si>
  <si>
    <t>SAID</t>
  </si>
  <si>
    <t>SOUDRE</t>
  </si>
  <si>
    <t>08.04</t>
  </si>
  <si>
    <t>GODOY</t>
  </si>
  <si>
    <t>15.04</t>
  </si>
  <si>
    <t>CASTRO</t>
  </si>
  <si>
    <t>ASHLEY</t>
  </si>
  <si>
    <t>IGNACIA</t>
  </si>
  <si>
    <t>JAZMIN</t>
  </si>
  <si>
    <t>ALGARROBO</t>
  </si>
  <si>
    <t>SAMUEL</t>
  </si>
  <si>
    <t>PINTANA</t>
  </si>
  <si>
    <t>SEGOVIA</t>
  </si>
  <si>
    <t>KODOMOTACHI</t>
  </si>
  <si>
    <t>HINODE</t>
  </si>
  <si>
    <t>CORREA</t>
  </si>
  <si>
    <t>DANILO</t>
  </si>
  <si>
    <t>ESC-SUBOF EJERCITO</t>
  </si>
  <si>
    <t>GONZALO</t>
  </si>
  <si>
    <t>SAN SEI</t>
  </si>
  <si>
    <t>WLADIMIR</t>
  </si>
  <si>
    <t>FERNANDO</t>
  </si>
  <si>
    <t>CM DOHA</t>
  </si>
  <si>
    <t>GP AUT</t>
  </si>
  <si>
    <t>27.05</t>
  </si>
  <si>
    <t>ROMERO</t>
  </si>
  <si>
    <t>OPEN CHI</t>
  </si>
  <si>
    <t>20.05</t>
  </si>
  <si>
    <t>PEDRO</t>
  </si>
  <si>
    <t>CAES DE RUA</t>
  </si>
  <si>
    <t>OPEN ARG</t>
  </si>
  <si>
    <t>10.06</t>
  </si>
  <si>
    <t>ZO</t>
  </si>
  <si>
    <t>17.06</t>
  </si>
  <si>
    <t>PAREDES</t>
  </si>
  <si>
    <t>KUMAR</t>
  </si>
  <si>
    <t>ARUKI KATA</t>
  </si>
  <si>
    <t>SAN IGNACIO</t>
  </si>
  <si>
    <t>SALDIAS</t>
  </si>
  <si>
    <t>LORENZO</t>
  </si>
  <si>
    <t>SAKURA NEWEN</t>
  </si>
  <si>
    <t>24.06</t>
  </si>
  <si>
    <t>3.2</t>
  </si>
  <si>
    <t>ANGEL</t>
  </si>
  <si>
    <t>OPEN ECU</t>
  </si>
  <si>
    <t>01.07</t>
  </si>
  <si>
    <t>BASTIDAS</t>
  </si>
  <si>
    <t>ALLENDE</t>
  </si>
  <si>
    <t>GISELLA</t>
  </si>
  <si>
    <t>FUKUOKA</t>
  </si>
  <si>
    <t>OPEN BRA</t>
  </si>
  <si>
    <t>08.07</t>
  </si>
  <si>
    <t>09.07</t>
  </si>
  <si>
    <t>15.07</t>
  </si>
  <si>
    <t>GALLEANI</t>
  </si>
  <si>
    <t>AVALOS</t>
  </si>
  <si>
    <t>OPEN PERU</t>
  </si>
  <si>
    <t>29.07</t>
  </si>
  <si>
    <t>VERGARA</t>
  </si>
  <si>
    <t>JUDO DEL CARBON</t>
  </si>
  <si>
    <t>LAMIG</t>
  </si>
  <si>
    <t>LILIANA</t>
  </si>
  <si>
    <t>PUC</t>
  </si>
  <si>
    <t>MAYORGA</t>
  </si>
  <si>
    <t>M78</t>
  </si>
  <si>
    <t>V-VI</t>
  </si>
  <si>
    <t>05.08</t>
  </si>
  <si>
    <t>12.08</t>
  </si>
  <si>
    <t>GP CRO</t>
  </si>
  <si>
    <t>19.08</t>
  </si>
  <si>
    <t>ARDILES</t>
  </si>
  <si>
    <t>VEGA</t>
  </si>
  <si>
    <t>CARABINEROS</t>
  </si>
  <si>
    <t>09.09</t>
  </si>
  <si>
    <t>VII-VIII-XVI</t>
  </si>
  <si>
    <t>CAN</t>
  </si>
  <si>
    <t>GS AZE</t>
  </si>
  <si>
    <t>01.10</t>
  </si>
  <si>
    <t>07.10</t>
  </si>
  <si>
    <t>X</t>
  </si>
  <si>
    <t>08.10</t>
  </si>
  <si>
    <t>LOAIZA</t>
  </si>
  <si>
    <t>MALDONADO</t>
  </si>
  <si>
    <t>IANCARLOS</t>
  </si>
  <si>
    <t>14.10</t>
  </si>
  <si>
    <t>CARCAMO</t>
  </si>
  <si>
    <t>IGNACIO</t>
  </si>
  <si>
    <t>CARABINEROS DE CHILE</t>
  </si>
  <si>
    <t>JJPP</t>
  </si>
  <si>
    <t>CHI</t>
  </si>
  <si>
    <t>OPEN AUS</t>
  </si>
  <si>
    <t>11.11</t>
  </si>
  <si>
    <t>MENESES</t>
  </si>
  <si>
    <t>ANAIS</t>
  </si>
  <si>
    <t>BANZAI</t>
  </si>
  <si>
    <t>ACAD ROMO</t>
  </si>
  <si>
    <t>POBLETE</t>
  </si>
  <si>
    <t>JAP</t>
  </si>
  <si>
    <t>10.12</t>
  </si>
  <si>
    <t>MENDEZ</t>
  </si>
  <si>
    <t>SHIN YU</t>
  </si>
  <si>
    <t>POR</t>
  </si>
  <si>
    <t>26.01</t>
  </si>
  <si>
    <t>FRA</t>
  </si>
  <si>
    <t>02.02</t>
  </si>
  <si>
    <t>03.02</t>
  </si>
  <si>
    <t>04.02</t>
  </si>
  <si>
    <t>17.02</t>
  </si>
  <si>
    <t>18.02</t>
  </si>
  <si>
    <t>SEL</t>
  </si>
  <si>
    <t>24.02</t>
  </si>
  <si>
    <t>TOLOZA</t>
  </si>
  <si>
    <t>AYINKO</t>
  </si>
  <si>
    <t>BELEN</t>
  </si>
  <si>
    <t>SAIGO KIDS</t>
  </si>
  <si>
    <t>REP SIRIA</t>
  </si>
  <si>
    <t>AGUSTIN</t>
  </si>
  <si>
    <t>01.03</t>
  </si>
  <si>
    <t>08.03</t>
  </si>
  <si>
    <t>09.03</t>
  </si>
  <si>
    <t>GEO</t>
  </si>
  <si>
    <t>23.03</t>
  </si>
  <si>
    <t>29.03</t>
  </si>
  <si>
    <t>30.03</t>
  </si>
  <si>
    <t>06.04</t>
  </si>
  <si>
    <t>ABAZOLA</t>
  </si>
  <si>
    <t>GUEMES</t>
  </si>
  <si>
    <t>RENATO</t>
  </si>
  <si>
    <t>COFRE</t>
  </si>
  <si>
    <t>EMMANUEL</t>
  </si>
  <si>
    <t>JHON</t>
  </si>
  <si>
    <t>VII-VII-XVI</t>
  </si>
  <si>
    <t>ELIAS</t>
  </si>
  <si>
    <t>SALAS</t>
  </si>
  <si>
    <t>ARIEL</t>
  </si>
  <si>
    <t>FARIAS</t>
  </si>
  <si>
    <t>COLLIO</t>
  </si>
  <si>
    <t>RM</t>
  </si>
  <si>
    <t xml:space="preserve">CARABINEROS </t>
  </si>
  <si>
    <t>ASTO</t>
  </si>
  <si>
    <t>CUEVAS</t>
  </si>
  <si>
    <t>HERMAN</t>
  </si>
  <si>
    <t>JOFRE</t>
  </si>
  <si>
    <t>FRANCISCA</t>
  </si>
  <si>
    <t>20.04</t>
  </si>
  <si>
    <t>HUERTA</t>
  </si>
  <si>
    <t>BRA</t>
  </si>
  <si>
    <t>26.04</t>
  </si>
  <si>
    <t>27.04</t>
  </si>
  <si>
    <t>LLANCALAHUEN</t>
  </si>
  <si>
    <t>OP</t>
  </si>
  <si>
    <t>04.05</t>
  </si>
  <si>
    <t>05.05</t>
  </si>
  <si>
    <t>CASAS</t>
  </si>
  <si>
    <t>KHARLA</t>
  </si>
  <si>
    <t>KAZ</t>
  </si>
  <si>
    <t>11.05</t>
  </si>
  <si>
    <t>MU</t>
  </si>
  <si>
    <t>19.05</t>
  </si>
  <si>
    <t>BORIS</t>
  </si>
  <si>
    <t>QUISPE</t>
  </si>
  <si>
    <t>ESTEBAN</t>
  </si>
  <si>
    <t>AIZING</t>
  </si>
  <si>
    <t>ALCAMAN</t>
  </si>
  <si>
    <t>FOCHI</t>
  </si>
  <si>
    <t>REYES</t>
  </si>
  <si>
    <t>SAN MARTIN</t>
  </si>
  <si>
    <t>21.05</t>
  </si>
  <si>
    <t>23.05</t>
  </si>
  <si>
    <t>CC</t>
  </si>
  <si>
    <t>02.06</t>
  </si>
  <si>
    <t>NUÑEZ</t>
  </si>
  <si>
    <t>MARTINEZ</t>
  </si>
  <si>
    <t>MARIA</t>
  </si>
  <si>
    <t>ESCUELA PDI</t>
  </si>
  <si>
    <t>01.06</t>
  </si>
  <si>
    <t>FRANKO</t>
  </si>
  <si>
    <t>CID</t>
  </si>
  <si>
    <t>NAYARETT</t>
  </si>
  <si>
    <t>15.06</t>
  </si>
  <si>
    <t>DUBO</t>
  </si>
  <si>
    <t>ISAAC</t>
  </si>
  <si>
    <t>ESLABON</t>
  </si>
  <si>
    <t>SEISHIN</t>
  </si>
  <si>
    <t>ETCHEGOYEN</t>
  </si>
  <si>
    <t>EGGERS</t>
  </si>
  <si>
    <t>LINARES</t>
  </si>
  <si>
    <t>PASCALE</t>
  </si>
  <si>
    <t>CHOLCHOL</t>
  </si>
  <si>
    <t>PER</t>
  </si>
  <si>
    <t>21.06</t>
  </si>
  <si>
    <t>22.06</t>
  </si>
  <si>
    <t>ESCONDIDA</t>
  </si>
  <si>
    <t>LA MERCED</t>
  </si>
  <si>
    <t>ESLABÓN</t>
  </si>
  <si>
    <t>14.07</t>
  </si>
  <si>
    <t>CARRIEL</t>
  </si>
  <si>
    <t>XPRO</t>
  </si>
  <si>
    <t>PDI</t>
  </si>
  <si>
    <t>E</t>
  </si>
  <si>
    <t>JJOO</t>
  </si>
  <si>
    <t>27.07</t>
  </si>
  <si>
    <t>01.08</t>
  </si>
  <si>
    <t>17.08</t>
  </si>
  <si>
    <t>31.08</t>
  </si>
  <si>
    <t>FUENTES</t>
  </si>
  <si>
    <t>ENRIQUE</t>
  </si>
  <si>
    <t>KEIM</t>
  </si>
  <si>
    <t>VALPARAISO</t>
  </si>
  <si>
    <t>24.08</t>
  </si>
  <si>
    <t>NATALIA</t>
  </si>
  <si>
    <t>KATHLEEN</t>
  </si>
  <si>
    <t>07.09</t>
  </si>
  <si>
    <t>ESTRADA</t>
  </si>
  <si>
    <t>ISIDORA</t>
  </si>
  <si>
    <t>MELO</t>
  </si>
  <si>
    <t>VICTORIA</t>
  </si>
  <si>
    <t>17.09</t>
  </si>
  <si>
    <t>14.09</t>
  </si>
  <si>
    <t>IRIARTE</t>
  </si>
  <si>
    <t>MARIA FDA</t>
  </si>
  <si>
    <t>JOSE MIGUEL</t>
  </si>
  <si>
    <t>FUJI TAMAYA</t>
  </si>
  <si>
    <t>X-XIV</t>
  </si>
  <si>
    <t>28.09</t>
  </si>
  <si>
    <t>JOHAF</t>
  </si>
  <si>
    <t>IKIKATA</t>
  </si>
  <si>
    <t>AUSTRAL</t>
  </si>
  <si>
    <t>BRANDON</t>
  </si>
  <si>
    <t>DOM</t>
  </si>
  <si>
    <t>06.10</t>
  </si>
  <si>
    <t>OZANAM</t>
  </si>
  <si>
    <t>13.10</t>
  </si>
  <si>
    <t>CARAYANIS</t>
  </si>
  <si>
    <t>ANDRES</t>
  </si>
  <si>
    <t>MARIO</t>
  </si>
  <si>
    <t>VALENCIA</t>
  </si>
  <si>
    <t>MARIA CAMILA</t>
  </si>
  <si>
    <t>GALVEZ</t>
  </si>
  <si>
    <t>TATIANA</t>
  </si>
  <si>
    <t>PHILLIPS</t>
  </si>
  <si>
    <t>AYLEEN</t>
  </si>
  <si>
    <t>CF</t>
  </si>
  <si>
    <t>02.11</t>
  </si>
  <si>
    <t>16.11</t>
  </si>
  <si>
    <t>23.11</t>
  </si>
  <si>
    <t>MEDEL</t>
  </si>
  <si>
    <t>EIM</t>
  </si>
  <si>
    <t>VILLALOBOS</t>
  </si>
  <si>
    <t>MAX</t>
  </si>
  <si>
    <t>ORELLANA</t>
  </si>
  <si>
    <t>CONCE</t>
  </si>
  <si>
    <t>14.12</t>
  </si>
  <si>
    <t>RE / ZO / NA</t>
  </si>
  <si>
    <t>RANKING INTERNACIONAL 2025</t>
  </si>
  <si>
    <t>ENE</t>
  </si>
  <si>
    <t>01.02</t>
  </si>
  <si>
    <t xml:space="preserve">TOTAL </t>
  </si>
  <si>
    <t>JAIME</t>
  </si>
  <si>
    <t>SLO</t>
  </si>
  <si>
    <t>08.02</t>
  </si>
  <si>
    <t>CHEHAUN</t>
  </si>
  <si>
    <t>PIZARRO</t>
  </si>
  <si>
    <t>OLYMPIC DREAMS</t>
  </si>
  <si>
    <t>ORDOÑEZ</t>
  </si>
  <si>
    <t>FUENTEALBA</t>
  </si>
  <si>
    <t>SALAZAR</t>
  </si>
  <si>
    <t>07.03</t>
  </si>
  <si>
    <t>15.03</t>
  </si>
  <si>
    <t>21.03</t>
  </si>
  <si>
    <t>KIDO CURACAVI</t>
  </si>
  <si>
    <t>NARVAEZ</t>
  </si>
  <si>
    <t>BEECHE</t>
  </si>
  <si>
    <t>ARTURO</t>
  </si>
  <si>
    <t>MERCADO</t>
  </si>
  <si>
    <t>CHAMBI</t>
  </si>
  <si>
    <t>VICTOR SAITO</t>
  </si>
  <si>
    <t>SHOUJIKI</t>
  </si>
  <si>
    <t>MATAMALA</t>
  </si>
  <si>
    <t>JONATHAN</t>
  </si>
  <si>
    <t>CCRSH</t>
  </si>
  <si>
    <t>MANDIOLA</t>
  </si>
  <si>
    <t>TOMMY</t>
  </si>
  <si>
    <t>UTA</t>
  </si>
  <si>
    <t>TOME</t>
  </si>
  <si>
    <t>SAAVEDRA</t>
  </si>
  <si>
    <t>NATALIE</t>
  </si>
  <si>
    <t>VALENZUELA</t>
  </si>
  <si>
    <t>GODOLTIER</t>
  </si>
  <si>
    <t>JUDI TRUENO</t>
  </si>
  <si>
    <t>GUZMAN</t>
  </si>
  <si>
    <t>JUDO GUZMAN</t>
  </si>
  <si>
    <t>BARRIENTOS</t>
  </si>
  <si>
    <t>COLEGIO REP SIRIA</t>
  </si>
  <si>
    <t>25.04</t>
  </si>
  <si>
    <t>VALDIVIESO</t>
  </si>
  <si>
    <t>SAN SEI PTO VARAS</t>
  </si>
  <si>
    <t>RAMIREZ</t>
  </si>
  <si>
    <t>IBACACHE</t>
  </si>
  <si>
    <t>OLIVARES</t>
  </si>
  <si>
    <t>TIARE</t>
  </si>
  <si>
    <t>MARQUEZ</t>
  </si>
  <si>
    <t>FEDATTE</t>
  </si>
  <si>
    <t>CHOL CHOL</t>
  </si>
  <si>
    <t>GASTON</t>
  </si>
  <si>
    <t>SAEZ</t>
  </si>
  <si>
    <t>KATSUKO</t>
  </si>
  <si>
    <t>ESC NAVAL</t>
  </si>
  <si>
    <t>VILARINO</t>
  </si>
  <si>
    <t>PAOLA</t>
  </si>
  <si>
    <t>ESP</t>
  </si>
  <si>
    <t>18.05</t>
  </si>
  <si>
    <t>KIREI</t>
  </si>
  <si>
    <t>BORGEAUD</t>
  </si>
  <si>
    <t>CRUZ</t>
  </si>
  <si>
    <t>JIN KAN</t>
  </si>
  <si>
    <t>LUCIANO</t>
  </si>
  <si>
    <t>CORALES</t>
  </si>
  <si>
    <t>OMAR</t>
  </si>
  <si>
    <t>GERALDINE</t>
  </si>
  <si>
    <t>ABIGAIL</t>
  </si>
  <si>
    <t>SAMARA</t>
  </si>
  <si>
    <t>MELLA</t>
  </si>
  <si>
    <t>CHARLOTTE</t>
  </si>
  <si>
    <t>ESC.PDI</t>
  </si>
  <si>
    <t>FUSCHLOSHER</t>
  </si>
  <si>
    <t>ADRIANA</t>
  </si>
  <si>
    <t>SAUD</t>
  </si>
  <si>
    <t>AMOYAO</t>
  </si>
  <si>
    <t>DENISSE</t>
  </si>
  <si>
    <t>CATRILEF</t>
  </si>
  <si>
    <t>VANIA</t>
  </si>
  <si>
    <t>ECU</t>
  </si>
  <si>
    <t>31.05</t>
  </si>
  <si>
    <t>CARTER</t>
  </si>
  <si>
    <t>ALEX</t>
  </si>
  <si>
    <t>MORGADO</t>
  </si>
  <si>
    <t>DYLAN</t>
  </si>
  <si>
    <t>ZAMBRA</t>
  </si>
  <si>
    <t>SHIHAN</t>
  </si>
  <si>
    <t>LLANES</t>
  </si>
  <si>
    <t>ENIER</t>
  </si>
  <si>
    <t>CHARLES TISSOT</t>
  </si>
  <si>
    <t>RAMOS</t>
  </si>
  <si>
    <t>ESC SUB OF EJERCITO</t>
  </si>
  <si>
    <t>ARGUELLO</t>
  </si>
  <si>
    <t>RENE</t>
  </si>
  <si>
    <t>MARINO</t>
  </si>
  <si>
    <t>MARTIN</t>
  </si>
  <si>
    <t>CARO</t>
  </si>
  <si>
    <t>VICENTE</t>
  </si>
  <si>
    <t>JIKO NO KANSEI</t>
  </si>
  <si>
    <t>BRICEÑO</t>
  </si>
  <si>
    <t>FABIANA</t>
  </si>
  <si>
    <t>MIQUELES</t>
  </si>
  <si>
    <t>NOEMI</t>
  </si>
  <si>
    <t>ROMINA</t>
  </si>
  <si>
    <t>POZO</t>
  </si>
  <si>
    <t>13.06</t>
  </si>
  <si>
    <t>16.06</t>
  </si>
  <si>
    <t>19.06</t>
  </si>
  <si>
    <t>TAPIA</t>
  </si>
  <si>
    <t>ALDO</t>
  </si>
  <si>
    <t>JOSEMIR</t>
  </si>
  <si>
    <t>SAN ROMAN</t>
  </si>
  <si>
    <t>HECTOR</t>
  </si>
  <si>
    <t>MIRANDA</t>
  </si>
  <si>
    <t>CABEZAS</t>
  </si>
  <si>
    <t>AMMY</t>
  </si>
  <si>
    <t>LEONES TARAPACA</t>
  </si>
  <si>
    <t>KODOKAN CHILE</t>
  </si>
  <si>
    <t>MOSQUERA</t>
  </si>
  <si>
    <t>MICHELL</t>
  </si>
  <si>
    <t>ALEXANDRA</t>
  </si>
  <si>
    <t>28.06</t>
  </si>
  <si>
    <t>YERLY</t>
  </si>
  <si>
    <t>SUZAKU</t>
  </si>
  <si>
    <t>SANSEI</t>
  </si>
  <si>
    <t>RUYER</t>
  </si>
  <si>
    <t>SHIN GI TAI PTO NATALES</t>
  </si>
  <si>
    <t>GABRIEL</t>
  </si>
  <si>
    <t>ELIZARDE</t>
  </si>
  <si>
    <t>NAOMIS</t>
  </si>
  <si>
    <t>BASAURE</t>
  </si>
  <si>
    <t>HIROSHI</t>
  </si>
  <si>
    <t>ESTADIO ISRAELITA</t>
  </si>
  <si>
    <t>NIKOLAS</t>
  </si>
  <si>
    <t>ORIAN</t>
  </si>
  <si>
    <t>BRUNET</t>
  </si>
  <si>
    <t>MIGUEL</t>
  </si>
  <si>
    <t>ISC SAN BERNARDO</t>
  </si>
  <si>
    <t>YOULTON</t>
  </si>
  <si>
    <t>TOLEDO</t>
  </si>
  <si>
    <t>ROBERT</t>
  </si>
  <si>
    <t>CHN</t>
  </si>
  <si>
    <t>26.09</t>
  </si>
  <si>
    <t>QUILICURA</t>
  </si>
  <si>
    <t>ANA</t>
  </si>
  <si>
    <t>EDINSON</t>
  </si>
  <si>
    <t>LAURA</t>
  </si>
  <si>
    <t>PULGAR</t>
  </si>
  <si>
    <t>11.10</t>
  </si>
  <si>
    <t>12.10</t>
  </si>
  <si>
    <t>MEX</t>
  </si>
  <si>
    <t>17.10</t>
  </si>
  <si>
    <t>18.10</t>
  </si>
  <si>
    <t>19.10</t>
  </si>
  <si>
    <t>FARFAN</t>
  </si>
  <si>
    <t>GERALD</t>
  </si>
  <si>
    <t>SHINSEI</t>
  </si>
  <si>
    <t>RIVEROS</t>
  </si>
  <si>
    <t>GEHOVANNY</t>
  </si>
  <si>
    <t>VIDAL</t>
  </si>
  <si>
    <t>ANTONIO</t>
  </si>
  <si>
    <t>25.10</t>
  </si>
  <si>
    <t>NILO</t>
  </si>
  <si>
    <t>TRUENO</t>
  </si>
  <si>
    <t>EDGAR</t>
  </si>
  <si>
    <t>TALCAHUANO</t>
  </si>
  <si>
    <t>ALTAMIRANO</t>
  </si>
  <si>
    <t>MILLAQUEO</t>
  </si>
  <si>
    <t>IAN</t>
  </si>
  <si>
    <t>ESPINOLA</t>
  </si>
  <si>
    <t>KIDO</t>
  </si>
  <si>
    <t>MARCEL</t>
  </si>
  <si>
    <t>CARILLO</t>
  </si>
  <si>
    <t>HIRSCH</t>
  </si>
  <si>
    <t>YAÑEZ</t>
  </si>
  <si>
    <t>SEPULVEDA</t>
  </si>
  <si>
    <t>ALEJANDRA</t>
  </si>
  <si>
    <t>CAMPOS</t>
  </si>
  <si>
    <t>NUNEZ</t>
  </si>
  <si>
    <t>NIETO</t>
  </si>
  <si>
    <t>01.12</t>
  </si>
  <si>
    <t>02.12</t>
  </si>
  <si>
    <t>06.12</t>
  </si>
  <si>
    <t>RANKING NACIONAL 2026</t>
  </si>
  <si>
    <t>RANKING INTERNACIONAL 2026</t>
  </si>
  <si>
    <t>AVENDAÑO</t>
  </si>
  <si>
    <t>BAHAMONDE</t>
  </si>
  <si>
    <t>AEDO</t>
  </si>
  <si>
    <t>DE LA PAZ</t>
  </si>
  <si>
    <t>MANUEL</t>
  </si>
  <si>
    <t>CLAUDIA</t>
  </si>
  <si>
    <t>MONSERRAT</t>
  </si>
  <si>
    <t>MAYLEEN</t>
  </si>
  <si>
    <t>06.03</t>
  </si>
  <si>
    <t>GUERRA</t>
  </si>
  <si>
    <t>AILLAPAN</t>
  </si>
  <si>
    <t>GEODALIS</t>
  </si>
  <si>
    <t>CORDOVA</t>
  </si>
  <si>
    <t>PABLO</t>
  </si>
  <si>
    <t>AUKAN</t>
  </si>
  <si>
    <t>CHEHUAN</t>
  </si>
  <si>
    <t>INOSTROZA</t>
  </si>
  <si>
    <t>PEÑA</t>
  </si>
  <si>
    <t>ESCOBAR</t>
  </si>
  <si>
    <t>SILVA</t>
  </si>
  <si>
    <t>ESC SUB OFICIALES</t>
  </si>
  <si>
    <t>CDUSS</t>
  </si>
  <si>
    <t>CABELLO</t>
  </si>
  <si>
    <t>ALVARO</t>
  </si>
  <si>
    <t>KOBAYASHI</t>
  </si>
  <si>
    <t>CHEPILLO</t>
  </si>
  <si>
    <t>ORLAEN</t>
  </si>
  <si>
    <t>LABADI</t>
  </si>
  <si>
    <t>JUAN MANUEL</t>
  </si>
  <si>
    <t>CINDY</t>
  </si>
  <si>
    <t>MOLERO</t>
  </si>
  <si>
    <t>DOMNIK</t>
  </si>
  <si>
    <t>KAZOKU LS</t>
  </si>
  <si>
    <t>ARCOS</t>
  </si>
  <si>
    <t>KAROL</t>
  </si>
  <si>
    <t>URRUTIA</t>
  </si>
  <si>
    <t>PASCAL</t>
  </si>
  <si>
    <t>LELIEVRE</t>
  </si>
  <si>
    <t>MAELLE</t>
  </si>
  <si>
    <t>JUDO TRUNO</t>
  </si>
  <si>
    <t>ROBERTO</t>
  </si>
  <si>
    <t>JUDO TRUENO</t>
  </si>
  <si>
    <t>KOIVUSAARI</t>
  </si>
  <si>
    <t>STELLA</t>
  </si>
  <si>
    <t>SANCHEZ</t>
  </si>
  <si>
    <t>DANIELA</t>
  </si>
  <si>
    <t>CIFUENTES</t>
  </si>
  <si>
    <t>PAZ</t>
  </si>
  <si>
    <t xml:space="preserve">BORGEAUD </t>
  </si>
  <si>
    <t>VEAS</t>
  </si>
  <si>
    <t>MOLINA</t>
  </si>
  <si>
    <t>20.03</t>
  </si>
  <si>
    <t>CACEREZ</t>
  </si>
  <si>
    <t>RIVAS</t>
  </si>
  <si>
    <t>SIMON</t>
  </si>
  <si>
    <t>FUCHSLOCHER</t>
  </si>
  <si>
    <t>FEBRERO</t>
  </si>
  <si>
    <t>18.04</t>
  </si>
  <si>
    <t>19.04</t>
  </si>
  <si>
    <t>ADRIANO</t>
  </si>
  <si>
    <t>U DE CHILE</t>
  </si>
  <si>
    <t>EL CIRCULO</t>
  </si>
  <si>
    <t>RONNIE SANCHEZ</t>
  </si>
  <si>
    <t>RENZO</t>
  </si>
  <si>
    <t>MARCO</t>
  </si>
  <si>
    <t>ZAMBRANO</t>
  </si>
  <si>
    <t>CASAKANO</t>
  </si>
  <si>
    <t>SUAREZ</t>
  </si>
  <si>
    <t>MADRID</t>
  </si>
  <si>
    <t>JOHN</t>
  </si>
  <si>
    <t>TIZNADO</t>
  </si>
  <si>
    <t>BAEZ</t>
  </si>
  <si>
    <t>SAIT</t>
  </si>
  <si>
    <t>CHRISTOPHER</t>
  </si>
  <si>
    <t>GATICA</t>
  </si>
  <si>
    <t>HIDALDO</t>
  </si>
  <si>
    <t>ÑUBLE</t>
  </si>
  <si>
    <t>MAIKOL</t>
  </si>
  <si>
    <t>U. CATOLICA DEL NORTE</t>
  </si>
  <si>
    <t>PORTILLA</t>
  </si>
  <si>
    <t>PROY G NAVIA</t>
  </si>
  <si>
    <t>OSSA</t>
  </si>
  <si>
    <t>PALLERES</t>
  </si>
  <si>
    <t>ASTUDILLO</t>
  </si>
  <si>
    <t>YEAMILET</t>
  </si>
  <si>
    <t>GS MGL</t>
  </si>
  <si>
    <t>20.06</t>
  </si>
  <si>
    <t>26.06</t>
  </si>
  <si>
    <t>27.06</t>
  </si>
  <si>
    <t>COMEN</t>
  </si>
  <si>
    <t>ESSOF</t>
  </si>
  <si>
    <t>MARIN</t>
  </si>
  <si>
    <t>ROBLEDO</t>
  </si>
  <si>
    <t>QIEZADA</t>
  </si>
  <si>
    <t>14.08</t>
  </si>
  <si>
    <t>15.08</t>
  </si>
  <si>
    <t>GUILLERMO</t>
  </si>
  <si>
    <t>BUSHIDO</t>
  </si>
  <si>
    <t>18.08</t>
  </si>
  <si>
    <t>ORTIZ</t>
  </si>
  <si>
    <t>MONTOYA</t>
  </si>
  <si>
    <t>MAXIMILIANO</t>
  </si>
  <si>
    <t>PLAZA DE LOS REYES</t>
  </si>
  <si>
    <t>SENSEI MUÑOZ</t>
  </si>
  <si>
    <t>ENYGER</t>
  </si>
  <si>
    <t>QUILACAN</t>
  </si>
  <si>
    <t>MORIEL</t>
  </si>
  <si>
    <t>SWI</t>
  </si>
  <si>
    <t>28.08</t>
  </si>
  <si>
    <t>29.08</t>
  </si>
  <si>
    <t>VILLAROEL</t>
  </si>
  <si>
    <t>30.08</t>
  </si>
  <si>
    <t>FERRADA</t>
  </si>
  <si>
    <t>DYNAMIS SHOGUN</t>
  </si>
  <si>
    <t>UC</t>
  </si>
  <si>
    <t>BRIAN</t>
  </si>
  <si>
    <t>GRANDON</t>
  </si>
  <si>
    <t>QUENNY</t>
  </si>
  <si>
    <t>JOSUE</t>
  </si>
  <si>
    <t>CABRERA</t>
  </si>
  <si>
    <t>AHUMADA</t>
  </si>
  <si>
    <t>BRUNO</t>
  </si>
  <si>
    <t>RIQUELME</t>
  </si>
  <si>
    <t>JORQUERA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</si>
</sst>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2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2A2A2"/>
        <bgColor indexed="64"/>
      </patternFill>
    </fill>
  </fills>
  <borders count="17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left"/>
    </xf>
    <xf numFmtId="17" fontId="0" fillId="0" borderId="2" xfId="0" applyNumberFormat="1" applyBorder="1"/>
    <xf numFmtId="0" fontId="0" fillId="0" borderId="5" xfId="0" applyBorder="1"/>
    <xf numFmtId="0" fontId="0" fillId="0" borderId="6" xfId="0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/>
    </xf>
    <xf numFmtId="17" fontId="0" fillId="0" borderId="6" xfId="0" applyNumberFormat="1" applyBorder="1" applyAlignment="1">
      <alignment horizontal="center"/>
    </xf>
    <xf numFmtId="17" fontId="0" fillId="0" borderId="2" xfId="0" applyNumberFormat="1" applyBorder="1" applyAlignment="1">
      <alignment horizontal="center"/>
    </xf>
    <xf numFmtId="16" fontId="0" fillId="0" borderId="2" xfId="0" applyNumberFormat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3" fillId="2" borderId="5" xfId="0" applyFont="1" applyFill="1" applyBorder="1"/>
    <xf numFmtId="0" fontId="3" fillId="3" borderId="5" xfId="0" applyFont="1" applyFill="1" applyBorder="1"/>
    <xf numFmtId="0" fontId="3" fillId="4" borderId="5" xfId="0" applyFont="1" applyFill="1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" fontId="0" fillId="0" borderId="1" xfId="0" applyNumberFormat="1" applyBorder="1"/>
    <xf numFmtId="0" fontId="0" fillId="2" borderId="5" xfId="0" applyFill="1" applyBorder="1"/>
    <xf numFmtId="0" fontId="0" fillId="3" borderId="5" xfId="0" applyFill="1" applyBorder="1"/>
    <xf numFmtId="0" fontId="0" fillId="4" borderId="5" xfId="0" applyFill="1" applyBorder="1"/>
    <xf numFmtId="17" fontId="0" fillId="0" borderId="1" xfId="0" applyNumberFormat="1" applyBorder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 vertical="center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17" fontId="0" fillId="0" borderId="2" xfId="0" applyNumberFormat="1" applyBorder="1" applyAlignment="1">
      <alignment horizontal="right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right"/>
    </xf>
    <xf numFmtId="0" fontId="0" fillId="0" borderId="13" xfId="0" applyBorder="1"/>
    <xf numFmtId="0" fontId="0" fillId="0" borderId="13" xfId="0" applyBorder="1" applyAlignment="1">
      <alignment horizontal="center"/>
    </xf>
    <xf numFmtId="0" fontId="2" fillId="0" borderId="0" xfId="0" applyFont="1" applyAlignment="1">
      <alignment vertical="center"/>
    </xf>
    <xf numFmtId="17" fontId="0" fillId="0" borderId="0" xfId="0" applyNumberFormat="1" applyAlignment="1">
      <alignment horizontal="center"/>
    </xf>
    <xf numFmtId="0" fontId="0" fillId="0" borderId="9" xfId="0" applyBorder="1"/>
    <xf numFmtId="0" fontId="0" fillId="0" borderId="7" xfId="0" applyBorder="1"/>
    <xf numFmtId="0" fontId="0" fillId="0" borderId="4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17" fontId="0" fillId="0" borderId="9" xfId="0" applyNumberFormat="1" applyBorder="1"/>
    <xf numFmtId="17" fontId="0" fillId="0" borderId="14" xfId="0" applyNumberFormat="1" applyBorder="1"/>
    <xf numFmtId="17" fontId="0" fillId="0" borderId="7" xfId="0" applyNumberFormat="1" applyBorder="1"/>
    <xf numFmtId="0" fontId="0" fillId="0" borderId="12" xfId="0" applyBorder="1"/>
    <xf numFmtId="0" fontId="0" fillId="0" borderId="3" xfId="0" applyBorder="1" applyAlignment="1">
      <alignment horizontal="center"/>
    </xf>
    <xf numFmtId="0" fontId="0" fillId="0" borderId="15" xfId="0" applyBorder="1"/>
    <xf numFmtId="17" fontId="0" fillId="0" borderId="8" xfId="0" applyNumberFormat="1" applyBorder="1"/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4" borderId="5" xfId="0" applyFill="1" applyBorder="1" applyAlignment="1">
      <alignment horizontal="center"/>
    </xf>
    <xf numFmtId="17" fontId="0" fillId="0" borderId="9" xfId="0" applyNumberFormat="1" applyBorder="1" applyAlignment="1">
      <alignment horizontal="center"/>
    </xf>
    <xf numFmtId="17" fontId="0" fillId="0" borderId="14" xfId="0" applyNumberFormat="1" applyBorder="1" applyAlignment="1">
      <alignment horizontal="center"/>
    </xf>
    <xf numFmtId="17" fontId="0" fillId="0" borderId="7" xfId="0" applyNumberFormat="1" applyBorder="1" applyAlignment="1">
      <alignment horizontal="center"/>
    </xf>
    <xf numFmtId="0" fontId="3" fillId="3" borderId="12" xfId="0" applyFont="1" applyFill="1" applyBorder="1"/>
    <xf numFmtId="0" fontId="3" fillId="4" borderId="12" xfId="0" applyFont="1" applyFill="1" applyBorder="1"/>
    <xf numFmtId="0" fontId="0" fillId="0" borderId="12" xfId="0" applyBorder="1" applyAlignment="1">
      <alignment horizontal="center"/>
    </xf>
    <xf numFmtId="0" fontId="3" fillId="0" borderId="13" xfId="0" applyFont="1" applyBorder="1"/>
    <xf numFmtId="0" fontId="0" fillId="0" borderId="16" xfId="0" applyBorder="1"/>
    <xf numFmtId="0" fontId="3" fillId="2" borderId="5" xfId="0" applyFont="1" applyFill="1" applyBorder="1" applyAlignment="1">
      <alignment horizontal="center"/>
    </xf>
    <xf numFmtId="0" fontId="0" fillId="5" borderId="0" xfId="0" applyFill="1"/>
    <xf numFmtId="0" fontId="3" fillId="6" borderId="5" xfId="0" applyFont="1" applyFill="1" applyBorder="1" applyAlignment="1">
      <alignment horizontal="center"/>
    </xf>
    <xf numFmtId="0" fontId="3" fillId="6" borderId="5" xfId="0" applyFont="1" applyFill="1" applyBorder="1"/>
    <xf numFmtId="0" fontId="0" fillId="6" borderId="5" xfId="0" applyFill="1" applyBorder="1"/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17" fontId="0" fillId="0" borderId="4" xfId="0" applyNumberFormat="1" applyBorder="1" applyAlignment="1">
      <alignment horizontal="center"/>
    </xf>
    <xf numFmtId="17" fontId="0" fillId="0" borderId="0" xfId="0" applyNumberFormat="1" applyAlignment="1">
      <alignment horizontal="center"/>
    </xf>
    <xf numFmtId="17" fontId="0" fillId="0" borderId="8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" xfId="0" applyFill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microsoft.com/office/2017/10/relationships/person" Target="persons/person6.xml"/><Relationship Id="rId117" Type="http://schemas.microsoft.com/office/2017/10/relationships/person" Target="persons/person95.xml"/><Relationship Id="rId21" Type="http://schemas.microsoft.com/office/2017/10/relationships/person" Target="persons/person1.xml"/><Relationship Id="rId42" Type="http://schemas.microsoft.com/office/2017/10/relationships/person" Target="persons/person20.xml"/><Relationship Id="rId47" Type="http://schemas.microsoft.com/office/2017/10/relationships/person" Target="persons/person26.xml"/><Relationship Id="rId63" Type="http://schemas.microsoft.com/office/2017/10/relationships/person" Target="persons/person41.xml"/><Relationship Id="rId68" Type="http://schemas.microsoft.com/office/2017/10/relationships/person" Target="persons/person48.xml"/><Relationship Id="rId84" Type="http://schemas.microsoft.com/office/2017/10/relationships/person" Target="persons/person64.xml"/><Relationship Id="rId89" Type="http://schemas.microsoft.com/office/2017/10/relationships/person" Target="persons/person69.xml"/><Relationship Id="rId112" Type="http://schemas.microsoft.com/office/2017/10/relationships/person" Target="persons/person89.xml"/><Relationship Id="rId16" Type="http://schemas.openxmlformats.org/officeDocument/2006/relationships/styles" Target="styles.xml"/><Relationship Id="rId107" Type="http://schemas.microsoft.com/office/2017/10/relationships/person" Target="persons/person87.xml"/><Relationship Id="rId11" Type="http://schemas.openxmlformats.org/officeDocument/2006/relationships/worksheet" Target="worksheets/sheet11.xml"/><Relationship Id="rId32" Type="http://schemas.microsoft.com/office/2017/10/relationships/person" Target="persons/person11.xml"/><Relationship Id="rId37" Type="http://schemas.microsoft.com/office/2017/10/relationships/person" Target="persons/person10.xml"/><Relationship Id="rId53" Type="http://schemas.microsoft.com/office/2017/10/relationships/person" Target="persons/person29.xml"/><Relationship Id="rId58" Type="http://schemas.microsoft.com/office/2017/10/relationships/person" Target="persons/person36.xml"/><Relationship Id="rId74" Type="http://schemas.microsoft.com/office/2017/10/relationships/person" Target="persons/person54.xml"/><Relationship Id="rId79" Type="http://schemas.microsoft.com/office/2017/10/relationships/person" Target="persons/person59.xml"/><Relationship Id="rId102" Type="http://schemas.microsoft.com/office/2017/10/relationships/person" Target="persons/person82.xml"/><Relationship Id="rId123" Type="http://schemas.microsoft.com/office/2017/10/relationships/person" Target="persons/person100.xml"/><Relationship Id="rId5" Type="http://schemas.openxmlformats.org/officeDocument/2006/relationships/worksheet" Target="worksheets/sheet5.xml"/><Relationship Id="rId90" Type="http://schemas.microsoft.com/office/2017/10/relationships/person" Target="persons/person70.xml"/><Relationship Id="rId95" Type="http://schemas.microsoft.com/office/2017/10/relationships/person" Target="persons/person75.xml"/><Relationship Id="rId64" Type="http://schemas.microsoft.com/office/2017/10/relationships/person" Target="persons/person45.xml"/><Relationship Id="rId43" Type="http://schemas.microsoft.com/office/2017/10/relationships/person" Target="persons/person24.xml"/><Relationship Id="rId27" Type="http://schemas.microsoft.com/office/2017/10/relationships/person" Target="persons/person5.xml"/><Relationship Id="rId22" Type="http://schemas.microsoft.com/office/2017/10/relationships/person" Target="persons/person4.xml"/><Relationship Id="rId48" Type="http://schemas.microsoft.com/office/2017/10/relationships/person" Target="persons/person27.xml"/><Relationship Id="rId69" Type="http://schemas.microsoft.com/office/2017/10/relationships/person" Target="persons/person49.xml"/><Relationship Id="rId113" Type="http://schemas.microsoft.com/office/2017/10/relationships/person" Target="persons/person93.xml"/><Relationship Id="rId118" Type="http://schemas.microsoft.com/office/2017/10/relationships/person" Target="persons/person98.xml"/><Relationship Id="rId80" Type="http://schemas.microsoft.com/office/2017/10/relationships/person" Target="persons/person60.xml"/><Relationship Id="rId85" Type="http://schemas.microsoft.com/office/2017/10/relationships/person" Target="persons/person65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33" Type="http://schemas.microsoft.com/office/2017/10/relationships/person" Target="persons/person13.xml"/><Relationship Id="rId38" Type="http://schemas.microsoft.com/office/2017/10/relationships/person" Target="persons/person16.xml"/><Relationship Id="rId59" Type="http://schemas.microsoft.com/office/2017/10/relationships/person" Target="persons/person38.xml"/><Relationship Id="rId103" Type="http://schemas.microsoft.com/office/2017/10/relationships/person" Target="persons/person83.xml"/><Relationship Id="rId108" Type="http://schemas.microsoft.com/office/2017/10/relationships/person" Target="persons/person88.xml"/><Relationship Id="rId124" Type="http://schemas.microsoft.com/office/2017/10/relationships/person" Target="persons/person.xml"/><Relationship Id="rId54" Type="http://schemas.microsoft.com/office/2017/10/relationships/person" Target="persons/person34.xml"/><Relationship Id="rId70" Type="http://schemas.microsoft.com/office/2017/10/relationships/person" Target="persons/person50.xml"/><Relationship Id="rId75" Type="http://schemas.microsoft.com/office/2017/10/relationships/person" Target="persons/person55.xml"/><Relationship Id="rId91" Type="http://schemas.microsoft.com/office/2017/10/relationships/person" Target="persons/person71.xml"/><Relationship Id="rId96" Type="http://schemas.microsoft.com/office/2017/10/relationships/person" Target="persons/person7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microsoft.com/office/2017/10/relationships/person" Target="persons/person0.xml"/><Relationship Id="rId28" Type="http://schemas.microsoft.com/office/2017/10/relationships/person" Target="persons/person7.xml"/><Relationship Id="rId49" Type="http://schemas.microsoft.com/office/2017/10/relationships/person" Target="persons/person28.xml"/><Relationship Id="rId114" Type="http://schemas.microsoft.com/office/2017/10/relationships/person" Target="persons/person94.xml"/><Relationship Id="rId119" Type="http://schemas.microsoft.com/office/2017/10/relationships/person" Target="persons/person99.xml"/><Relationship Id="rId65" Type="http://schemas.microsoft.com/office/2017/10/relationships/person" Target="persons/person43.xml"/><Relationship Id="rId60" Type="http://schemas.microsoft.com/office/2017/10/relationships/person" Target="persons/person40.xml"/><Relationship Id="rId44" Type="http://schemas.microsoft.com/office/2017/10/relationships/person" Target="persons/person22.xml"/><Relationship Id="rId81" Type="http://schemas.microsoft.com/office/2017/10/relationships/person" Target="persons/person61.xml"/><Relationship Id="rId86" Type="http://schemas.microsoft.com/office/2017/10/relationships/person" Target="persons/person6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109" Type="http://schemas.microsoft.com/office/2017/10/relationships/person" Target="persons/person92.xml"/><Relationship Id="rId39" Type="http://schemas.microsoft.com/office/2017/10/relationships/person" Target="persons/person18.xml"/><Relationship Id="rId120" Type="http://schemas.microsoft.com/office/2017/10/relationships/person" Target="persons/person103.xml"/><Relationship Id="rId104" Type="http://schemas.microsoft.com/office/2017/10/relationships/person" Target="persons/person86.xml"/><Relationship Id="rId97" Type="http://schemas.microsoft.com/office/2017/10/relationships/person" Target="persons/person79.xml"/><Relationship Id="rId76" Type="http://schemas.microsoft.com/office/2017/10/relationships/person" Target="persons/person57.xml"/><Relationship Id="rId34" Type="http://schemas.microsoft.com/office/2017/10/relationships/person" Target="persons/person14.xml"/><Relationship Id="rId50" Type="http://schemas.microsoft.com/office/2017/10/relationships/person" Target="persons/person30.xml"/><Relationship Id="rId55" Type="http://schemas.microsoft.com/office/2017/10/relationships/person" Target="persons/person33.xml"/><Relationship Id="rId7" Type="http://schemas.openxmlformats.org/officeDocument/2006/relationships/worksheet" Target="worksheets/sheet7.xml"/><Relationship Id="rId92" Type="http://schemas.microsoft.com/office/2017/10/relationships/person" Target="persons/person73.xml"/><Relationship Id="rId71" Type="http://schemas.microsoft.com/office/2017/10/relationships/person" Target="persons/person51.xml"/><Relationship Id="rId2" Type="http://schemas.openxmlformats.org/officeDocument/2006/relationships/worksheet" Target="worksheets/sheet2.xml"/><Relationship Id="rId29" Type="http://schemas.microsoft.com/office/2017/10/relationships/person" Target="persons/person9.xml"/><Relationship Id="rId115" Type="http://schemas.microsoft.com/office/2017/10/relationships/person" Target="persons/person97.xml"/><Relationship Id="rId110" Type="http://schemas.microsoft.com/office/2017/10/relationships/person" Target="persons/person91.xml"/><Relationship Id="rId87" Type="http://schemas.microsoft.com/office/2017/10/relationships/person" Target="persons/person68.xml"/><Relationship Id="rId40" Type="http://schemas.microsoft.com/office/2017/10/relationships/person" Target="persons/person21.xml"/><Relationship Id="rId24" Type="http://schemas.microsoft.com/office/2017/10/relationships/person" Target="persons/person2.xml"/><Relationship Id="rId45" Type="http://schemas.microsoft.com/office/2017/10/relationships/person" Target="persons/person23.xml"/><Relationship Id="rId66" Type="http://schemas.microsoft.com/office/2017/10/relationships/person" Target="persons/person46.xml"/><Relationship Id="rId61" Type="http://schemas.microsoft.com/office/2017/10/relationships/person" Target="persons/person39.xml"/><Relationship Id="rId82" Type="http://schemas.microsoft.com/office/2017/10/relationships/person" Target="persons/person62.xml"/><Relationship Id="rId14" Type="http://schemas.openxmlformats.org/officeDocument/2006/relationships/worksheet" Target="worksheets/sheet14.xml"/><Relationship Id="rId105" Type="http://schemas.microsoft.com/office/2017/10/relationships/person" Target="persons/person85.xml"/><Relationship Id="rId100" Type="http://schemas.microsoft.com/office/2017/10/relationships/person" Target="persons/person81.xml"/><Relationship Id="rId35" Type="http://schemas.microsoft.com/office/2017/10/relationships/person" Target="persons/person17.xml"/><Relationship Id="rId30" Type="http://schemas.microsoft.com/office/2017/10/relationships/person" Target="persons/person12.xml"/><Relationship Id="rId56" Type="http://schemas.microsoft.com/office/2017/10/relationships/person" Target="persons/person35.xml"/><Relationship Id="rId77" Type="http://schemas.microsoft.com/office/2017/10/relationships/person" Target="persons/person56.xml"/><Relationship Id="rId8" Type="http://schemas.openxmlformats.org/officeDocument/2006/relationships/worksheet" Target="worksheets/sheet8.xml"/><Relationship Id="rId121" Type="http://schemas.microsoft.com/office/2017/10/relationships/person" Target="persons/person102.xml"/><Relationship Id="rId98" Type="http://schemas.microsoft.com/office/2017/10/relationships/person" Target="persons/person78.xml"/><Relationship Id="rId51" Type="http://schemas.microsoft.com/office/2017/10/relationships/person" Target="persons/person32.xml"/><Relationship Id="rId72" Type="http://schemas.microsoft.com/office/2017/10/relationships/person" Target="persons/person52.xml"/><Relationship Id="rId93" Type="http://schemas.microsoft.com/office/2017/10/relationships/person" Target="persons/person72.xml"/><Relationship Id="rId3" Type="http://schemas.openxmlformats.org/officeDocument/2006/relationships/worksheet" Target="worksheets/sheet3.xml"/><Relationship Id="rId116" Type="http://schemas.microsoft.com/office/2017/10/relationships/person" Target="persons/person96.xml"/><Relationship Id="rId25" Type="http://schemas.microsoft.com/office/2017/10/relationships/person" Target="persons/person3.xml"/><Relationship Id="rId46" Type="http://schemas.microsoft.com/office/2017/10/relationships/person" Target="persons/person25.xml"/><Relationship Id="rId67" Type="http://schemas.microsoft.com/office/2017/10/relationships/person" Target="persons/person47.xml"/><Relationship Id="rId111" Type="http://schemas.microsoft.com/office/2017/10/relationships/person" Target="persons/person90.xml"/><Relationship Id="rId20" Type="http://schemas.microsoft.com/office/2017/10/relationships/person" Target="persons/person44.xml"/><Relationship Id="rId62" Type="http://schemas.microsoft.com/office/2017/10/relationships/person" Target="persons/person42.xml"/><Relationship Id="rId41" Type="http://schemas.microsoft.com/office/2017/10/relationships/person" Target="persons/person19.xml"/><Relationship Id="rId83" Type="http://schemas.microsoft.com/office/2017/10/relationships/person" Target="persons/person63.xml"/><Relationship Id="rId88" Type="http://schemas.microsoft.com/office/2017/10/relationships/person" Target="persons/person67.xml"/><Relationship Id="rId15" Type="http://schemas.openxmlformats.org/officeDocument/2006/relationships/theme" Target="theme/theme1.xml"/><Relationship Id="rId57" Type="http://schemas.microsoft.com/office/2017/10/relationships/person" Target="persons/person37.xml"/><Relationship Id="rId36" Type="http://schemas.microsoft.com/office/2017/10/relationships/person" Target="persons/person15.xml"/><Relationship Id="rId106" Type="http://schemas.microsoft.com/office/2017/10/relationships/person" Target="persons/person84.xml"/><Relationship Id="rId10" Type="http://schemas.openxmlformats.org/officeDocument/2006/relationships/worksheet" Target="worksheets/sheet10.xml"/><Relationship Id="rId122" Type="http://schemas.microsoft.com/office/2017/10/relationships/person" Target="persons/person101.xml"/><Relationship Id="rId31" Type="http://schemas.microsoft.com/office/2017/10/relationships/person" Target="persons/person8.xml"/><Relationship Id="rId52" Type="http://schemas.microsoft.com/office/2017/10/relationships/person" Target="persons/person31.xml"/><Relationship Id="rId73" Type="http://schemas.microsoft.com/office/2017/10/relationships/person" Target="persons/person53.xml"/><Relationship Id="rId78" Type="http://schemas.microsoft.com/office/2017/10/relationships/person" Target="persons/person58.xml"/><Relationship Id="rId94" Type="http://schemas.microsoft.com/office/2017/10/relationships/person" Target="persons/person74.xml"/><Relationship Id="rId99" Type="http://schemas.microsoft.com/office/2017/10/relationships/person" Target="persons/person77.xml"/><Relationship Id="rId101" Type="http://schemas.microsoft.com/office/2017/10/relationships/person" Target="persons/person8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82</xdr:col>
      <xdr:colOff>0</xdr:colOff>
      <xdr:row>0</xdr:row>
      <xdr:rowOff>0</xdr:rowOff>
    </xdr:from>
    <xdr:to>
      <xdr:col>137</xdr:col>
      <xdr:colOff>304800</xdr:colOff>
      <xdr:row>0</xdr:row>
      <xdr:rowOff>304800</xdr:rowOff>
    </xdr:to>
    <xdr:sp macro="" textlink="">
      <xdr:nvSpPr>
        <xdr:cNvPr id="2053" name="AutoShape 5" descr="Feju Chile - Home | Facebook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SpPr>
          <a:spLocks noChangeAspect="1" noChangeArrowheads="1"/>
        </xdr:cNvSpPr>
      </xdr:nvSpPr>
      <xdr:spPr bwMode="auto">
        <a:xfrm>
          <a:off x="90932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150</xdr:col>
      <xdr:colOff>41388</xdr:colOff>
      <xdr:row>0</xdr:row>
      <xdr:rowOff>61528</xdr:rowOff>
    </xdr:from>
    <xdr:to>
      <xdr:col>150</xdr:col>
      <xdr:colOff>702653</xdr:colOff>
      <xdr:row>4</xdr:row>
      <xdr:rowOff>45925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16357" y="61528"/>
          <a:ext cx="661265" cy="9130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86</xdr:col>
      <xdr:colOff>0</xdr:colOff>
      <xdr:row>0</xdr:row>
      <xdr:rowOff>0</xdr:rowOff>
    </xdr:from>
    <xdr:to>
      <xdr:col>97</xdr:col>
      <xdr:colOff>304800</xdr:colOff>
      <xdr:row>1</xdr:row>
      <xdr:rowOff>118745</xdr:rowOff>
    </xdr:to>
    <xdr:sp macro="" textlink="">
      <xdr:nvSpPr>
        <xdr:cNvPr id="2" name="AutoShape 5" descr="Feju Chile - Home | Facebook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392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104</xdr:col>
      <xdr:colOff>42183</xdr:colOff>
      <xdr:row>0</xdr:row>
      <xdr:rowOff>17689</xdr:rowOff>
    </xdr:from>
    <xdr:to>
      <xdr:col>104</xdr:col>
      <xdr:colOff>694328</xdr:colOff>
      <xdr:row>4</xdr:row>
      <xdr:rowOff>24255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00871" y="17689"/>
          <a:ext cx="652145" cy="9352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95</xdr:col>
      <xdr:colOff>0</xdr:colOff>
      <xdr:row>0</xdr:row>
      <xdr:rowOff>0</xdr:rowOff>
    </xdr:from>
    <xdr:to>
      <xdr:col>115</xdr:col>
      <xdr:colOff>304800</xdr:colOff>
      <xdr:row>2</xdr:row>
      <xdr:rowOff>80645</xdr:rowOff>
    </xdr:to>
    <xdr:sp macro="" textlink="">
      <xdr:nvSpPr>
        <xdr:cNvPr id="2" name="AutoShape 5" descr="Feju Chile - Home | Facebook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9537700" y="0"/>
          <a:ext cx="304800" cy="45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125</xdr:col>
      <xdr:colOff>46627</xdr:colOff>
      <xdr:row>0</xdr:row>
      <xdr:rowOff>20979</xdr:rowOff>
    </xdr:from>
    <xdr:to>
      <xdr:col>125</xdr:col>
      <xdr:colOff>679903</xdr:colOff>
      <xdr:row>4</xdr:row>
      <xdr:rowOff>12840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8565" y="20979"/>
          <a:ext cx="633276" cy="9324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94</xdr:col>
      <xdr:colOff>0</xdr:colOff>
      <xdr:row>0</xdr:row>
      <xdr:rowOff>0</xdr:rowOff>
    </xdr:from>
    <xdr:to>
      <xdr:col>117</xdr:col>
      <xdr:colOff>304800</xdr:colOff>
      <xdr:row>3</xdr:row>
      <xdr:rowOff>41275</xdr:rowOff>
    </xdr:to>
    <xdr:sp macro="" textlink="">
      <xdr:nvSpPr>
        <xdr:cNvPr id="2" name="AutoShape 5" descr="Feju Chile - Home | Facebook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9474200" y="0"/>
          <a:ext cx="304800" cy="603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127</xdr:col>
      <xdr:colOff>24559</xdr:colOff>
      <xdr:row>0</xdr:row>
      <xdr:rowOff>23813</xdr:rowOff>
    </xdr:from>
    <xdr:to>
      <xdr:col>127</xdr:col>
      <xdr:colOff>564309</xdr:colOff>
      <xdr:row>4</xdr:row>
      <xdr:rowOff>27894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33340" y="23813"/>
          <a:ext cx="539750" cy="9327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86</xdr:col>
      <xdr:colOff>0</xdr:colOff>
      <xdr:row>0</xdr:row>
      <xdr:rowOff>0</xdr:rowOff>
    </xdr:from>
    <xdr:to>
      <xdr:col>99</xdr:col>
      <xdr:colOff>304800</xdr:colOff>
      <xdr:row>1</xdr:row>
      <xdr:rowOff>118745</xdr:rowOff>
    </xdr:to>
    <xdr:sp macro="" textlink="">
      <xdr:nvSpPr>
        <xdr:cNvPr id="2" name="AutoShape 5" descr="Feju Chile - Home | Facebook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392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109</xdr:col>
      <xdr:colOff>6940</xdr:colOff>
      <xdr:row>0</xdr:row>
      <xdr:rowOff>0</xdr:rowOff>
    </xdr:from>
    <xdr:to>
      <xdr:col>109</xdr:col>
      <xdr:colOff>645209</xdr:colOff>
      <xdr:row>4</xdr:row>
      <xdr:rowOff>117263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596" y="0"/>
          <a:ext cx="638269" cy="10459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70</xdr:col>
      <xdr:colOff>0</xdr:colOff>
      <xdr:row>0</xdr:row>
      <xdr:rowOff>0</xdr:rowOff>
    </xdr:from>
    <xdr:to>
      <xdr:col>80</xdr:col>
      <xdr:colOff>304800</xdr:colOff>
      <xdr:row>1</xdr:row>
      <xdr:rowOff>118745</xdr:rowOff>
    </xdr:to>
    <xdr:sp macro="" textlink="">
      <xdr:nvSpPr>
        <xdr:cNvPr id="2" name="AutoShape 5" descr="Feju Chile - Home | Facebook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392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84</xdr:col>
      <xdr:colOff>18097</xdr:colOff>
      <xdr:row>0</xdr:row>
      <xdr:rowOff>28099</xdr:rowOff>
    </xdr:from>
    <xdr:to>
      <xdr:col>84</xdr:col>
      <xdr:colOff>633506</xdr:colOff>
      <xdr:row>4</xdr:row>
      <xdr:rowOff>160179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48472" y="28099"/>
          <a:ext cx="615409" cy="106076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86</xdr:col>
      <xdr:colOff>0</xdr:colOff>
      <xdr:row>0</xdr:row>
      <xdr:rowOff>0</xdr:rowOff>
    </xdr:from>
    <xdr:to>
      <xdr:col>97</xdr:col>
      <xdr:colOff>304800</xdr:colOff>
      <xdr:row>2</xdr:row>
      <xdr:rowOff>80645</xdr:rowOff>
    </xdr:to>
    <xdr:sp macro="" textlink="">
      <xdr:nvSpPr>
        <xdr:cNvPr id="2" name="AutoShape 5" descr="Feju Chile - Home | Facebook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9271000" y="0"/>
          <a:ext cx="304800" cy="45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103</xdr:col>
      <xdr:colOff>11635</xdr:colOff>
      <xdr:row>0</xdr:row>
      <xdr:rowOff>19730</xdr:rowOff>
    </xdr:from>
    <xdr:to>
      <xdr:col>103</xdr:col>
      <xdr:colOff>646094</xdr:colOff>
      <xdr:row>5</xdr:row>
      <xdr:rowOff>130311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34854" y="19730"/>
          <a:ext cx="634459" cy="12416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99</xdr:col>
      <xdr:colOff>0</xdr:colOff>
      <xdr:row>0</xdr:row>
      <xdr:rowOff>0</xdr:rowOff>
    </xdr:from>
    <xdr:to>
      <xdr:col>115</xdr:col>
      <xdr:colOff>304800</xdr:colOff>
      <xdr:row>2</xdr:row>
      <xdr:rowOff>80645</xdr:rowOff>
    </xdr:to>
    <xdr:sp macro="" textlink="">
      <xdr:nvSpPr>
        <xdr:cNvPr id="2" name="AutoShape 5" descr="Feju Chile - Home | Facebook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9537700" y="0"/>
          <a:ext cx="304800" cy="45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125</xdr:col>
      <xdr:colOff>19458</xdr:colOff>
      <xdr:row>0</xdr:row>
      <xdr:rowOff>0</xdr:rowOff>
    </xdr:from>
    <xdr:to>
      <xdr:col>125</xdr:col>
      <xdr:colOff>686843</xdr:colOff>
      <xdr:row>4</xdr:row>
      <xdr:rowOff>831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21271" y="0"/>
          <a:ext cx="667385" cy="9414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144</xdr:col>
      <xdr:colOff>39574</xdr:colOff>
      <xdr:row>0</xdr:row>
      <xdr:rowOff>18846</xdr:rowOff>
    </xdr:from>
    <xdr:to>
      <xdr:col>144</xdr:col>
      <xdr:colOff>613614</xdr:colOff>
      <xdr:row>4</xdr:row>
      <xdr:rowOff>21808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86668" y="18846"/>
          <a:ext cx="574040" cy="9316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116</xdr:col>
      <xdr:colOff>0</xdr:colOff>
      <xdr:row>0</xdr:row>
      <xdr:rowOff>0</xdr:rowOff>
    </xdr:from>
    <xdr:to>
      <xdr:col>131</xdr:col>
      <xdr:colOff>304800</xdr:colOff>
      <xdr:row>3</xdr:row>
      <xdr:rowOff>182827</xdr:rowOff>
    </xdr:to>
    <xdr:sp macro="" textlink="">
      <xdr:nvSpPr>
        <xdr:cNvPr id="2" name="AutoShape 5" descr="Feju Chile - Home | Facebook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9347200" y="0"/>
          <a:ext cx="3048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141</xdr:col>
      <xdr:colOff>26080</xdr:colOff>
      <xdr:row>0</xdr:row>
      <xdr:rowOff>0</xdr:rowOff>
    </xdr:from>
    <xdr:to>
      <xdr:col>141</xdr:col>
      <xdr:colOff>619170</xdr:colOff>
      <xdr:row>4</xdr:row>
      <xdr:rowOff>581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23205" y="0"/>
          <a:ext cx="593090" cy="9411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122</xdr:col>
      <xdr:colOff>0</xdr:colOff>
      <xdr:row>0</xdr:row>
      <xdr:rowOff>0</xdr:rowOff>
    </xdr:from>
    <xdr:to>
      <xdr:col>153</xdr:col>
      <xdr:colOff>304800</xdr:colOff>
      <xdr:row>3</xdr:row>
      <xdr:rowOff>41275</xdr:rowOff>
    </xdr:to>
    <xdr:sp macro="" textlink="">
      <xdr:nvSpPr>
        <xdr:cNvPr id="2" name="AutoShape 5" descr="Feju Chile - Home | Facebook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9271000" y="0"/>
          <a:ext cx="304800" cy="603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164</xdr:col>
      <xdr:colOff>754064</xdr:colOff>
      <xdr:row>0</xdr:row>
      <xdr:rowOff>0</xdr:rowOff>
    </xdr:from>
    <xdr:to>
      <xdr:col>165</xdr:col>
      <xdr:colOff>648019</xdr:colOff>
      <xdr:row>4</xdr:row>
      <xdr:rowOff>39793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46127" y="0"/>
          <a:ext cx="655955" cy="96848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117</xdr:col>
      <xdr:colOff>0</xdr:colOff>
      <xdr:row>0</xdr:row>
      <xdr:rowOff>0</xdr:rowOff>
    </xdr:from>
    <xdr:to>
      <xdr:col>134</xdr:col>
      <xdr:colOff>304800</xdr:colOff>
      <xdr:row>4</xdr:row>
      <xdr:rowOff>4233</xdr:rowOff>
    </xdr:to>
    <xdr:sp macro="" textlink="">
      <xdr:nvSpPr>
        <xdr:cNvPr id="2" name="AutoShape 5" descr="Feju Chile - Home | Facebook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9474200" y="0"/>
          <a:ext cx="3048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142</xdr:col>
      <xdr:colOff>12322</xdr:colOff>
      <xdr:row>0</xdr:row>
      <xdr:rowOff>0</xdr:rowOff>
    </xdr:from>
    <xdr:to>
      <xdr:col>142</xdr:col>
      <xdr:colOff>687599</xdr:colOff>
      <xdr:row>5</xdr:row>
      <xdr:rowOff>1361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85322" y="0"/>
          <a:ext cx="675277" cy="113245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124</xdr:col>
      <xdr:colOff>0</xdr:colOff>
      <xdr:row>0</xdr:row>
      <xdr:rowOff>0</xdr:rowOff>
    </xdr:from>
    <xdr:to>
      <xdr:col>145</xdr:col>
      <xdr:colOff>304800</xdr:colOff>
      <xdr:row>3</xdr:row>
      <xdr:rowOff>41275</xdr:rowOff>
    </xdr:to>
    <xdr:sp macro="" textlink="">
      <xdr:nvSpPr>
        <xdr:cNvPr id="2" name="AutoShape 5" descr="Feju Chile - Home | Facebook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9271000" y="0"/>
          <a:ext cx="304800" cy="603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152</xdr:col>
      <xdr:colOff>63802</xdr:colOff>
      <xdr:row>0</xdr:row>
      <xdr:rowOff>0</xdr:rowOff>
    </xdr:from>
    <xdr:to>
      <xdr:col>152</xdr:col>
      <xdr:colOff>727377</xdr:colOff>
      <xdr:row>4</xdr:row>
      <xdr:rowOff>35030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44208" y="0"/>
          <a:ext cx="663575" cy="96371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111</xdr:col>
      <xdr:colOff>0</xdr:colOff>
      <xdr:row>0</xdr:row>
      <xdr:rowOff>0</xdr:rowOff>
    </xdr:from>
    <xdr:to>
      <xdr:col>134</xdr:col>
      <xdr:colOff>304800</xdr:colOff>
      <xdr:row>4</xdr:row>
      <xdr:rowOff>4233</xdr:rowOff>
    </xdr:to>
    <xdr:sp macro="" textlink="">
      <xdr:nvSpPr>
        <xdr:cNvPr id="2" name="AutoShape 5" descr="Feju Chile - Home | Facebook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9474200" y="0"/>
          <a:ext cx="3048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144</xdr:col>
      <xdr:colOff>42143</xdr:colOff>
      <xdr:row>0</xdr:row>
      <xdr:rowOff>0</xdr:rowOff>
    </xdr:from>
    <xdr:to>
      <xdr:col>144</xdr:col>
      <xdr:colOff>722863</xdr:colOff>
      <xdr:row>4</xdr:row>
      <xdr:rowOff>60113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9206" y="0"/>
          <a:ext cx="680720" cy="98880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persons/person10.xml><?xml version="1.0" encoding="utf-8"?>
<personList xmlns="http://schemas.microsoft.com/office/spreadsheetml/2018/threadedcomments" xmlns:x="http://schemas.openxmlformats.org/spreadsheetml/2006/main"/>
</file>

<file path=xl/persons/person11.xml><?xml version="1.0" encoding="utf-8"?>
<personList xmlns="http://schemas.microsoft.com/office/spreadsheetml/2018/threadedcomments" xmlns:x="http://schemas.openxmlformats.org/spreadsheetml/2006/main"/>
</file>

<file path=xl/persons/person12.xml><?xml version="1.0" encoding="utf-8"?>
<personList xmlns="http://schemas.microsoft.com/office/spreadsheetml/2018/threadedcomments" xmlns:x="http://schemas.openxmlformats.org/spreadsheetml/2006/main"/>
</file>

<file path=xl/persons/person13.xml><?xml version="1.0" encoding="utf-8"?>
<personList xmlns="http://schemas.microsoft.com/office/spreadsheetml/2018/threadedcomments" xmlns:x="http://schemas.openxmlformats.org/spreadsheetml/2006/main"/>
</file>

<file path=xl/persons/person14.xml><?xml version="1.0" encoding="utf-8"?>
<personList xmlns="http://schemas.microsoft.com/office/spreadsheetml/2018/threadedcomments" xmlns:x="http://schemas.openxmlformats.org/spreadsheetml/2006/main"/>
</file>

<file path=xl/persons/person15.xml><?xml version="1.0" encoding="utf-8"?>
<personList xmlns="http://schemas.microsoft.com/office/spreadsheetml/2018/threadedcomments" xmlns:x="http://schemas.openxmlformats.org/spreadsheetml/2006/main"/>
</file>

<file path=xl/persons/person16.xml><?xml version="1.0" encoding="utf-8"?>
<personList xmlns="http://schemas.microsoft.com/office/spreadsheetml/2018/threadedcomments" xmlns:x="http://schemas.openxmlformats.org/spreadsheetml/2006/main"/>
</file>

<file path=xl/persons/person17.xml><?xml version="1.0" encoding="utf-8"?>
<personList xmlns="http://schemas.microsoft.com/office/spreadsheetml/2018/threadedcomments" xmlns:x="http://schemas.openxmlformats.org/spreadsheetml/2006/main"/>
</file>

<file path=xl/persons/person18.xml><?xml version="1.0" encoding="utf-8"?>
<personList xmlns="http://schemas.microsoft.com/office/spreadsheetml/2018/threadedcomments" xmlns:x="http://schemas.openxmlformats.org/spreadsheetml/2006/main"/>
</file>

<file path=xl/persons/person19.xml><?xml version="1.0" encoding="utf-8"?>
<personList xmlns="http://schemas.microsoft.com/office/spreadsheetml/2018/threadedcomments" xmlns:x="http://schemas.openxmlformats.org/spreadsheetml/2006/main"/>
</file>

<file path=xl/persons/person20.xml><?xml version="1.0" encoding="utf-8"?>
<personList xmlns="http://schemas.microsoft.com/office/spreadsheetml/2018/threadedcomments" xmlns:x="http://schemas.openxmlformats.org/spreadsheetml/2006/main"/>
</file>

<file path=xl/persons/person21.xml><?xml version="1.0" encoding="utf-8"?>
<personList xmlns="http://schemas.microsoft.com/office/spreadsheetml/2018/threadedcomments" xmlns:x="http://schemas.openxmlformats.org/spreadsheetml/2006/main"/>
</file>

<file path=xl/persons/person22.xml><?xml version="1.0" encoding="utf-8"?>
<personList xmlns="http://schemas.microsoft.com/office/spreadsheetml/2018/threadedcomments" xmlns:x="http://schemas.openxmlformats.org/spreadsheetml/2006/main"/>
</file>

<file path=xl/persons/person23.xml><?xml version="1.0" encoding="utf-8"?>
<personList xmlns="http://schemas.microsoft.com/office/spreadsheetml/2018/threadedcomments" xmlns:x="http://schemas.openxmlformats.org/spreadsheetml/2006/main"/>
</file>

<file path=xl/persons/person24.xml><?xml version="1.0" encoding="utf-8"?>
<personList xmlns="http://schemas.microsoft.com/office/spreadsheetml/2018/threadedcomments" xmlns:x="http://schemas.openxmlformats.org/spreadsheetml/2006/main"/>
</file>

<file path=xl/persons/person25.xml><?xml version="1.0" encoding="utf-8"?>
<personList xmlns="http://schemas.microsoft.com/office/spreadsheetml/2018/threadedcomments" xmlns:x="http://schemas.openxmlformats.org/spreadsheetml/2006/main"/>
</file>

<file path=xl/persons/person26.xml><?xml version="1.0" encoding="utf-8"?>
<personList xmlns="http://schemas.microsoft.com/office/spreadsheetml/2018/threadedcomments" xmlns:x="http://schemas.openxmlformats.org/spreadsheetml/2006/main"/>
</file>

<file path=xl/persons/person27.xml><?xml version="1.0" encoding="utf-8"?>
<personList xmlns="http://schemas.microsoft.com/office/spreadsheetml/2018/threadedcomments" xmlns:x="http://schemas.openxmlformats.org/spreadsheetml/2006/main"/>
</file>

<file path=xl/persons/person28.xml><?xml version="1.0" encoding="utf-8"?>
<personList xmlns="http://schemas.microsoft.com/office/spreadsheetml/2018/threadedcomments" xmlns:x="http://schemas.openxmlformats.org/spreadsheetml/2006/main"/>
</file>

<file path=xl/persons/person29.xml><?xml version="1.0" encoding="utf-8"?>
<personList xmlns="http://schemas.microsoft.com/office/spreadsheetml/2018/threadedcomments" xmlns:x="http://schemas.openxmlformats.org/spreadsheetml/2006/main"/>
</file>

<file path=xl/persons/person30.xml><?xml version="1.0" encoding="utf-8"?>
<personList xmlns="http://schemas.microsoft.com/office/spreadsheetml/2018/threadedcomments" xmlns:x="http://schemas.openxmlformats.org/spreadsheetml/2006/main"/>
</file>

<file path=xl/persons/person31.xml><?xml version="1.0" encoding="utf-8"?>
<personList xmlns="http://schemas.microsoft.com/office/spreadsheetml/2018/threadedcomments" xmlns:x="http://schemas.openxmlformats.org/spreadsheetml/2006/main"/>
</file>

<file path=xl/persons/person32.xml><?xml version="1.0" encoding="utf-8"?>
<personList xmlns="http://schemas.microsoft.com/office/spreadsheetml/2018/threadedcomments" xmlns:x="http://schemas.openxmlformats.org/spreadsheetml/2006/main"/>
</file>

<file path=xl/persons/person33.xml><?xml version="1.0" encoding="utf-8"?>
<personList xmlns="http://schemas.microsoft.com/office/spreadsheetml/2018/threadedcomments" xmlns:x="http://schemas.openxmlformats.org/spreadsheetml/2006/main"/>
</file>

<file path=xl/persons/person34.xml><?xml version="1.0" encoding="utf-8"?>
<personList xmlns="http://schemas.microsoft.com/office/spreadsheetml/2018/threadedcomments" xmlns:x="http://schemas.openxmlformats.org/spreadsheetml/2006/main"/>
</file>

<file path=xl/persons/person35.xml><?xml version="1.0" encoding="utf-8"?>
<personList xmlns="http://schemas.microsoft.com/office/spreadsheetml/2018/threadedcomments" xmlns:x="http://schemas.openxmlformats.org/spreadsheetml/2006/main"/>
</file>

<file path=xl/persons/person36.xml><?xml version="1.0" encoding="utf-8"?>
<personList xmlns="http://schemas.microsoft.com/office/spreadsheetml/2018/threadedcomments" xmlns:x="http://schemas.openxmlformats.org/spreadsheetml/2006/main"/>
</file>

<file path=xl/persons/person37.xml><?xml version="1.0" encoding="utf-8"?>
<personList xmlns="http://schemas.microsoft.com/office/spreadsheetml/2018/threadedcomments" xmlns:x="http://schemas.openxmlformats.org/spreadsheetml/2006/main"/>
</file>

<file path=xl/persons/person38.xml><?xml version="1.0" encoding="utf-8"?>
<personList xmlns="http://schemas.microsoft.com/office/spreadsheetml/2018/threadedcomments" xmlns:x="http://schemas.openxmlformats.org/spreadsheetml/2006/main"/>
</file>

<file path=xl/persons/person39.xml><?xml version="1.0" encoding="utf-8"?>
<personList xmlns="http://schemas.microsoft.com/office/spreadsheetml/2018/threadedcomments" xmlns:x="http://schemas.openxmlformats.org/spreadsheetml/2006/main"/>
</file>

<file path=xl/persons/person40.xml><?xml version="1.0" encoding="utf-8"?>
<personList xmlns="http://schemas.microsoft.com/office/spreadsheetml/2018/threadedcomments" xmlns:x="http://schemas.openxmlformats.org/spreadsheetml/2006/main"/>
</file>

<file path=xl/persons/person41.xml><?xml version="1.0" encoding="utf-8"?>
<personList xmlns="http://schemas.microsoft.com/office/spreadsheetml/2018/threadedcomments" xmlns:x="http://schemas.openxmlformats.org/spreadsheetml/2006/main"/>
</file>

<file path=xl/persons/person42.xml><?xml version="1.0" encoding="utf-8"?>
<personList xmlns="http://schemas.microsoft.com/office/spreadsheetml/2018/threadedcomments" xmlns:x="http://schemas.openxmlformats.org/spreadsheetml/2006/main"/>
</file>

<file path=xl/persons/person43.xml><?xml version="1.0" encoding="utf-8"?>
<personList xmlns="http://schemas.microsoft.com/office/spreadsheetml/2018/threadedcomments" xmlns:x="http://schemas.openxmlformats.org/spreadsheetml/2006/main"/>
</file>

<file path=xl/persons/person44.xml><?xml version="1.0" encoding="utf-8"?>
<personList xmlns="http://schemas.microsoft.com/office/spreadsheetml/2018/threadedcomments" xmlns:x="http://schemas.openxmlformats.org/spreadsheetml/2006/main"/>
</file>

<file path=xl/persons/person45.xml><?xml version="1.0" encoding="utf-8"?>
<personList xmlns="http://schemas.microsoft.com/office/spreadsheetml/2018/threadedcomments" xmlns:x="http://schemas.openxmlformats.org/spreadsheetml/2006/main"/>
</file>

<file path=xl/persons/person46.xml><?xml version="1.0" encoding="utf-8"?>
<personList xmlns="http://schemas.microsoft.com/office/spreadsheetml/2018/threadedcomments" xmlns:x="http://schemas.openxmlformats.org/spreadsheetml/2006/main"/>
</file>

<file path=xl/persons/person47.xml><?xml version="1.0" encoding="utf-8"?>
<personList xmlns="http://schemas.microsoft.com/office/spreadsheetml/2018/threadedcomments" xmlns:x="http://schemas.openxmlformats.org/spreadsheetml/2006/main"/>
</file>

<file path=xl/persons/person48.xml><?xml version="1.0" encoding="utf-8"?>
<personList xmlns="http://schemas.microsoft.com/office/spreadsheetml/2018/threadedcomments" xmlns:x="http://schemas.openxmlformats.org/spreadsheetml/2006/main"/>
</file>

<file path=xl/persons/person49.xml><?xml version="1.0" encoding="utf-8"?>
<personList xmlns="http://schemas.microsoft.com/office/spreadsheetml/2018/threadedcomments" xmlns:x="http://schemas.openxmlformats.org/spreadsheetml/2006/main"/>
</file>

<file path=xl/persons/person50.xml><?xml version="1.0" encoding="utf-8"?>
<personList xmlns="http://schemas.microsoft.com/office/spreadsheetml/2018/threadedcomments" xmlns:x="http://schemas.openxmlformats.org/spreadsheetml/2006/main"/>
</file>

<file path=xl/persons/person51.xml><?xml version="1.0" encoding="utf-8"?>
<personList xmlns="http://schemas.microsoft.com/office/spreadsheetml/2018/threadedcomments" xmlns:x="http://schemas.openxmlformats.org/spreadsheetml/2006/main"/>
</file>

<file path=xl/persons/person52.xml><?xml version="1.0" encoding="utf-8"?>
<personList xmlns="http://schemas.microsoft.com/office/spreadsheetml/2018/threadedcomments" xmlns:x="http://schemas.openxmlformats.org/spreadsheetml/2006/main"/>
</file>

<file path=xl/persons/person53.xml><?xml version="1.0" encoding="utf-8"?>
<personList xmlns="http://schemas.microsoft.com/office/spreadsheetml/2018/threadedcomments" xmlns:x="http://schemas.openxmlformats.org/spreadsheetml/2006/main"/>
</file>

<file path=xl/persons/person54.xml><?xml version="1.0" encoding="utf-8"?>
<personList xmlns="http://schemas.microsoft.com/office/spreadsheetml/2018/threadedcomments" xmlns:x="http://schemas.openxmlformats.org/spreadsheetml/2006/main"/>
</file>

<file path=xl/persons/person55.xml><?xml version="1.0" encoding="utf-8"?>
<personList xmlns="http://schemas.microsoft.com/office/spreadsheetml/2018/threadedcomments" xmlns:x="http://schemas.openxmlformats.org/spreadsheetml/2006/main"/>
</file>

<file path=xl/persons/person56.xml><?xml version="1.0" encoding="utf-8"?>
<personList xmlns="http://schemas.microsoft.com/office/spreadsheetml/2018/threadedcomments" xmlns:x="http://schemas.openxmlformats.org/spreadsheetml/2006/main"/>
</file>

<file path=xl/persons/person57.xml><?xml version="1.0" encoding="utf-8"?>
<personList xmlns="http://schemas.microsoft.com/office/spreadsheetml/2018/threadedcomments" xmlns:x="http://schemas.openxmlformats.org/spreadsheetml/2006/main"/>
</file>

<file path=xl/persons/person58.xml><?xml version="1.0" encoding="utf-8"?>
<personList xmlns="http://schemas.microsoft.com/office/spreadsheetml/2018/threadedcomments" xmlns:x="http://schemas.openxmlformats.org/spreadsheetml/2006/main"/>
</file>

<file path=xl/persons/person59.xml><?xml version="1.0" encoding="utf-8"?>
<personList xmlns="http://schemas.microsoft.com/office/spreadsheetml/2018/threadedcomments" xmlns:x="http://schemas.openxmlformats.org/spreadsheetml/2006/main"/>
</file>

<file path=xl/persons/person60.xml><?xml version="1.0" encoding="utf-8"?>
<personList xmlns="http://schemas.microsoft.com/office/spreadsheetml/2018/threadedcomments" xmlns:x="http://schemas.openxmlformats.org/spreadsheetml/2006/main"/>
</file>

<file path=xl/persons/person61.xml><?xml version="1.0" encoding="utf-8"?>
<personList xmlns="http://schemas.microsoft.com/office/spreadsheetml/2018/threadedcomments" xmlns:x="http://schemas.openxmlformats.org/spreadsheetml/2006/main"/>
</file>

<file path=xl/persons/person62.xml><?xml version="1.0" encoding="utf-8"?>
<personList xmlns="http://schemas.microsoft.com/office/spreadsheetml/2018/threadedcomments" xmlns:x="http://schemas.openxmlformats.org/spreadsheetml/2006/main"/>
</file>

<file path=xl/persons/person63.xml><?xml version="1.0" encoding="utf-8"?>
<personList xmlns="http://schemas.microsoft.com/office/spreadsheetml/2018/threadedcomments" xmlns:x="http://schemas.openxmlformats.org/spreadsheetml/2006/main"/>
</file>

<file path=xl/persons/person64.xml><?xml version="1.0" encoding="utf-8"?>
<personList xmlns="http://schemas.microsoft.com/office/spreadsheetml/2018/threadedcomments" xmlns:x="http://schemas.openxmlformats.org/spreadsheetml/2006/main"/>
</file>

<file path=xl/persons/person65.xml><?xml version="1.0" encoding="utf-8"?>
<personList xmlns="http://schemas.microsoft.com/office/spreadsheetml/2018/threadedcomments" xmlns:x="http://schemas.openxmlformats.org/spreadsheetml/2006/main"/>
</file>

<file path=xl/persons/person66.xml><?xml version="1.0" encoding="utf-8"?>
<personList xmlns="http://schemas.microsoft.com/office/spreadsheetml/2018/threadedcomments" xmlns:x="http://schemas.openxmlformats.org/spreadsheetml/2006/main"/>
</file>

<file path=xl/persons/person67.xml><?xml version="1.0" encoding="utf-8"?>
<personList xmlns="http://schemas.microsoft.com/office/spreadsheetml/2018/threadedcomments" xmlns:x="http://schemas.openxmlformats.org/spreadsheetml/2006/main"/>
</file>

<file path=xl/persons/person68.xml><?xml version="1.0" encoding="utf-8"?>
<personList xmlns="http://schemas.microsoft.com/office/spreadsheetml/2018/threadedcomments" xmlns:x="http://schemas.openxmlformats.org/spreadsheetml/2006/main"/>
</file>

<file path=xl/persons/person69.xml><?xml version="1.0" encoding="utf-8"?>
<personList xmlns="http://schemas.microsoft.com/office/spreadsheetml/2018/threadedcomments" xmlns:x="http://schemas.openxmlformats.org/spreadsheetml/2006/main"/>
</file>

<file path=xl/persons/person70.xml><?xml version="1.0" encoding="utf-8"?>
<personList xmlns="http://schemas.microsoft.com/office/spreadsheetml/2018/threadedcomments" xmlns:x="http://schemas.openxmlformats.org/spreadsheetml/2006/main"/>
</file>

<file path=xl/persons/person71.xml><?xml version="1.0" encoding="utf-8"?>
<personList xmlns="http://schemas.microsoft.com/office/spreadsheetml/2018/threadedcomments" xmlns:x="http://schemas.openxmlformats.org/spreadsheetml/2006/main"/>
</file>

<file path=xl/persons/person72.xml><?xml version="1.0" encoding="utf-8"?>
<personList xmlns="http://schemas.microsoft.com/office/spreadsheetml/2018/threadedcomments" xmlns:x="http://schemas.openxmlformats.org/spreadsheetml/2006/main"/>
</file>

<file path=xl/persons/person73.xml><?xml version="1.0" encoding="utf-8"?>
<personList xmlns="http://schemas.microsoft.com/office/spreadsheetml/2018/threadedcomments" xmlns:x="http://schemas.openxmlformats.org/spreadsheetml/2006/main"/>
</file>

<file path=xl/persons/person74.xml><?xml version="1.0" encoding="utf-8"?>
<personList xmlns="http://schemas.microsoft.com/office/spreadsheetml/2018/threadedcomments" xmlns:x="http://schemas.openxmlformats.org/spreadsheetml/2006/main"/>
</file>

<file path=xl/persons/person75.xml><?xml version="1.0" encoding="utf-8"?>
<personList xmlns="http://schemas.microsoft.com/office/spreadsheetml/2018/threadedcomments" xmlns:x="http://schemas.openxmlformats.org/spreadsheetml/2006/main"/>
</file>

<file path=xl/persons/person76.xml><?xml version="1.0" encoding="utf-8"?>
<personList xmlns="http://schemas.microsoft.com/office/spreadsheetml/2018/threadedcomments" xmlns:x="http://schemas.openxmlformats.org/spreadsheetml/2006/main"/>
</file>

<file path=xl/persons/person77.xml><?xml version="1.0" encoding="utf-8"?>
<personList xmlns="http://schemas.microsoft.com/office/spreadsheetml/2018/threadedcomments" xmlns:x="http://schemas.openxmlformats.org/spreadsheetml/2006/main"/>
</file>

<file path=xl/persons/person78.xml><?xml version="1.0" encoding="utf-8"?>
<personList xmlns="http://schemas.microsoft.com/office/spreadsheetml/2018/threadedcomments" xmlns:x="http://schemas.openxmlformats.org/spreadsheetml/2006/main"/>
</file>

<file path=xl/persons/person79.xml><?xml version="1.0" encoding="utf-8"?>
<personList xmlns="http://schemas.microsoft.com/office/spreadsheetml/2018/threadedcomments" xmlns:x="http://schemas.openxmlformats.org/spreadsheetml/2006/main"/>
</file>

<file path=xl/persons/person80.xml><?xml version="1.0" encoding="utf-8"?>
<personList xmlns="http://schemas.microsoft.com/office/spreadsheetml/2018/threadedcomments" xmlns:x="http://schemas.openxmlformats.org/spreadsheetml/2006/main"/>
</file>

<file path=xl/persons/person81.xml><?xml version="1.0" encoding="utf-8"?>
<personList xmlns="http://schemas.microsoft.com/office/spreadsheetml/2018/threadedcomments" xmlns:x="http://schemas.openxmlformats.org/spreadsheetml/2006/main"/>
</file>

<file path=xl/persons/person82.xml><?xml version="1.0" encoding="utf-8"?>
<personList xmlns="http://schemas.microsoft.com/office/spreadsheetml/2018/threadedcomments" xmlns:x="http://schemas.openxmlformats.org/spreadsheetml/2006/main"/>
</file>

<file path=xl/persons/person83.xml><?xml version="1.0" encoding="utf-8"?>
<personList xmlns="http://schemas.microsoft.com/office/spreadsheetml/2018/threadedcomments" xmlns:x="http://schemas.openxmlformats.org/spreadsheetml/2006/main"/>
</file>

<file path=xl/persons/person84.xml><?xml version="1.0" encoding="utf-8"?>
<personList xmlns="http://schemas.microsoft.com/office/spreadsheetml/2018/threadedcomments" xmlns:x="http://schemas.openxmlformats.org/spreadsheetml/2006/main"/>
</file>

<file path=xl/persons/person85.xml><?xml version="1.0" encoding="utf-8"?>
<personList xmlns="http://schemas.microsoft.com/office/spreadsheetml/2018/threadedcomments" xmlns:x="http://schemas.openxmlformats.org/spreadsheetml/2006/main"/>
</file>

<file path=xl/persons/person86.xml><?xml version="1.0" encoding="utf-8"?>
<personList xmlns="http://schemas.microsoft.com/office/spreadsheetml/2018/threadedcomments" xmlns:x="http://schemas.openxmlformats.org/spreadsheetml/2006/main"/>
</file>

<file path=xl/persons/person87.xml><?xml version="1.0" encoding="utf-8"?>
<personList xmlns="http://schemas.microsoft.com/office/spreadsheetml/2018/threadedcomments" xmlns:x="http://schemas.openxmlformats.org/spreadsheetml/2006/main"/>
</file>

<file path=xl/persons/person88.xml><?xml version="1.0" encoding="utf-8"?>
<personList xmlns="http://schemas.microsoft.com/office/spreadsheetml/2018/threadedcomments" xmlns:x="http://schemas.openxmlformats.org/spreadsheetml/2006/main"/>
</file>

<file path=xl/persons/person89.xml><?xml version="1.0" encoding="utf-8"?>
<personList xmlns="http://schemas.microsoft.com/office/spreadsheetml/2018/threadedcomments" xmlns:x="http://schemas.openxmlformats.org/spreadsheetml/2006/main"/>
</file>

<file path=xl/persons/person90.xml><?xml version="1.0" encoding="utf-8"?>
<personList xmlns="http://schemas.microsoft.com/office/spreadsheetml/2018/threadedcomments" xmlns:x="http://schemas.openxmlformats.org/spreadsheetml/2006/main"/>
</file>

<file path=xl/persons/person91.xml><?xml version="1.0" encoding="utf-8"?>
<personList xmlns="http://schemas.microsoft.com/office/spreadsheetml/2018/threadedcomments" xmlns:x="http://schemas.openxmlformats.org/spreadsheetml/2006/main"/>
</file>

<file path=xl/persons/person92.xml><?xml version="1.0" encoding="utf-8"?>
<personList xmlns="http://schemas.microsoft.com/office/spreadsheetml/2018/threadedcomments" xmlns:x="http://schemas.openxmlformats.org/spreadsheetml/2006/main"/>
</file>

<file path=xl/persons/person93.xml><?xml version="1.0" encoding="utf-8"?>
<personList xmlns="http://schemas.microsoft.com/office/spreadsheetml/2018/threadedcomments" xmlns:x="http://schemas.openxmlformats.org/spreadsheetml/2006/main"/>
</file>

<file path=xl/persons/person94.xml><?xml version="1.0" encoding="utf-8"?>
<personList xmlns="http://schemas.microsoft.com/office/spreadsheetml/2018/threadedcomments" xmlns:x="http://schemas.openxmlformats.org/spreadsheetml/2006/main"/>
</file>

<file path=xl/persons/person95.xml><?xml version="1.0" encoding="utf-8"?>
<personList xmlns="http://schemas.microsoft.com/office/spreadsheetml/2018/threadedcomments" xmlns:x="http://schemas.openxmlformats.org/spreadsheetml/2006/main"/>
</file>

<file path=xl/persons/person96.xml><?xml version="1.0" encoding="utf-8"?>
<personList xmlns="http://schemas.microsoft.com/office/spreadsheetml/2018/threadedcomments" xmlns:x="http://schemas.openxmlformats.org/spreadsheetml/2006/main"/>
</file>

<file path=xl/persons/person97.xml><?xml version="1.0" encoding="utf-8"?>
<personList xmlns="http://schemas.microsoft.com/office/spreadsheetml/2018/threadedcomments" xmlns:x="http://schemas.openxmlformats.org/spreadsheetml/2006/main"/>
</file>

<file path=xl/persons/person98.xml><?xml version="1.0" encoding="utf-8"?>
<personList xmlns="http://schemas.microsoft.com/office/spreadsheetml/2018/threadedcomments" xmlns:x="http://schemas.openxmlformats.org/spreadsheetml/2006/main"/>
</file>

<file path=xl/persons/person99.xml><?xml version="1.0" encoding="utf-8"?>
<personList xmlns="http://schemas.microsoft.com/office/spreadsheetml/2018/threadedcomments" xmlns:x="http://schemas.openxmlformats.org/spreadsheetml/2006/main"/>
</file>

<file path=xl/persons/person100.xml><?xml version="1.0" encoding="utf-8"?>
<personList xmlns="http://schemas.microsoft.com/office/spreadsheetml/2018/threadedcomments" xmlns:x="http://schemas.openxmlformats.org/spreadsheetml/2006/main"/>
</file>

<file path=xl/persons/person101.xml><?xml version="1.0" encoding="utf-8"?>
<personList xmlns="http://schemas.microsoft.com/office/spreadsheetml/2018/threadedcomments" xmlns:x="http://schemas.openxmlformats.org/spreadsheetml/2006/main"/>
</file>

<file path=xl/persons/person102.xml><?xml version="1.0" encoding="utf-8"?>
<personList xmlns="http://schemas.microsoft.com/office/spreadsheetml/2018/threadedcomments" xmlns:x="http://schemas.openxmlformats.org/spreadsheetml/2006/main"/>
</file>

<file path=xl/persons/person103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T21"/>
  <sheetViews>
    <sheetView zoomScale="80" zoomScaleNormal="80" workbookViewId="0">
      <selection activeCell="BO29" sqref="BO29"/>
    </sheetView>
  </sheetViews>
  <sheetFormatPr baseColWidth="10" defaultRowHeight="15" x14ac:dyDescent="0.25"/>
  <cols>
    <col min="1" max="1" width="3.42578125" bestFit="1" customWidth="1"/>
    <col min="2" max="2" width="13.28515625" customWidth="1"/>
    <col min="3" max="3" width="10.42578125" bestFit="1" customWidth="1"/>
    <col min="4" max="4" width="15" bestFit="1" customWidth="1"/>
    <col min="5" max="5" width="15.42578125" bestFit="1" customWidth="1"/>
    <col min="6" max="6" width="6.5703125" hidden="1" customWidth="1"/>
    <col min="7" max="7" width="6.28515625" hidden="1" customWidth="1"/>
    <col min="8" max="9" width="7.28515625" hidden="1" customWidth="1"/>
    <col min="10" max="12" width="6.28515625" hidden="1" customWidth="1"/>
    <col min="13" max="14" width="6.7109375" hidden="1" customWidth="1"/>
    <col min="15" max="15" width="5.7109375" hidden="1" customWidth="1"/>
    <col min="16" max="16" width="6.28515625" hidden="1" customWidth="1"/>
    <col min="17" max="17" width="6.85546875" hidden="1" customWidth="1"/>
    <col min="18" max="18" width="6.85546875" style="12" hidden="1" customWidth="1"/>
    <col min="19" max="31" width="6.28515625" style="12" hidden="1" customWidth="1"/>
    <col min="32" max="51" width="6.85546875" style="12" hidden="1" customWidth="1"/>
    <col min="52" max="52" width="7.85546875" style="12" hidden="1" customWidth="1"/>
    <col min="53" max="53" width="6.85546875" style="12" hidden="1" customWidth="1"/>
    <col min="54" max="54" width="5.5703125" style="12" hidden="1" customWidth="1"/>
    <col min="55" max="57" width="5" style="12" hidden="1" customWidth="1"/>
    <col min="58" max="58" width="6.85546875" style="12" hidden="1" customWidth="1"/>
    <col min="59" max="59" width="6.85546875" style="12" customWidth="1"/>
    <col min="60" max="60" width="7.85546875" style="12" bestFit="1" customWidth="1"/>
    <col min="61" max="67" width="6.85546875" style="12" customWidth="1"/>
    <col min="69" max="69" width="0" hidden="1" customWidth="1"/>
    <col min="70" max="70" width="10.140625" hidden="1" customWidth="1"/>
    <col min="71" max="71" width="6.7109375" hidden="1" customWidth="1"/>
    <col min="72" max="73" width="7.7109375" hidden="1" customWidth="1"/>
    <col min="74" max="74" width="6.42578125" hidden="1" customWidth="1"/>
    <col min="75" max="75" width="6.28515625" hidden="1" customWidth="1"/>
    <col min="76" max="76" width="7.28515625" hidden="1" customWidth="1"/>
    <col min="77" max="80" width="6.42578125" hidden="1" customWidth="1"/>
    <col min="81" max="81" width="7.7109375" hidden="1" customWidth="1"/>
    <col min="82" max="82" width="6.28515625" hidden="1" customWidth="1"/>
    <col min="83" max="83" width="8.7109375" hidden="1" customWidth="1"/>
    <col min="84" max="84" width="0" hidden="1" customWidth="1"/>
    <col min="85" max="85" width="10" hidden="1" customWidth="1"/>
    <col min="86" max="86" width="6.85546875" hidden="1" customWidth="1"/>
    <col min="87" max="87" width="6.7109375" hidden="1" customWidth="1"/>
    <col min="88" max="88" width="9.7109375" hidden="1" customWidth="1"/>
    <col min="89" max="90" width="7.42578125" hidden="1" customWidth="1"/>
    <col min="91" max="91" width="9.42578125" hidden="1" customWidth="1"/>
    <col min="92" max="92" width="7.28515625" hidden="1" customWidth="1"/>
    <col min="93" max="93" width="9.28515625" hidden="1" customWidth="1"/>
    <col min="94" max="94" width="9.7109375" hidden="1" customWidth="1"/>
    <col min="95" max="96" width="7.85546875" hidden="1" customWidth="1"/>
    <col min="97" max="97" width="7.140625" style="12" hidden="1" customWidth="1"/>
    <col min="98" max="100" width="7.5703125" style="12" hidden="1" customWidth="1"/>
    <col min="101" max="101" width="9.7109375" style="12" hidden="1" customWidth="1"/>
    <col min="102" max="103" width="7.140625" style="12" hidden="1" customWidth="1"/>
    <col min="104" max="104" width="0" hidden="1" customWidth="1"/>
    <col min="105" max="105" width="6.85546875" hidden="1" customWidth="1"/>
    <col min="106" max="106" width="0" style="12" hidden="1" customWidth="1"/>
    <col min="107" max="120" width="6" hidden="1" customWidth="1"/>
    <col min="121" max="121" width="0" hidden="1" customWidth="1"/>
    <col min="122" max="122" width="9.85546875" hidden="1" customWidth="1"/>
    <col min="123" max="123" width="5.7109375" hidden="1" customWidth="1"/>
    <col min="124" max="124" width="6.140625" hidden="1" customWidth="1"/>
    <col min="125" max="137" width="6" hidden="1" customWidth="1"/>
    <col min="138" max="138" width="11.42578125" style="12"/>
    <col min="139" max="139" width="7.85546875" style="12" bestFit="1" customWidth="1"/>
    <col min="140" max="140" width="10.85546875" style="12" bestFit="1" customWidth="1"/>
    <col min="141" max="141" width="8" style="12" bestFit="1" customWidth="1"/>
    <col min="142" max="142" width="8.140625" style="12" bestFit="1" customWidth="1"/>
    <col min="143" max="143" width="8.140625" style="12" customWidth="1"/>
    <col min="144" max="144" width="8.42578125" style="12" bestFit="1" customWidth="1"/>
    <col min="145" max="145" width="6" style="12" bestFit="1" customWidth="1"/>
    <col min="146" max="149" width="6" style="12" customWidth="1"/>
  </cols>
  <sheetData>
    <row r="1" spans="1:150" ht="26.25" x14ac:dyDescent="0.4">
      <c r="B1" s="80" t="s">
        <v>3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  <c r="CG1" s="80"/>
      <c r="CH1" s="80"/>
      <c r="CI1" s="80"/>
      <c r="CJ1" s="80"/>
      <c r="CK1" s="80"/>
      <c r="CL1" s="80"/>
      <c r="CM1" s="80"/>
      <c r="CN1" s="80"/>
      <c r="CO1" s="80"/>
      <c r="CP1" s="80"/>
      <c r="CQ1" s="80"/>
      <c r="CR1" s="80"/>
      <c r="CS1" s="80"/>
      <c r="CT1" s="80"/>
      <c r="CU1" s="80"/>
      <c r="CV1" s="80"/>
      <c r="CW1" s="80"/>
      <c r="CX1" s="80"/>
      <c r="CY1" s="80"/>
      <c r="CZ1" s="80"/>
      <c r="DA1" s="80"/>
      <c r="DB1" s="80"/>
      <c r="DC1" s="80"/>
      <c r="DD1" s="80"/>
      <c r="DE1" s="80"/>
      <c r="DF1" s="80"/>
      <c r="DG1" s="80"/>
      <c r="DH1" s="80"/>
      <c r="DI1" s="80"/>
      <c r="DJ1" s="80"/>
      <c r="DK1" s="80"/>
      <c r="DL1" s="80"/>
      <c r="DM1" s="80"/>
      <c r="DN1" s="80"/>
      <c r="DO1" s="80"/>
      <c r="DP1" s="80"/>
      <c r="DQ1" s="80"/>
      <c r="DR1" s="80"/>
      <c r="DS1" s="80"/>
      <c r="DT1" s="80"/>
      <c r="DU1" s="80"/>
      <c r="DV1" s="80"/>
      <c r="DW1" s="80"/>
      <c r="DX1" s="80"/>
      <c r="DY1" s="80"/>
      <c r="DZ1" s="80"/>
      <c r="EA1" s="80"/>
      <c r="EB1" s="80"/>
      <c r="EC1" s="80"/>
      <c r="ED1" s="80"/>
      <c r="EE1" s="80"/>
      <c r="EF1" s="80"/>
      <c r="EG1" s="80"/>
      <c r="EH1" s="80"/>
      <c r="EI1" s="80"/>
      <c r="EJ1" s="80"/>
      <c r="EK1" s="80"/>
      <c r="EL1" s="80"/>
      <c r="EM1" s="80"/>
      <c r="EN1" s="80"/>
      <c r="EO1" s="80"/>
      <c r="EP1" s="80"/>
      <c r="EQ1" s="80"/>
      <c r="ER1" s="80"/>
      <c r="ES1" s="80"/>
      <c r="ET1" s="80"/>
    </row>
    <row r="2" spans="1:150" ht="15.75" thickBot="1" x14ac:dyDescent="0.3">
      <c r="C2" s="12"/>
      <c r="D2" s="12"/>
      <c r="E2" s="12"/>
    </row>
    <row r="3" spans="1:150" ht="15.75" thickTop="1" x14ac:dyDescent="0.25">
      <c r="B3" s="1" t="s">
        <v>0</v>
      </c>
      <c r="C3" s="4" t="s">
        <v>10</v>
      </c>
    </row>
    <row r="4" spans="1:150" ht="15.6" customHeight="1" x14ac:dyDescent="0.25">
      <c r="B4" s="2" t="s">
        <v>1</v>
      </c>
      <c r="C4" s="5" t="s">
        <v>11</v>
      </c>
      <c r="D4" s="81" t="s">
        <v>791</v>
      </c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2"/>
      <c r="BK4" s="82"/>
      <c r="BL4" s="82"/>
      <c r="BM4" s="82"/>
      <c r="BN4" s="82"/>
      <c r="BO4" s="82"/>
      <c r="BQ4" s="41" t="s">
        <v>56</v>
      </c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 t="s">
        <v>609</v>
      </c>
      <c r="CF4" s="41"/>
      <c r="CG4" s="41"/>
      <c r="CH4" s="41"/>
      <c r="CI4" s="41"/>
      <c r="CJ4" s="41"/>
      <c r="CK4" s="41"/>
      <c r="CL4" s="41"/>
      <c r="CM4" s="41"/>
      <c r="CN4" s="41"/>
      <c r="CO4" s="41"/>
      <c r="CP4" s="41"/>
      <c r="CQ4" s="41"/>
      <c r="CR4" s="41"/>
      <c r="CS4" s="41"/>
      <c r="CT4" s="41"/>
      <c r="CU4" s="41"/>
      <c r="CV4" s="41"/>
      <c r="CW4" s="41"/>
      <c r="CX4" s="41"/>
      <c r="CY4" s="41"/>
      <c r="CZ4" s="41"/>
      <c r="DA4" s="41"/>
      <c r="DB4" s="41"/>
      <c r="DC4" s="41"/>
      <c r="DD4" s="41"/>
      <c r="DE4" s="41"/>
      <c r="DF4" s="41"/>
      <c r="DG4" s="41"/>
      <c r="DH4" s="41"/>
      <c r="DI4" s="41"/>
      <c r="DJ4" s="41"/>
      <c r="DK4" s="41"/>
      <c r="DL4" s="41"/>
      <c r="DM4" s="41"/>
      <c r="DN4" s="41"/>
      <c r="DO4" s="41"/>
      <c r="DP4" s="41"/>
      <c r="DQ4" s="82" t="s">
        <v>792</v>
      </c>
      <c r="DR4" s="82"/>
      <c r="DS4" s="82"/>
      <c r="DT4" s="82"/>
      <c r="DU4" s="82"/>
      <c r="DV4" s="82"/>
      <c r="DW4" s="82"/>
      <c r="DX4" s="82"/>
      <c r="DY4" s="82"/>
      <c r="DZ4" s="82"/>
      <c r="EA4" s="82"/>
      <c r="EB4" s="82"/>
      <c r="EC4" s="82"/>
      <c r="ED4" s="82"/>
      <c r="EE4" s="82"/>
      <c r="EF4" s="82"/>
      <c r="EG4" s="82"/>
      <c r="EH4" s="82"/>
      <c r="EI4" s="82"/>
      <c r="EJ4" s="82"/>
      <c r="EK4" s="82"/>
      <c r="EL4" s="82"/>
      <c r="EM4" s="82"/>
      <c r="EN4" s="82"/>
      <c r="EO4" s="82"/>
      <c r="EP4" s="82"/>
      <c r="EQ4" s="82"/>
      <c r="ER4" s="82"/>
      <c r="ES4" s="82"/>
      <c r="ET4" s="82"/>
    </row>
    <row r="5" spans="1:150" ht="16.149999999999999" customHeight="1" thickBot="1" x14ac:dyDescent="0.3">
      <c r="B5" s="3" t="s">
        <v>2</v>
      </c>
      <c r="C5" s="53">
        <v>-48</v>
      </c>
      <c r="D5" s="81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2"/>
      <c r="BI5" s="82"/>
      <c r="BJ5" s="82"/>
      <c r="BK5" s="82"/>
      <c r="BL5" s="82"/>
      <c r="BM5" s="82"/>
      <c r="BN5" s="82"/>
      <c r="BO5" s="82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82"/>
      <c r="DR5" s="82"/>
      <c r="DS5" s="82"/>
      <c r="DT5" s="82"/>
      <c r="DU5" s="82"/>
      <c r="DV5" s="82"/>
      <c r="DW5" s="82"/>
      <c r="DX5" s="82"/>
      <c r="DY5" s="82"/>
      <c r="DZ5" s="82"/>
      <c r="EA5" s="82"/>
      <c r="EB5" s="82"/>
      <c r="EC5" s="82"/>
      <c r="ED5" s="82"/>
      <c r="EE5" s="82"/>
      <c r="EF5" s="82"/>
      <c r="EG5" s="82"/>
      <c r="EH5" s="82"/>
      <c r="EI5" s="82"/>
      <c r="EJ5" s="82"/>
      <c r="EK5" s="82"/>
      <c r="EL5" s="82"/>
      <c r="EM5" s="82"/>
      <c r="EN5" s="82"/>
      <c r="EO5" s="82"/>
      <c r="EP5" s="82"/>
      <c r="EQ5" s="82"/>
      <c r="ER5" s="82"/>
      <c r="ES5" s="82"/>
      <c r="ET5" s="82"/>
    </row>
    <row r="6" spans="1:150" ht="15.75" thickTop="1" x14ac:dyDescent="0.25"/>
    <row r="7" spans="1:150" ht="15.75" thickBot="1" x14ac:dyDescent="0.3"/>
    <row r="8" spans="1:150" ht="15.75" thickTop="1" x14ac:dyDescent="0.25">
      <c r="B8" s="43" t="s">
        <v>61</v>
      </c>
      <c r="C8" s="44"/>
      <c r="D8" s="1"/>
      <c r="E8" s="1"/>
      <c r="F8" s="4" t="s">
        <v>82</v>
      </c>
      <c r="G8" s="4" t="s">
        <v>170</v>
      </c>
      <c r="H8" s="4" t="s">
        <v>224</v>
      </c>
      <c r="I8" s="4" t="s">
        <v>287</v>
      </c>
      <c r="J8" s="4" t="s">
        <v>286</v>
      </c>
      <c r="K8" s="4" t="s">
        <v>289</v>
      </c>
      <c r="L8" s="4" t="s">
        <v>296</v>
      </c>
      <c r="M8" s="4" t="s">
        <v>82</v>
      </c>
      <c r="N8" s="4" t="s">
        <v>334</v>
      </c>
      <c r="O8" s="4" t="s">
        <v>334</v>
      </c>
      <c r="P8" s="1"/>
      <c r="Q8" s="25">
        <v>44927</v>
      </c>
      <c r="R8" s="29" t="s">
        <v>82</v>
      </c>
      <c r="S8" s="29" t="s">
        <v>82</v>
      </c>
      <c r="T8" s="29" t="s">
        <v>82</v>
      </c>
      <c r="U8" s="29" t="s">
        <v>334</v>
      </c>
      <c r="V8" s="29" t="s">
        <v>387</v>
      </c>
      <c r="W8" s="29" t="s">
        <v>387</v>
      </c>
      <c r="X8" s="29" t="s">
        <v>334</v>
      </c>
      <c r="Y8" s="29" t="s">
        <v>82</v>
      </c>
      <c r="Z8" s="29" t="s">
        <v>82</v>
      </c>
      <c r="AA8" s="29" t="s">
        <v>334</v>
      </c>
      <c r="AB8" s="29" t="s">
        <v>82</v>
      </c>
      <c r="AC8" s="29" t="s">
        <v>82</v>
      </c>
      <c r="AD8" s="29" t="s">
        <v>339</v>
      </c>
      <c r="AE8" s="4" t="s">
        <v>9</v>
      </c>
      <c r="AF8" s="29">
        <v>45292</v>
      </c>
      <c r="AG8" s="29" t="s">
        <v>82</v>
      </c>
      <c r="AH8" s="29" t="s">
        <v>82</v>
      </c>
      <c r="AI8" s="29" t="s">
        <v>82</v>
      </c>
      <c r="AJ8" s="29" t="s">
        <v>82</v>
      </c>
      <c r="AK8" s="29" t="s">
        <v>334</v>
      </c>
      <c r="AL8" s="29" t="s">
        <v>334</v>
      </c>
      <c r="AM8" s="29" t="s">
        <v>387</v>
      </c>
      <c r="AN8" s="29" t="s">
        <v>387</v>
      </c>
      <c r="AO8" s="29" t="s">
        <v>387</v>
      </c>
      <c r="AP8" s="29" t="s">
        <v>334</v>
      </c>
      <c r="AQ8" s="29" t="s">
        <v>82</v>
      </c>
      <c r="AR8" s="29" t="s">
        <v>82</v>
      </c>
      <c r="AS8" s="29" t="s">
        <v>82</v>
      </c>
      <c r="AT8" s="29" t="s">
        <v>82</v>
      </c>
      <c r="AU8" s="29" t="s">
        <v>82</v>
      </c>
      <c r="AV8" s="29" t="s">
        <v>334</v>
      </c>
      <c r="AW8" s="29" t="s">
        <v>597</v>
      </c>
      <c r="AX8" s="29" t="s">
        <v>339</v>
      </c>
      <c r="AY8" s="29" t="s">
        <v>9</v>
      </c>
      <c r="AZ8" s="29">
        <v>45658</v>
      </c>
      <c r="BA8" s="29"/>
      <c r="BB8" s="29"/>
      <c r="BC8" s="49"/>
      <c r="BD8" s="50"/>
      <c r="BE8" s="50"/>
      <c r="BF8" s="51"/>
      <c r="BG8" s="29" t="s">
        <v>9</v>
      </c>
      <c r="BH8" s="29">
        <v>46023</v>
      </c>
      <c r="BI8" s="29"/>
      <c r="BJ8" s="29"/>
      <c r="BK8" s="59"/>
      <c r="BL8" s="60"/>
      <c r="BM8" s="60"/>
      <c r="BN8" s="61"/>
      <c r="BO8" s="29" t="s">
        <v>612</v>
      </c>
      <c r="BQ8" s="1" t="s">
        <v>59</v>
      </c>
      <c r="BR8" s="4" t="s">
        <v>58</v>
      </c>
      <c r="BS8" s="4" t="s">
        <v>77</v>
      </c>
      <c r="BT8" s="4" t="s">
        <v>79</v>
      </c>
      <c r="BU8" s="4" t="s">
        <v>77</v>
      </c>
      <c r="BV8" s="4" t="s">
        <v>120</v>
      </c>
      <c r="BW8" s="4" t="s">
        <v>77</v>
      </c>
      <c r="BX8" s="4" t="s">
        <v>79</v>
      </c>
      <c r="BY8" s="4" t="s">
        <v>323</v>
      </c>
      <c r="BZ8" s="4" t="s">
        <v>325</v>
      </c>
      <c r="CA8" s="4" t="s">
        <v>331</v>
      </c>
      <c r="CB8" s="4" t="s">
        <v>79</v>
      </c>
      <c r="CC8" s="4" t="s">
        <v>340</v>
      </c>
      <c r="CD8" s="1" t="s">
        <v>9</v>
      </c>
      <c r="CE8" s="25">
        <v>44927</v>
      </c>
      <c r="CF8" s="1" t="s">
        <v>59</v>
      </c>
      <c r="CG8" s="1" t="s">
        <v>58</v>
      </c>
      <c r="CH8" s="1" t="s">
        <v>347</v>
      </c>
      <c r="CI8" s="1" t="s">
        <v>346</v>
      </c>
      <c r="CJ8" s="1" t="s">
        <v>349</v>
      </c>
      <c r="CK8" s="1" t="s">
        <v>350</v>
      </c>
      <c r="CL8" s="1" t="s">
        <v>351</v>
      </c>
      <c r="CM8" s="1" t="s">
        <v>377</v>
      </c>
      <c r="CN8" s="1" t="s">
        <v>378</v>
      </c>
      <c r="CO8" s="1" t="s">
        <v>381</v>
      </c>
      <c r="CP8" s="32" t="s">
        <v>399</v>
      </c>
      <c r="CQ8" s="32" t="s">
        <v>340</v>
      </c>
      <c r="CR8" s="32" t="s">
        <v>423</v>
      </c>
      <c r="CS8" s="4" t="s">
        <v>331</v>
      </c>
      <c r="CT8" s="4" t="s">
        <v>120</v>
      </c>
      <c r="CU8" s="1" t="s">
        <v>431</v>
      </c>
      <c r="CV8" s="4" t="s">
        <v>443</v>
      </c>
      <c r="CW8" s="4" t="s">
        <v>445</v>
      </c>
      <c r="CX8" s="4" t="s">
        <v>335</v>
      </c>
      <c r="CY8" s="4" t="s">
        <v>77</v>
      </c>
      <c r="CZ8" s="1" t="s">
        <v>9</v>
      </c>
      <c r="DA8" s="25">
        <v>45292</v>
      </c>
      <c r="DB8" s="4" t="s">
        <v>59</v>
      </c>
      <c r="DC8" s="4" t="s">
        <v>302</v>
      </c>
      <c r="DD8" s="4" t="s">
        <v>77</v>
      </c>
      <c r="DE8" s="4" t="s">
        <v>464</v>
      </c>
      <c r="DF8" s="4" t="s">
        <v>77</v>
      </c>
      <c r="DG8" s="4" t="s">
        <v>302</v>
      </c>
      <c r="DH8" s="4" t="s">
        <v>77</v>
      </c>
      <c r="DI8" s="4" t="s">
        <v>120</v>
      </c>
      <c r="DJ8" s="4" t="s">
        <v>505</v>
      </c>
      <c r="DK8" s="4" t="s">
        <v>512</v>
      </c>
      <c r="DL8" s="4" t="s">
        <v>505</v>
      </c>
      <c r="DM8" s="4" t="s">
        <v>555</v>
      </c>
      <c r="DN8" s="4" t="s">
        <v>505</v>
      </c>
      <c r="DO8" s="4" t="s">
        <v>331</v>
      </c>
      <c r="DP8" s="4" t="s">
        <v>335</v>
      </c>
      <c r="DQ8" s="1" t="s">
        <v>9</v>
      </c>
      <c r="DR8" s="25">
        <v>45658</v>
      </c>
      <c r="DS8" s="4" t="s">
        <v>464</v>
      </c>
      <c r="DT8" s="4" t="s">
        <v>77</v>
      </c>
      <c r="DU8" s="4" t="s">
        <v>302</v>
      </c>
      <c r="DV8" s="4" t="s">
        <v>77</v>
      </c>
      <c r="DW8" s="4" t="s">
        <v>120</v>
      </c>
      <c r="DX8" s="4" t="s">
        <v>512</v>
      </c>
      <c r="DY8" s="4" t="s">
        <v>302</v>
      </c>
      <c r="DZ8" s="4" t="s">
        <v>302</v>
      </c>
      <c r="EA8" s="4" t="s">
        <v>505</v>
      </c>
      <c r="EB8" s="4" t="s">
        <v>302</v>
      </c>
      <c r="EC8" s="4" t="s">
        <v>331</v>
      </c>
      <c r="ED8" s="4" t="s">
        <v>505</v>
      </c>
      <c r="EE8" s="4" t="s">
        <v>335</v>
      </c>
      <c r="EF8" s="4" t="s">
        <v>443</v>
      </c>
      <c r="EG8" s="4" t="s">
        <v>77</v>
      </c>
      <c r="EH8" s="4" t="s">
        <v>9</v>
      </c>
      <c r="EI8" s="29">
        <v>46023</v>
      </c>
      <c r="EJ8" s="4" t="s">
        <v>58</v>
      </c>
      <c r="EK8" s="4" t="s">
        <v>378</v>
      </c>
      <c r="EL8" s="4" t="s">
        <v>350</v>
      </c>
      <c r="EM8" s="4" t="s">
        <v>120</v>
      </c>
      <c r="EN8" s="4" t="s">
        <v>878</v>
      </c>
      <c r="EO8" s="4" t="s">
        <v>505</v>
      </c>
      <c r="EP8" s="4" t="s">
        <v>505</v>
      </c>
      <c r="EQ8" s="4" t="s">
        <v>331</v>
      </c>
      <c r="ER8" s="4" t="s">
        <v>505</v>
      </c>
      <c r="ES8" s="4" t="s">
        <v>77</v>
      </c>
      <c r="ET8" s="1" t="s">
        <v>9</v>
      </c>
    </row>
    <row r="9" spans="1:150" x14ac:dyDescent="0.25">
      <c r="B9" s="45"/>
      <c r="C9" s="46"/>
      <c r="D9" s="2"/>
      <c r="E9" s="2"/>
      <c r="F9" s="14" t="s">
        <v>132</v>
      </c>
      <c r="G9" s="14" t="s">
        <v>171</v>
      </c>
      <c r="H9" s="14" t="s">
        <v>225</v>
      </c>
      <c r="I9" s="14" t="s">
        <v>278</v>
      </c>
      <c r="J9" s="14" t="s">
        <v>284</v>
      </c>
      <c r="K9" s="14" t="s">
        <v>290</v>
      </c>
      <c r="L9" s="14" t="s">
        <v>171</v>
      </c>
      <c r="M9" s="14" t="s">
        <v>132</v>
      </c>
      <c r="N9" s="14" t="s">
        <v>335</v>
      </c>
      <c r="O9" s="14" t="s">
        <v>339</v>
      </c>
      <c r="P9" s="2" t="s">
        <v>9</v>
      </c>
      <c r="Q9" s="2"/>
      <c r="R9" s="5" t="s">
        <v>132</v>
      </c>
      <c r="S9" s="5" t="s">
        <v>83</v>
      </c>
      <c r="T9" s="5" t="s">
        <v>304</v>
      </c>
      <c r="U9" s="5" t="s">
        <v>287</v>
      </c>
      <c r="V9" s="5" t="s">
        <v>286</v>
      </c>
      <c r="W9" s="5" t="s">
        <v>289</v>
      </c>
      <c r="X9" s="5" t="s">
        <v>286</v>
      </c>
      <c r="Y9" s="5" t="s">
        <v>132</v>
      </c>
      <c r="Z9" s="5" t="s">
        <v>304</v>
      </c>
      <c r="AA9" s="5" t="s">
        <v>289</v>
      </c>
      <c r="AB9" s="5" t="s">
        <v>83</v>
      </c>
      <c r="AC9" s="5" t="s">
        <v>308</v>
      </c>
      <c r="AD9" s="5"/>
      <c r="AE9" s="5"/>
      <c r="AF9" s="5"/>
      <c r="AG9" s="5" t="s">
        <v>492</v>
      </c>
      <c r="AH9" s="5" t="s">
        <v>304</v>
      </c>
      <c r="AI9" s="5" t="s">
        <v>308</v>
      </c>
      <c r="AJ9" s="5" t="s">
        <v>167</v>
      </c>
      <c r="AK9" s="5" t="s">
        <v>286</v>
      </c>
      <c r="AL9" s="5" t="s">
        <v>524</v>
      </c>
      <c r="AM9" s="5" t="s">
        <v>286</v>
      </c>
      <c r="AN9" s="5" t="s">
        <v>287</v>
      </c>
      <c r="AO9" s="5" t="s">
        <v>289</v>
      </c>
      <c r="AP9" s="5" t="s">
        <v>287</v>
      </c>
      <c r="AQ9" s="5" t="s">
        <v>492</v>
      </c>
      <c r="AR9" s="5" t="s">
        <v>132</v>
      </c>
      <c r="AS9" s="5" t="s">
        <v>308</v>
      </c>
      <c r="AT9" s="5" t="s">
        <v>167</v>
      </c>
      <c r="AU9" s="5" t="s">
        <v>578</v>
      </c>
      <c r="AV9" s="5" t="s">
        <v>289</v>
      </c>
      <c r="AW9" s="5" t="s">
        <v>492</v>
      </c>
      <c r="AX9" s="5" t="s">
        <v>606</v>
      </c>
      <c r="AY9" s="5"/>
      <c r="AZ9" s="5"/>
      <c r="BA9" s="14" t="s">
        <v>82</v>
      </c>
      <c r="BB9" s="14" t="s">
        <v>387</v>
      </c>
      <c r="BC9" s="77" t="s">
        <v>608</v>
      </c>
      <c r="BD9" s="78"/>
      <c r="BE9" s="78"/>
      <c r="BF9" s="79"/>
      <c r="BG9" s="5"/>
      <c r="BH9" s="5"/>
      <c r="BI9" s="14" t="s">
        <v>82</v>
      </c>
      <c r="BJ9" s="14" t="s">
        <v>387</v>
      </c>
      <c r="BK9" s="77" t="s">
        <v>608</v>
      </c>
      <c r="BL9" s="78"/>
      <c r="BM9" s="78"/>
      <c r="BN9" s="79"/>
      <c r="BO9" s="14"/>
      <c r="BQ9" s="2" t="s">
        <v>60</v>
      </c>
      <c r="BR9" s="5"/>
      <c r="BS9" s="5" t="s">
        <v>78</v>
      </c>
      <c r="BT9" s="5" t="s">
        <v>80</v>
      </c>
      <c r="BU9" s="5" t="s">
        <v>81</v>
      </c>
      <c r="BV9" s="5" t="s">
        <v>121</v>
      </c>
      <c r="BW9" s="5" t="s">
        <v>288</v>
      </c>
      <c r="BX9" s="5" t="s">
        <v>121</v>
      </c>
      <c r="BY9" s="5" t="s">
        <v>324</v>
      </c>
      <c r="BZ9" s="5" t="s">
        <v>326</v>
      </c>
      <c r="CA9" s="5" t="s">
        <v>332</v>
      </c>
      <c r="CB9" s="5" t="s">
        <v>332</v>
      </c>
      <c r="CC9" s="5" t="s">
        <v>341</v>
      </c>
      <c r="CD9" s="2"/>
      <c r="CE9" s="2"/>
      <c r="CF9" s="2" t="s">
        <v>60</v>
      </c>
      <c r="CG9" s="2"/>
      <c r="CH9" s="2"/>
      <c r="CI9" s="2"/>
      <c r="CJ9" s="2"/>
      <c r="CK9" s="2"/>
      <c r="CL9" s="2"/>
      <c r="CM9" s="2"/>
      <c r="CN9" s="2"/>
      <c r="CO9" s="2"/>
      <c r="CP9" s="33"/>
      <c r="CQ9" s="33"/>
      <c r="CR9" s="33"/>
      <c r="CS9" s="5" t="s">
        <v>326</v>
      </c>
      <c r="CT9" s="5" t="s">
        <v>430</v>
      </c>
      <c r="CU9" s="2"/>
      <c r="CV9" s="5" t="s">
        <v>444</v>
      </c>
      <c r="CW9" s="5"/>
      <c r="CX9" s="5" t="s">
        <v>444</v>
      </c>
      <c r="CY9" s="5" t="s">
        <v>452</v>
      </c>
      <c r="CZ9" s="2"/>
      <c r="DB9" s="5" t="s">
        <v>60</v>
      </c>
      <c r="DC9" s="5" t="s">
        <v>456</v>
      </c>
      <c r="DD9" s="5" t="s">
        <v>458</v>
      </c>
      <c r="DE9" s="5"/>
      <c r="DF9" s="5" t="s">
        <v>324</v>
      </c>
      <c r="DG9" s="5" t="s">
        <v>311</v>
      </c>
      <c r="DH9" s="5" t="s">
        <v>81</v>
      </c>
      <c r="DI9" s="5" t="s">
        <v>501</v>
      </c>
      <c r="DJ9" s="5" t="s">
        <v>444</v>
      </c>
      <c r="DK9" s="5" t="s">
        <v>329</v>
      </c>
      <c r="DL9" s="5" t="s">
        <v>544</v>
      </c>
      <c r="DM9" s="5" t="s">
        <v>458</v>
      </c>
      <c r="DN9" s="5" t="s">
        <v>292</v>
      </c>
      <c r="DO9" s="5" t="s">
        <v>292</v>
      </c>
      <c r="DP9" s="5" t="s">
        <v>171</v>
      </c>
      <c r="DQ9" s="2"/>
      <c r="DR9" s="2"/>
      <c r="DS9" s="5"/>
      <c r="DT9" s="5" t="s">
        <v>458</v>
      </c>
      <c r="DU9" s="5" t="s">
        <v>311</v>
      </c>
      <c r="DV9" s="5" t="s">
        <v>475</v>
      </c>
      <c r="DW9" s="5" t="s">
        <v>444</v>
      </c>
      <c r="DX9" s="5" t="s">
        <v>295</v>
      </c>
      <c r="DY9" s="5" t="s">
        <v>749</v>
      </c>
      <c r="DZ9" s="5" t="s">
        <v>544</v>
      </c>
      <c r="EA9" s="5" t="s">
        <v>544</v>
      </c>
      <c r="EB9" s="5" t="s">
        <v>758</v>
      </c>
      <c r="EC9" s="5" t="s">
        <v>326</v>
      </c>
      <c r="ED9" s="5" t="s">
        <v>430</v>
      </c>
      <c r="EE9" s="5" t="s">
        <v>171</v>
      </c>
      <c r="EF9" s="5" t="s">
        <v>544</v>
      </c>
      <c r="EG9" s="5" t="s">
        <v>452</v>
      </c>
      <c r="EH9" s="5"/>
      <c r="EI9" s="5"/>
      <c r="EJ9" s="5"/>
      <c r="EK9" s="5"/>
      <c r="EL9" s="5"/>
      <c r="EM9" s="5" t="s">
        <v>225</v>
      </c>
      <c r="EN9" s="5"/>
      <c r="EO9" s="5" t="s">
        <v>332</v>
      </c>
      <c r="EP9" s="5" t="s">
        <v>444</v>
      </c>
      <c r="EQ9" s="5" t="s">
        <v>444</v>
      </c>
      <c r="ER9" s="5" t="s">
        <v>544</v>
      </c>
      <c r="ES9" s="5" t="s">
        <v>900</v>
      </c>
      <c r="ET9" s="2"/>
    </row>
    <row r="10" spans="1:150" x14ac:dyDescent="0.25">
      <c r="B10" s="47"/>
      <c r="C10" s="48"/>
      <c r="D10" s="2" t="s">
        <v>4</v>
      </c>
      <c r="E10" s="2" t="s">
        <v>5</v>
      </c>
      <c r="F10" s="15">
        <v>44653</v>
      </c>
      <c r="G10" s="5" t="s">
        <v>172</v>
      </c>
      <c r="H10" s="15">
        <v>44695</v>
      </c>
      <c r="I10" s="15">
        <v>44730</v>
      </c>
      <c r="J10" s="15">
        <v>44730</v>
      </c>
      <c r="K10" s="15">
        <v>44737</v>
      </c>
      <c r="L10" s="15">
        <v>44758</v>
      </c>
      <c r="M10" s="15">
        <v>44779</v>
      </c>
      <c r="N10" s="15">
        <v>44891</v>
      </c>
      <c r="O10" s="15">
        <v>44905</v>
      </c>
      <c r="P10" s="2">
        <v>2022</v>
      </c>
      <c r="Q10" s="2"/>
      <c r="R10" s="5" t="s">
        <v>353</v>
      </c>
      <c r="S10" s="5" t="s">
        <v>352</v>
      </c>
      <c r="T10" s="5" t="s">
        <v>357</v>
      </c>
      <c r="U10" s="5" t="s">
        <v>172</v>
      </c>
      <c r="V10" s="5" t="s">
        <v>388</v>
      </c>
      <c r="W10" s="5" t="s">
        <v>396</v>
      </c>
      <c r="X10" s="5" t="s">
        <v>412</v>
      </c>
      <c r="Y10" s="5" t="s">
        <v>422</v>
      </c>
      <c r="Z10" s="5" t="s">
        <v>428</v>
      </c>
      <c r="AA10" s="5" t="s">
        <v>432</v>
      </c>
      <c r="AB10" s="5" t="s">
        <v>439</v>
      </c>
      <c r="AC10" s="5" t="s">
        <v>439</v>
      </c>
      <c r="AD10" s="5" t="s">
        <v>453</v>
      </c>
      <c r="AE10" s="5">
        <v>2023</v>
      </c>
      <c r="AF10" s="35"/>
      <c r="AG10" s="35" t="s">
        <v>479</v>
      </c>
      <c r="AH10" s="35" t="s">
        <v>479</v>
      </c>
      <c r="AI10" s="35" t="s">
        <v>479</v>
      </c>
      <c r="AJ10" s="35" t="s">
        <v>503</v>
      </c>
      <c r="AK10" s="35" t="s">
        <v>513</v>
      </c>
      <c r="AL10" s="35" t="s">
        <v>525</v>
      </c>
      <c r="AM10" s="35" t="s">
        <v>534</v>
      </c>
      <c r="AN10" s="35" t="s">
        <v>534</v>
      </c>
      <c r="AO10" s="35" t="s">
        <v>546</v>
      </c>
      <c r="AP10" s="35" t="s">
        <v>550</v>
      </c>
      <c r="AQ10" s="35" t="s">
        <v>564</v>
      </c>
      <c r="AR10" s="35" t="s">
        <v>567</v>
      </c>
      <c r="AS10" s="35" t="s">
        <v>567</v>
      </c>
      <c r="AT10" s="35" t="s">
        <v>573</v>
      </c>
      <c r="AU10" s="35" t="s">
        <v>579</v>
      </c>
      <c r="AV10" s="35" t="s">
        <v>587</v>
      </c>
      <c r="AW10" s="35" t="s">
        <v>598</v>
      </c>
      <c r="AX10" s="35" t="s">
        <v>607</v>
      </c>
      <c r="AY10" s="35">
        <v>2024</v>
      </c>
      <c r="AZ10" s="5"/>
      <c r="BA10" s="5"/>
      <c r="BB10" s="5"/>
      <c r="BC10" s="5">
        <v>1</v>
      </c>
      <c r="BD10" s="5">
        <v>2</v>
      </c>
      <c r="BE10" s="5">
        <v>3</v>
      </c>
      <c r="BF10" s="5">
        <v>4</v>
      </c>
      <c r="BG10" s="5">
        <v>2025</v>
      </c>
      <c r="BH10" s="5"/>
      <c r="BI10" s="5"/>
      <c r="BJ10" s="5"/>
      <c r="BK10" s="5">
        <v>1</v>
      </c>
      <c r="BL10" s="5">
        <v>2</v>
      </c>
      <c r="BM10" s="5">
        <v>3</v>
      </c>
      <c r="BN10" s="5">
        <v>4</v>
      </c>
      <c r="BO10" s="5">
        <v>2026</v>
      </c>
      <c r="BQ10" s="9"/>
      <c r="BR10" s="13">
        <v>44562</v>
      </c>
      <c r="BS10" s="13">
        <v>44593</v>
      </c>
      <c r="BT10" s="13">
        <v>44621</v>
      </c>
      <c r="BU10" s="13">
        <v>44652</v>
      </c>
      <c r="BV10" s="13">
        <v>44652</v>
      </c>
      <c r="BW10" s="13">
        <v>44736</v>
      </c>
      <c r="BX10" s="13">
        <v>44821</v>
      </c>
      <c r="BY10" s="13">
        <v>44840</v>
      </c>
      <c r="BZ10" s="13">
        <v>44835</v>
      </c>
      <c r="CA10" s="13">
        <v>44868</v>
      </c>
      <c r="CB10" s="13">
        <v>44866</v>
      </c>
      <c r="CC10" s="13">
        <v>44896</v>
      </c>
      <c r="CD10" s="9">
        <v>2022</v>
      </c>
      <c r="CE10" s="2"/>
      <c r="CF10" s="2"/>
      <c r="CG10" s="7">
        <v>44927</v>
      </c>
      <c r="CH10" s="7">
        <v>44958</v>
      </c>
      <c r="CI10" s="7">
        <v>44958</v>
      </c>
      <c r="CJ10" s="7">
        <v>44986</v>
      </c>
      <c r="CK10" s="7">
        <v>44986</v>
      </c>
      <c r="CL10" s="7">
        <v>44986</v>
      </c>
      <c r="CM10" s="7">
        <v>45047</v>
      </c>
      <c r="CN10" s="7">
        <v>45047</v>
      </c>
      <c r="CO10" s="7">
        <v>45078</v>
      </c>
      <c r="CP10" s="34">
        <v>45108</v>
      </c>
      <c r="CQ10" s="34">
        <v>45142</v>
      </c>
      <c r="CR10" s="34">
        <v>45139</v>
      </c>
      <c r="CS10" s="14">
        <v>45139</v>
      </c>
      <c r="CT10" s="14">
        <v>45184</v>
      </c>
      <c r="CU10" s="7">
        <v>45170</v>
      </c>
      <c r="CV10" s="14">
        <v>45227</v>
      </c>
      <c r="CW10" s="14">
        <v>45240</v>
      </c>
      <c r="CX10" s="14">
        <v>45255</v>
      </c>
      <c r="CY10" s="14">
        <v>45262</v>
      </c>
      <c r="CZ10" s="2">
        <v>2023</v>
      </c>
      <c r="DB10" s="5"/>
      <c r="DC10" s="5" t="s">
        <v>457</v>
      </c>
      <c r="DD10" s="5" t="s">
        <v>459</v>
      </c>
      <c r="DE10" s="5" t="s">
        <v>465</v>
      </c>
      <c r="DF10" s="5" t="s">
        <v>472</v>
      </c>
      <c r="DG10" s="5" t="s">
        <v>473</v>
      </c>
      <c r="DH10" s="5" t="s">
        <v>477</v>
      </c>
      <c r="DI10" s="5" t="s">
        <v>502</v>
      </c>
      <c r="DJ10" s="5" t="s">
        <v>506</v>
      </c>
      <c r="DK10" s="5" t="s">
        <v>513</v>
      </c>
      <c r="DL10" s="5" t="s">
        <v>545</v>
      </c>
      <c r="DM10" s="5" t="s">
        <v>556</v>
      </c>
      <c r="DN10" s="5" t="s">
        <v>572</v>
      </c>
      <c r="DO10" s="5" t="s">
        <v>587</v>
      </c>
      <c r="DP10" s="5" t="s">
        <v>600</v>
      </c>
      <c r="DQ10" s="2">
        <v>2024</v>
      </c>
      <c r="DR10" s="2"/>
      <c r="DS10" s="5" t="s">
        <v>610</v>
      </c>
      <c r="DT10" s="5" t="s">
        <v>611</v>
      </c>
      <c r="DU10" s="5" t="s">
        <v>622</v>
      </c>
      <c r="DV10" s="5" t="s">
        <v>624</v>
      </c>
      <c r="DW10" s="5" t="s">
        <v>649</v>
      </c>
      <c r="DX10" s="5" t="s">
        <v>713</v>
      </c>
      <c r="DY10" s="5" t="s">
        <v>750</v>
      </c>
      <c r="DZ10" s="5" t="s">
        <v>756</v>
      </c>
      <c r="EA10" s="5" t="s">
        <v>439</v>
      </c>
      <c r="EB10" s="5" t="s">
        <v>759</v>
      </c>
      <c r="EC10" s="5" t="s">
        <v>769</v>
      </c>
      <c r="ED10" s="5" t="s">
        <v>599</v>
      </c>
      <c r="EE10" s="5" t="s">
        <v>600</v>
      </c>
      <c r="EF10" s="5" t="s">
        <v>788</v>
      </c>
      <c r="EG10" s="5" t="s">
        <v>790</v>
      </c>
      <c r="EH10" s="5">
        <v>2025</v>
      </c>
      <c r="EI10" s="5"/>
      <c r="EJ10" s="5" t="s">
        <v>849</v>
      </c>
      <c r="EK10" s="5" t="s">
        <v>801</v>
      </c>
      <c r="EL10" s="5" t="s">
        <v>844</v>
      </c>
      <c r="EM10" s="5" t="s">
        <v>851</v>
      </c>
      <c r="EN10" s="5" t="s">
        <v>715</v>
      </c>
      <c r="EO10" s="5" t="s">
        <v>545</v>
      </c>
      <c r="EP10" s="5" t="s">
        <v>881</v>
      </c>
      <c r="EQ10" s="5" t="s">
        <v>729</v>
      </c>
      <c r="ER10" s="5" t="s">
        <v>891</v>
      </c>
      <c r="ES10" s="5" t="s">
        <v>901</v>
      </c>
      <c r="ET10" s="2">
        <v>2026</v>
      </c>
    </row>
    <row r="11" spans="1:150" x14ac:dyDescent="0.25">
      <c r="A11">
        <v>1</v>
      </c>
      <c r="B11" s="62" t="s">
        <v>88</v>
      </c>
      <c r="C11" s="27"/>
      <c r="D11" s="21" t="s">
        <v>66</v>
      </c>
      <c r="E11" s="21" t="s">
        <v>450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>
        <v>120</v>
      </c>
      <c r="AE11" s="11">
        <f>SUM(Q11:AD11)</f>
        <v>120</v>
      </c>
      <c r="AF11" s="11">
        <f>(AE11-Q11)/2</f>
        <v>60</v>
      </c>
      <c r="AG11" s="11" t="s">
        <v>132</v>
      </c>
      <c r="AH11" s="11"/>
      <c r="AI11" s="11"/>
      <c r="AJ11" s="11"/>
      <c r="AK11" s="11">
        <v>7.5</v>
      </c>
      <c r="AL11" s="11">
        <v>80</v>
      </c>
      <c r="AM11" s="11"/>
      <c r="AN11" s="11">
        <v>48</v>
      </c>
      <c r="AO11" s="11"/>
      <c r="AP11" s="11">
        <v>75</v>
      </c>
      <c r="AQ11" s="11">
        <v>36</v>
      </c>
      <c r="AR11" s="11"/>
      <c r="AS11" s="11"/>
      <c r="AT11" s="11"/>
      <c r="AU11" s="11"/>
      <c r="AV11" s="11">
        <v>75</v>
      </c>
      <c r="AW11" s="11"/>
      <c r="AX11" s="11">
        <v>10</v>
      </c>
      <c r="AY11" s="11">
        <f>SUM(AF11:AX11)</f>
        <v>391.5</v>
      </c>
      <c r="AZ11" s="11">
        <f>(AY11-AF11)/2</f>
        <v>165.75</v>
      </c>
      <c r="BA11" s="11">
        <v>48</v>
      </c>
      <c r="BB11" s="11">
        <v>64</v>
      </c>
      <c r="BC11" s="11">
        <v>105</v>
      </c>
      <c r="BD11" s="11">
        <v>80</v>
      </c>
      <c r="BE11" s="11">
        <v>150</v>
      </c>
      <c r="BF11" s="11">
        <v>120</v>
      </c>
      <c r="BG11" s="11">
        <f>SUM(AZ11:BF11)</f>
        <v>732.75</v>
      </c>
      <c r="BH11" s="11">
        <f t="shared" ref="BH11:BH16" si="0">(BG11-AZ11)/2</f>
        <v>283.5</v>
      </c>
      <c r="BI11" s="11">
        <v>48</v>
      </c>
      <c r="BJ11" s="11">
        <v>48</v>
      </c>
      <c r="BK11" s="11">
        <v>105</v>
      </c>
      <c r="BL11" s="11">
        <v>80</v>
      </c>
      <c r="BM11" s="11">
        <v>36</v>
      </c>
      <c r="BN11" s="11"/>
      <c r="BO11" s="11">
        <f t="shared" ref="BO11:BO21" si="1">SUM(BH11:BN11)</f>
        <v>600.5</v>
      </c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10">
        <f>SUM(BR11:CC11)/2</f>
        <v>0</v>
      </c>
      <c r="CF11" s="10">
        <f>AE11/4</f>
        <v>30</v>
      </c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10"/>
      <c r="CT11" s="10"/>
      <c r="CU11" s="10"/>
      <c r="CV11" s="10"/>
      <c r="CW11" s="10"/>
      <c r="CX11" s="10">
        <v>100</v>
      </c>
      <c r="CY11" s="10"/>
      <c r="CZ11" s="10">
        <f>SUM(CG11:CX11)</f>
        <v>100</v>
      </c>
      <c r="DA11" s="8">
        <f>(CZ11-CE11)/2</f>
        <v>50</v>
      </c>
      <c r="DB11" s="10">
        <f>AY11/4</f>
        <v>97.875</v>
      </c>
      <c r="DC11" s="8"/>
      <c r="DD11" s="8"/>
      <c r="DE11" s="8">
        <v>30</v>
      </c>
      <c r="DF11" s="8"/>
      <c r="DG11" s="8"/>
      <c r="DH11" s="8"/>
      <c r="DI11" s="8">
        <v>15</v>
      </c>
      <c r="DJ11" s="8">
        <v>54</v>
      </c>
      <c r="DK11" s="8"/>
      <c r="DL11" s="8">
        <v>7.5</v>
      </c>
      <c r="DM11" s="8"/>
      <c r="DN11" s="8"/>
      <c r="DO11" s="8"/>
      <c r="DP11" s="8"/>
      <c r="DQ11" s="52">
        <f>SUM(DA11:DL11)</f>
        <v>254.375</v>
      </c>
      <c r="DR11" s="8">
        <f t="shared" ref="DR11:DR16" si="2">(DQ11-DA11)/2</f>
        <v>102.1875</v>
      </c>
      <c r="DS11" s="10">
        <v>18</v>
      </c>
      <c r="DT11" s="10"/>
      <c r="DU11" s="10"/>
      <c r="DV11" s="10"/>
      <c r="DW11" s="10"/>
      <c r="DX11" s="10"/>
      <c r="DY11" s="10"/>
      <c r="DZ11" s="10">
        <v>15</v>
      </c>
      <c r="EA11" s="10">
        <v>7.5</v>
      </c>
      <c r="EB11" s="10"/>
      <c r="EC11" s="10"/>
      <c r="ED11" s="10">
        <v>54</v>
      </c>
      <c r="EE11" s="10"/>
      <c r="EF11" s="10"/>
      <c r="EG11" s="10"/>
      <c r="EH11" s="10">
        <f>SUM(DR11:ED11)</f>
        <v>196.6875</v>
      </c>
      <c r="EI11" s="10">
        <f t="shared" ref="EI11:EI21" si="3">(EH11-DR11)/2</f>
        <v>47.25</v>
      </c>
      <c r="EJ11" s="10">
        <v>25</v>
      </c>
      <c r="EK11" s="10"/>
      <c r="EL11" s="10"/>
      <c r="EM11" s="10">
        <v>15</v>
      </c>
      <c r="EN11" s="10"/>
      <c r="EO11" s="10">
        <v>7.5</v>
      </c>
      <c r="EP11" s="10">
        <v>7.5</v>
      </c>
      <c r="EQ11" s="10">
        <v>5</v>
      </c>
      <c r="ER11" s="10">
        <v>7.5</v>
      </c>
      <c r="ES11" s="10"/>
      <c r="ET11" s="27">
        <f>SUM(EI11:ER11)</f>
        <v>114.75</v>
      </c>
    </row>
    <row r="12" spans="1:150" x14ac:dyDescent="0.25">
      <c r="A12">
        <v>2</v>
      </c>
      <c r="B12" s="63" t="s">
        <v>591</v>
      </c>
      <c r="C12" s="28"/>
      <c r="D12" s="22" t="s">
        <v>592</v>
      </c>
      <c r="E12" s="22" t="s">
        <v>7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>
        <v>105</v>
      </c>
      <c r="AW12" s="10"/>
      <c r="AX12" s="10">
        <v>140</v>
      </c>
      <c r="AY12" s="11">
        <f>SUM(AF12:AX12)</f>
        <v>245</v>
      </c>
      <c r="AZ12" s="11">
        <f>(AY12-AF12)/2</f>
        <v>122.5</v>
      </c>
      <c r="BA12" s="11">
        <v>48</v>
      </c>
      <c r="BB12" s="11">
        <v>64</v>
      </c>
      <c r="BC12" s="11">
        <v>75</v>
      </c>
      <c r="BD12" s="11">
        <v>48</v>
      </c>
      <c r="BE12" s="11">
        <v>48</v>
      </c>
      <c r="BF12" s="11">
        <v>160</v>
      </c>
      <c r="BG12" s="11">
        <f>SUM(AZ12:BF12)</f>
        <v>565.5</v>
      </c>
      <c r="BH12" s="11">
        <f t="shared" si="0"/>
        <v>221.5</v>
      </c>
      <c r="BI12" s="11"/>
      <c r="BJ12" s="11"/>
      <c r="BK12" s="11">
        <v>150</v>
      </c>
      <c r="BL12" s="11"/>
      <c r="BM12" s="11"/>
      <c r="BN12" s="11"/>
      <c r="BO12" s="11">
        <f t="shared" si="1"/>
        <v>371.5</v>
      </c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10"/>
      <c r="CT12" s="10"/>
      <c r="CU12" s="10"/>
      <c r="CV12" s="10"/>
      <c r="CW12" s="10"/>
      <c r="CX12" s="10"/>
      <c r="CY12" s="10"/>
      <c r="CZ12" s="10">
        <f>SUM(CE12:CF12)+SUM(CG12:CY12)</f>
        <v>0</v>
      </c>
      <c r="DA12" s="8">
        <f>(CZ12-CE12)/2</f>
        <v>0</v>
      </c>
      <c r="DB12" s="10">
        <f>AY12/4</f>
        <v>61.25</v>
      </c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>
        <v>30</v>
      </c>
      <c r="DQ12" s="52">
        <f>SUM(DA12:DP12)</f>
        <v>91.25</v>
      </c>
      <c r="DR12" s="8">
        <f t="shared" si="2"/>
        <v>45.625</v>
      </c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>
        <v>70</v>
      </c>
      <c r="ED12" s="10"/>
      <c r="EE12" s="10">
        <v>40</v>
      </c>
      <c r="EF12" s="10">
        <v>10</v>
      </c>
      <c r="EG12" s="10"/>
      <c r="EH12" s="10">
        <f>SUM(DR12:EF12)</f>
        <v>165.625</v>
      </c>
      <c r="EI12" s="10">
        <f t="shared" si="3"/>
        <v>60</v>
      </c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28">
        <f>SUM(EI12:EL12)</f>
        <v>60</v>
      </c>
    </row>
    <row r="13" spans="1:150" x14ac:dyDescent="0.25">
      <c r="A13">
        <v>3</v>
      </c>
      <c r="B13" s="18" t="s">
        <v>185</v>
      </c>
      <c r="C13" s="18" t="s">
        <v>223</v>
      </c>
      <c r="D13" s="18" t="s">
        <v>186</v>
      </c>
      <c r="E13" s="18" t="s">
        <v>17</v>
      </c>
      <c r="F13" s="8"/>
      <c r="G13" s="10">
        <v>4</v>
      </c>
      <c r="H13" s="10">
        <v>5</v>
      </c>
      <c r="I13" s="10"/>
      <c r="J13" s="10">
        <v>48</v>
      </c>
      <c r="K13" s="10"/>
      <c r="L13" s="10">
        <v>4</v>
      </c>
      <c r="M13" s="10"/>
      <c r="N13" s="10">
        <v>4</v>
      </c>
      <c r="O13" s="10">
        <v>6</v>
      </c>
      <c r="P13" s="11">
        <f>SUM(F13:O13)</f>
        <v>71</v>
      </c>
      <c r="Q13" s="11">
        <f>P13/2</f>
        <v>35.5</v>
      </c>
      <c r="R13" s="11"/>
      <c r="S13" s="11"/>
      <c r="T13" s="11">
        <v>36</v>
      </c>
      <c r="U13" s="11">
        <v>50</v>
      </c>
      <c r="V13" s="11">
        <v>48</v>
      </c>
      <c r="W13" s="11"/>
      <c r="X13" s="11">
        <v>50</v>
      </c>
      <c r="Y13" s="11"/>
      <c r="Z13" s="11">
        <v>36</v>
      </c>
      <c r="AA13" s="11"/>
      <c r="AB13" s="11"/>
      <c r="AC13" s="11"/>
      <c r="AD13" s="11">
        <v>6</v>
      </c>
      <c r="AE13" s="11">
        <f>SUM(Q13:AD13)</f>
        <v>261.5</v>
      </c>
      <c r="AF13" s="11">
        <f>(AE13-Q13)/2</f>
        <v>113</v>
      </c>
      <c r="AG13" s="11"/>
      <c r="AH13" s="11">
        <v>36</v>
      </c>
      <c r="AI13" s="11"/>
      <c r="AJ13" s="11"/>
      <c r="AK13" s="11">
        <v>60</v>
      </c>
      <c r="AL13" s="11">
        <v>4</v>
      </c>
      <c r="AM13" s="11">
        <v>3.2</v>
      </c>
      <c r="AN13" s="11"/>
      <c r="AO13" s="11"/>
      <c r="AP13" s="11">
        <v>105</v>
      </c>
      <c r="AQ13" s="11"/>
      <c r="AR13" s="11"/>
      <c r="AS13" s="11"/>
      <c r="AT13" s="11"/>
      <c r="AU13" s="11">
        <v>36</v>
      </c>
      <c r="AV13" s="11"/>
      <c r="AW13" s="11">
        <v>60</v>
      </c>
      <c r="AX13" s="11">
        <v>100</v>
      </c>
      <c r="AY13" s="11">
        <f>SUM(AF13:AX13)</f>
        <v>517.20000000000005</v>
      </c>
      <c r="AZ13" s="11">
        <f>(AY13-AF13)/2</f>
        <v>202.10000000000002</v>
      </c>
      <c r="BA13" s="11">
        <v>36</v>
      </c>
      <c r="BB13" s="11">
        <v>48</v>
      </c>
      <c r="BC13" s="11">
        <v>150</v>
      </c>
      <c r="BD13" s="11">
        <v>4</v>
      </c>
      <c r="BE13" s="11">
        <v>105</v>
      </c>
      <c r="BF13" s="11">
        <v>4</v>
      </c>
      <c r="BG13" s="11">
        <f>SUM(AZ13:BF13)</f>
        <v>549.1</v>
      </c>
      <c r="BH13" s="11">
        <f t="shared" si="0"/>
        <v>173.5</v>
      </c>
      <c r="BI13" s="11">
        <v>36</v>
      </c>
      <c r="BJ13" s="11"/>
      <c r="BK13" s="11">
        <v>75</v>
      </c>
      <c r="BL13" s="11">
        <v>36</v>
      </c>
      <c r="BM13" s="11"/>
      <c r="BN13" s="11"/>
      <c r="BO13" s="11">
        <f t="shared" si="1"/>
        <v>320.5</v>
      </c>
      <c r="BQ13" s="10">
        <f>P13/2</f>
        <v>35.5</v>
      </c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10">
        <f>SUM(BQ13:BS13)</f>
        <v>35.5</v>
      </c>
      <c r="CE13" s="10">
        <f>SUM(BR13:CC13)/2</f>
        <v>0</v>
      </c>
      <c r="CF13" s="10">
        <f>AE13/4</f>
        <v>65.375</v>
      </c>
      <c r="CG13" s="10">
        <v>18</v>
      </c>
      <c r="CH13" s="10"/>
      <c r="CI13" s="10"/>
      <c r="CJ13" s="10">
        <v>5</v>
      </c>
      <c r="CK13" s="10"/>
      <c r="CL13" s="10"/>
      <c r="CM13" s="10"/>
      <c r="CN13" s="10"/>
      <c r="CO13" s="10">
        <v>5</v>
      </c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>
        <f>SUM(CE13:CF13)+SUM(CG13:CO13)</f>
        <v>93.375</v>
      </c>
      <c r="DA13" s="8">
        <f>(CZ13-CE13)/2</f>
        <v>46.6875</v>
      </c>
      <c r="DB13" s="10">
        <f>AY13/4</f>
        <v>129.30000000000001</v>
      </c>
      <c r="DC13" s="8"/>
      <c r="DD13" s="8"/>
      <c r="DE13" s="8">
        <v>18</v>
      </c>
      <c r="DF13" s="8"/>
      <c r="DG13" s="8"/>
      <c r="DH13" s="8"/>
      <c r="DI13" s="8"/>
      <c r="DJ13" s="8"/>
      <c r="DK13" s="8"/>
      <c r="DL13" s="8"/>
      <c r="DM13" s="8"/>
      <c r="DN13" s="8"/>
      <c r="DO13" s="8">
        <v>5</v>
      </c>
      <c r="DP13" s="8"/>
      <c r="DQ13" s="52">
        <f>SUM(DA13:DO13)</f>
        <v>198.98750000000001</v>
      </c>
      <c r="DR13" s="8">
        <f t="shared" si="2"/>
        <v>76.150000000000006</v>
      </c>
      <c r="DS13" s="10"/>
      <c r="DT13" s="10"/>
      <c r="DU13" s="10"/>
      <c r="DV13" s="10"/>
      <c r="DW13" s="10"/>
      <c r="DX13" s="10"/>
      <c r="DY13" s="10"/>
      <c r="DZ13" s="10">
        <v>300</v>
      </c>
      <c r="EA13" s="10"/>
      <c r="EB13" s="10"/>
      <c r="EC13" s="10"/>
      <c r="ED13" s="10"/>
      <c r="EE13" s="10"/>
      <c r="EF13" s="10"/>
      <c r="EG13" s="10"/>
      <c r="EH13" s="10">
        <f>SUM(DR13:DU13)</f>
        <v>76.150000000000006</v>
      </c>
      <c r="EI13" s="10">
        <f t="shared" si="3"/>
        <v>0</v>
      </c>
      <c r="EJ13" s="10"/>
      <c r="EK13" s="10"/>
      <c r="EL13" s="10"/>
      <c r="EM13" s="10"/>
      <c r="EN13" s="10"/>
      <c r="EO13" s="10"/>
      <c r="EP13" s="10">
        <v>7.5</v>
      </c>
      <c r="EQ13" s="10">
        <v>5</v>
      </c>
      <c r="ER13" s="10"/>
      <c r="ES13" s="10"/>
      <c r="ET13" s="8">
        <f>SUM(EI13:EQ13)</f>
        <v>12.5</v>
      </c>
    </row>
    <row r="14" spans="1:150" x14ac:dyDescent="0.25">
      <c r="A14" s="68">
        <v>4</v>
      </c>
      <c r="B14" s="18" t="s">
        <v>629</v>
      </c>
      <c r="C14" s="8"/>
      <c r="D14" s="18" t="s">
        <v>265</v>
      </c>
      <c r="E14" s="18" t="s">
        <v>7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>
        <v>2.4</v>
      </c>
      <c r="BB14" s="10">
        <v>3.2</v>
      </c>
      <c r="BC14" s="10">
        <v>54</v>
      </c>
      <c r="BD14" s="10">
        <v>7.5</v>
      </c>
      <c r="BE14" s="10">
        <v>112</v>
      </c>
      <c r="BF14" s="10">
        <v>84</v>
      </c>
      <c r="BG14" s="11">
        <f>SUM(AZ14:BF14)</f>
        <v>263.10000000000002</v>
      </c>
      <c r="BH14" s="11">
        <f t="shared" si="0"/>
        <v>131.55000000000001</v>
      </c>
      <c r="BI14" s="11"/>
      <c r="BJ14" s="11"/>
      <c r="BK14" s="11"/>
      <c r="BL14" s="11"/>
      <c r="BM14" s="11"/>
      <c r="BN14" s="11"/>
      <c r="BO14" s="11">
        <f t="shared" si="1"/>
        <v>131.55000000000001</v>
      </c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10"/>
      <c r="CT14" s="10"/>
      <c r="CU14" s="10"/>
      <c r="CV14" s="10"/>
      <c r="CW14" s="10"/>
      <c r="CX14" s="10"/>
      <c r="CY14" s="10"/>
      <c r="CZ14" s="8"/>
      <c r="DA14" s="8"/>
      <c r="DB14" s="10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52">
        <f>SUM(DA14:DM14)</f>
        <v>0</v>
      </c>
      <c r="DR14" s="8">
        <f t="shared" si="2"/>
        <v>0</v>
      </c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>
        <v>2</v>
      </c>
      <c r="EF14" s="10"/>
      <c r="EG14" s="10"/>
      <c r="EH14" s="10">
        <f>SUM(DR14:EE14)</f>
        <v>2</v>
      </c>
      <c r="EI14" s="10">
        <f t="shared" si="3"/>
        <v>1</v>
      </c>
      <c r="EJ14" s="10">
        <v>1.25</v>
      </c>
      <c r="EK14" s="10"/>
      <c r="EL14" s="10"/>
      <c r="EM14" s="10"/>
      <c r="EN14" s="10"/>
      <c r="EO14" s="10"/>
      <c r="EP14" s="10"/>
      <c r="EQ14" s="10"/>
      <c r="ER14" s="10"/>
      <c r="ES14" s="10"/>
      <c r="ET14" s="8">
        <f t="shared" ref="ET14:ET20" si="4">SUM(EI14:EL14)</f>
        <v>2.25</v>
      </c>
    </row>
    <row r="15" spans="1:150" x14ac:dyDescent="0.25">
      <c r="A15">
        <v>5</v>
      </c>
      <c r="B15" s="18" t="s">
        <v>190</v>
      </c>
      <c r="C15" s="8"/>
      <c r="D15" s="18" t="s">
        <v>468</v>
      </c>
      <c r="E15" s="18" t="s">
        <v>19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>
        <v>33.6</v>
      </c>
      <c r="BB15" s="10">
        <v>44.8</v>
      </c>
      <c r="BC15" s="10">
        <v>75</v>
      </c>
      <c r="BD15" s="10">
        <v>56</v>
      </c>
      <c r="BE15" s="10"/>
      <c r="BF15" s="10"/>
      <c r="BG15" s="11">
        <f>SUM(AZ15:BE15)</f>
        <v>209.4</v>
      </c>
      <c r="BH15" s="11">
        <f t="shared" si="0"/>
        <v>104.7</v>
      </c>
      <c r="BI15" s="11">
        <v>2.4</v>
      </c>
      <c r="BJ15" s="11"/>
      <c r="BK15" s="11"/>
      <c r="BL15" s="11"/>
      <c r="BM15" s="11"/>
      <c r="BN15" s="11"/>
      <c r="BO15" s="11">
        <f t="shared" si="1"/>
        <v>107.10000000000001</v>
      </c>
      <c r="CZ15" s="8"/>
      <c r="DA15" s="8"/>
      <c r="DB15" s="10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Q15" s="8">
        <f>SUM(DA15:DM15)</f>
        <v>0</v>
      </c>
      <c r="DR15" s="8">
        <f t="shared" si="2"/>
        <v>0</v>
      </c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>
        <f>SUM(DR15:DV15)</f>
        <v>0</v>
      </c>
      <c r="EI15" s="10">
        <f t="shared" si="3"/>
        <v>0</v>
      </c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8">
        <f t="shared" si="4"/>
        <v>0</v>
      </c>
    </row>
    <row r="16" spans="1:150" x14ac:dyDescent="0.25">
      <c r="A16">
        <v>6</v>
      </c>
      <c r="B16" s="18" t="s">
        <v>770</v>
      </c>
      <c r="C16" s="8"/>
      <c r="D16" s="18" t="s">
        <v>569</v>
      </c>
      <c r="E16" s="18" t="s">
        <v>646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>
        <v>36</v>
      </c>
      <c r="BB16" s="10"/>
      <c r="BC16" s="10">
        <v>8</v>
      </c>
      <c r="BD16" s="10"/>
      <c r="BE16" s="10"/>
      <c r="BF16" s="10"/>
      <c r="BG16" s="11">
        <f>SUM(AZ16:BE16)</f>
        <v>44</v>
      </c>
      <c r="BH16" s="11">
        <f t="shared" si="0"/>
        <v>22</v>
      </c>
      <c r="BI16" s="11">
        <v>36</v>
      </c>
      <c r="BJ16" s="11"/>
      <c r="BK16" s="11">
        <v>7.5</v>
      </c>
      <c r="BL16" s="11"/>
      <c r="BM16" s="11"/>
      <c r="BN16" s="11"/>
      <c r="BO16" s="11">
        <f t="shared" si="1"/>
        <v>65.5</v>
      </c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10"/>
      <c r="CT16" s="10"/>
      <c r="CU16" s="10"/>
      <c r="CV16" s="10"/>
      <c r="CW16" s="10"/>
      <c r="CX16" s="10"/>
      <c r="CY16" s="10"/>
      <c r="CZ16" s="8"/>
      <c r="DA16" s="8"/>
      <c r="DB16" s="10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52">
        <f>SUM(DA16:DM16)</f>
        <v>0</v>
      </c>
      <c r="DR16" s="8">
        <f t="shared" si="2"/>
        <v>0</v>
      </c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>
        <f>SUM(DR16:EB16)</f>
        <v>0</v>
      </c>
      <c r="EI16" s="10">
        <f t="shared" si="3"/>
        <v>0</v>
      </c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8">
        <f t="shared" si="4"/>
        <v>0</v>
      </c>
    </row>
    <row r="17" spans="1:150" x14ac:dyDescent="0.25">
      <c r="A17">
        <v>7</v>
      </c>
      <c r="B17" s="18" t="s">
        <v>826</v>
      </c>
      <c r="C17" s="8"/>
      <c r="D17" s="18" t="s">
        <v>827</v>
      </c>
      <c r="E17" s="18" t="s">
        <v>43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>
        <v>36</v>
      </c>
      <c r="BJ17" s="10"/>
      <c r="BK17" s="10">
        <v>7.5</v>
      </c>
      <c r="BL17" s="10">
        <v>4</v>
      </c>
      <c r="BM17" s="10"/>
      <c r="BN17" s="10"/>
      <c r="BO17" s="11">
        <f t="shared" si="1"/>
        <v>47.5</v>
      </c>
      <c r="CZ17" s="8"/>
      <c r="DA17" s="8"/>
      <c r="DB17" s="10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52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10">
        <f>SUM(DR17:EG17)</f>
        <v>0</v>
      </c>
      <c r="EI17" s="10">
        <f t="shared" si="3"/>
        <v>0</v>
      </c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8">
        <f t="shared" si="4"/>
        <v>0</v>
      </c>
    </row>
    <row r="18" spans="1:150" x14ac:dyDescent="0.25">
      <c r="A18">
        <v>8</v>
      </c>
      <c r="B18" s="18" t="s">
        <v>104</v>
      </c>
      <c r="C18" s="8"/>
      <c r="D18" s="18" t="s">
        <v>345</v>
      </c>
      <c r="E18" s="18" t="s">
        <v>15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0"/>
      <c r="S18" s="10">
        <v>36</v>
      </c>
      <c r="T18" s="10"/>
      <c r="U18" s="10">
        <v>5</v>
      </c>
      <c r="V18" s="10"/>
      <c r="W18" s="10"/>
      <c r="X18" s="10">
        <v>70</v>
      </c>
      <c r="Y18" s="10"/>
      <c r="Z18" s="10"/>
      <c r="AA18" s="10"/>
      <c r="AB18" s="10">
        <v>36</v>
      </c>
      <c r="AC18" s="10"/>
      <c r="AD18" s="10">
        <v>84</v>
      </c>
      <c r="AE18" s="11">
        <f>SUM(Q18:AD18)</f>
        <v>231</v>
      </c>
      <c r="AF18" s="11">
        <f>(AE18-Q18)/2</f>
        <v>115.5</v>
      </c>
      <c r="AG18" s="11"/>
      <c r="AH18" s="11"/>
      <c r="AI18" s="11"/>
      <c r="AJ18" s="11"/>
      <c r="AK18" s="11">
        <v>105</v>
      </c>
      <c r="AL18" s="11">
        <v>56</v>
      </c>
      <c r="AM18" s="11"/>
      <c r="AN18" s="11"/>
      <c r="AO18" s="11"/>
      <c r="AP18" s="11">
        <v>7.5</v>
      </c>
      <c r="AQ18" s="11"/>
      <c r="AR18" s="11"/>
      <c r="AS18" s="11"/>
      <c r="AT18" s="11"/>
      <c r="AU18" s="11"/>
      <c r="AV18" s="11">
        <v>7.5</v>
      </c>
      <c r="AW18" s="11"/>
      <c r="AX18" s="11"/>
      <c r="AY18" s="11">
        <f>SUM(AF18:AX18)</f>
        <v>291.5</v>
      </c>
      <c r="AZ18" s="11">
        <f>(AY18-AF18)/2</f>
        <v>88</v>
      </c>
      <c r="BA18" s="11"/>
      <c r="BB18" s="11"/>
      <c r="BC18" s="11">
        <v>7.5</v>
      </c>
      <c r="BD18" s="11">
        <v>75</v>
      </c>
      <c r="BE18" s="11"/>
      <c r="BF18" s="11"/>
      <c r="BG18" s="11">
        <f>SUM(AZ18:BE18)</f>
        <v>170.5</v>
      </c>
      <c r="BH18" s="11">
        <f>(BG18-AZ18)/2</f>
        <v>41.25</v>
      </c>
      <c r="BI18" s="11"/>
      <c r="BJ18" s="11"/>
      <c r="BK18" s="11"/>
      <c r="BL18" s="11"/>
      <c r="BM18" s="11"/>
      <c r="BN18" s="11"/>
      <c r="BO18" s="11">
        <f t="shared" si="1"/>
        <v>41.25</v>
      </c>
      <c r="CE18" s="12">
        <f>SUM(BR18:CC18)/2</f>
        <v>0</v>
      </c>
      <c r="CF18">
        <f>AE18/4</f>
        <v>57.75</v>
      </c>
      <c r="CG18" s="12">
        <v>1.5</v>
      </c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Z18" s="12">
        <f>SUM(CE18:CF18)+SUM(CG18:CO18)</f>
        <v>59.25</v>
      </c>
      <c r="DA18">
        <f>(CZ18-CE18)/2</f>
        <v>29.625</v>
      </c>
      <c r="DB18" s="12">
        <f>AY18/4</f>
        <v>72.875</v>
      </c>
      <c r="DE18">
        <v>1.5</v>
      </c>
      <c r="DJ18">
        <v>7.5</v>
      </c>
      <c r="DQ18" s="52">
        <f>SUM(DA18:DE18)</f>
        <v>104</v>
      </c>
      <c r="DR18" s="8">
        <f>(DQ18-DA18)/2</f>
        <v>37.1875</v>
      </c>
      <c r="DS18" s="10">
        <v>1.5</v>
      </c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>
        <f>SUM(DR18:DU18)</f>
        <v>38.6875</v>
      </c>
      <c r="EI18" s="10">
        <f t="shared" si="3"/>
        <v>0.75</v>
      </c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8">
        <f t="shared" si="4"/>
        <v>0.75</v>
      </c>
    </row>
    <row r="19" spans="1:150" x14ac:dyDescent="0.25">
      <c r="A19">
        <v>9</v>
      </c>
      <c r="B19" s="18" t="s">
        <v>746</v>
      </c>
      <c r="C19" s="8"/>
      <c r="D19" s="18" t="s">
        <v>251</v>
      </c>
      <c r="E19" s="18" t="s">
        <v>602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>
        <v>3</v>
      </c>
      <c r="BB19" s="10"/>
      <c r="BC19" s="10"/>
      <c r="BD19" s="10"/>
      <c r="BE19" s="10"/>
      <c r="BF19" s="10"/>
      <c r="BG19" s="11">
        <f>SUM(AZ19:BE19)</f>
        <v>3</v>
      </c>
      <c r="BH19" s="11">
        <f>(BG19-AZ19)/2</f>
        <v>1.5</v>
      </c>
      <c r="BI19" s="11"/>
      <c r="BJ19" s="11"/>
      <c r="BK19" s="11"/>
      <c r="BL19" s="11"/>
      <c r="BM19" s="11"/>
      <c r="BN19" s="11"/>
      <c r="BO19" s="11">
        <f t="shared" si="1"/>
        <v>1.5</v>
      </c>
      <c r="DQ19" s="52">
        <f>SUM(DA19:DM19)</f>
        <v>0</v>
      </c>
      <c r="DR19" s="8">
        <f>(DQ19-DA19)/2</f>
        <v>0</v>
      </c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>
        <f>SUM(DR19:DU19)</f>
        <v>0</v>
      </c>
      <c r="EI19" s="10">
        <f t="shared" si="3"/>
        <v>0</v>
      </c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8">
        <f t="shared" si="4"/>
        <v>0</v>
      </c>
    </row>
    <row r="20" spans="1:150" x14ac:dyDescent="0.25">
      <c r="A20">
        <v>10</v>
      </c>
      <c r="B20" s="18" t="s">
        <v>130</v>
      </c>
      <c r="C20" s="18" t="s">
        <v>133</v>
      </c>
      <c r="D20" s="18" t="s">
        <v>131</v>
      </c>
      <c r="E20" s="18" t="s">
        <v>7</v>
      </c>
      <c r="F20" s="10">
        <v>36</v>
      </c>
      <c r="G20" s="10"/>
      <c r="H20" s="10">
        <v>50</v>
      </c>
      <c r="I20" s="10"/>
      <c r="J20" s="10"/>
      <c r="K20" s="10">
        <v>48</v>
      </c>
      <c r="L20" s="10">
        <v>56</v>
      </c>
      <c r="M20" s="10">
        <v>36</v>
      </c>
      <c r="N20" s="10"/>
      <c r="O20" s="10">
        <v>84</v>
      </c>
      <c r="P20" s="11">
        <f>SUM(F20:O20)</f>
        <v>310</v>
      </c>
      <c r="Q20" s="11">
        <f>P20/2</f>
        <v>155</v>
      </c>
      <c r="R20" s="11">
        <v>36</v>
      </c>
      <c r="S20" s="11"/>
      <c r="T20" s="11"/>
      <c r="U20" s="11">
        <v>100</v>
      </c>
      <c r="V20" s="11"/>
      <c r="W20" s="11">
        <v>48</v>
      </c>
      <c r="X20" s="11">
        <v>100</v>
      </c>
      <c r="Y20" s="11">
        <v>36</v>
      </c>
      <c r="Z20" s="11"/>
      <c r="AA20" s="11">
        <v>80</v>
      </c>
      <c r="AB20" s="11"/>
      <c r="AC20" s="11"/>
      <c r="AD20" s="11"/>
      <c r="AE20" s="11">
        <f>SUM(Q20:AD20)</f>
        <v>555</v>
      </c>
      <c r="AF20" s="11">
        <f>(AE20-Q20)/2</f>
        <v>200</v>
      </c>
      <c r="AG20" s="11"/>
      <c r="AH20" s="11"/>
      <c r="AI20" s="11"/>
      <c r="AJ20" s="11"/>
      <c r="AK20" s="11">
        <v>150</v>
      </c>
      <c r="AL20" s="11"/>
      <c r="AM20" s="11"/>
      <c r="AN20" s="11"/>
      <c r="AO20" s="11">
        <v>48</v>
      </c>
      <c r="AP20" s="11">
        <v>150</v>
      </c>
      <c r="AQ20" s="11"/>
      <c r="AR20" s="11">
        <v>36</v>
      </c>
      <c r="AS20" s="11"/>
      <c r="AT20" s="11"/>
      <c r="AU20" s="11"/>
      <c r="AV20" s="11">
        <v>150</v>
      </c>
      <c r="AW20" s="11"/>
      <c r="AX20" s="11">
        <v>200</v>
      </c>
      <c r="AY20" s="11">
        <f>SUM(AF20:AX20)</f>
        <v>934</v>
      </c>
      <c r="AZ20" s="11">
        <f>(AY20-AF20)/2</f>
        <v>367</v>
      </c>
      <c r="BA20" s="11"/>
      <c r="BB20" s="11"/>
      <c r="BC20" s="11"/>
      <c r="BD20" s="11"/>
      <c r="BE20" s="11"/>
      <c r="BF20" s="11"/>
      <c r="BG20" s="11">
        <f>SUM(AZ20:BE20)</f>
        <v>367</v>
      </c>
      <c r="BH20" s="11">
        <f>(BG20-AZ20)/2</f>
        <v>0</v>
      </c>
      <c r="BI20" s="11"/>
      <c r="BJ20" s="11"/>
      <c r="BK20" s="11"/>
      <c r="BL20" s="11"/>
      <c r="BM20" s="11"/>
      <c r="BN20" s="11"/>
      <c r="BO20" s="11">
        <f t="shared" si="1"/>
        <v>0</v>
      </c>
      <c r="BQ20" s="12">
        <f>P20/2</f>
        <v>155</v>
      </c>
      <c r="CD20" s="12">
        <f>SUM(BQ20:CB20)</f>
        <v>155</v>
      </c>
      <c r="CE20" s="12">
        <f>SUM(BR20:CC20)/2</f>
        <v>0</v>
      </c>
      <c r="CF20" s="12">
        <f>AE20/4</f>
        <v>138.75</v>
      </c>
      <c r="CG20" s="12">
        <v>22.5</v>
      </c>
      <c r="CH20" s="12"/>
      <c r="CI20" s="12"/>
      <c r="CJ20" s="12"/>
      <c r="CK20" s="12"/>
      <c r="CL20" s="12"/>
      <c r="CM20" s="12"/>
      <c r="CN20" s="12"/>
      <c r="CO20" s="12">
        <v>5</v>
      </c>
      <c r="CP20" s="12"/>
      <c r="CQ20" s="12"/>
      <c r="CR20" s="12"/>
      <c r="CS20" s="12">
        <v>5</v>
      </c>
      <c r="CZ20" s="12">
        <f>SUM(CE20:CF20)+SUM(CG20:CS20)</f>
        <v>171.25</v>
      </c>
      <c r="DA20">
        <f>(CZ20-CE20)/2</f>
        <v>85.625</v>
      </c>
      <c r="DB20" s="12">
        <f>AY20/4</f>
        <v>233.5</v>
      </c>
      <c r="DE20">
        <v>22.5</v>
      </c>
      <c r="DN20">
        <v>7.5</v>
      </c>
      <c r="DQ20" s="52">
        <f>SUM(DA20:DN20)</f>
        <v>349.125</v>
      </c>
      <c r="DR20" s="8">
        <f>(DQ20-DA20)/2</f>
        <v>131.75</v>
      </c>
      <c r="DS20" s="10">
        <v>22.5</v>
      </c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>
        <f>SUM(DR20:DU20)</f>
        <v>154.25</v>
      </c>
      <c r="EI20" s="10">
        <f t="shared" si="3"/>
        <v>11.25</v>
      </c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8">
        <f t="shared" si="4"/>
        <v>11.25</v>
      </c>
    </row>
    <row r="21" spans="1:150" x14ac:dyDescent="0.25">
      <c r="A21">
        <v>11</v>
      </c>
      <c r="B21" s="20" t="s">
        <v>92</v>
      </c>
      <c r="C21" s="20" t="s">
        <v>93</v>
      </c>
      <c r="D21" s="20" t="s">
        <v>39</v>
      </c>
      <c r="E21" s="20" t="s">
        <v>57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f>SUM(F21:O21)</f>
        <v>0</v>
      </c>
      <c r="Q21" s="11">
        <f>P21/2</f>
        <v>0</v>
      </c>
      <c r="R21" s="11"/>
      <c r="S21" s="11"/>
      <c r="T21" s="11"/>
      <c r="U21" s="11" t="s">
        <v>132</v>
      </c>
      <c r="V21" s="11"/>
      <c r="W21" s="11"/>
      <c r="X21" s="11" t="s">
        <v>132</v>
      </c>
      <c r="Y21" s="11"/>
      <c r="Z21" s="11"/>
      <c r="AA21" s="11" t="s">
        <v>132</v>
      </c>
      <c r="AB21" s="11"/>
      <c r="AC21" s="11"/>
      <c r="AD21" s="11"/>
      <c r="AE21" s="11">
        <f>SUM(Q21:AD21)</f>
        <v>0</v>
      </c>
      <c r="AF21" s="11">
        <f>(AE21-Q21)/2</f>
        <v>0</v>
      </c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>
        <f>SUM(AF21:AX21)</f>
        <v>0</v>
      </c>
      <c r="AZ21" s="11">
        <f>(AY21-AF21)/2</f>
        <v>0</v>
      </c>
      <c r="BA21" s="11"/>
      <c r="BB21" s="11"/>
      <c r="BC21" s="11"/>
      <c r="BD21" s="11"/>
      <c r="BE21" s="11"/>
      <c r="BF21" s="11"/>
      <c r="BG21" s="11">
        <f>SUM(AZ21:BE21)</f>
        <v>0</v>
      </c>
      <c r="BH21" s="11">
        <f>(BG21-AZ21)/2</f>
        <v>0</v>
      </c>
      <c r="BI21" s="11"/>
      <c r="BJ21" s="11"/>
      <c r="BK21" s="11"/>
      <c r="BL21" s="11"/>
      <c r="BM21" s="11"/>
      <c r="BN21" s="11"/>
      <c r="BO21" s="11">
        <f t="shared" si="1"/>
        <v>0</v>
      </c>
      <c r="BQ21" s="12">
        <f>P21/2</f>
        <v>0</v>
      </c>
      <c r="BR21" s="12">
        <f>20+20*1/4</f>
        <v>25</v>
      </c>
      <c r="BS21" s="12">
        <v>130</v>
      </c>
      <c r="BT21" s="12">
        <v>36</v>
      </c>
      <c r="BU21" s="12">
        <v>180</v>
      </c>
      <c r="BV21" s="12">
        <v>210</v>
      </c>
      <c r="BW21" s="12">
        <v>130</v>
      </c>
      <c r="BX21" s="12"/>
      <c r="BY21" s="12">
        <v>180</v>
      </c>
      <c r="BZ21" s="12">
        <v>200</v>
      </c>
      <c r="CA21" s="12"/>
      <c r="CB21" s="12"/>
      <c r="CC21" s="12">
        <v>25</v>
      </c>
      <c r="CD21" s="12">
        <f>SUM(BQ21:CC21)</f>
        <v>1116</v>
      </c>
      <c r="CE21" s="12">
        <f>SUM(BR21:CC21)/2</f>
        <v>558</v>
      </c>
      <c r="CF21" s="12">
        <f>AE21/4</f>
        <v>0</v>
      </c>
      <c r="CG21" s="12"/>
      <c r="CH21" s="12">
        <v>25</v>
      </c>
      <c r="CI21" s="12">
        <v>25</v>
      </c>
      <c r="CJ21" s="12"/>
      <c r="CK21" s="12">
        <v>25</v>
      </c>
      <c r="CL21" s="12">
        <v>25</v>
      </c>
      <c r="CM21" s="12">
        <v>50</v>
      </c>
      <c r="CN21" s="12">
        <v>48</v>
      </c>
      <c r="CO21" s="12">
        <v>100</v>
      </c>
      <c r="CP21" s="12">
        <v>70</v>
      </c>
      <c r="CQ21" s="12">
        <v>25</v>
      </c>
      <c r="CR21" s="12">
        <v>15</v>
      </c>
      <c r="CT21" s="12">
        <v>300</v>
      </c>
      <c r="CU21" s="12">
        <v>80</v>
      </c>
      <c r="CV21" s="12">
        <v>108</v>
      </c>
      <c r="CW21" s="12">
        <v>5</v>
      </c>
      <c r="CY21" s="12">
        <v>25</v>
      </c>
      <c r="CZ21" s="12">
        <f>SUM(CE21:CF21)+SUM(CG21:CY21)</f>
        <v>1484</v>
      </c>
      <c r="DA21">
        <f>(CZ21-CE21)/2</f>
        <v>463</v>
      </c>
      <c r="DB21" s="12">
        <f>AY21/4</f>
        <v>0</v>
      </c>
      <c r="DC21">
        <v>48</v>
      </c>
      <c r="DD21">
        <v>25</v>
      </c>
      <c r="DF21">
        <v>25</v>
      </c>
      <c r="DG21">
        <v>150</v>
      </c>
      <c r="DH21">
        <v>80</v>
      </c>
      <c r="DI21">
        <v>300</v>
      </c>
      <c r="DK21">
        <v>25</v>
      </c>
      <c r="DM21">
        <v>35</v>
      </c>
      <c r="DQ21">
        <f>SUM(DA21:DM21)</f>
        <v>1151</v>
      </c>
      <c r="DR21">
        <f>(DQ21-DA21)/2</f>
        <v>344</v>
      </c>
      <c r="DS21" s="12">
        <v>30</v>
      </c>
      <c r="DT21" s="12">
        <v>130</v>
      </c>
      <c r="DU21" s="12">
        <v>78</v>
      </c>
      <c r="DV21" s="12">
        <v>130</v>
      </c>
      <c r="DW21" s="12">
        <v>150</v>
      </c>
      <c r="DX21" s="12">
        <v>25</v>
      </c>
      <c r="DY21" s="12">
        <v>210</v>
      </c>
      <c r="DZ21" s="12">
        <v>300</v>
      </c>
      <c r="EA21" s="12"/>
      <c r="EB21" s="12">
        <v>150</v>
      </c>
      <c r="EC21" s="12"/>
      <c r="ED21" s="12"/>
      <c r="EE21" s="12"/>
      <c r="EF21" s="12"/>
      <c r="EG21" s="12">
        <v>130</v>
      </c>
      <c r="EH21" s="10">
        <f>SUM(DR21:EG21)</f>
        <v>1677</v>
      </c>
      <c r="EI21" s="10">
        <f t="shared" si="3"/>
        <v>666.5</v>
      </c>
      <c r="EJ21" s="10"/>
      <c r="EK21" s="10">
        <v>78</v>
      </c>
      <c r="EL21" s="10">
        <v>25</v>
      </c>
      <c r="EM21" s="10">
        <v>210</v>
      </c>
      <c r="EN21" s="10">
        <v>25</v>
      </c>
      <c r="EO21" s="10"/>
      <c r="EP21" s="10"/>
      <c r="EQ21" s="10"/>
      <c r="ER21" s="10"/>
      <c r="ES21" s="10">
        <v>80</v>
      </c>
      <c r="ET21" s="26">
        <f>SUM(EI21:ES21)</f>
        <v>1084.5</v>
      </c>
    </row>
  </sheetData>
  <sortState xmlns:xlrd2="http://schemas.microsoft.com/office/spreadsheetml/2017/richdata2" ref="B11:ET21">
    <sortCondition descending="1" ref="BO11:BO21"/>
  </sortState>
  <mergeCells count="5">
    <mergeCell ref="BC9:BF9"/>
    <mergeCell ref="D4:BO5"/>
    <mergeCell ref="DQ4:ET5"/>
    <mergeCell ref="B1:ET1"/>
    <mergeCell ref="BK9:BN9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Z29"/>
  <sheetViews>
    <sheetView zoomScale="80" zoomScaleNormal="80" workbookViewId="0">
      <selection activeCell="CC36" sqref="CC36"/>
    </sheetView>
  </sheetViews>
  <sheetFormatPr baseColWidth="10" defaultRowHeight="15" x14ac:dyDescent="0.25"/>
  <cols>
    <col min="1" max="1" width="3.140625" bestFit="1" customWidth="1"/>
    <col min="2" max="2" width="13.5703125" bestFit="1" customWidth="1"/>
    <col min="3" max="3" width="13.28515625" bestFit="1" customWidth="1"/>
    <col min="4" max="4" width="12.85546875" bestFit="1" customWidth="1"/>
    <col min="5" max="5" width="18.42578125" bestFit="1" customWidth="1"/>
    <col min="6" max="6" width="6.42578125" hidden="1" customWidth="1"/>
    <col min="7" max="8" width="7.28515625" hidden="1" customWidth="1"/>
    <col min="9" max="11" width="6.28515625" hidden="1" customWidth="1"/>
    <col min="12" max="12" width="6.7109375" style="12" hidden="1" customWidth="1"/>
    <col min="13" max="15" width="7.28515625" style="12" hidden="1" customWidth="1"/>
    <col min="16" max="16" width="5.7109375" style="12" hidden="1" customWidth="1"/>
    <col min="17" max="17" width="0" hidden="1" customWidth="1"/>
    <col min="18" max="18" width="6.85546875" hidden="1" customWidth="1"/>
    <col min="19" max="27" width="6" style="12" hidden="1" customWidth="1"/>
    <col min="28" max="28" width="6.5703125" hidden="1" customWidth="1"/>
    <col min="29" max="30" width="6.85546875" hidden="1" customWidth="1"/>
    <col min="31" max="36" width="6.5703125" hidden="1" customWidth="1"/>
    <col min="37" max="46" width="6.5703125" style="12" hidden="1" customWidth="1"/>
    <col min="47" max="47" width="6.5703125" hidden="1" customWidth="1"/>
    <col min="48" max="48" width="7.85546875" hidden="1" customWidth="1"/>
    <col min="49" max="49" width="7.140625" hidden="1" customWidth="1"/>
    <col min="50" max="54" width="7.140625" style="12" hidden="1" customWidth="1"/>
    <col min="56" max="56" width="6.85546875" hidden="1" customWidth="1"/>
    <col min="57" max="57" width="0" hidden="1" customWidth="1"/>
    <col min="58" max="58" width="10.140625" hidden="1" customWidth="1"/>
    <col min="59" max="59" width="8.140625" hidden="1" customWidth="1"/>
    <col min="60" max="60" width="6.42578125" hidden="1" customWidth="1"/>
    <col min="61" max="61" width="6.28515625" hidden="1" customWidth="1"/>
    <col min="62" max="62" width="9" hidden="1" customWidth="1"/>
    <col min="63" max="65" width="6.42578125" hidden="1" customWidth="1"/>
    <col min="66" max="67" width="10.28515625" hidden="1" customWidth="1"/>
    <col min="68" max="72" width="9.7109375" hidden="1" customWidth="1"/>
    <col min="73" max="73" width="10.7109375" hidden="1" customWidth="1"/>
    <col min="74" max="74" width="7.140625" hidden="1" customWidth="1"/>
    <col min="75" max="76" width="7.5703125" hidden="1" customWidth="1"/>
    <col min="77" max="77" width="7.5703125" style="12" hidden="1" customWidth="1"/>
    <col min="78" max="86" width="7.5703125" style="12" customWidth="1"/>
    <col min="87" max="87" width="0" hidden="1" customWidth="1"/>
    <col min="88" max="88" width="8.85546875" hidden="1" customWidth="1"/>
    <col min="89" max="89" width="0" hidden="1" customWidth="1"/>
    <col min="90" max="93" width="6" hidden="1" customWidth="1"/>
    <col min="94" max="94" width="0" hidden="1" customWidth="1"/>
    <col min="95" max="95" width="9.140625" hidden="1" customWidth="1"/>
    <col min="96" max="96" width="5.7109375" hidden="1" customWidth="1"/>
    <col min="97" max="97" width="6.28515625" hidden="1" customWidth="1"/>
    <col min="100" max="100" width="10.85546875" style="12" bestFit="1" customWidth="1"/>
    <col min="101" max="101" width="6" style="12" bestFit="1" customWidth="1"/>
    <col min="102" max="103" width="6" style="12" customWidth="1"/>
  </cols>
  <sheetData>
    <row r="1" spans="1:104" ht="26.25" x14ac:dyDescent="0.4">
      <c r="B1" s="80" t="s">
        <v>3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  <c r="CG1" s="80"/>
      <c r="CH1" s="80"/>
      <c r="CI1" s="80"/>
      <c r="CJ1" s="80"/>
      <c r="CK1" s="80"/>
      <c r="CL1" s="80"/>
      <c r="CM1" s="80"/>
      <c r="CN1" s="80"/>
      <c r="CO1" s="80"/>
      <c r="CP1" s="80"/>
      <c r="CQ1" s="80"/>
      <c r="CR1" s="80"/>
      <c r="CS1" s="80"/>
      <c r="CT1" s="80"/>
      <c r="CU1" s="80"/>
      <c r="CV1" s="80"/>
      <c r="CW1" s="80"/>
      <c r="CX1" s="80"/>
      <c r="CY1" s="80"/>
      <c r="CZ1" s="80"/>
    </row>
    <row r="2" spans="1:104" ht="15.75" thickBot="1" x14ac:dyDescent="0.3">
      <c r="C2" s="12"/>
      <c r="D2" s="12"/>
      <c r="E2" s="12"/>
    </row>
    <row r="3" spans="1:104" ht="15.75" thickTop="1" x14ac:dyDescent="0.25">
      <c r="B3" s="1" t="s">
        <v>0</v>
      </c>
      <c r="C3" s="4" t="s">
        <v>10</v>
      </c>
    </row>
    <row r="4" spans="1:104" ht="15.6" customHeight="1" x14ac:dyDescent="0.25">
      <c r="B4" s="2" t="s">
        <v>1</v>
      </c>
      <c r="C4" s="5" t="s">
        <v>11</v>
      </c>
      <c r="D4" s="81" t="s">
        <v>791</v>
      </c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2"/>
      <c r="BK4" s="82"/>
      <c r="BL4" s="82"/>
      <c r="BM4" s="82"/>
      <c r="BN4" s="82"/>
      <c r="BO4" s="82"/>
      <c r="BP4" s="82"/>
      <c r="BQ4" s="82"/>
      <c r="BR4" s="82"/>
      <c r="BS4" s="82"/>
      <c r="BT4" s="82"/>
      <c r="BU4" s="82"/>
      <c r="BV4" s="82"/>
      <c r="BW4" s="82"/>
      <c r="BX4" s="82"/>
      <c r="BY4" s="82"/>
      <c r="BZ4" s="82"/>
      <c r="CA4" s="82"/>
      <c r="CB4" s="82"/>
      <c r="CC4" s="82"/>
      <c r="CD4" s="82"/>
      <c r="CE4" s="82"/>
      <c r="CF4" s="82"/>
      <c r="CG4" s="82"/>
      <c r="CH4" s="41"/>
      <c r="CI4" s="41"/>
      <c r="CJ4" s="41"/>
      <c r="CK4" s="41"/>
      <c r="CL4" s="41"/>
      <c r="CM4" s="41"/>
      <c r="CN4" s="41"/>
      <c r="CO4" s="41"/>
      <c r="CP4" s="82" t="s">
        <v>792</v>
      </c>
      <c r="CQ4" s="82"/>
      <c r="CR4" s="82"/>
      <c r="CS4" s="82"/>
      <c r="CT4" s="82"/>
      <c r="CU4" s="82"/>
      <c r="CV4" s="82"/>
      <c r="CW4" s="82"/>
      <c r="CX4" s="82"/>
      <c r="CY4" s="82"/>
      <c r="CZ4" s="82"/>
    </row>
    <row r="5" spans="1:104" ht="16.149999999999999" customHeight="1" thickBot="1" x14ac:dyDescent="0.3">
      <c r="B5" s="3" t="s">
        <v>2</v>
      </c>
      <c r="C5" s="53">
        <v>-52</v>
      </c>
      <c r="D5" s="81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2"/>
      <c r="BI5" s="82"/>
      <c r="BJ5" s="82"/>
      <c r="BK5" s="82"/>
      <c r="BL5" s="82"/>
      <c r="BM5" s="82"/>
      <c r="BN5" s="82"/>
      <c r="BO5" s="82"/>
      <c r="BP5" s="82"/>
      <c r="BQ5" s="82"/>
      <c r="BR5" s="82"/>
      <c r="BS5" s="82"/>
      <c r="BT5" s="82"/>
      <c r="BU5" s="82"/>
      <c r="BV5" s="82"/>
      <c r="BW5" s="82"/>
      <c r="BX5" s="82"/>
      <c r="BY5" s="82"/>
      <c r="BZ5" s="82"/>
      <c r="CA5" s="82"/>
      <c r="CB5" s="82"/>
      <c r="CC5" s="82"/>
      <c r="CD5" s="82"/>
      <c r="CE5" s="82"/>
      <c r="CF5" s="82"/>
      <c r="CG5" s="82"/>
      <c r="CH5" s="41"/>
      <c r="CI5" s="41"/>
      <c r="CJ5" s="41"/>
      <c r="CK5" s="41"/>
      <c r="CL5" s="41"/>
      <c r="CM5" s="41"/>
      <c r="CN5" s="41"/>
      <c r="CO5" s="41"/>
      <c r="CP5" s="82"/>
      <c r="CQ5" s="82"/>
      <c r="CR5" s="82"/>
      <c r="CS5" s="82"/>
      <c r="CT5" s="82"/>
      <c r="CU5" s="82"/>
      <c r="CV5" s="82"/>
      <c r="CW5" s="82"/>
      <c r="CX5" s="82"/>
      <c r="CY5" s="82"/>
      <c r="CZ5" s="82"/>
    </row>
    <row r="6" spans="1:104" ht="15.75" thickTop="1" x14ac:dyDescent="0.25"/>
    <row r="7" spans="1:104" ht="15.75" thickBot="1" x14ac:dyDescent="0.3"/>
    <row r="8" spans="1:104" ht="15.75" thickTop="1" x14ac:dyDescent="0.25">
      <c r="B8" s="73" t="s">
        <v>61</v>
      </c>
      <c r="C8" s="74"/>
      <c r="D8" s="1"/>
      <c r="E8" s="1"/>
      <c r="F8" s="4" t="s">
        <v>82</v>
      </c>
      <c r="G8" s="4" t="s">
        <v>224</v>
      </c>
      <c r="H8" s="4" t="s">
        <v>82</v>
      </c>
      <c r="I8" s="4" t="s">
        <v>287</v>
      </c>
      <c r="J8" s="4" t="s">
        <v>286</v>
      </c>
      <c r="K8" s="4" t="s">
        <v>296</v>
      </c>
      <c r="L8" s="4" t="s">
        <v>82</v>
      </c>
      <c r="M8" s="4" t="s">
        <v>316</v>
      </c>
      <c r="N8" s="4" t="s">
        <v>82</v>
      </c>
      <c r="O8" s="4" t="s">
        <v>334</v>
      </c>
      <c r="P8" s="4" t="s">
        <v>334</v>
      </c>
      <c r="Q8" s="1"/>
      <c r="R8" s="25">
        <v>44927</v>
      </c>
      <c r="S8" s="29" t="s">
        <v>82</v>
      </c>
      <c r="T8" s="29" t="s">
        <v>334</v>
      </c>
      <c r="U8" s="29" t="s">
        <v>387</v>
      </c>
      <c r="V8" s="29" t="s">
        <v>387</v>
      </c>
      <c r="W8" s="29" t="s">
        <v>387</v>
      </c>
      <c r="X8" s="29" t="s">
        <v>334</v>
      </c>
      <c r="Y8" s="29" t="s">
        <v>334</v>
      </c>
      <c r="Z8" s="29" t="s">
        <v>82</v>
      </c>
      <c r="AA8" s="29" t="s">
        <v>339</v>
      </c>
      <c r="AB8" s="1" t="s">
        <v>9</v>
      </c>
      <c r="AC8" s="29">
        <v>45292</v>
      </c>
      <c r="AD8" s="29" t="s">
        <v>82</v>
      </c>
      <c r="AE8" s="29" t="s">
        <v>82</v>
      </c>
      <c r="AF8" s="29" t="s">
        <v>82</v>
      </c>
      <c r="AG8" s="29" t="s">
        <v>82</v>
      </c>
      <c r="AH8" s="29" t="s">
        <v>82</v>
      </c>
      <c r="AI8" s="29" t="s">
        <v>334</v>
      </c>
      <c r="AJ8" s="29" t="s">
        <v>82</v>
      </c>
      <c r="AK8" s="29" t="s">
        <v>334</v>
      </c>
      <c r="AL8" s="29" t="s">
        <v>387</v>
      </c>
      <c r="AM8" s="29" t="s">
        <v>387</v>
      </c>
      <c r="AN8" s="29" t="s">
        <v>334</v>
      </c>
      <c r="AO8" s="29" t="s">
        <v>82</v>
      </c>
      <c r="AP8" s="29" t="s">
        <v>82</v>
      </c>
      <c r="AQ8" s="29" t="s">
        <v>82</v>
      </c>
      <c r="AR8" s="29" t="s">
        <v>334</v>
      </c>
      <c r="AS8" s="29" t="s">
        <v>597</v>
      </c>
      <c r="AT8" s="29" t="s">
        <v>339</v>
      </c>
      <c r="AU8" s="29" t="s">
        <v>9</v>
      </c>
      <c r="AV8" s="29">
        <v>45658</v>
      </c>
      <c r="AW8" s="29"/>
      <c r="AX8" s="29"/>
      <c r="AY8" s="59"/>
      <c r="AZ8" s="60"/>
      <c r="BA8" s="60"/>
      <c r="BB8" s="61"/>
      <c r="BC8" s="29" t="s">
        <v>9</v>
      </c>
      <c r="BD8" s="25">
        <v>44927</v>
      </c>
      <c r="BE8" s="1" t="s">
        <v>59</v>
      </c>
      <c r="BF8" s="4" t="s">
        <v>58</v>
      </c>
      <c r="BG8" s="4" t="s">
        <v>79</v>
      </c>
      <c r="BH8" s="4" t="s">
        <v>120</v>
      </c>
      <c r="BI8" s="4" t="s">
        <v>291</v>
      </c>
      <c r="BJ8" s="4" t="s">
        <v>79</v>
      </c>
      <c r="BK8" s="4" t="s">
        <v>325</v>
      </c>
      <c r="BL8" s="4" t="s">
        <v>331</v>
      </c>
      <c r="BM8" s="4" t="s">
        <v>79</v>
      </c>
      <c r="BN8" s="1" t="s">
        <v>9</v>
      </c>
      <c r="BO8" s="1" t="s">
        <v>58</v>
      </c>
      <c r="BP8" s="1" t="s">
        <v>348</v>
      </c>
      <c r="BQ8" s="1" t="s">
        <v>349</v>
      </c>
      <c r="BR8" s="1" t="s">
        <v>381</v>
      </c>
      <c r="BS8" s="32" t="s">
        <v>385</v>
      </c>
      <c r="BT8" s="32" t="s">
        <v>399</v>
      </c>
      <c r="BU8" s="32" t="s">
        <v>411</v>
      </c>
      <c r="BV8" s="4" t="s">
        <v>331</v>
      </c>
      <c r="BW8" s="4" t="s">
        <v>120</v>
      </c>
      <c r="BX8" s="4" t="s">
        <v>443</v>
      </c>
      <c r="BY8" s="4" t="s">
        <v>335</v>
      </c>
      <c r="BZ8" s="29">
        <v>46023</v>
      </c>
      <c r="CA8" s="29"/>
      <c r="CB8" s="29"/>
      <c r="CC8" s="59"/>
      <c r="CD8" s="60"/>
      <c r="CE8" s="60"/>
      <c r="CF8" s="61"/>
      <c r="CG8" s="29" t="s">
        <v>612</v>
      </c>
      <c r="CI8" s="1" t="s">
        <v>9</v>
      </c>
      <c r="CJ8" s="25">
        <v>45292</v>
      </c>
      <c r="CK8" s="4" t="s">
        <v>59</v>
      </c>
      <c r="CL8" s="4" t="s">
        <v>464</v>
      </c>
      <c r="CM8" s="4" t="s">
        <v>120</v>
      </c>
      <c r="CN8" s="4" t="s">
        <v>505</v>
      </c>
      <c r="CO8" s="4" t="s">
        <v>335</v>
      </c>
      <c r="CP8" s="1" t="s">
        <v>9</v>
      </c>
      <c r="CQ8" s="25">
        <v>45658</v>
      </c>
      <c r="CR8" s="4" t="s">
        <v>464</v>
      </c>
      <c r="CS8" s="4" t="s">
        <v>335</v>
      </c>
      <c r="CT8" s="1" t="s">
        <v>612</v>
      </c>
      <c r="CU8" s="29">
        <v>46023</v>
      </c>
      <c r="CV8" s="4" t="s">
        <v>58</v>
      </c>
      <c r="CW8" s="4" t="s">
        <v>505</v>
      </c>
      <c r="CX8" s="4" t="s">
        <v>331</v>
      </c>
      <c r="CY8" s="4" t="s">
        <v>505</v>
      </c>
      <c r="CZ8" s="1" t="s">
        <v>9</v>
      </c>
    </row>
    <row r="9" spans="1:104" x14ac:dyDescent="0.25">
      <c r="B9" s="75"/>
      <c r="C9" s="76"/>
      <c r="D9" s="2"/>
      <c r="E9" s="2"/>
      <c r="F9" s="14" t="s">
        <v>132</v>
      </c>
      <c r="G9" s="14" t="s">
        <v>225</v>
      </c>
      <c r="H9" s="14" t="s">
        <v>259</v>
      </c>
      <c r="I9" s="14" t="s">
        <v>278</v>
      </c>
      <c r="J9" s="14" t="s">
        <v>290</v>
      </c>
      <c r="K9" s="14" t="s">
        <v>171</v>
      </c>
      <c r="L9" s="14" t="s">
        <v>132</v>
      </c>
      <c r="M9" s="14" t="s">
        <v>317</v>
      </c>
      <c r="N9" s="14" t="s">
        <v>314</v>
      </c>
      <c r="O9" s="14" t="s">
        <v>335</v>
      </c>
      <c r="P9" s="14" t="s">
        <v>339</v>
      </c>
      <c r="Q9" s="2" t="s">
        <v>9</v>
      </c>
      <c r="R9" s="2"/>
      <c r="S9" s="5" t="s">
        <v>85</v>
      </c>
      <c r="T9" s="5" t="s">
        <v>287</v>
      </c>
      <c r="U9" s="5" t="s">
        <v>286</v>
      </c>
      <c r="V9" s="5" t="s">
        <v>289</v>
      </c>
      <c r="W9" s="5" t="s">
        <v>287</v>
      </c>
      <c r="X9" s="5" t="s">
        <v>286</v>
      </c>
      <c r="Y9" s="5" t="s">
        <v>289</v>
      </c>
      <c r="Z9" s="5" t="s">
        <v>308</v>
      </c>
      <c r="AA9" s="5"/>
      <c r="AB9" s="2"/>
      <c r="AC9" s="5"/>
      <c r="AD9" s="5" t="s">
        <v>304</v>
      </c>
      <c r="AE9" s="5" t="s">
        <v>420</v>
      </c>
      <c r="AF9" s="5" t="s">
        <v>492</v>
      </c>
      <c r="AG9" s="5" t="s">
        <v>308</v>
      </c>
      <c r="AH9" s="5" t="s">
        <v>85</v>
      </c>
      <c r="AI9" s="5" t="s">
        <v>286</v>
      </c>
      <c r="AJ9" s="5" t="s">
        <v>434</v>
      </c>
      <c r="AK9" s="5" t="s">
        <v>524</v>
      </c>
      <c r="AL9" s="5" t="s">
        <v>286</v>
      </c>
      <c r="AM9" s="5" t="s">
        <v>287</v>
      </c>
      <c r="AN9" s="5" t="s">
        <v>287</v>
      </c>
      <c r="AO9" s="5" t="s">
        <v>492</v>
      </c>
      <c r="AP9" s="5" t="s">
        <v>308</v>
      </c>
      <c r="AQ9" s="5" t="s">
        <v>578</v>
      </c>
      <c r="AR9" s="5" t="s">
        <v>289</v>
      </c>
      <c r="AS9" s="5" t="s">
        <v>492</v>
      </c>
      <c r="AT9" s="5" t="s">
        <v>606</v>
      </c>
      <c r="AU9" s="5"/>
      <c r="AV9" s="5"/>
      <c r="AW9" s="14" t="s">
        <v>82</v>
      </c>
      <c r="AX9" s="14" t="s">
        <v>387</v>
      </c>
      <c r="AY9" s="77" t="s">
        <v>608</v>
      </c>
      <c r="AZ9" s="78"/>
      <c r="BA9" s="78"/>
      <c r="BB9" s="79"/>
      <c r="BC9" s="5"/>
      <c r="BD9" s="2"/>
      <c r="BE9" s="2" t="s">
        <v>60</v>
      </c>
      <c r="BF9" s="5"/>
      <c r="BG9" s="5" t="s">
        <v>80</v>
      </c>
      <c r="BH9" s="5" t="s">
        <v>121</v>
      </c>
      <c r="BI9" s="5" t="s">
        <v>292</v>
      </c>
      <c r="BJ9" s="5" t="s">
        <v>312</v>
      </c>
      <c r="BK9" s="5" t="s">
        <v>326</v>
      </c>
      <c r="BL9" s="5" t="s">
        <v>332</v>
      </c>
      <c r="BM9" s="5" t="s">
        <v>332</v>
      </c>
      <c r="BN9" s="2"/>
      <c r="BO9" s="2"/>
      <c r="BP9" s="2"/>
      <c r="BQ9" s="2"/>
      <c r="BR9" s="2"/>
      <c r="BS9" s="33"/>
      <c r="BT9" s="33"/>
      <c r="BU9" s="33"/>
      <c r="BV9" s="5" t="s">
        <v>326</v>
      </c>
      <c r="BW9" s="5" t="s">
        <v>430</v>
      </c>
      <c r="BX9" s="5" t="s">
        <v>444</v>
      </c>
      <c r="BY9" s="5" t="s">
        <v>444</v>
      </c>
      <c r="BZ9" s="5"/>
      <c r="CA9" s="14" t="s">
        <v>82</v>
      </c>
      <c r="CB9" s="14" t="s">
        <v>387</v>
      </c>
      <c r="CC9" s="77" t="s">
        <v>608</v>
      </c>
      <c r="CD9" s="78"/>
      <c r="CE9" s="78"/>
      <c r="CF9" s="79"/>
      <c r="CG9" s="14"/>
      <c r="CI9" s="2"/>
      <c r="CK9" s="5" t="s">
        <v>60</v>
      </c>
      <c r="CL9" s="5"/>
      <c r="CM9" s="5" t="s">
        <v>501</v>
      </c>
      <c r="CN9" s="5" t="s">
        <v>444</v>
      </c>
      <c r="CO9" s="5" t="s">
        <v>171</v>
      </c>
      <c r="CP9" s="2"/>
      <c r="CQ9" s="2"/>
      <c r="CR9" s="5"/>
      <c r="CS9" s="5" t="s">
        <v>171</v>
      </c>
      <c r="CT9" s="2"/>
      <c r="CU9" s="5"/>
      <c r="CV9" s="5"/>
      <c r="CW9" s="5" t="s">
        <v>444</v>
      </c>
      <c r="CX9" s="5" t="s">
        <v>444</v>
      </c>
      <c r="CY9" s="5" t="s">
        <v>544</v>
      </c>
      <c r="CZ9" s="2"/>
    </row>
    <row r="10" spans="1:104" x14ac:dyDescent="0.25">
      <c r="B10" s="75"/>
      <c r="C10" s="76"/>
      <c r="D10" s="2" t="s">
        <v>4</v>
      </c>
      <c r="E10" s="2" t="s">
        <v>5</v>
      </c>
      <c r="F10" s="15">
        <v>44653</v>
      </c>
      <c r="G10" s="15">
        <v>44695</v>
      </c>
      <c r="H10" s="15">
        <v>44709</v>
      </c>
      <c r="I10" s="15">
        <v>44730</v>
      </c>
      <c r="J10" s="15">
        <v>44737</v>
      </c>
      <c r="K10" s="15">
        <v>44758</v>
      </c>
      <c r="L10" s="15">
        <v>44779</v>
      </c>
      <c r="M10" s="15">
        <v>44828</v>
      </c>
      <c r="N10" s="15">
        <v>44856</v>
      </c>
      <c r="O10" s="15">
        <v>44891</v>
      </c>
      <c r="P10" s="15">
        <v>44905</v>
      </c>
      <c r="Q10" s="2">
        <v>2022</v>
      </c>
      <c r="R10" s="2"/>
      <c r="S10" s="5" t="s">
        <v>359</v>
      </c>
      <c r="T10" s="5" t="s">
        <v>172</v>
      </c>
      <c r="U10" s="5" t="s">
        <v>388</v>
      </c>
      <c r="V10" s="5" t="s">
        <v>396</v>
      </c>
      <c r="W10" s="5" t="s">
        <v>400</v>
      </c>
      <c r="X10" s="5" t="s">
        <v>412</v>
      </c>
      <c r="Y10" s="5" t="s">
        <v>432</v>
      </c>
      <c r="Z10" s="5" t="s">
        <v>439</v>
      </c>
      <c r="AA10" s="5" t="s">
        <v>453</v>
      </c>
      <c r="AB10" s="2">
        <v>2023</v>
      </c>
      <c r="AC10" s="35"/>
      <c r="AD10" s="35" t="s">
        <v>479</v>
      </c>
      <c r="AE10" s="35" t="s">
        <v>479</v>
      </c>
      <c r="AF10" s="35" t="s">
        <v>479</v>
      </c>
      <c r="AG10" s="35" t="s">
        <v>479</v>
      </c>
      <c r="AH10" s="35" t="s">
        <v>499</v>
      </c>
      <c r="AI10" s="35" t="s">
        <v>513</v>
      </c>
      <c r="AJ10" s="35" t="s">
        <v>530</v>
      </c>
      <c r="AK10" s="35" t="s">
        <v>525</v>
      </c>
      <c r="AL10" s="35" t="s">
        <v>534</v>
      </c>
      <c r="AM10" s="35" t="s">
        <v>534</v>
      </c>
      <c r="AN10" s="35" t="s">
        <v>550</v>
      </c>
      <c r="AO10" s="35" t="s">
        <v>564</v>
      </c>
      <c r="AP10" s="35" t="s">
        <v>567</v>
      </c>
      <c r="AQ10" s="35" t="s">
        <v>579</v>
      </c>
      <c r="AR10" s="35" t="s">
        <v>587</v>
      </c>
      <c r="AS10" s="35" t="s">
        <v>598</v>
      </c>
      <c r="AT10" s="35" t="s">
        <v>607</v>
      </c>
      <c r="AU10" s="35">
        <v>2024</v>
      </c>
      <c r="AV10" s="5"/>
      <c r="AW10" s="5"/>
      <c r="AX10" s="5"/>
      <c r="AY10" s="5">
        <v>1</v>
      </c>
      <c r="AZ10" s="5">
        <v>2</v>
      </c>
      <c r="BA10" s="5">
        <v>3</v>
      </c>
      <c r="BB10" s="5">
        <v>4</v>
      </c>
      <c r="BC10" s="5">
        <v>2025</v>
      </c>
      <c r="BD10" s="2"/>
      <c r="BE10" s="9"/>
      <c r="BF10" s="13">
        <v>44562</v>
      </c>
      <c r="BG10" s="13">
        <v>44621</v>
      </c>
      <c r="BH10" s="13">
        <v>44652</v>
      </c>
      <c r="BI10" s="13">
        <v>44737</v>
      </c>
      <c r="BJ10" s="13">
        <v>44805</v>
      </c>
      <c r="BK10" s="13">
        <v>44835</v>
      </c>
      <c r="BL10" s="13">
        <v>44868</v>
      </c>
      <c r="BM10" s="13">
        <v>44866</v>
      </c>
      <c r="BN10" s="9">
        <v>2022</v>
      </c>
      <c r="BO10" s="7">
        <v>44927</v>
      </c>
      <c r="BP10" s="7">
        <v>44986</v>
      </c>
      <c r="BQ10" s="7">
        <v>44986</v>
      </c>
      <c r="BR10" s="7">
        <v>45078</v>
      </c>
      <c r="BS10" s="34">
        <v>45087</v>
      </c>
      <c r="BT10" s="34">
        <v>45108</v>
      </c>
      <c r="BU10" s="34">
        <v>45129</v>
      </c>
      <c r="BV10" s="14">
        <v>45139</v>
      </c>
      <c r="BW10" s="14">
        <v>45184</v>
      </c>
      <c r="BX10" s="14">
        <v>45227</v>
      </c>
      <c r="BY10" s="14">
        <v>45255</v>
      </c>
      <c r="BZ10" s="5"/>
      <c r="CA10" s="5"/>
      <c r="CB10" s="5"/>
      <c r="CC10" s="5">
        <v>1</v>
      </c>
      <c r="CD10" s="5">
        <v>2</v>
      </c>
      <c r="CE10" s="5">
        <v>3</v>
      </c>
      <c r="CF10" s="5">
        <v>4</v>
      </c>
      <c r="CG10" s="5">
        <v>2026</v>
      </c>
      <c r="CI10" s="2">
        <v>2023</v>
      </c>
      <c r="CK10" s="5"/>
      <c r="CL10" s="5" t="s">
        <v>465</v>
      </c>
      <c r="CM10" s="5" t="s">
        <v>502</v>
      </c>
      <c r="CN10" s="5" t="s">
        <v>506</v>
      </c>
      <c r="CO10" s="5" t="s">
        <v>600</v>
      </c>
      <c r="CP10" s="2">
        <v>2024</v>
      </c>
      <c r="CQ10" s="2"/>
      <c r="CR10" s="5" t="s">
        <v>610</v>
      </c>
      <c r="CS10" s="5" t="s">
        <v>600</v>
      </c>
      <c r="CT10" s="9">
        <v>2025</v>
      </c>
      <c r="CU10" s="5"/>
      <c r="CV10" s="5" t="s">
        <v>849</v>
      </c>
      <c r="CW10" s="5" t="s">
        <v>881</v>
      </c>
      <c r="CX10" s="5" t="s">
        <v>729</v>
      </c>
      <c r="CY10" s="5" t="s">
        <v>891</v>
      </c>
      <c r="CZ10" s="2">
        <v>2026</v>
      </c>
    </row>
    <row r="11" spans="1:104" x14ac:dyDescent="0.25">
      <c r="A11">
        <v>1</v>
      </c>
      <c r="B11" s="22" t="s">
        <v>521</v>
      </c>
      <c r="C11" s="28"/>
      <c r="D11" s="22" t="s">
        <v>54</v>
      </c>
      <c r="E11" s="22" t="s">
        <v>19</v>
      </c>
      <c r="F11" s="8"/>
      <c r="G11" s="8"/>
      <c r="H11" s="8"/>
      <c r="I11" s="8"/>
      <c r="J11" s="8"/>
      <c r="K11" s="8"/>
      <c r="L11" s="10"/>
      <c r="M11" s="10"/>
      <c r="N11" s="10"/>
      <c r="O11" s="10"/>
      <c r="P11" s="10"/>
      <c r="Q11" s="8"/>
      <c r="R11" s="8"/>
      <c r="S11" s="10"/>
      <c r="T11" s="10"/>
      <c r="U11" s="10"/>
      <c r="V11" s="10"/>
      <c r="W11" s="10"/>
      <c r="X11" s="10"/>
      <c r="Y11" s="10"/>
      <c r="Z11" s="10"/>
      <c r="AA11" s="10"/>
      <c r="AB11" s="8"/>
      <c r="AC11" s="8"/>
      <c r="AD11" s="8"/>
      <c r="AE11" s="8"/>
      <c r="AF11" s="8"/>
      <c r="AG11" s="8"/>
      <c r="AH11" s="8"/>
      <c r="AI11" s="8">
        <v>120</v>
      </c>
      <c r="AJ11" s="8"/>
      <c r="AK11" s="10">
        <v>56</v>
      </c>
      <c r="AL11" s="10"/>
      <c r="AM11" s="10">
        <v>40</v>
      </c>
      <c r="AN11" s="10">
        <v>54</v>
      </c>
      <c r="AO11" s="10">
        <v>36</v>
      </c>
      <c r="AP11" s="10"/>
      <c r="AQ11" s="10"/>
      <c r="AR11" s="10">
        <v>75</v>
      </c>
      <c r="AS11" s="10">
        <v>80</v>
      </c>
      <c r="AT11" s="10"/>
      <c r="AU11" s="11">
        <f>SUM(AC11:AT11)</f>
        <v>461</v>
      </c>
      <c r="AV11" s="11">
        <f>(AU11-AC11)/2</f>
        <v>230.5</v>
      </c>
      <c r="AW11" s="11">
        <v>48</v>
      </c>
      <c r="AX11" s="11">
        <v>48</v>
      </c>
      <c r="AY11" s="11">
        <v>84</v>
      </c>
      <c r="AZ11" s="11">
        <v>80</v>
      </c>
      <c r="BA11" s="11">
        <v>140</v>
      </c>
      <c r="BB11" s="11">
        <v>150</v>
      </c>
      <c r="BC11" s="8">
        <f>SUM(AV11:BB11)</f>
        <v>780.5</v>
      </c>
      <c r="BD11" s="54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64"/>
      <c r="BZ11" s="10">
        <f>(BC11-AV11)/2</f>
        <v>275</v>
      </c>
      <c r="CA11" s="10">
        <v>36</v>
      </c>
      <c r="CB11" s="10">
        <v>48</v>
      </c>
      <c r="CC11" s="10">
        <v>75</v>
      </c>
      <c r="CD11" s="10">
        <v>56</v>
      </c>
      <c r="CE11" s="10">
        <v>36</v>
      </c>
      <c r="CF11" s="10"/>
      <c r="CG11" s="10">
        <f t="shared" ref="CG11:CG29" si="0">SUM(BZ11:CF11)</f>
        <v>526</v>
      </c>
      <c r="CI11" s="8"/>
      <c r="CJ11" s="8"/>
      <c r="CK11" s="8">
        <f>AU11/4</f>
        <v>115.25</v>
      </c>
      <c r="CL11" s="8"/>
      <c r="CM11" s="8"/>
      <c r="CN11" s="8"/>
      <c r="CO11" s="8">
        <v>25</v>
      </c>
      <c r="CP11" s="8">
        <f>SUM(CJ11:CO11)</f>
        <v>140.25</v>
      </c>
      <c r="CQ11" s="8">
        <f>(CP11-CJ11)/2</f>
        <v>70.125</v>
      </c>
      <c r="CR11" s="10">
        <v>18</v>
      </c>
      <c r="CS11" s="10">
        <v>2</v>
      </c>
      <c r="CT11" s="8">
        <f t="shared" ref="CT11:CT29" si="1">SUM(CQ11:CS11)</f>
        <v>90.125</v>
      </c>
      <c r="CU11" s="8">
        <f t="shared" ref="CU11:CU29" si="2">(CT11-CQ11)/2</f>
        <v>10</v>
      </c>
      <c r="CV11" s="10">
        <v>1.25</v>
      </c>
      <c r="CW11" s="10">
        <v>7.5</v>
      </c>
      <c r="CX11" s="10">
        <v>5</v>
      </c>
      <c r="CY11" s="10">
        <v>7.5</v>
      </c>
      <c r="CZ11" s="28">
        <f>SUM(CU11:CY11)</f>
        <v>31.25</v>
      </c>
    </row>
    <row r="12" spans="1:104" x14ac:dyDescent="0.25">
      <c r="A12">
        <v>2</v>
      </c>
      <c r="B12" s="18" t="s">
        <v>249</v>
      </c>
      <c r="C12" s="8" t="s">
        <v>244</v>
      </c>
      <c r="D12" s="18" t="s">
        <v>250</v>
      </c>
      <c r="E12" s="18" t="s">
        <v>193</v>
      </c>
      <c r="F12" s="8"/>
      <c r="G12" s="8"/>
      <c r="H12" s="8"/>
      <c r="I12" s="8"/>
      <c r="J12" s="8"/>
      <c r="K12" s="8"/>
      <c r="L12" s="10"/>
      <c r="M12" s="10"/>
      <c r="N12" s="10"/>
      <c r="O12" s="10"/>
      <c r="P12" s="10"/>
      <c r="Q12" s="8"/>
      <c r="R12" s="8"/>
      <c r="S12" s="10"/>
      <c r="T12" s="10"/>
      <c r="U12" s="10"/>
      <c r="V12" s="10"/>
      <c r="W12" s="10"/>
      <c r="X12" s="10"/>
      <c r="Y12" s="10"/>
      <c r="Z12" s="10"/>
      <c r="AA12" s="10"/>
      <c r="AB12" s="8"/>
      <c r="AC12" s="8"/>
      <c r="AD12" s="8"/>
      <c r="AE12" s="8">
        <v>36</v>
      </c>
      <c r="AF12" s="8"/>
      <c r="AG12" s="8"/>
      <c r="AH12" s="8"/>
      <c r="AI12" s="8">
        <v>6</v>
      </c>
      <c r="AJ12" s="8"/>
      <c r="AK12" s="10">
        <v>4</v>
      </c>
      <c r="AL12" s="10"/>
      <c r="AM12" s="10">
        <v>56</v>
      </c>
      <c r="AN12" s="10">
        <v>75</v>
      </c>
      <c r="AO12" s="10"/>
      <c r="AP12" s="10"/>
      <c r="AQ12" s="10"/>
      <c r="AR12" s="10">
        <v>7.5</v>
      </c>
      <c r="AS12" s="10"/>
      <c r="AT12" s="10">
        <v>10</v>
      </c>
      <c r="AU12" s="11">
        <f>SUM(AC12:AT12)</f>
        <v>194.5</v>
      </c>
      <c r="AV12" s="11">
        <f>(AU12-AC12)/2</f>
        <v>97.25</v>
      </c>
      <c r="AW12" s="11"/>
      <c r="AX12" s="11"/>
      <c r="AY12" s="11">
        <v>120</v>
      </c>
      <c r="AZ12" s="11">
        <v>200</v>
      </c>
      <c r="BA12" s="11">
        <v>105</v>
      </c>
      <c r="BB12" s="11">
        <v>120</v>
      </c>
      <c r="BC12" s="8">
        <f>SUM(AV12:BB12)</f>
        <v>642.25</v>
      </c>
      <c r="BD12" s="54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64"/>
      <c r="BZ12" s="10">
        <f>(BC12-AV12)/2</f>
        <v>272.5</v>
      </c>
      <c r="CA12" s="10"/>
      <c r="CB12" s="10"/>
      <c r="CC12" s="10"/>
      <c r="CD12" s="10"/>
      <c r="CE12" s="10"/>
      <c r="CF12" s="10"/>
      <c r="CG12" s="10">
        <f t="shared" si="0"/>
        <v>272.5</v>
      </c>
      <c r="CI12" s="8">
        <f>SUM(BD12:BE12)+SUM(BO12:BX12)</f>
        <v>0</v>
      </c>
      <c r="CJ12" s="8">
        <f>(CI12-BD12)/2</f>
        <v>0</v>
      </c>
      <c r="CK12" s="8">
        <f>AU12/4</f>
        <v>48.625</v>
      </c>
      <c r="CL12" s="8"/>
      <c r="CM12" s="8"/>
      <c r="CN12" s="8"/>
      <c r="CO12" s="8"/>
      <c r="CP12" s="8">
        <f>SUM(CJ12:CO12)</f>
        <v>48.625</v>
      </c>
      <c r="CQ12" s="8">
        <f>(CP12-CJ12)/2</f>
        <v>24.3125</v>
      </c>
      <c r="CR12" s="10"/>
      <c r="CS12" s="10"/>
      <c r="CT12" s="8">
        <f t="shared" si="1"/>
        <v>24.3125</v>
      </c>
      <c r="CU12" s="8">
        <f t="shared" si="2"/>
        <v>0</v>
      </c>
      <c r="CV12" s="10"/>
      <c r="CW12" s="10"/>
      <c r="CX12" s="10"/>
      <c r="CY12" s="10"/>
      <c r="CZ12" s="8">
        <f>SUM(CU12:CV12)</f>
        <v>0</v>
      </c>
    </row>
    <row r="13" spans="1:104" x14ac:dyDescent="0.25">
      <c r="A13">
        <v>3</v>
      </c>
      <c r="B13" s="18" t="s">
        <v>134</v>
      </c>
      <c r="C13" s="8"/>
      <c r="D13" s="18" t="s">
        <v>363</v>
      </c>
      <c r="E13" s="18" t="s">
        <v>43</v>
      </c>
      <c r="F13" s="8"/>
      <c r="G13" s="8"/>
      <c r="H13" s="8"/>
      <c r="I13" s="8"/>
      <c r="J13" s="8"/>
      <c r="K13" s="8"/>
      <c r="L13" s="10"/>
      <c r="M13" s="10"/>
      <c r="N13" s="10"/>
      <c r="O13" s="10"/>
      <c r="P13" s="10"/>
      <c r="Q13" s="8"/>
      <c r="R13" s="8"/>
      <c r="S13" s="10"/>
      <c r="T13" s="10"/>
      <c r="U13" s="10"/>
      <c r="V13" s="10"/>
      <c r="W13" s="10"/>
      <c r="X13" s="10"/>
      <c r="Y13" s="10"/>
      <c r="Z13" s="10"/>
      <c r="AA13" s="10"/>
      <c r="AB13" s="8"/>
      <c r="AC13" s="8"/>
      <c r="AD13" s="8"/>
      <c r="AE13" s="8"/>
      <c r="AF13" s="8"/>
      <c r="AG13" s="8"/>
      <c r="AH13" s="8"/>
      <c r="AI13" s="8"/>
      <c r="AJ13" s="8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8"/>
      <c r="AV13" s="8"/>
      <c r="AW13" s="8"/>
      <c r="AX13" s="10"/>
      <c r="AY13" s="10">
        <v>75</v>
      </c>
      <c r="AZ13" s="10"/>
      <c r="BA13" s="10"/>
      <c r="BB13" s="10"/>
      <c r="BC13" s="8">
        <f>SUM(AV13:BB13)</f>
        <v>75</v>
      </c>
      <c r="BD13" s="54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64"/>
      <c r="BZ13" s="10">
        <f>(BC13-AV13)/2</f>
        <v>37.5</v>
      </c>
      <c r="CA13" s="10">
        <v>36</v>
      </c>
      <c r="CB13" s="10"/>
      <c r="CC13" s="10">
        <v>7.5</v>
      </c>
      <c r="CD13" s="10">
        <v>80</v>
      </c>
      <c r="CE13" s="10">
        <v>36</v>
      </c>
      <c r="CF13" s="10"/>
      <c r="CG13" s="10">
        <f t="shared" si="0"/>
        <v>197</v>
      </c>
      <c r="CI13" s="8"/>
      <c r="CJ13" s="8"/>
      <c r="CK13" s="8"/>
      <c r="CL13" s="8"/>
      <c r="CM13" s="8"/>
      <c r="CN13" s="8"/>
      <c r="CO13" s="8"/>
      <c r="CP13" s="8">
        <f>SUM(CJ13:CN13)</f>
        <v>0</v>
      </c>
      <c r="CQ13" s="8">
        <f>(CP13-CJ13)/2</f>
        <v>0</v>
      </c>
      <c r="CR13" s="10"/>
      <c r="CS13" s="10"/>
      <c r="CT13" s="8">
        <f t="shared" si="1"/>
        <v>0</v>
      </c>
      <c r="CU13" s="8">
        <f t="shared" si="2"/>
        <v>0</v>
      </c>
      <c r="CV13" s="10"/>
      <c r="CW13" s="10"/>
      <c r="CX13" s="10"/>
      <c r="CY13" s="10"/>
      <c r="CZ13" s="8">
        <f>SUM(CU13:CV13)</f>
        <v>0</v>
      </c>
    </row>
    <row r="14" spans="1:104" x14ac:dyDescent="0.25">
      <c r="A14" s="68">
        <v>4</v>
      </c>
      <c r="B14" s="18" t="s">
        <v>191</v>
      </c>
      <c r="C14" s="8"/>
      <c r="D14" s="18" t="s">
        <v>784</v>
      </c>
      <c r="E14" s="18" t="s">
        <v>773</v>
      </c>
      <c r="F14" s="8"/>
      <c r="G14" s="8"/>
      <c r="H14" s="8"/>
      <c r="I14" s="8"/>
      <c r="J14" s="8"/>
      <c r="K14" s="8"/>
      <c r="L14" s="10"/>
      <c r="M14" s="10"/>
      <c r="N14" s="10"/>
      <c r="O14" s="10"/>
      <c r="P14" s="10"/>
      <c r="Q14" s="8"/>
      <c r="R14" s="8"/>
      <c r="S14" s="10"/>
      <c r="T14" s="10"/>
      <c r="U14" s="10"/>
      <c r="V14" s="10"/>
      <c r="W14" s="10"/>
      <c r="X14" s="10"/>
      <c r="Y14" s="10"/>
      <c r="Z14" s="10"/>
      <c r="AA14" s="10"/>
      <c r="AB14" s="8"/>
      <c r="AC14" s="8"/>
      <c r="AD14" s="8"/>
      <c r="AE14" s="8"/>
      <c r="AF14" s="8"/>
      <c r="AG14" s="8"/>
      <c r="AH14" s="8"/>
      <c r="AI14" s="8"/>
      <c r="AJ14" s="8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8"/>
      <c r="AV14" s="8"/>
      <c r="AW14" s="8"/>
      <c r="AX14" s="10"/>
      <c r="AY14" s="10"/>
      <c r="AZ14" s="10"/>
      <c r="BA14" s="10"/>
      <c r="BB14" s="10"/>
      <c r="BC14" s="8">
        <f>SUM(AV14:BB14)</f>
        <v>0</v>
      </c>
      <c r="BD14" s="54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64"/>
      <c r="BZ14" s="10">
        <f>(BC14-AV14)/2</f>
        <v>0</v>
      </c>
      <c r="CA14" s="10">
        <v>36</v>
      </c>
      <c r="CB14" s="10">
        <v>80</v>
      </c>
      <c r="CC14" s="10">
        <v>75</v>
      </c>
      <c r="CD14" s="10"/>
      <c r="CE14" s="10"/>
      <c r="CF14" s="10"/>
      <c r="CG14" s="10">
        <f t="shared" si="0"/>
        <v>191</v>
      </c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10">
        <v>40</v>
      </c>
      <c r="CT14" s="8">
        <f t="shared" si="1"/>
        <v>40</v>
      </c>
      <c r="CU14" s="8">
        <f t="shared" si="2"/>
        <v>20</v>
      </c>
      <c r="CV14" s="10"/>
      <c r="CW14" s="10"/>
      <c r="CX14" s="10"/>
      <c r="CY14" s="10"/>
      <c r="CZ14" s="8">
        <f>SUM(CU14:CV14)</f>
        <v>20</v>
      </c>
    </row>
    <row r="15" spans="1:104" x14ac:dyDescent="0.25">
      <c r="A15">
        <v>5</v>
      </c>
      <c r="B15" s="18" t="s">
        <v>148</v>
      </c>
      <c r="C15" s="8"/>
      <c r="D15" s="18" t="s">
        <v>804</v>
      </c>
      <c r="E15" s="18" t="s">
        <v>248</v>
      </c>
      <c r="F15" s="8"/>
      <c r="G15" s="8"/>
      <c r="H15" s="8"/>
      <c r="I15" s="8"/>
      <c r="J15" s="8"/>
      <c r="K15" s="8"/>
      <c r="L15" s="10"/>
      <c r="M15" s="10"/>
      <c r="N15" s="10"/>
      <c r="O15" s="10"/>
      <c r="P15" s="10"/>
      <c r="Q15" s="8"/>
      <c r="R15" s="8"/>
      <c r="S15" s="10"/>
      <c r="T15" s="10"/>
      <c r="U15" s="10"/>
      <c r="V15" s="10"/>
      <c r="W15" s="10"/>
      <c r="X15" s="10"/>
      <c r="Y15" s="10"/>
      <c r="Z15" s="10"/>
      <c r="AA15" s="10"/>
      <c r="AB15" s="8"/>
      <c r="AC15" s="8"/>
      <c r="AD15" s="8"/>
      <c r="AE15" s="8"/>
      <c r="AF15" s="8"/>
      <c r="AG15" s="8"/>
      <c r="AH15" s="8"/>
      <c r="AI15" s="8"/>
      <c r="AJ15" s="8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8"/>
      <c r="AV15" s="8"/>
      <c r="AW15" s="8"/>
      <c r="AX15" s="10"/>
      <c r="AY15" s="10"/>
      <c r="AZ15" s="10"/>
      <c r="BA15" s="10"/>
      <c r="BB15" s="10"/>
      <c r="BC15" s="8"/>
      <c r="BD15" s="54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64"/>
      <c r="BZ15" s="10"/>
      <c r="CA15" s="10">
        <v>36</v>
      </c>
      <c r="CB15" s="10">
        <v>40</v>
      </c>
      <c r="CC15" s="10">
        <v>105</v>
      </c>
      <c r="CD15" s="10"/>
      <c r="CE15" s="10"/>
      <c r="CF15" s="10"/>
      <c r="CG15" s="10">
        <f t="shared" si="0"/>
        <v>181</v>
      </c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>
        <f t="shared" si="1"/>
        <v>0</v>
      </c>
      <c r="CU15" s="8">
        <f t="shared" si="2"/>
        <v>0</v>
      </c>
      <c r="CV15" s="10"/>
      <c r="CW15" s="10"/>
      <c r="CX15" s="10"/>
      <c r="CY15" s="10"/>
      <c r="CZ15" s="8">
        <f>SUM(CU15:CV15)</f>
        <v>0</v>
      </c>
    </row>
    <row r="16" spans="1:104" x14ac:dyDescent="0.25">
      <c r="A16">
        <v>6</v>
      </c>
      <c r="B16" s="20" t="s">
        <v>466</v>
      </c>
      <c r="C16" s="26"/>
      <c r="D16" s="20" t="s">
        <v>467</v>
      </c>
      <c r="E16" s="20" t="s">
        <v>41</v>
      </c>
      <c r="F16" s="8"/>
      <c r="G16" s="8"/>
      <c r="H16" s="8"/>
      <c r="I16" s="8"/>
      <c r="J16" s="8"/>
      <c r="K16" s="8"/>
      <c r="L16" s="10"/>
      <c r="M16" s="10"/>
      <c r="N16" s="10"/>
      <c r="O16" s="10"/>
      <c r="P16" s="10"/>
      <c r="Q16" s="8"/>
      <c r="R16" s="8"/>
      <c r="S16" s="10"/>
      <c r="T16" s="10"/>
      <c r="U16" s="10"/>
      <c r="V16" s="10"/>
      <c r="W16" s="10"/>
      <c r="X16" s="10"/>
      <c r="Y16" s="10"/>
      <c r="Z16" s="10"/>
      <c r="AA16" s="10"/>
      <c r="AB16" s="8"/>
      <c r="AC16" s="8"/>
      <c r="AD16" s="8"/>
      <c r="AE16" s="8"/>
      <c r="AF16" s="8"/>
      <c r="AG16" s="8"/>
      <c r="AH16" s="8"/>
      <c r="AI16" s="8"/>
      <c r="AJ16" s="8"/>
      <c r="AK16" s="10"/>
      <c r="AL16" s="10"/>
      <c r="AM16" s="10"/>
      <c r="AN16" s="10">
        <v>150</v>
      </c>
      <c r="AO16" s="10"/>
      <c r="AP16" s="10"/>
      <c r="AQ16" s="10"/>
      <c r="AR16" s="10">
        <v>39</v>
      </c>
      <c r="AS16" s="10"/>
      <c r="AT16" s="10">
        <v>140</v>
      </c>
      <c r="AU16" s="11">
        <f>SUM(AC16:AT16)</f>
        <v>329</v>
      </c>
      <c r="AV16" s="11">
        <f>(AU16-AC16)/2</f>
        <v>164.5</v>
      </c>
      <c r="AW16" s="11"/>
      <c r="AX16" s="11"/>
      <c r="AY16" s="11"/>
      <c r="AZ16" s="11"/>
      <c r="BA16" s="11"/>
      <c r="BB16" s="11"/>
      <c r="BC16" s="8">
        <f>SUM(AV16:BB16)</f>
        <v>164.5</v>
      </c>
      <c r="BD16" s="54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64"/>
      <c r="BZ16" s="10">
        <f>(BC16-AV16)/2</f>
        <v>0</v>
      </c>
      <c r="CA16" s="10"/>
      <c r="CB16" s="10"/>
      <c r="CC16" s="10">
        <v>150</v>
      </c>
      <c r="CD16" s="10"/>
      <c r="CE16" s="10"/>
      <c r="CF16" s="10"/>
      <c r="CG16" s="10">
        <f t="shared" si="0"/>
        <v>150</v>
      </c>
      <c r="CI16" s="8">
        <f>SUM(BD16:BE16)+SUM(BO16:BX16)</f>
        <v>0</v>
      </c>
      <c r="CJ16" s="8">
        <f>(CI16-BD16)/2</f>
        <v>0</v>
      </c>
      <c r="CK16" s="8">
        <f>AU16/4</f>
        <v>82.25</v>
      </c>
      <c r="CL16" s="8">
        <v>25</v>
      </c>
      <c r="CM16" s="8">
        <v>15</v>
      </c>
      <c r="CN16" s="8">
        <v>54</v>
      </c>
      <c r="CO16" s="8">
        <v>50</v>
      </c>
      <c r="CP16" s="8">
        <f>SUM(CJ16:CO16)</f>
        <v>226.25</v>
      </c>
      <c r="CQ16" s="8">
        <f>(CP16-CJ16)/2</f>
        <v>113.125</v>
      </c>
      <c r="CR16" s="10"/>
      <c r="CS16" s="10"/>
      <c r="CT16" s="8">
        <f t="shared" si="1"/>
        <v>113.125</v>
      </c>
      <c r="CU16" s="8">
        <f t="shared" si="2"/>
        <v>0</v>
      </c>
      <c r="CV16" s="10">
        <v>25</v>
      </c>
      <c r="CW16" s="10">
        <v>54</v>
      </c>
      <c r="CX16" s="10">
        <v>50</v>
      </c>
      <c r="CY16" s="10"/>
      <c r="CZ16" s="26">
        <f>SUM(CU16:CX16)</f>
        <v>129</v>
      </c>
    </row>
    <row r="17" spans="1:104" x14ac:dyDescent="0.25">
      <c r="A17">
        <v>7</v>
      </c>
      <c r="B17" s="18" t="s">
        <v>415</v>
      </c>
      <c r="C17" s="8"/>
      <c r="D17" s="18" t="s">
        <v>416</v>
      </c>
      <c r="E17" s="18" t="s">
        <v>417</v>
      </c>
      <c r="F17" s="8"/>
      <c r="G17" s="8"/>
      <c r="H17" s="8"/>
      <c r="I17" s="8"/>
      <c r="J17" s="8"/>
      <c r="K17" s="8"/>
      <c r="L17" s="10"/>
      <c r="M17" s="10"/>
      <c r="N17" s="10"/>
      <c r="O17" s="10"/>
      <c r="P17" s="10"/>
      <c r="Q17" s="8"/>
      <c r="R17" s="8"/>
      <c r="S17" s="10"/>
      <c r="T17" s="10"/>
      <c r="U17" s="10"/>
      <c r="V17" s="10"/>
      <c r="W17" s="10"/>
      <c r="X17" s="10">
        <v>5</v>
      </c>
      <c r="Y17" s="10"/>
      <c r="Z17" s="10"/>
      <c r="AA17" s="10"/>
      <c r="AB17" s="11">
        <f>SUM(R17:AA17)</f>
        <v>5</v>
      </c>
      <c r="AC17" s="11">
        <f>(AB17-R17)/2</f>
        <v>2.5</v>
      </c>
      <c r="AD17" s="11"/>
      <c r="AE17" s="11"/>
      <c r="AF17" s="11"/>
      <c r="AG17" s="11"/>
      <c r="AH17" s="11"/>
      <c r="AI17" s="11"/>
      <c r="AJ17" s="11"/>
      <c r="AK17" s="11"/>
      <c r="AL17" s="11"/>
      <c r="AM17" s="11">
        <v>32</v>
      </c>
      <c r="AN17" s="11">
        <v>7.5</v>
      </c>
      <c r="AO17" s="11"/>
      <c r="AP17" s="11"/>
      <c r="AQ17" s="11"/>
      <c r="AR17" s="11"/>
      <c r="AS17" s="11"/>
      <c r="AT17" s="11"/>
      <c r="AU17" s="11">
        <f>SUM(AC17:AT17)</f>
        <v>42</v>
      </c>
      <c r="AV17" s="11">
        <f>(AU17-AC17)/2</f>
        <v>19.75</v>
      </c>
      <c r="AW17" s="11">
        <v>33.6</v>
      </c>
      <c r="AX17" s="11">
        <v>56</v>
      </c>
      <c r="AY17" s="11">
        <v>80</v>
      </c>
      <c r="AZ17" s="11">
        <v>100</v>
      </c>
      <c r="BA17" s="11"/>
      <c r="BB17" s="11"/>
      <c r="BC17" s="8">
        <f>SUM(AV17:BB17)</f>
        <v>289.35000000000002</v>
      </c>
      <c r="BD17" s="54">
        <f>SUM(BF17:BM17)/2</f>
        <v>0</v>
      </c>
      <c r="BE17" s="10">
        <f>AB17/4</f>
        <v>1.25</v>
      </c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64">
        <v>5</v>
      </c>
      <c r="BZ17" s="10">
        <f>(BC17-AV17)/2</f>
        <v>134.80000000000001</v>
      </c>
      <c r="CA17" s="10"/>
      <c r="CB17" s="10"/>
      <c r="CC17" s="10"/>
      <c r="CD17" s="10"/>
      <c r="CE17" s="10"/>
      <c r="CF17" s="10"/>
      <c r="CG17" s="10">
        <f t="shared" si="0"/>
        <v>134.80000000000001</v>
      </c>
      <c r="CI17" s="8">
        <f>SUM(BD17:BE17)</f>
        <v>1.25</v>
      </c>
      <c r="CJ17" s="8">
        <f>(CI17-BD17)/2</f>
        <v>0.625</v>
      </c>
      <c r="CK17" s="8">
        <f>AU17/4</f>
        <v>10.5</v>
      </c>
      <c r="CL17" s="8"/>
      <c r="CM17" s="8"/>
      <c r="CN17" s="8"/>
      <c r="CO17" s="8">
        <v>2.5</v>
      </c>
      <c r="CP17" s="8">
        <f>SUM(CJ17:CO17)</f>
        <v>13.625</v>
      </c>
      <c r="CQ17" s="8">
        <f>(CP17-CJ17)/2</f>
        <v>6.5</v>
      </c>
      <c r="CR17" s="10"/>
      <c r="CS17" s="10"/>
      <c r="CT17" s="8">
        <f t="shared" si="1"/>
        <v>6.5</v>
      </c>
      <c r="CU17" s="8">
        <f t="shared" si="2"/>
        <v>0</v>
      </c>
      <c r="CV17" s="10"/>
      <c r="CW17" s="10"/>
      <c r="CX17" s="10"/>
      <c r="CY17" s="10"/>
      <c r="CZ17" s="8">
        <f t="shared" ref="CZ17:CZ23" si="3">SUM(CU17:CV17)</f>
        <v>0</v>
      </c>
    </row>
    <row r="18" spans="1:104" x14ac:dyDescent="0.25">
      <c r="A18">
        <v>8</v>
      </c>
      <c r="B18" s="18" t="s">
        <v>839</v>
      </c>
      <c r="C18" s="8"/>
      <c r="D18" s="18" t="s">
        <v>840</v>
      </c>
      <c r="E18" s="18" t="s">
        <v>47</v>
      </c>
      <c r="F18" s="8"/>
      <c r="G18" s="8"/>
      <c r="H18" s="8"/>
      <c r="I18" s="8"/>
      <c r="J18" s="8"/>
      <c r="K18" s="8"/>
      <c r="L18" s="10"/>
      <c r="M18" s="10"/>
      <c r="N18" s="10"/>
      <c r="O18" s="10"/>
      <c r="P18" s="10"/>
      <c r="Q18" s="8"/>
      <c r="R18" s="8"/>
      <c r="S18" s="10"/>
      <c r="T18" s="10"/>
      <c r="U18" s="10"/>
      <c r="V18" s="10"/>
      <c r="W18" s="10"/>
      <c r="X18" s="10"/>
      <c r="Y18" s="10"/>
      <c r="Z18" s="10"/>
      <c r="AA18" s="10"/>
      <c r="AB18" s="8"/>
      <c r="AC18" s="8"/>
      <c r="AD18" s="8"/>
      <c r="AE18" s="8"/>
      <c r="AF18" s="8"/>
      <c r="AG18" s="8"/>
      <c r="AH18" s="8"/>
      <c r="AI18" s="8"/>
      <c r="AJ18" s="8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8"/>
      <c r="AV18" s="8"/>
      <c r="AW18" s="8"/>
      <c r="AX18" s="10"/>
      <c r="AY18" s="10"/>
      <c r="AZ18" s="10"/>
      <c r="BA18" s="10"/>
      <c r="BB18" s="10"/>
      <c r="BC18" s="8"/>
      <c r="BD18" s="54"/>
      <c r="BE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64"/>
      <c r="BZ18" s="10"/>
      <c r="CA18" s="10">
        <v>36</v>
      </c>
      <c r="CB18" s="10">
        <v>48</v>
      </c>
      <c r="CC18" s="10"/>
      <c r="CD18" s="10"/>
      <c r="CE18" s="10"/>
      <c r="CF18" s="10"/>
      <c r="CG18" s="10">
        <f t="shared" si="0"/>
        <v>84</v>
      </c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>
        <f t="shared" si="1"/>
        <v>0</v>
      </c>
      <c r="CU18" s="8">
        <f t="shared" si="2"/>
        <v>0</v>
      </c>
      <c r="CV18" s="10"/>
      <c r="CW18" s="10"/>
      <c r="CX18" s="10"/>
      <c r="CY18" s="10"/>
      <c r="CZ18" s="8">
        <f t="shared" si="3"/>
        <v>0</v>
      </c>
    </row>
    <row r="19" spans="1:104" x14ac:dyDescent="0.25">
      <c r="A19">
        <v>9</v>
      </c>
      <c r="B19" s="18" t="s">
        <v>128</v>
      </c>
      <c r="C19" s="8" t="s">
        <v>210</v>
      </c>
      <c r="D19" s="18" t="s">
        <v>533</v>
      </c>
      <c r="E19" s="18" t="s">
        <v>667</v>
      </c>
      <c r="F19" s="8"/>
      <c r="G19" s="8"/>
      <c r="H19" s="8"/>
      <c r="I19" s="8"/>
      <c r="J19" s="8"/>
      <c r="K19" s="8"/>
      <c r="L19" s="10"/>
      <c r="M19" s="10"/>
      <c r="N19" s="10"/>
      <c r="O19" s="10"/>
      <c r="P19" s="10"/>
      <c r="Q19" s="8"/>
      <c r="R19" s="8"/>
      <c r="S19" s="10"/>
      <c r="T19" s="10"/>
      <c r="U19" s="10"/>
      <c r="V19" s="10"/>
      <c r="W19" s="10"/>
      <c r="X19" s="10"/>
      <c r="Y19" s="10"/>
      <c r="Z19" s="10"/>
      <c r="AA19" s="10"/>
      <c r="AB19" s="8"/>
      <c r="AC19" s="8"/>
      <c r="AD19" s="8"/>
      <c r="AE19" s="8"/>
      <c r="AF19" s="8"/>
      <c r="AG19" s="8"/>
      <c r="AH19" s="8"/>
      <c r="AI19" s="8"/>
      <c r="AJ19" s="8">
        <v>36</v>
      </c>
      <c r="AK19" s="10"/>
      <c r="AL19" s="10">
        <v>44.8</v>
      </c>
      <c r="AM19" s="10"/>
      <c r="AN19" s="10">
        <v>7.5</v>
      </c>
      <c r="AO19" s="10"/>
      <c r="AP19" s="10"/>
      <c r="AQ19" s="10">
        <v>36</v>
      </c>
      <c r="AR19" s="10"/>
      <c r="AS19" s="10">
        <v>4</v>
      </c>
      <c r="AT19" s="10"/>
      <c r="AU19" s="11">
        <f>SUM(AC19:AT19)</f>
        <v>128.30000000000001</v>
      </c>
      <c r="AV19" s="11">
        <f>(AU19-AC19)/2</f>
        <v>64.150000000000006</v>
      </c>
      <c r="AW19" s="11">
        <v>36</v>
      </c>
      <c r="AX19" s="11">
        <v>48</v>
      </c>
      <c r="AY19" s="11">
        <v>7.5</v>
      </c>
      <c r="AZ19" s="11">
        <v>48</v>
      </c>
      <c r="BA19" s="11"/>
      <c r="BB19" s="11"/>
      <c r="BC19" s="8">
        <f>SUM(AV19:BB19)</f>
        <v>203.65</v>
      </c>
      <c r="BZ19" s="10">
        <f>(BC19-AV19)/2</f>
        <v>69.75</v>
      </c>
      <c r="CA19" s="10">
        <v>2.4</v>
      </c>
      <c r="CB19" s="10">
        <v>3.2</v>
      </c>
      <c r="CC19" s="10">
        <v>7.5</v>
      </c>
      <c r="CD19" s="10"/>
      <c r="CE19" s="10"/>
      <c r="CF19" s="10"/>
      <c r="CG19" s="10">
        <f t="shared" si="0"/>
        <v>82.850000000000009</v>
      </c>
      <c r="CI19" s="8">
        <f>SUM(BD19:BE19)+SUM(BO19:BX19)</f>
        <v>0</v>
      </c>
      <c r="CJ19" s="8">
        <f>(CI19-BD19)/2</f>
        <v>0</v>
      </c>
      <c r="CK19" s="8">
        <f>AU19/4</f>
        <v>32.075000000000003</v>
      </c>
      <c r="CL19" s="8"/>
      <c r="CM19" s="8"/>
      <c r="CN19" s="8"/>
      <c r="CO19" s="8"/>
      <c r="CP19" s="8">
        <f>SUM(CJ19:CO19)</f>
        <v>32.075000000000003</v>
      </c>
      <c r="CQ19" s="8">
        <f>(CP19-CJ19)/2</f>
        <v>16.037500000000001</v>
      </c>
      <c r="CR19" s="10"/>
      <c r="CS19" s="10"/>
      <c r="CT19" s="8">
        <f t="shared" si="1"/>
        <v>16.037500000000001</v>
      </c>
      <c r="CU19" s="8">
        <f t="shared" si="2"/>
        <v>0</v>
      </c>
      <c r="CV19" s="10"/>
      <c r="CW19" s="10"/>
      <c r="CX19" s="10"/>
      <c r="CY19" s="10"/>
      <c r="CZ19" s="8">
        <f t="shared" si="3"/>
        <v>0</v>
      </c>
    </row>
    <row r="20" spans="1:104" x14ac:dyDescent="0.25">
      <c r="A20">
        <v>10</v>
      </c>
      <c r="B20" s="18" t="s">
        <v>185</v>
      </c>
      <c r="C20" s="8"/>
      <c r="D20" s="18" t="s">
        <v>799</v>
      </c>
      <c r="E20" s="18" t="s">
        <v>17</v>
      </c>
      <c r="F20" s="8"/>
      <c r="G20" s="8"/>
      <c r="H20" s="8"/>
      <c r="I20" s="8"/>
      <c r="J20" s="8"/>
      <c r="K20" s="8"/>
      <c r="L20" s="10"/>
      <c r="M20" s="10"/>
      <c r="N20" s="10"/>
      <c r="O20" s="10"/>
      <c r="P20" s="10"/>
      <c r="Q20" s="8"/>
      <c r="R20" s="8"/>
      <c r="S20" s="10"/>
      <c r="T20" s="10"/>
      <c r="U20" s="10"/>
      <c r="V20" s="10"/>
      <c r="W20" s="10"/>
      <c r="X20" s="10"/>
      <c r="Y20" s="10"/>
      <c r="Z20" s="10"/>
      <c r="AA20" s="10"/>
      <c r="AB20" s="8"/>
      <c r="AC20" s="8"/>
      <c r="AD20" s="8"/>
      <c r="AE20" s="8"/>
      <c r="AF20" s="8"/>
      <c r="AG20" s="8"/>
      <c r="AH20" s="8"/>
      <c r="AI20" s="8"/>
      <c r="AJ20" s="8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8"/>
      <c r="AV20" s="8"/>
      <c r="AW20" s="8"/>
      <c r="AX20" s="10"/>
      <c r="AY20" s="10"/>
      <c r="AZ20" s="10"/>
      <c r="BA20" s="10"/>
      <c r="BB20" s="10"/>
      <c r="BC20" s="8"/>
      <c r="BZ20" s="10"/>
      <c r="CA20" s="10"/>
      <c r="CB20" s="10">
        <v>56</v>
      </c>
      <c r="CC20" s="10"/>
      <c r="CD20" s="10"/>
      <c r="CE20" s="10"/>
      <c r="CF20" s="10"/>
      <c r="CG20" s="10">
        <f t="shared" si="0"/>
        <v>56</v>
      </c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>
        <f t="shared" si="1"/>
        <v>0</v>
      </c>
      <c r="CU20" s="8">
        <f t="shared" si="2"/>
        <v>0</v>
      </c>
      <c r="CV20" s="10"/>
      <c r="CW20" s="10"/>
      <c r="CX20" s="10"/>
      <c r="CY20" s="10"/>
      <c r="CZ20" s="8">
        <f t="shared" si="3"/>
        <v>0</v>
      </c>
    </row>
    <row r="21" spans="1:104" x14ac:dyDescent="0.25">
      <c r="A21">
        <v>11</v>
      </c>
      <c r="B21" s="65" t="s">
        <v>837</v>
      </c>
      <c r="C21" s="39"/>
      <c r="D21" s="65" t="s">
        <v>174</v>
      </c>
      <c r="E21" s="65" t="s">
        <v>391</v>
      </c>
      <c r="AU21" s="39"/>
      <c r="AV21" s="39"/>
      <c r="AW21" s="39"/>
      <c r="AX21" s="40"/>
      <c r="AY21" s="40"/>
      <c r="AZ21" s="40"/>
      <c r="BA21" s="40"/>
      <c r="BB21" s="40"/>
      <c r="BC21" s="8"/>
      <c r="BZ21" s="10"/>
      <c r="CA21" s="10">
        <v>48</v>
      </c>
      <c r="CB21" s="10"/>
      <c r="CC21" s="10"/>
      <c r="CD21" s="10"/>
      <c r="CE21" s="10"/>
      <c r="CF21" s="10"/>
      <c r="CG21" s="10">
        <f t="shared" si="0"/>
        <v>48</v>
      </c>
      <c r="CP21" s="8"/>
      <c r="CQ21" s="8"/>
      <c r="CR21" s="8"/>
      <c r="CS21" s="8"/>
      <c r="CT21" s="8">
        <f t="shared" si="1"/>
        <v>0</v>
      </c>
      <c r="CU21" s="8">
        <f t="shared" si="2"/>
        <v>0</v>
      </c>
      <c r="CV21" s="10"/>
      <c r="CW21" s="10"/>
      <c r="CX21" s="10"/>
      <c r="CY21" s="10"/>
      <c r="CZ21" s="8">
        <f t="shared" si="3"/>
        <v>0</v>
      </c>
    </row>
    <row r="22" spans="1:104" x14ac:dyDescent="0.25">
      <c r="A22">
        <v>12</v>
      </c>
      <c r="B22" s="18" t="s">
        <v>527</v>
      </c>
      <c r="C22" s="8"/>
      <c r="D22" s="18" t="s">
        <v>528</v>
      </c>
      <c r="E22" s="18" t="s">
        <v>529</v>
      </c>
      <c r="F22" s="8"/>
      <c r="G22" s="8"/>
      <c r="H22" s="8"/>
      <c r="I22" s="8"/>
      <c r="J22" s="8"/>
      <c r="K22" s="8"/>
      <c r="L22" s="10"/>
      <c r="M22" s="10"/>
      <c r="N22" s="10"/>
      <c r="O22" s="10"/>
      <c r="P22" s="10"/>
      <c r="Q22" s="8"/>
      <c r="R22" s="8"/>
      <c r="S22" s="10"/>
      <c r="T22" s="10"/>
      <c r="U22" s="10"/>
      <c r="V22" s="10"/>
      <c r="W22" s="10"/>
      <c r="X22" s="10"/>
      <c r="Y22" s="10"/>
      <c r="Z22" s="10"/>
      <c r="AA22" s="10"/>
      <c r="AB22" s="8"/>
      <c r="AC22" s="8"/>
      <c r="AD22" s="8"/>
      <c r="AE22" s="8"/>
      <c r="AF22" s="8"/>
      <c r="AG22" s="8"/>
      <c r="AH22" s="8"/>
      <c r="AI22" s="8"/>
      <c r="AJ22" s="8"/>
      <c r="AK22" s="10">
        <v>80</v>
      </c>
      <c r="AL22" s="10"/>
      <c r="AM22" s="10"/>
      <c r="AN22" s="10"/>
      <c r="AO22" s="10"/>
      <c r="AP22" s="10"/>
      <c r="AQ22" s="10"/>
      <c r="AR22" s="10"/>
      <c r="AS22" s="10"/>
      <c r="AT22" s="10"/>
      <c r="AU22" s="11">
        <f>SUM(AC22:AT22)</f>
        <v>80</v>
      </c>
      <c r="AV22" s="11">
        <f>(AU22-AC22)/2</f>
        <v>40</v>
      </c>
      <c r="AW22" s="11"/>
      <c r="AX22" s="11"/>
      <c r="AY22" s="11">
        <v>84</v>
      </c>
      <c r="AZ22" s="11"/>
      <c r="BA22" s="11"/>
      <c r="BB22" s="11"/>
      <c r="BC22" s="8">
        <f>SUM(AV22:BB22)</f>
        <v>124</v>
      </c>
      <c r="BZ22" s="10">
        <f>(BC22-AV22)/2</f>
        <v>42</v>
      </c>
      <c r="CA22" s="10"/>
      <c r="CB22" s="10"/>
      <c r="CC22" s="10"/>
      <c r="CD22" s="10"/>
      <c r="CE22" s="10"/>
      <c r="CF22" s="10"/>
      <c r="CG22" s="10">
        <f t="shared" si="0"/>
        <v>42</v>
      </c>
      <c r="CI22">
        <f>SUM(BD22:BE22)+SUM(BO22:BX22)</f>
        <v>0</v>
      </c>
      <c r="CJ22">
        <f>(CI22-BD22)/2</f>
        <v>0</v>
      </c>
      <c r="CK22">
        <f>AU22/4</f>
        <v>20</v>
      </c>
      <c r="CP22" s="8">
        <f>SUM(CJ22:CO22)</f>
        <v>20</v>
      </c>
      <c r="CQ22" s="8">
        <f>(CP22-CJ22)/2</f>
        <v>10</v>
      </c>
      <c r="CR22" s="10"/>
      <c r="CS22" s="10"/>
      <c r="CT22" s="8">
        <f t="shared" si="1"/>
        <v>10</v>
      </c>
      <c r="CU22" s="8">
        <f t="shared" si="2"/>
        <v>0</v>
      </c>
      <c r="CV22" s="10"/>
      <c r="CW22" s="10"/>
      <c r="CX22" s="10"/>
      <c r="CY22" s="10"/>
      <c r="CZ22" s="8">
        <f t="shared" si="3"/>
        <v>0</v>
      </c>
    </row>
    <row r="23" spans="1:104" x14ac:dyDescent="0.25">
      <c r="A23">
        <v>13</v>
      </c>
      <c r="B23" s="65" t="s">
        <v>707</v>
      </c>
      <c r="C23" s="39"/>
      <c r="D23" s="65" t="s">
        <v>708</v>
      </c>
      <c r="E23" s="65" t="s">
        <v>24</v>
      </c>
      <c r="F23" s="39"/>
      <c r="G23" s="39"/>
      <c r="H23" s="39"/>
      <c r="I23" s="39"/>
      <c r="J23" s="39"/>
      <c r="K23" s="39"/>
      <c r="L23" s="40"/>
      <c r="M23" s="40"/>
      <c r="N23" s="40"/>
      <c r="O23" s="40"/>
      <c r="P23" s="40"/>
      <c r="Q23" s="39"/>
      <c r="R23" s="39"/>
      <c r="S23" s="40"/>
      <c r="T23" s="40"/>
      <c r="U23" s="40"/>
      <c r="V23" s="40"/>
      <c r="W23" s="40"/>
      <c r="X23" s="40"/>
      <c r="Y23" s="40"/>
      <c r="Z23" s="40"/>
      <c r="AA23" s="40"/>
      <c r="AB23" s="39"/>
      <c r="AC23" s="39"/>
      <c r="AD23" s="39"/>
      <c r="AE23" s="39"/>
      <c r="AF23" s="39"/>
      <c r="AG23" s="39"/>
      <c r="AH23" s="39"/>
      <c r="AI23" s="39"/>
      <c r="AJ23" s="39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39"/>
      <c r="AV23" s="39"/>
      <c r="AW23" s="39">
        <v>3</v>
      </c>
      <c r="AX23" s="40"/>
      <c r="AY23" s="40">
        <v>4</v>
      </c>
      <c r="AZ23" s="40">
        <v>75</v>
      </c>
      <c r="BA23" s="40"/>
      <c r="BB23" s="40"/>
      <c r="BC23" s="39">
        <f>SUM(AV23:BB23)</f>
        <v>82</v>
      </c>
      <c r="BZ23" s="40">
        <f>(BC23-AV23)/2</f>
        <v>41</v>
      </c>
      <c r="CA23" s="40"/>
      <c r="CB23" s="40"/>
      <c r="CC23" s="40"/>
      <c r="CD23" s="40"/>
      <c r="CE23" s="40"/>
      <c r="CF23" s="40"/>
      <c r="CG23" s="10">
        <f t="shared" si="0"/>
        <v>41</v>
      </c>
      <c r="CP23" s="8">
        <f>SUM(CJ23:CN23)</f>
        <v>0</v>
      </c>
      <c r="CQ23" s="8">
        <f>(CP23-CJ23)/2</f>
        <v>0</v>
      </c>
      <c r="CR23" s="10"/>
      <c r="CS23" s="10"/>
      <c r="CT23" s="8">
        <f t="shared" si="1"/>
        <v>0</v>
      </c>
      <c r="CU23" s="8">
        <f t="shared" si="2"/>
        <v>0</v>
      </c>
      <c r="CV23" s="10"/>
      <c r="CW23" s="10"/>
      <c r="CX23" s="10"/>
      <c r="CY23" s="10"/>
      <c r="CZ23" s="8">
        <f t="shared" si="3"/>
        <v>0</v>
      </c>
    </row>
    <row r="24" spans="1:104" x14ac:dyDescent="0.25">
      <c r="A24">
        <v>14</v>
      </c>
      <c r="B24" s="18" t="s">
        <v>135</v>
      </c>
      <c r="C24" s="8"/>
      <c r="D24" s="18" t="s">
        <v>897</v>
      </c>
      <c r="E24" s="18" t="s">
        <v>455</v>
      </c>
      <c r="F24" s="8"/>
      <c r="G24" s="8"/>
      <c r="H24" s="8"/>
      <c r="I24" s="8"/>
      <c r="J24" s="8"/>
      <c r="K24" s="8"/>
      <c r="L24" s="10"/>
      <c r="M24" s="10"/>
      <c r="N24" s="10"/>
      <c r="O24" s="10"/>
      <c r="P24" s="10"/>
      <c r="Q24" s="8"/>
      <c r="R24" s="8"/>
      <c r="S24" s="10"/>
      <c r="T24" s="10"/>
      <c r="U24" s="10"/>
      <c r="V24" s="10"/>
      <c r="W24" s="10"/>
      <c r="X24" s="10"/>
      <c r="Y24" s="10"/>
      <c r="Z24" s="10"/>
      <c r="AA24" s="10"/>
      <c r="AB24" s="8"/>
      <c r="AC24" s="8"/>
      <c r="AD24" s="8"/>
      <c r="AE24" s="8"/>
      <c r="AF24" s="8"/>
      <c r="AG24" s="8"/>
      <c r="AH24" s="8"/>
      <c r="AI24" s="8"/>
      <c r="AJ24" s="8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8"/>
      <c r="AV24" s="8"/>
      <c r="AW24" s="8"/>
      <c r="AX24" s="10"/>
      <c r="AY24" s="10"/>
      <c r="AZ24" s="10"/>
      <c r="BA24" s="10"/>
      <c r="BB24" s="10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10"/>
      <c r="BZ24" s="10"/>
      <c r="CA24" s="10">
        <v>36</v>
      </c>
      <c r="CB24" s="10"/>
      <c r="CC24" s="10"/>
      <c r="CD24" s="10"/>
      <c r="CE24" s="10"/>
      <c r="CF24" s="10"/>
      <c r="CG24" s="10">
        <f t="shared" si="0"/>
        <v>36</v>
      </c>
      <c r="CT24" s="8">
        <f t="shared" si="1"/>
        <v>0</v>
      </c>
      <c r="CU24" s="8">
        <f t="shared" si="2"/>
        <v>0</v>
      </c>
      <c r="CV24" s="10"/>
      <c r="CW24" s="10">
        <v>54</v>
      </c>
      <c r="CX24" s="10">
        <v>36</v>
      </c>
      <c r="CY24" s="10"/>
      <c r="CZ24" s="8">
        <f>SUM(CU24:CX24)</f>
        <v>90</v>
      </c>
    </row>
    <row r="25" spans="1:104" x14ac:dyDescent="0.25">
      <c r="A25">
        <v>15</v>
      </c>
      <c r="B25" s="18" t="s">
        <v>527</v>
      </c>
      <c r="C25" s="8"/>
      <c r="D25" s="18" t="s">
        <v>723</v>
      </c>
      <c r="E25" s="18" t="s">
        <v>724</v>
      </c>
      <c r="F25" s="8"/>
      <c r="G25" s="8"/>
      <c r="H25" s="8"/>
      <c r="I25" s="8"/>
      <c r="J25" s="8"/>
      <c r="K25" s="8"/>
      <c r="L25" s="10"/>
      <c r="M25" s="10"/>
      <c r="N25" s="10"/>
      <c r="O25" s="10"/>
      <c r="P25" s="10"/>
      <c r="Q25" s="8"/>
      <c r="R25" s="8"/>
      <c r="S25" s="10"/>
      <c r="T25" s="10"/>
      <c r="U25" s="10"/>
      <c r="V25" s="10"/>
      <c r="W25" s="10"/>
      <c r="X25" s="10"/>
      <c r="Y25" s="10"/>
      <c r="Z25" s="10"/>
      <c r="AA25" s="10"/>
      <c r="AB25" s="8"/>
      <c r="AC25" s="8"/>
      <c r="AD25" s="8"/>
      <c r="AE25" s="8"/>
      <c r="AF25" s="8"/>
      <c r="AG25" s="8"/>
      <c r="AH25" s="8"/>
      <c r="AI25" s="8"/>
      <c r="AJ25" s="8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8"/>
      <c r="AV25" s="8"/>
      <c r="AW25" s="8"/>
      <c r="AX25" s="10">
        <v>48</v>
      </c>
      <c r="AY25" s="10">
        <v>6</v>
      </c>
      <c r="AZ25" s="10"/>
      <c r="BA25" s="10"/>
      <c r="BB25" s="10"/>
      <c r="BC25" s="8">
        <f>SUM(AV25:BB25)</f>
        <v>54</v>
      </c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10"/>
      <c r="BZ25" s="10">
        <f>(BC25-AV25)/2</f>
        <v>27</v>
      </c>
      <c r="CA25" s="10"/>
      <c r="CB25" s="10"/>
      <c r="CC25" s="10"/>
      <c r="CD25" s="10"/>
      <c r="CE25" s="10"/>
      <c r="CF25" s="10"/>
      <c r="CG25" s="10">
        <f t="shared" si="0"/>
        <v>27</v>
      </c>
      <c r="CP25">
        <f>SUM(CJ25:CN25)</f>
        <v>0</v>
      </c>
      <c r="CQ25">
        <f>(CP25-CJ25)/2</f>
        <v>0</v>
      </c>
      <c r="CR25" s="12"/>
      <c r="CS25" s="12"/>
      <c r="CT25" s="8">
        <f t="shared" si="1"/>
        <v>0</v>
      </c>
      <c r="CU25" s="8">
        <f t="shared" si="2"/>
        <v>0</v>
      </c>
      <c r="CV25" s="10"/>
      <c r="CW25" s="10"/>
      <c r="CX25" s="10"/>
      <c r="CY25" s="10"/>
      <c r="CZ25" s="8">
        <f>SUM(CU25:CV25)</f>
        <v>0</v>
      </c>
    </row>
    <row r="26" spans="1:104" x14ac:dyDescent="0.25">
      <c r="A26">
        <v>16</v>
      </c>
      <c r="B26" s="18" t="s">
        <v>774</v>
      </c>
      <c r="C26" s="8"/>
      <c r="D26" s="18" t="s">
        <v>174</v>
      </c>
      <c r="E26" s="18" t="s">
        <v>152</v>
      </c>
      <c r="F26" s="8"/>
      <c r="G26" s="8"/>
      <c r="H26" s="8"/>
      <c r="I26" s="8"/>
      <c r="J26" s="8"/>
      <c r="K26" s="8"/>
      <c r="L26" s="10"/>
      <c r="M26" s="10"/>
      <c r="N26" s="10"/>
      <c r="O26" s="10"/>
      <c r="P26" s="10"/>
      <c r="Q26" s="8"/>
      <c r="R26" s="8"/>
      <c r="S26" s="10"/>
      <c r="T26" s="10"/>
      <c r="U26" s="10"/>
      <c r="V26" s="10"/>
      <c r="W26" s="10"/>
      <c r="X26" s="10"/>
      <c r="Y26" s="10"/>
      <c r="Z26" s="10"/>
      <c r="AA26" s="10"/>
      <c r="AB26" s="8"/>
      <c r="AC26" s="8"/>
      <c r="AD26" s="8"/>
      <c r="AE26" s="8"/>
      <c r="AF26" s="8"/>
      <c r="AG26" s="8"/>
      <c r="AH26" s="8"/>
      <c r="AI26" s="8"/>
      <c r="AJ26" s="8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8"/>
      <c r="AV26" s="8"/>
      <c r="AW26" s="8"/>
      <c r="AX26" s="10"/>
      <c r="AY26" s="10">
        <v>10</v>
      </c>
      <c r="AZ26" s="10"/>
      <c r="BA26" s="10"/>
      <c r="BB26" s="10"/>
      <c r="BC26" s="8">
        <f>SUM(AV26:BB26)</f>
        <v>10</v>
      </c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10"/>
      <c r="BZ26" s="10">
        <f>(BC26-AV26)/2</f>
        <v>5</v>
      </c>
      <c r="CA26" s="10"/>
      <c r="CB26" s="10"/>
      <c r="CC26" s="10"/>
      <c r="CD26" s="10"/>
      <c r="CE26" s="10"/>
      <c r="CF26" s="10"/>
      <c r="CG26" s="10">
        <f t="shared" si="0"/>
        <v>5</v>
      </c>
      <c r="CP26">
        <f>SUM(CJ26:CN26)</f>
        <v>0</v>
      </c>
      <c r="CQ26">
        <f>(CP26-CJ26)/2</f>
        <v>0</v>
      </c>
      <c r="CR26" s="12"/>
      <c r="CS26" s="12"/>
      <c r="CT26" s="8">
        <f t="shared" si="1"/>
        <v>0</v>
      </c>
      <c r="CU26" s="8">
        <f t="shared" si="2"/>
        <v>0</v>
      </c>
      <c r="CV26" s="10"/>
      <c r="CW26" s="10"/>
      <c r="CX26" s="10"/>
      <c r="CY26" s="10"/>
      <c r="CZ26" s="8">
        <f>SUM(CU26:CV26)</f>
        <v>0</v>
      </c>
    </row>
    <row r="27" spans="1:104" x14ac:dyDescent="0.25">
      <c r="A27">
        <v>17</v>
      </c>
      <c r="B27" s="18" t="s">
        <v>885</v>
      </c>
      <c r="C27" s="8"/>
      <c r="D27" s="18" t="s">
        <v>655</v>
      </c>
      <c r="E27" s="18" t="s">
        <v>43</v>
      </c>
      <c r="F27" s="8"/>
      <c r="G27" s="8"/>
      <c r="H27" s="8"/>
      <c r="I27" s="8"/>
      <c r="J27" s="8"/>
      <c r="K27" s="8"/>
      <c r="L27" s="10"/>
      <c r="M27" s="10"/>
      <c r="N27" s="10"/>
      <c r="O27" s="10"/>
      <c r="P27" s="10"/>
      <c r="Q27" s="8"/>
      <c r="R27" s="8"/>
      <c r="S27" s="10"/>
      <c r="T27" s="10"/>
      <c r="U27" s="10"/>
      <c r="V27" s="10"/>
      <c r="W27" s="10"/>
      <c r="X27" s="10"/>
      <c r="Y27" s="10"/>
      <c r="Z27" s="10"/>
      <c r="AA27" s="10"/>
      <c r="AB27" s="8"/>
      <c r="AC27" s="8"/>
      <c r="AD27" s="8"/>
      <c r="AE27" s="8"/>
      <c r="AF27" s="8"/>
      <c r="AG27" s="8"/>
      <c r="AH27" s="8"/>
      <c r="AI27" s="8"/>
      <c r="AJ27" s="8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8"/>
      <c r="AV27" s="8"/>
      <c r="AW27" s="8"/>
      <c r="AX27" s="10"/>
      <c r="AY27" s="10"/>
      <c r="AZ27" s="10"/>
      <c r="BA27" s="10"/>
      <c r="BB27" s="10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10"/>
      <c r="BZ27" s="10"/>
      <c r="CA27" s="10"/>
      <c r="CB27" s="10"/>
      <c r="CC27" s="10">
        <v>4</v>
      </c>
      <c r="CD27" s="10"/>
      <c r="CE27" s="10"/>
      <c r="CF27" s="10"/>
      <c r="CG27" s="10">
        <f t="shared" si="0"/>
        <v>4</v>
      </c>
      <c r="CT27" s="8">
        <f t="shared" si="1"/>
        <v>0</v>
      </c>
      <c r="CU27" s="8">
        <f t="shared" si="2"/>
        <v>0</v>
      </c>
      <c r="CV27" s="10"/>
      <c r="CW27" s="10"/>
      <c r="CX27" s="10"/>
      <c r="CY27" s="10"/>
      <c r="CZ27" s="8">
        <f>SUM(CU27:CX27)</f>
        <v>0</v>
      </c>
    </row>
    <row r="28" spans="1:104" x14ac:dyDescent="0.25">
      <c r="A28">
        <v>18</v>
      </c>
      <c r="B28" s="18" t="s">
        <v>322</v>
      </c>
      <c r="C28" s="18"/>
      <c r="D28" s="18" t="s">
        <v>251</v>
      </c>
      <c r="E28" s="18" t="s">
        <v>586</v>
      </c>
      <c r="F28" s="8"/>
      <c r="G28" s="10"/>
      <c r="H28" s="10"/>
      <c r="I28" s="10"/>
      <c r="J28" s="10"/>
      <c r="K28" s="10"/>
      <c r="L28" s="10"/>
      <c r="M28" s="10">
        <v>70</v>
      </c>
      <c r="N28" s="10"/>
      <c r="O28" s="10">
        <v>80</v>
      </c>
      <c r="P28" s="10"/>
      <c r="Q28" s="11">
        <f>SUM(F28:P28)</f>
        <v>150</v>
      </c>
      <c r="R28" s="11">
        <f>Q28/2</f>
        <v>75</v>
      </c>
      <c r="S28" s="11"/>
      <c r="T28" s="11">
        <v>100</v>
      </c>
      <c r="U28" s="11" t="s">
        <v>327</v>
      </c>
      <c r="V28" s="11"/>
      <c r="W28" s="11"/>
      <c r="X28" s="11">
        <v>100</v>
      </c>
      <c r="Y28" s="11"/>
      <c r="Z28" s="11"/>
      <c r="AA28" s="11">
        <v>6</v>
      </c>
      <c r="AB28" s="11">
        <f>SUM(R28:AA28)</f>
        <v>281</v>
      </c>
      <c r="AC28" s="11">
        <f>(AB28-R28)/2</f>
        <v>103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>
        <v>105</v>
      </c>
      <c r="AO28" s="11" t="s">
        <v>554</v>
      </c>
      <c r="AP28" s="11"/>
      <c r="AQ28" s="11"/>
      <c r="AR28" s="11">
        <v>105</v>
      </c>
      <c r="AS28" s="11"/>
      <c r="AT28" s="11">
        <v>200</v>
      </c>
      <c r="AU28" s="11">
        <f>SUM(AC28:AT28)</f>
        <v>513</v>
      </c>
      <c r="AV28" s="11">
        <f>(AU28-AC28)/2</f>
        <v>205</v>
      </c>
      <c r="AW28" s="11"/>
      <c r="AX28" s="11"/>
      <c r="AY28" s="11"/>
      <c r="AZ28" s="11"/>
      <c r="BA28" s="11"/>
      <c r="BB28" s="11"/>
      <c r="BC28" s="8">
        <f>SUM(AV28:BB28)</f>
        <v>205</v>
      </c>
      <c r="BD28" s="8">
        <f>SUM(BF28:BM28)/2</f>
        <v>0</v>
      </c>
      <c r="BE28" s="10">
        <f>AB28/4</f>
        <v>70.25</v>
      </c>
      <c r="BF28" s="8"/>
      <c r="BG28" s="8"/>
      <c r="BH28" s="8"/>
      <c r="BI28" s="8"/>
      <c r="BJ28" s="8"/>
      <c r="BK28" s="8"/>
      <c r="BL28" s="8"/>
      <c r="BM28" s="8"/>
      <c r="BN28" s="10">
        <f>SUM(BE28:BG28)</f>
        <v>70.25</v>
      </c>
      <c r="BO28" s="10"/>
      <c r="BP28" s="10"/>
      <c r="BQ28" s="10"/>
      <c r="BR28" s="10">
        <v>50</v>
      </c>
      <c r="BS28" s="10"/>
      <c r="BT28" s="10"/>
      <c r="BU28" s="10"/>
      <c r="BV28" s="10">
        <v>50</v>
      </c>
      <c r="BW28" s="10"/>
      <c r="BX28" s="10"/>
      <c r="BY28" s="10">
        <v>70</v>
      </c>
      <c r="BZ28" s="10">
        <f>(BC28-AV28)/2</f>
        <v>0</v>
      </c>
      <c r="CA28" s="10"/>
      <c r="CB28" s="10"/>
      <c r="CC28" s="10"/>
      <c r="CD28" s="10"/>
      <c r="CE28" s="10"/>
      <c r="CF28" s="10"/>
      <c r="CG28" s="10">
        <f t="shared" si="0"/>
        <v>0</v>
      </c>
      <c r="CI28">
        <f>SUM(BD28:BY28)</f>
        <v>310.5</v>
      </c>
      <c r="CJ28">
        <f>(CI28-BD28)/2</f>
        <v>155.25</v>
      </c>
      <c r="CK28">
        <f>AU28/4</f>
        <v>128.25</v>
      </c>
      <c r="CP28">
        <f>SUM(CJ28:CL28)</f>
        <v>283.5</v>
      </c>
      <c r="CQ28">
        <f>(CP28-CJ28)/2</f>
        <v>64.125</v>
      </c>
      <c r="CR28" s="12">
        <v>30</v>
      </c>
      <c r="CS28" s="12"/>
      <c r="CT28" s="8">
        <f t="shared" si="1"/>
        <v>94.125</v>
      </c>
      <c r="CU28" s="8">
        <f t="shared" si="2"/>
        <v>15</v>
      </c>
      <c r="CV28" s="10"/>
      <c r="CW28" s="10"/>
      <c r="CX28" s="10"/>
      <c r="CY28" s="10"/>
      <c r="CZ28" s="8">
        <f>SUM(CU28:CV28)</f>
        <v>15</v>
      </c>
    </row>
    <row r="29" spans="1:104" x14ac:dyDescent="0.25">
      <c r="B29" s="21" t="s">
        <v>102</v>
      </c>
      <c r="C29" s="21" t="s">
        <v>123</v>
      </c>
      <c r="D29" s="21" t="s">
        <v>6</v>
      </c>
      <c r="E29" s="21" t="s">
        <v>50</v>
      </c>
      <c r="F29" s="11"/>
      <c r="G29" s="11">
        <v>100</v>
      </c>
      <c r="H29" s="11"/>
      <c r="I29" s="11"/>
      <c r="J29" s="11"/>
      <c r="K29" s="11">
        <v>100</v>
      </c>
      <c r="L29" s="11"/>
      <c r="M29" s="11"/>
      <c r="N29" s="11"/>
      <c r="O29" s="11"/>
      <c r="P29" s="11"/>
      <c r="Q29" s="11">
        <f>SUM(F29:P29)</f>
        <v>200</v>
      </c>
      <c r="R29" s="11">
        <f>Q29/2</f>
        <v>100</v>
      </c>
      <c r="S29" s="11"/>
      <c r="T29" s="11" t="s">
        <v>132</v>
      </c>
      <c r="U29" s="11"/>
      <c r="V29" s="11"/>
      <c r="W29" s="11"/>
      <c r="X29" s="11" t="s">
        <v>132</v>
      </c>
      <c r="Y29" s="11" t="s">
        <v>132</v>
      </c>
      <c r="Z29" s="11"/>
      <c r="AA29" s="11"/>
      <c r="AB29" s="11">
        <f>SUM(R29:AA29)</f>
        <v>100</v>
      </c>
      <c r="AC29" s="11">
        <f>(AB29-R29)/2</f>
        <v>0</v>
      </c>
      <c r="AD29" s="11"/>
      <c r="AE29" s="11"/>
      <c r="AF29" s="11" t="s">
        <v>132</v>
      </c>
      <c r="AG29" s="11"/>
      <c r="AH29" s="11"/>
      <c r="AI29" s="11"/>
      <c r="AJ29" s="11"/>
      <c r="AK29" s="11"/>
      <c r="AL29" s="11"/>
      <c r="AM29" s="11"/>
      <c r="AN29" s="11" t="s">
        <v>132</v>
      </c>
      <c r="AO29" s="11"/>
      <c r="AP29" s="11"/>
      <c r="AQ29" s="11"/>
      <c r="AR29" s="11" t="s">
        <v>327</v>
      </c>
      <c r="AS29" s="11"/>
      <c r="AT29" s="11"/>
      <c r="AU29" s="11">
        <f>SUM(AC29:AT29)</f>
        <v>0</v>
      </c>
      <c r="AV29" s="11">
        <f>(AU29-AC29)/2</f>
        <v>0</v>
      </c>
      <c r="AW29" s="11"/>
      <c r="AX29" s="11"/>
      <c r="AY29" s="11"/>
      <c r="AZ29" s="11"/>
      <c r="BA29" s="11"/>
      <c r="BB29" s="11"/>
      <c r="BC29" s="8">
        <f>SUM(AV29:BB29)</f>
        <v>0</v>
      </c>
      <c r="BD29" s="8">
        <f>SUM(BF29:BM29)/2</f>
        <v>190.5</v>
      </c>
      <c r="BE29" s="10">
        <f>AB29/4</f>
        <v>25</v>
      </c>
      <c r="BF29" s="10">
        <f>20+20*1/2</f>
        <v>30</v>
      </c>
      <c r="BG29" s="10">
        <v>5</v>
      </c>
      <c r="BH29" s="10">
        <v>15</v>
      </c>
      <c r="BI29" s="10">
        <v>50</v>
      </c>
      <c r="BJ29" s="10">
        <v>36</v>
      </c>
      <c r="BK29" s="10">
        <v>140</v>
      </c>
      <c r="BL29" s="10">
        <v>100</v>
      </c>
      <c r="BM29" s="10">
        <v>5</v>
      </c>
      <c r="BN29" s="10">
        <f>SUM(BE29:BM29)</f>
        <v>406</v>
      </c>
      <c r="BO29" s="10"/>
      <c r="BP29" s="10">
        <v>36</v>
      </c>
      <c r="BQ29" s="10">
        <v>26</v>
      </c>
      <c r="BR29" s="10"/>
      <c r="BS29" s="10">
        <v>70</v>
      </c>
      <c r="BT29" s="10">
        <v>5</v>
      </c>
      <c r="BU29" s="10">
        <v>5</v>
      </c>
      <c r="BV29" s="10">
        <v>100</v>
      </c>
      <c r="BW29" s="10">
        <v>15</v>
      </c>
      <c r="BX29" s="10">
        <v>108</v>
      </c>
      <c r="BY29" s="10"/>
      <c r="BZ29" s="10">
        <f>(BC29-AV29)/2</f>
        <v>0</v>
      </c>
      <c r="CA29" s="10"/>
      <c r="CB29" s="10"/>
      <c r="CC29" s="10"/>
      <c r="CD29" s="10"/>
      <c r="CE29" s="10"/>
      <c r="CF29" s="10"/>
      <c r="CG29" s="10">
        <f t="shared" si="0"/>
        <v>0</v>
      </c>
      <c r="CI29">
        <f>SUM(BD29:BE29)+SUM(BO29:BX29)</f>
        <v>580.5</v>
      </c>
      <c r="CJ29">
        <f>(CI29-BD29)/2</f>
        <v>195</v>
      </c>
      <c r="CK29">
        <f>AU29/4</f>
        <v>0</v>
      </c>
      <c r="CL29">
        <v>25</v>
      </c>
      <c r="CM29">
        <v>15</v>
      </c>
      <c r="CN29">
        <v>54</v>
      </c>
      <c r="CP29">
        <f>SUM(CJ29:CN29)</f>
        <v>289</v>
      </c>
      <c r="CQ29">
        <f>(CP29-CJ29)/2</f>
        <v>47</v>
      </c>
      <c r="CR29" s="12"/>
      <c r="CS29" s="12"/>
      <c r="CT29" s="8">
        <f t="shared" si="1"/>
        <v>47</v>
      </c>
      <c r="CU29" s="8">
        <f t="shared" si="2"/>
        <v>0</v>
      </c>
      <c r="CV29" s="10"/>
      <c r="CW29" s="10">
        <v>54</v>
      </c>
      <c r="CX29" s="10">
        <v>36</v>
      </c>
      <c r="CY29" s="10"/>
      <c r="CZ29" s="27">
        <f>SUM(CU29:CX29)</f>
        <v>90</v>
      </c>
    </row>
  </sheetData>
  <sortState xmlns:xlrd2="http://schemas.microsoft.com/office/spreadsheetml/2017/richdata2" ref="B11:CZ29">
    <sortCondition descending="1" ref="CG11:CG29"/>
  </sortState>
  <mergeCells count="6">
    <mergeCell ref="B1:CZ1"/>
    <mergeCell ref="B8:C10"/>
    <mergeCell ref="AY9:BB9"/>
    <mergeCell ref="CC9:CF9"/>
    <mergeCell ref="D4:CG5"/>
    <mergeCell ref="CP4:CZ5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U34"/>
  <sheetViews>
    <sheetView zoomScale="80" zoomScaleNormal="80" workbookViewId="0">
      <selection activeCell="BX41" sqref="BX41"/>
    </sheetView>
  </sheetViews>
  <sheetFormatPr baseColWidth="10" defaultRowHeight="15" x14ac:dyDescent="0.25"/>
  <cols>
    <col min="1" max="1" width="3.140625" bestFit="1" customWidth="1"/>
    <col min="2" max="2" width="13" bestFit="1" customWidth="1"/>
    <col min="3" max="3" width="13.28515625" bestFit="1" customWidth="1"/>
    <col min="4" max="4" width="11.85546875" bestFit="1" customWidth="1"/>
    <col min="5" max="5" width="17" bestFit="1" customWidth="1"/>
    <col min="6" max="6" width="6.42578125" hidden="1" customWidth="1"/>
    <col min="7" max="7" width="6.28515625" hidden="1" customWidth="1"/>
    <col min="8" max="8" width="7.28515625" hidden="1" customWidth="1"/>
    <col min="9" max="11" width="6.28515625" hidden="1" customWidth="1"/>
    <col min="12" max="12" width="6.7109375" hidden="1" customWidth="1"/>
    <col min="13" max="14" width="6.7109375" style="12" hidden="1" customWidth="1"/>
    <col min="15" max="19" width="7.28515625" style="12" hidden="1" customWidth="1"/>
    <col min="20" max="20" width="5.7109375" style="12" hidden="1" customWidth="1"/>
    <col min="21" max="21" width="0" hidden="1" customWidth="1"/>
    <col min="22" max="23" width="7.7109375" hidden="1" customWidth="1"/>
    <col min="24" max="38" width="6.5703125" hidden="1" customWidth="1"/>
    <col min="39" max="39" width="6.5703125" style="12" hidden="1" customWidth="1"/>
    <col min="40" max="40" width="6.5703125" hidden="1" customWidth="1"/>
    <col min="41" max="44" width="6.85546875" hidden="1" customWidth="1"/>
    <col min="45" max="59" width="6.5703125" hidden="1" customWidth="1"/>
    <col min="60" max="60" width="7.85546875" hidden="1" customWidth="1"/>
    <col min="61" max="62" width="6.5703125" hidden="1" customWidth="1"/>
    <col min="63" max="66" width="6.5703125" style="12" hidden="1" customWidth="1"/>
    <col min="67" max="67" width="6.5703125" customWidth="1"/>
    <col min="68" max="68" width="7.85546875" bestFit="1" customWidth="1"/>
    <col min="69" max="69" width="5.5703125" style="12" bestFit="1" customWidth="1"/>
    <col min="70" max="71" width="6.5703125" style="12" customWidth="1"/>
    <col min="72" max="75" width="6.5703125" customWidth="1"/>
    <col min="76" max="76" width="10.7109375" customWidth="1"/>
    <col min="77" max="77" width="10.28515625" hidden="1" customWidth="1"/>
    <col min="78" max="79" width="0" hidden="1" customWidth="1"/>
    <col min="80" max="80" width="10.140625" hidden="1" customWidth="1"/>
    <col min="81" max="82" width="6.42578125" hidden="1" customWidth="1"/>
    <col min="83" max="83" width="7.28515625" hidden="1" customWidth="1"/>
    <col min="84" max="85" width="6.5703125" style="12" hidden="1" customWidth="1"/>
    <col min="86" max="87" width="0" hidden="1" customWidth="1"/>
    <col min="88" max="88" width="9.7109375" hidden="1" customWidth="1"/>
    <col min="89" max="91" width="9.28515625" hidden="1" customWidth="1"/>
    <col min="92" max="92" width="10.7109375" hidden="1" customWidth="1"/>
    <col min="93" max="95" width="7.140625" hidden="1" customWidth="1"/>
    <col min="96" max="96" width="10.5703125" hidden="1" customWidth="1"/>
    <col min="97" max="98" width="0" hidden="1" customWidth="1"/>
    <col min="99" max="104" width="6" style="24" hidden="1" customWidth="1"/>
    <col min="105" max="105" width="0" hidden="1" customWidth="1"/>
    <col min="106" max="106" width="10.28515625" hidden="1" customWidth="1"/>
    <col min="107" max="107" width="5.7109375" hidden="1" customWidth="1"/>
    <col min="108" max="115" width="6" hidden="1" customWidth="1"/>
    <col min="118" max="118" width="11.42578125" style="12"/>
    <col min="119" max="119" width="6" style="12" bestFit="1" customWidth="1"/>
    <col min="120" max="124" width="6" style="12" customWidth="1"/>
  </cols>
  <sheetData>
    <row r="1" spans="1:125" ht="26.25" x14ac:dyDescent="0.4">
      <c r="B1" s="80" t="s">
        <v>3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  <c r="CG1" s="80"/>
      <c r="CH1" s="80"/>
      <c r="CI1" s="80"/>
      <c r="CJ1" s="80"/>
      <c r="CK1" s="80"/>
      <c r="CL1" s="80"/>
      <c r="CM1" s="80"/>
      <c r="CN1" s="80"/>
      <c r="CO1" s="80"/>
      <c r="CP1" s="80"/>
      <c r="CQ1" s="80"/>
      <c r="CR1" s="80"/>
      <c r="CS1" s="80"/>
      <c r="CT1" s="80"/>
      <c r="CU1" s="80"/>
      <c r="CV1" s="80"/>
      <c r="CW1" s="80"/>
      <c r="CX1" s="80"/>
      <c r="CY1" s="80"/>
      <c r="CZ1" s="80"/>
      <c r="DA1" s="80"/>
      <c r="DB1" s="80"/>
      <c r="DC1" s="80"/>
      <c r="DD1" s="80"/>
      <c r="DE1" s="80"/>
      <c r="DF1" s="80"/>
      <c r="DG1" s="80"/>
      <c r="DH1" s="80"/>
      <c r="DI1" s="80"/>
      <c r="DJ1" s="80"/>
      <c r="DK1" s="80"/>
      <c r="DL1" s="80"/>
      <c r="DM1" s="80"/>
      <c r="DN1" s="80"/>
      <c r="DO1" s="80"/>
      <c r="DP1" s="80"/>
      <c r="DQ1" s="80"/>
      <c r="DR1" s="80"/>
      <c r="DS1" s="80"/>
      <c r="DT1" s="80"/>
      <c r="DU1" s="80"/>
    </row>
    <row r="2" spans="1:125" ht="15.75" thickBot="1" x14ac:dyDescent="0.3">
      <c r="C2" s="12"/>
      <c r="D2" s="12"/>
      <c r="E2" s="12"/>
    </row>
    <row r="3" spans="1:125" ht="15.75" thickTop="1" x14ac:dyDescent="0.25">
      <c r="B3" s="1" t="s">
        <v>0</v>
      </c>
      <c r="C3" s="4" t="s">
        <v>10</v>
      </c>
    </row>
    <row r="4" spans="1:125" ht="15.75" x14ac:dyDescent="0.25">
      <c r="B4" s="2" t="s">
        <v>1</v>
      </c>
      <c r="C4" s="5" t="s">
        <v>11</v>
      </c>
      <c r="D4" s="81" t="s">
        <v>791</v>
      </c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2"/>
      <c r="BK4" s="82"/>
      <c r="BL4" s="82"/>
      <c r="BM4" s="82"/>
      <c r="BN4" s="82"/>
      <c r="BO4" s="82"/>
      <c r="BP4" s="82"/>
      <c r="BQ4" s="82"/>
      <c r="BR4" s="82"/>
      <c r="BS4" s="82"/>
      <c r="BT4" s="82"/>
      <c r="BU4" s="82"/>
      <c r="BV4" s="82"/>
      <c r="BW4" s="82"/>
      <c r="BX4" s="23"/>
      <c r="BY4" s="82" t="s">
        <v>792</v>
      </c>
      <c r="BZ4" s="82"/>
      <c r="CA4" s="82"/>
      <c r="CB4" s="82"/>
      <c r="CC4" s="82"/>
      <c r="CD4" s="82"/>
      <c r="CE4" s="82"/>
      <c r="CF4" s="82"/>
      <c r="CG4" s="82"/>
      <c r="CH4" s="82"/>
      <c r="CI4" s="82"/>
      <c r="CJ4" s="82"/>
      <c r="CK4" s="82"/>
      <c r="CL4" s="82"/>
      <c r="CM4" s="82"/>
      <c r="CN4" s="82"/>
      <c r="CO4" s="82"/>
      <c r="CP4" s="82"/>
      <c r="CQ4" s="82"/>
      <c r="CR4" s="82"/>
      <c r="CS4" s="82"/>
      <c r="CT4" s="82"/>
      <c r="CU4" s="82"/>
      <c r="CV4" s="82"/>
      <c r="CW4" s="82"/>
      <c r="CX4" s="82"/>
      <c r="CY4" s="82"/>
      <c r="CZ4" s="82"/>
      <c r="DA4" s="82"/>
      <c r="DB4" s="82"/>
      <c r="DC4" s="82"/>
      <c r="DD4" s="82"/>
      <c r="DE4" s="82"/>
      <c r="DF4" s="82"/>
      <c r="DG4" s="82"/>
      <c r="DH4" s="82"/>
      <c r="DI4" s="82"/>
      <c r="DJ4" s="82"/>
      <c r="DK4" s="82"/>
      <c r="DL4" s="82"/>
      <c r="DM4" s="82"/>
      <c r="DN4" s="82"/>
      <c r="DO4" s="82"/>
      <c r="DP4" s="82"/>
      <c r="DQ4" s="82"/>
      <c r="DR4" s="82"/>
      <c r="DS4" s="82"/>
      <c r="DT4" s="82"/>
      <c r="DU4" s="82"/>
    </row>
    <row r="5" spans="1:125" ht="16.5" thickBot="1" x14ac:dyDescent="0.3">
      <c r="B5" s="3" t="s">
        <v>2</v>
      </c>
      <c r="C5" s="53">
        <v>-57</v>
      </c>
      <c r="D5" s="81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2"/>
      <c r="BI5" s="82"/>
      <c r="BJ5" s="82"/>
      <c r="BK5" s="82"/>
      <c r="BL5" s="82"/>
      <c r="BM5" s="82"/>
      <c r="BN5" s="82"/>
      <c r="BO5" s="82"/>
      <c r="BP5" s="82"/>
      <c r="BQ5" s="82"/>
      <c r="BR5" s="82"/>
      <c r="BS5" s="82"/>
      <c r="BT5" s="82"/>
      <c r="BU5" s="82"/>
      <c r="BV5" s="82"/>
      <c r="BW5" s="82"/>
      <c r="BX5" s="23"/>
      <c r="BY5" s="82"/>
      <c r="BZ5" s="82"/>
      <c r="CA5" s="82"/>
      <c r="CB5" s="82"/>
      <c r="CC5" s="82"/>
      <c r="CD5" s="82"/>
      <c r="CE5" s="82"/>
      <c r="CF5" s="82"/>
      <c r="CG5" s="82"/>
      <c r="CH5" s="82"/>
      <c r="CI5" s="82"/>
      <c r="CJ5" s="82"/>
      <c r="CK5" s="82"/>
      <c r="CL5" s="82"/>
      <c r="CM5" s="82"/>
      <c r="CN5" s="82"/>
      <c r="CO5" s="82"/>
      <c r="CP5" s="82"/>
      <c r="CQ5" s="82"/>
      <c r="CR5" s="82"/>
      <c r="CS5" s="82"/>
      <c r="CT5" s="82"/>
      <c r="CU5" s="82"/>
      <c r="CV5" s="82"/>
      <c r="CW5" s="82"/>
      <c r="CX5" s="82"/>
      <c r="CY5" s="82"/>
      <c r="CZ5" s="82"/>
      <c r="DA5" s="82"/>
      <c r="DB5" s="82"/>
      <c r="DC5" s="82"/>
      <c r="DD5" s="82"/>
      <c r="DE5" s="82"/>
      <c r="DF5" s="82"/>
      <c r="DG5" s="82"/>
      <c r="DH5" s="82"/>
      <c r="DI5" s="82"/>
      <c r="DJ5" s="82"/>
      <c r="DK5" s="82"/>
      <c r="DL5" s="82"/>
      <c r="DM5" s="82"/>
      <c r="DN5" s="82"/>
      <c r="DO5" s="82"/>
      <c r="DP5" s="82"/>
      <c r="DQ5" s="82"/>
      <c r="DR5" s="82"/>
      <c r="DS5" s="82"/>
      <c r="DT5" s="82"/>
      <c r="DU5" s="82"/>
    </row>
    <row r="6" spans="1:125" ht="15.75" thickTop="1" x14ac:dyDescent="0.25"/>
    <row r="7" spans="1:125" ht="15.75" thickBot="1" x14ac:dyDescent="0.3"/>
    <row r="8" spans="1:125" ht="15.75" thickTop="1" x14ac:dyDescent="0.25">
      <c r="B8" s="73" t="s">
        <v>61</v>
      </c>
      <c r="C8" s="74"/>
      <c r="D8" s="1"/>
      <c r="E8" s="1"/>
      <c r="F8" s="4" t="s">
        <v>82</v>
      </c>
      <c r="G8" s="4" t="s">
        <v>170</v>
      </c>
      <c r="H8" s="4" t="s">
        <v>224</v>
      </c>
      <c r="I8" s="4" t="s">
        <v>287</v>
      </c>
      <c r="J8" s="4" t="s">
        <v>286</v>
      </c>
      <c r="K8" s="4" t="s">
        <v>296</v>
      </c>
      <c r="L8" s="4" t="s">
        <v>82</v>
      </c>
      <c r="M8" s="4" t="s">
        <v>82</v>
      </c>
      <c r="N8" s="4" t="s">
        <v>82</v>
      </c>
      <c r="O8" s="4" t="s">
        <v>82</v>
      </c>
      <c r="P8" s="4" t="s">
        <v>82</v>
      </c>
      <c r="Q8" s="4" t="s">
        <v>82</v>
      </c>
      <c r="R8" s="4" t="s">
        <v>316</v>
      </c>
      <c r="S8" s="4" t="s">
        <v>334</v>
      </c>
      <c r="T8" s="4" t="s">
        <v>334</v>
      </c>
      <c r="U8" s="1"/>
      <c r="V8" s="25">
        <v>44927</v>
      </c>
      <c r="W8" s="29" t="s">
        <v>82</v>
      </c>
      <c r="X8" s="29" t="s">
        <v>82</v>
      </c>
      <c r="Y8" s="29" t="s">
        <v>82</v>
      </c>
      <c r="Z8" s="29" t="s">
        <v>334</v>
      </c>
      <c r="AA8" s="29" t="s">
        <v>82</v>
      </c>
      <c r="AB8" s="29" t="s">
        <v>387</v>
      </c>
      <c r="AC8" s="29" t="s">
        <v>387</v>
      </c>
      <c r="AD8" s="29" t="s">
        <v>82</v>
      </c>
      <c r="AE8" s="29" t="s">
        <v>334</v>
      </c>
      <c r="AF8" s="29" t="s">
        <v>82</v>
      </c>
      <c r="AG8" s="29" t="s">
        <v>82</v>
      </c>
      <c r="AH8" s="29" t="s">
        <v>82</v>
      </c>
      <c r="AI8" s="29" t="s">
        <v>334</v>
      </c>
      <c r="AJ8" s="29" t="s">
        <v>82</v>
      </c>
      <c r="AK8" s="29" t="s">
        <v>82</v>
      </c>
      <c r="AL8" s="29" t="s">
        <v>82</v>
      </c>
      <c r="AM8" s="29" t="s">
        <v>339</v>
      </c>
      <c r="AN8" s="1" t="s">
        <v>9</v>
      </c>
      <c r="AO8" s="29">
        <v>45292</v>
      </c>
      <c r="AP8" s="29" t="s">
        <v>82</v>
      </c>
      <c r="AQ8" s="29" t="s">
        <v>82</v>
      </c>
      <c r="AR8" s="29" t="s">
        <v>82</v>
      </c>
      <c r="AS8" s="29" t="s">
        <v>82</v>
      </c>
      <c r="AT8" s="29" t="s">
        <v>82</v>
      </c>
      <c r="AU8" s="29" t="s">
        <v>334</v>
      </c>
      <c r="AV8" s="29" t="s">
        <v>334</v>
      </c>
      <c r="AW8" s="29" t="s">
        <v>387</v>
      </c>
      <c r="AX8" s="29" t="s">
        <v>387</v>
      </c>
      <c r="AY8" s="29" t="s">
        <v>334</v>
      </c>
      <c r="AZ8" s="29" t="s">
        <v>82</v>
      </c>
      <c r="BA8" s="29" t="s">
        <v>82</v>
      </c>
      <c r="BB8" s="29" t="s">
        <v>82</v>
      </c>
      <c r="BC8" s="29" t="s">
        <v>82</v>
      </c>
      <c r="BD8" s="29" t="s">
        <v>334</v>
      </c>
      <c r="BE8" s="29" t="s">
        <v>597</v>
      </c>
      <c r="BF8" s="29" t="s">
        <v>339</v>
      </c>
      <c r="BG8" s="29" t="s">
        <v>9</v>
      </c>
      <c r="BH8" s="29">
        <v>45658</v>
      </c>
      <c r="BI8" s="29"/>
      <c r="BJ8" s="29"/>
      <c r="BK8" s="59"/>
      <c r="BL8" s="60"/>
      <c r="BM8" s="60"/>
      <c r="BN8" s="61"/>
      <c r="BO8" s="29" t="s">
        <v>9</v>
      </c>
      <c r="BP8" s="29">
        <v>46023</v>
      </c>
      <c r="BQ8" s="29"/>
      <c r="BR8" s="29"/>
      <c r="BS8" s="59"/>
      <c r="BT8" s="60"/>
      <c r="BU8" s="60"/>
      <c r="BV8" s="61"/>
      <c r="BW8" s="29" t="s">
        <v>612</v>
      </c>
      <c r="BX8" s="55"/>
      <c r="BY8" s="25">
        <v>44927</v>
      </c>
      <c r="BZ8" s="1" t="s">
        <v>59</v>
      </c>
      <c r="CA8" s="1" t="s">
        <v>59</v>
      </c>
      <c r="CB8" s="4" t="s">
        <v>58</v>
      </c>
      <c r="CC8" s="4" t="s">
        <v>120</v>
      </c>
      <c r="CD8" s="4" t="s">
        <v>291</v>
      </c>
      <c r="CE8" s="4" t="s">
        <v>79</v>
      </c>
      <c r="CF8" s="4" t="s">
        <v>331</v>
      </c>
      <c r="CG8" s="4" t="s">
        <v>79</v>
      </c>
      <c r="CH8" s="1" t="s">
        <v>9</v>
      </c>
      <c r="CI8" s="1" t="s">
        <v>58</v>
      </c>
      <c r="CJ8" s="1" t="s">
        <v>349</v>
      </c>
      <c r="CK8" s="1" t="s">
        <v>381</v>
      </c>
      <c r="CL8" s="32" t="s">
        <v>385</v>
      </c>
      <c r="CM8" s="32" t="s">
        <v>405</v>
      </c>
      <c r="CN8" s="32" t="s">
        <v>411</v>
      </c>
      <c r="CO8" s="4" t="s">
        <v>331</v>
      </c>
      <c r="CP8" s="4" t="s">
        <v>443</v>
      </c>
      <c r="CQ8" s="4" t="s">
        <v>335</v>
      </c>
      <c r="CR8" s="1" t="s">
        <v>9</v>
      </c>
      <c r="CS8" s="25">
        <v>45292</v>
      </c>
      <c r="CT8" s="4" t="s">
        <v>59</v>
      </c>
      <c r="CU8" s="36" t="s">
        <v>464</v>
      </c>
      <c r="CV8" s="4" t="s">
        <v>120</v>
      </c>
      <c r="CW8" s="4" t="s">
        <v>505</v>
      </c>
      <c r="CX8" s="4" t="s">
        <v>505</v>
      </c>
      <c r="CY8" s="4" t="s">
        <v>505</v>
      </c>
      <c r="CZ8" s="4" t="s">
        <v>335</v>
      </c>
      <c r="DA8" s="1" t="s">
        <v>9</v>
      </c>
      <c r="DB8" s="25">
        <v>45658</v>
      </c>
      <c r="DC8" s="4" t="s">
        <v>464</v>
      </c>
      <c r="DD8" s="4" t="s">
        <v>302</v>
      </c>
      <c r="DE8" s="4" t="s">
        <v>120</v>
      </c>
      <c r="DF8" s="4" t="s">
        <v>505</v>
      </c>
      <c r="DG8" s="4" t="s">
        <v>302</v>
      </c>
      <c r="DH8" s="4" t="s">
        <v>505</v>
      </c>
      <c r="DI8" s="4" t="s">
        <v>331</v>
      </c>
      <c r="DJ8" s="4" t="s">
        <v>505</v>
      </c>
      <c r="DK8" s="4" t="s">
        <v>335</v>
      </c>
      <c r="DL8" s="1" t="s">
        <v>612</v>
      </c>
      <c r="DM8" s="29">
        <v>46023</v>
      </c>
      <c r="DN8" s="4" t="s">
        <v>58</v>
      </c>
      <c r="DO8" s="4" t="s">
        <v>120</v>
      </c>
      <c r="DP8" s="4" t="s">
        <v>505</v>
      </c>
      <c r="DQ8" s="4" t="s">
        <v>505</v>
      </c>
      <c r="DR8" s="4" t="s">
        <v>331</v>
      </c>
      <c r="DS8" s="4" t="s">
        <v>302</v>
      </c>
      <c r="DT8" s="4" t="s">
        <v>505</v>
      </c>
      <c r="DU8" s="1" t="s">
        <v>9</v>
      </c>
    </row>
    <row r="9" spans="1:125" x14ac:dyDescent="0.25">
      <c r="B9" s="75"/>
      <c r="C9" s="76"/>
      <c r="D9" s="2"/>
      <c r="E9" s="2"/>
      <c r="F9" s="14" t="s">
        <v>83</v>
      </c>
      <c r="G9" s="14" t="s">
        <v>171</v>
      </c>
      <c r="H9" s="14" t="s">
        <v>225</v>
      </c>
      <c r="I9" s="14" t="s">
        <v>278</v>
      </c>
      <c r="J9" s="14" t="s">
        <v>284</v>
      </c>
      <c r="K9" s="14" t="s">
        <v>171</v>
      </c>
      <c r="L9" s="14" t="s">
        <v>305</v>
      </c>
      <c r="M9" s="14" t="s">
        <v>308</v>
      </c>
      <c r="N9" s="14" t="s">
        <v>266</v>
      </c>
      <c r="O9" s="14" t="s">
        <v>314</v>
      </c>
      <c r="P9" s="14" t="s">
        <v>83</v>
      </c>
      <c r="Q9" s="14" t="s">
        <v>304</v>
      </c>
      <c r="R9" s="14" t="s">
        <v>317</v>
      </c>
      <c r="S9" s="14" t="s">
        <v>335</v>
      </c>
      <c r="T9" s="14" t="s">
        <v>339</v>
      </c>
      <c r="U9" s="2" t="s">
        <v>9</v>
      </c>
      <c r="V9" s="2"/>
      <c r="W9" s="5" t="s">
        <v>132</v>
      </c>
      <c r="X9" s="5" t="s">
        <v>83</v>
      </c>
      <c r="Y9" s="5" t="s">
        <v>304</v>
      </c>
      <c r="Z9" s="5" t="s">
        <v>287</v>
      </c>
      <c r="AA9" s="5" t="s">
        <v>314</v>
      </c>
      <c r="AB9" s="5" t="s">
        <v>286</v>
      </c>
      <c r="AC9" s="5" t="s">
        <v>287</v>
      </c>
      <c r="AD9" s="5" t="s">
        <v>261</v>
      </c>
      <c r="AE9" s="5" t="s">
        <v>286</v>
      </c>
      <c r="AF9" s="5" t="s">
        <v>420</v>
      </c>
      <c r="AG9" s="5" t="s">
        <v>132</v>
      </c>
      <c r="AH9" s="5" t="s">
        <v>314</v>
      </c>
      <c r="AI9" s="5" t="s">
        <v>289</v>
      </c>
      <c r="AJ9" s="5" t="s">
        <v>434</v>
      </c>
      <c r="AK9" s="5" t="s">
        <v>308</v>
      </c>
      <c r="AL9" s="5" t="s">
        <v>420</v>
      </c>
      <c r="AM9" s="5"/>
      <c r="AN9" s="2"/>
      <c r="AO9" s="5"/>
      <c r="AP9" s="5" t="s">
        <v>304</v>
      </c>
      <c r="AQ9" s="5" t="s">
        <v>261</v>
      </c>
      <c r="AR9" s="5" t="s">
        <v>492</v>
      </c>
      <c r="AS9" s="5" t="s">
        <v>420</v>
      </c>
      <c r="AT9" s="5" t="s">
        <v>308</v>
      </c>
      <c r="AU9" s="5" t="s">
        <v>286</v>
      </c>
      <c r="AV9" s="5" t="s">
        <v>524</v>
      </c>
      <c r="AW9" s="5" t="s">
        <v>287</v>
      </c>
      <c r="AX9" s="5" t="s">
        <v>289</v>
      </c>
      <c r="AY9" s="5" t="s">
        <v>287</v>
      </c>
      <c r="AZ9" s="5" t="s">
        <v>492</v>
      </c>
      <c r="BA9" s="5" t="s">
        <v>420</v>
      </c>
      <c r="BB9" s="5" t="s">
        <v>308</v>
      </c>
      <c r="BC9" s="5" t="s">
        <v>261</v>
      </c>
      <c r="BD9" s="5" t="s">
        <v>289</v>
      </c>
      <c r="BE9" s="5" t="s">
        <v>492</v>
      </c>
      <c r="BF9" s="5" t="s">
        <v>606</v>
      </c>
      <c r="BG9" s="5"/>
      <c r="BH9" s="5"/>
      <c r="BI9" s="14" t="s">
        <v>82</v>
      </c>
      <c r="BJ9" s="14" t="s">
        <v>387</v>
      </c>
      <c r="BK9" s="77" t="s">
        <v>608</v>
      </c>
      <c r="BL9" s="78"/>
      <c r="BM9" s="78"/>
      <c r="BN9" s="79"/>
      <c r="BO9" s="5"/>
      <c r="BP9" s="5"/>
      <c r="BQ9" s="14" t="s">
        <v>82</v>
      </c>
      <c r="BR9" s="14" t="s">
        <v>387</v>
      </c>
      <c r="BS9" s="77" t="s">
        <v>608</v>
      </c>
      <c r="BT9" s="78"/>
      <c r="BU9" s="78"/>
      <c r="BV9" s="79"/>
      <c r="BW9" s="14"/>
      <c r="BX9" s="46"/>
      <c r="BY9" s="2"/>
      <c r="BZ9" s="2" t="s">
        <v>60</v>
      </c>
      <c r="CA9" s="2" t="s">
        <v>60</v>
      </c>
      <c r="CB9" s="5"/>
      <c r="CC9" s="5" t="s">
        <v>121</v>
      </c>
      <c r="CD9" s="5" t="s">
        <v>292</v>
      </c>
      <c r="CE9" s="5" t="s">
        <v>121</v>
      </c>
      <c r="CF9" s="5" t="s">
        <v>332</v>
      </c>
      <c r="CG9" s="5" t="s">
        <v>332</v>
      </c>
      <c r="CH9" s="2"/>
      <c r="CI9" s="2"/>
      <c r="CJ9" s="2"/>
      <c r="CK9" s="2"/>
      <c r="CL9" s="33"/>
      <c r="CM9" s="33"/>
      <c r="CN9" s="33"/>
      <c r="CO9" s="5" t="s">
        <v>326</v>
      </c>
      <c r="CP9" s="5" t="s">
        <v>444</v>
      </c>
      <c r="CQ9" s="5" t="s">
        <v>444</v>
      </c>
      <c r="CR9" s="2"/>
      <c r="CT9" s="5" t="s">
        <v>60</v>
      </c>
      <c r="CU9" s="37"/>
      <c r="CV9" s="5" t="s">
        <v>501</v>
      </c>
      <c r="CW9" s="5" t="s">
        <v>444</v>
      </c>
      <c r="CX9" s="5" t="s">
        <v>544</v>
      </c>
      <c r="CY9" s="5" t="s">
        <v>292</v>
      </c>
      <c r="CZ9" s="5" t="s">
        <v>171</v>
      </c>
      <c r="DA9" s="2"/>
      <c r="DB9" s="2"/>
      <c r="DC9" s="5"/>
      <c r="DD9" s="5" t="s">
        <v>311</v>
      </c>
      <c r="DE9" s="5" t="s">
        <v>444</v>
      </c>
      <c r="DF9" s="5" t="s">
        <v>584</v>
      </c>
      <c r="DG9" s="5" t="s">
        <v>544</v>
      </c>
      <c r="DH9" s="5" t="s">
        <v>544</v>
      </c>
      <c r="DI9" s="5" t="s">
        <v>326</v>
      </c>
      <c r="DJ9" s="5" t="s">
        <v>430</v>
      </c>
      <c r="DK9" s="5" t="s">
        <v>171</v>
      </c>
      <c r="DL9" s="2"/>
      <c r="DM9" s="5"/>
      <c r="DN9" s="5"/>
      <c r="DO9" s="5" t="s">
        <v>225</v>
      </c>
      <c r="DP9" s="5" t="s">
        <v>332</v>
      </c>
      <c r="DQ9" s="5" t="s">
        <v>444</v>
      </c>
      <c r="DR9" s="5" t="s">
        <v>444</v>
      </c>
      <c r="DS9" s="5" t="s">
        <v>544</v>
      </c>
      <c r="DT9" s="5" t="s">
        <v>544</v>
      </c>
      <c r="DU9" s="2"/>
    </row>
    <row r="10" spans="1:125" x14ac:dyDescent="0.25">
      <c r="B10" s="75"/>
      <c r="C10" s="76"/>
      <c r="D10" s="2" t="s">
        <v>4</v>
      </c>
      <c r="E10" s="2" t="s">
        <v>5</v>
      </c>
      <c r="F10" s="15">
        <v>44653</v>
      </c>
      <c r="G10" s="5" t="s">
        <v>172</v>
      </c>
      <c r="H10" s="15">
        <v>44695</v>
      </c>
      <c r="I10" s="15">
        <v>44730</v>
      </c>
      <c r="J10" s="15">
        <v>44730</v>
      </c>
      <c r="K10" s="15">
        <v>44758</v>
      </c>
      <c r="L10" s="15">
        <v>44793</v>
      </c>
      <c r="M10" s="15">
        <v>44800</v>
      </c>
      <c r="N10" s="15">
        <v>44800</v>
      </c>
      <c r="O10" s="15">
        <v>44814</v>
      </c>
      <c r="P10" s="15">
        <v>44814</v>
      </c>
      <c r="Q10" s="15">
        <v>44814</v>
      </c>
      <c r="R10" s="15">
        <v>44828</v>
      </c>
      <c r="S10" s="15">
        <v>44891</v>
      </c>
      <c r="T10" s="15">
        <v>44905</v>
      </c>
      <c r="U10" s="2">
        <v>2022</v>
      </c>
      <c r="V10" s="2"/>
      <c r="W10" s="5" t="s">
        <v>353</v>
      </c>
      <c r="X10" s="5" t="s">
        <v>352</v>
      </c>
      <c r="Y10" s="5" t="s">
        <v>357</v>
      </c>
      <c r="Z10" s="5" t="s">
        <v>172</v>
      </c>
      <c r="AA10" s="5" t="s">
        <v>379</v>
      </c>
      <c r="AB10" s="5" t="s">
        <v>388</v>
      </c>
      <c r="AC10" s="5" t="s">
        <v>400</v>
      </c>
      <c r="AD10" s="5" t="s">
        <v>408</v>
      </c>
      <c r="AE10" s="5" t="s">
        <v>412</v>
      </c>
      <c r="AF10" s="5" t="s">
        <v>421</v>
      </c>
      <c r="AG10" s="5" t="s">
        <v>422</v>
      </c>
      <c r="AH10" s="5" t="s">
        <v>424</v>
      </c>
      <c r="AI10" s="5" t="s">
        <v>432</v>
      </c>
      <c r="AJ10" s="5" t="s">
        <v>435</v>
      </c>
      <c r="AK10" s="5" t="s">
        <v>439</v>
      </c>
      <c r="AL10" s="5" t="s">
        <v>446</v>
      </c>
      <c r="AM10" s="5" t="s">
        <v>453</v>
      </c>
      <c r="AN10" s="2">
        <v>2023</v>
      </c>
      <c r="AO10" s="35"/>
      <c r="AP10" s="35" t="s">
        <v>479</v>
      </c>
      <c r="AQ10" s="35" t="s">
        <v>479</v>
      </c>
      <c r="AR10" s="35" t="s">
        <v>479</v>
      </c>
      <c r="AS10" s="35" t="s">
        <v>479</v>
      </c>
      <c r="AT10" s="35" t="s">
        <v>479</v>
      </c>
      <c r="AU10" s="35" t="s">
        <v>513</v>
      </c>
      <c r="AV10" s="35" t="s">
        <v>525</v>
      </c>
      <c r="AW10" s="35" t="s">
        <v>534</v>
      </c>
      <c r="AX10" s="35" t="s">
        <v>546</v>
      </c>
      <c r="AY10" s="35" t="s">
        <v>550</v>
      </c>
      <c r="AZ10" s="35" t="s">
        <v>564</v>
      </c>
      <c r="BA10" s="35" t="s">
        <v>559</v>
      </c>
      <c r="BB10" s="35" t="s">
        <v>567</v>
      </c>
      <c r="BC10" s="35" t="s">
        <v>573</v>
      </c>
      <c r="BD10" s="35" t="s">
        <v>587</v>
      </c>
      <c r="BE10" s="35" t="s">
        <v>598</v>
      </c>
      <c r="BF10" s="35" t="s">
        <v>607</v>
      </c>
      <c r="BG10" s="35">
        <v>2024</v>
      </c>
      <c r="BH10" s="5"/>
      <c r="BI10" s="5"/>
      <c r="BJ10" s="5"/>
      <c r="BK10" s="5">
        <v>1</v>
      </c>
      <c r="BL10" s="5">
        <v>2</v>
      </c>
      <c r="BM10" s="5">
        <v>3</v>
      </c>
      <c r="BN10" s="5">
        <v>4</v>
      </c>
      <c r="BO10" s="5">
        <v>2025</v>
      </c>
      <c r="BP10" s="5"/>
      <c r="BQ10" s="5"/>
      <c r="BR10" s="5"/>
      <c r="BS10" s="5">
        <v>1</v>
      </c>
      <c r="BT10" s="5">
        <v>2</v>
      </c>
      <c r="BU10" s="5">
        <v>3</v>
      </c>
      <c r="BV10" s="5">
        <v>4</v>
      </c>
      <c r="BW10" s="5">
        <v>2026</v>
      </c>
      <c r="BX10" s="46"/>
      <c r="BY10" s="2"/>
      <c r="BZ10" s="2"/>
      <c r="CA10" s="2"/>
      <c r="CB10" s="14">
        <v>44562</v>
      </c>
      <c r="CC10" s="14">
        <v>44652</v>
      </c>
      <c r="CD10" s="14">
        <v>44737</v>
      </c>
      <c r="CE10" s="14">
        <v>44821</v>
      </c>
      <c r="CF10" s="14">
        <v>44868</v>
      </c>
      <c r="CG10" s="14">
        <v>44866</v>
      </c>
      <c r="CH10" s="2">
        <v>2022</v>
      </c>
      <c r="CI10" s="7">
        <v>44927</v>
      </c>
      <c r="CJ10" s="7">
        <v>44986</v>
      </c>
      <c r="CK10" s="7">
        <v>45078</v>
      </c>
      <c r="CL10" s="34">
        <v>45087</v>
      </c>
      <c r="CM10" s="34" t="s">
        <v>406</v>
      </c>
      <c r="CN10" s="34">
        <v>45129</v>
      </c>
      <c r="CO10" s="14">
        <v>45139</v>
      </c>
      <c r="CP10" s="14">
        <v>45227</v>
      </c>
      <c r="CQ10" s="14">
        <v>45255</v>
      </c>
      <c r="CR10" s="2">
        <v>2023</v>
      </c>
      <c r="CT10" s="5"/>
      <c r="CU10" s="37" t="s">
        <v>465</v>
      </c>
      <c r="CV10" s="5" t="s">
        <v>502</v>
      </c>
      <c r="CW10" s="5" t="s">
        <v>506</v>
      </c>
      <c r="CX10" s="5" t="s">
        <v>545</v>
      </c>
      <c r="CY10" s="5" t="s">
        <v>572</v>
      </c>
      <c r="CZ10" s="5" t="s">
        <v>600</v>
      </c>
      <c r="DA10" s="2">
        <v>2024</v>
      </c>
      <c r="DB10" s="2"/>
      <c r="DC10" s="5" t="s">
        <v>610</v>
      </c>
      <c r="DD10" s="5" t="s">
        <v>473</v>
      </c>
      <c r="DE10" s="5" t="s">
        <v>649</v>
      </c>
      <c r="DF10" s="5" t="s">
        <v>729</v>
      </c>
      <c r="DG10" s="5" t="s">
        <v>756</v>
      </c>
      <c r="DH10" s="5" t="s">
        <v>439</v>
      </c>
      <c r="DI10" s="5" t="s">
        <v>769</v>
      </c>
      <c r="DJ10" s="5" t="s">
        <v>599</v>
      </c>
      <c r="DK10" s="5" t="s">
        <v>600</v>
      </c>
      <c r="DL10" s="2">
        <v>2025</v>
      </c>
      <c r="DM10" s="5"/>
      <c r="DN10" s="5" t="s">
        <v>849</v>
      </c>
      <c r="DO10" s="5" t="s">
        <v>851</v>
      </c>
      <c r="DP10" s="5" t="s">
        <v>545</v>
      </c>
      <c r="DQ10" s="5" t="s">
        <v>881</v>
      </c>
      <c r="DR10" s="5" t="s">
        <v>729</v>
      </c>
      <c r="DS10" s="5" t="s">
        <v>887</v>
      </c>
      <c r="DT10" s="5" t="s">
        <v>891</v>
      </c>
      <c r="DU10" s="2">
        <v>2026</v>
      </c>
    </row>
    <row r="11" spans="1:125" x14ac:dyDescent="0.25">
      <c r="A11">
        <v>1</v>
      </c>
      <c r="B11" s="22" t="s">
        <v>126</v>
      </c>
      <c r="C11" s="22" t="s">
        <v>127</v>
      </c>
      <c r="D11" s="22" t="s">
        <v>48</v>
      </c>
      <c r="E11" s="22" t="s">
        <v>19</v>
      </c>
      <c r="F11" s="11"/>
      <c r="G11" s="11">
        <v>50</v>
      </c>
      <c r="H11" s="11">
        <v>70</v>
      </c>
      <c r="I11" s="11">
        <v>64</v>
      </c>
      <c r="J11" s="11"/>
      <c r="K11" s="11">
        <v>50</v>
      </c>
      <c r="L11" s="11"/>
      <c r="M11" s="11"/>
      <c r="N11" s="11"/>
      <c r="O11" s="11">
        <v>2.4</v>
      </c>
      <c r="P11" s="11"/>
      <c r="Q11" s="11"/>
      <c r="R11" s="11"/>
      <c r="S11" s="11">
        <v>4</v>
      </c>
      <c r="T11" s="11">
        <v>105</v>
      </c>
      <c r="U11" s="11">
        <f>SUM(F11:T11)</f>
        <v>345.4</v>
      </c>
      <c r="V11" s="11">
        <f>U11/2</f>
        <v>172.7</v>
      </c>
      <c r="W11" s="11"/>
      <c r="X11" s="11"/>
      <c r="Y11" s="11"/>
      <c r="Z11" s="11">
        <v>70</v>
      </c>
      <c r="AA11" s="11"/>
      <c r="AB11" s="11"/>
      <c r="AC11" s="11">
        <v>44.8</v>
      </c>
      <c r="AD11" s="11"/>
      <c r="AE11" s="11">
        <v>70</v>
      </c>
      <c r="AF11" s="11"/>
      <c r="AG11" s="11"/>
      <c r="AH11" s="11"/>
      <c r="AI11" s="11">
        <v>100</v>
      </c>
      <c r="AJ11" s="11"/>
      <c r="AK11" s="11"/>
      <c r="AL11" s="11"/>
      <c r="AM11" s="11">
        <v>150</v>
      </c>
      <c r="AN11" s="11">
        <f>SUM(V11:AM11)</f>
        <v>607.5</v>
      </c>
      <c r="AO11" s="11">
        <f>(AN11-V11)/2</f>
        <v>217.4</v>
      </c>
      <c r="AP11" s="11"/>
      <c r="AQ11" s="11"/>
      <c r="AR11" s="11" t="s">
        <v>132</v>
      </c>
      <c r="AS11" s="11"/>
      <c r="AT11" s="11"/>
      <c r="AU11" s="11">
        <v>150</v>
      </c>
      <c r="AV11" s="11">
        <v>100</v>
      </c>
      <c r="AW11" s="11"/>
      <c r="AX11" s="11"/>
      <c r="AY11" s="11">
        <v>150</v>
      </c>
      <c r="AZ11" s="11"/>
      <c r="BA11" s="11"/>
      <c r="BB11" s="11"/>
      <c r="BC11" s="11"/>
      <c r="BD11" s="11">
        <v>150</v>
      </c>
      <c r="BE11" s="11"/>
      <c r="BF11" s="11">
        <v>200</v>
      </c>
      <c r="BG11" s="11">
        <f>SUM(AO11:BF11)</f>
        <v>967.4</v>
      </c>
      <c r="BH11" s="11">
        <f>(BG11-AO11)/2</f>
        <v>375</v>
      </c>
      <c r="BI11" s="11">
        <v>48</v>
      </c>
      <c r="BJ11" s="11">
        <v>48</v>
      </c>
      <c r="BK11" s="11">
        <v>150</v>
      </c>
      <c r="BL11" s="11">
        <v>75</v>
      </c>
      <c r="BM11" s="11">
        <v>80</v>
      </c>
      <c r="BN11" s="11">
        <v>100</v>
      </c>
      <c r="BO11" s="11">
        <f t="shared" ref="BO11:BO18" si="0">SUM(BH11:BN11)</f>
        <v>876</v>
      </c>
      <c r="BP11" s="11">
        <f t="shared" ref="BP11:BP18" si="1">(BO11-BH11)/2</f>
        <v>250.5</v>
      </c>
      <c r="BQ11" s="11">
        <v>36</v>
      </c>
      <c r="BR11" s="11"/>
      <c r="BS11" s="11">
        <v>150</v>
      </c>
      <c r="BT11" s="11">
        <v>33.6</v>
      </c>
      <c r="BU11" s="11"/>
      <c r="BV11" s="11"/>
      <c r="BW11" s="11">
        <f t="shared" ref="BW11:BW34" si="2">SUM(BP11:BV11)</f>
        <v>470.1</v>
      </c>
      <c r="BX11" s="24"/>
      <c r="BY11" s="10">
        <f>SUM(CB11:CG11)/2</f>
        <v>61.25</v>
      </c>
      <c r="BZ11" s="10">
        <f>V11/4</f>
        <v>43.174999999999997</v>
      </c>
      <c r="CA11" s="10">
        <f>U11/2</f>
        <v>172.7</v>
      </c>
      <c r="CB11" s="10">
        <f>15+15*1/2</f>
        <v>22.5</v>
      </c>
      <c r="CC11" s="10">
        <v>25</v>
      </c>
      <c r="CD11" s="10"/>
      <c r="CE11" s="10"/>
      <c r="CF11" s="10">
        <v>70</v>
      </c>
      <c r="CG11" s="10">
        <v>5</v>
      </c>
      <c r="CH11" s="10">
        <f>SUM(CA11:CG11)</f>
        <v>295.2</v>
      </c>
      <c r="CI11" s="10">
        <v>22.5</v>
      </c>
      <c r="CJ11" s="10">
        <v>26</v>
      </c>
      <c r="CK11" s="10">
        <v>36</v>
      </c>
      <c r="CL11" s="10">
        <v>50</v>
      </c>
      <c r="CM11" s="10"/>
      <c r="CN11" s="10">
        <v>5</v>
      </c>
      <c r="CO11" s="10">
        <v>70</v>
      </c>
      <c r="CP11" s="10">
        <v>15</v>
      </c>
      <c r="CQ11" s="10">
        <v>100</v>
      </c>
      <c r="CR11" s="10">
        <f>SUM(BY11:BZ11)+SUM(CI11:CQ11)</f>
        <v>428.92500000000001</v>
      </c>
      <c r="CS11" s="8">
        <f>(CR11-BY11)/2</f>
        <v>183.83750000000001</v>
      </c>
      <c r="CT11" s="8">
        <f>BG11/4</f>
        <v>241.85</v>
      </c>
      <c r="CU11" s="11">
        <v>30</v>
      </c>
      <c r="CV11" s="11">
        <v>15</v>
      </c>
      <c r="CW11" s="11">
        <v>7.5</v>
      </c>
      <c r="CX11" s="11">
        <v>7.5</v>
      </c>
      <c r="CY11" s="11">
        <v>105</v>
      </c>
      <c r="CZ11" s="11">
        <v>50</v>
      </c>
      <c r="DA11" s="8">
        <f>SUM(CS11:CZ11)</f>
        <v>640.6875</v>
      </c>
      <c r="DB11" s="8">
        <f t="shared" ref="DB11:DB18" si="3">(DA11-CS11)/2</f>
        <v>228.42500000000001</v>
      </c>
      <c r="DC11" s="10">
        <v>30</v>
      </c>
      <c r="DD11" s="10">
        <v>15</v>
      </c>
      <c r="DE11" s="10">
        <v>15</v>
      </c>
      <c r="DF11" s="10">
        <v>7.5</v>
      </c>
      <c r="DG11" s="10">
        <v>15</v>
      </c>
      <c r="DH11" s="10">
        <v>7.5</v>
      </c>
      <c r="DI11" s="10">
        <v>70</v>
      </c>
      <c r="DJ11" s="10"/>
      <c r="DK11" s="10"/>
      <c r="DL11" s="8">
        <f>SUM(DB11:DI11)</f>
        <v>388.42500000000001</v>
      </c>
      <c r="DM11" s="8">
        <f t="shared" ref="DM11:DM26" si="4">(DL11-DB11)/2</f>
        <v>80</v>
      </c>
      <c r="DN11" s="10">
        <v>22.5</v>
      </c>
      <c r="DO11" s="10">
        <v>15</v>
      </c>
      <c r="DP11" s="10">
        <v>7.5</v>
      </c>
      <c r="DQ11" s="10">
        <v>39</v>
      </c>
      <c r="DR11" s="10">
        <v>50</v>
      </c>
      <c r="DS11" s="10"/>
      <c r="DT11" s="10">
        <v>7.5</v>
      </c>
      <c r="DU11" s="28">
        <f>SUM(DM11:DT11)</f>
        <v>221.5</v>
      </c>
    </row>
    <row r="12" spans="1:125" x14ac:dyDescent="0.25">
      <c r="A12">
        <v>2</v>
      </c>
      <c r="B12" s="21" t="s">
        <v>213</v>
      </c>
      <c r="C12" s="21" t="s">
        <v>279</v>
      </c>
      <c r="D12" s="21" t="s">
        <v>297</v>
      </c>
      <c r="E12" s="21" t="s">
        <v>57</v>
      </c>
      <c r="F12" s="8"/>
      <c r="G12" s="10"/>
      <c r="H12" s="10"/>
      <c r="I12" s="10"/>
      <c r="J12" s="10"/>
      <c r="K12" s="10">
        <v>50</v>
      </c>
      <c r="L12" s="10"/>
      <c r="M12" s="10"/>
      <c r="N12" s="10"/>
      <c r="O12" s="10">
        <v>48</v>
      </c>
      <c r="P12" s="10"/>
      <c r="Q12" s="10"/>
      <c r="R12" s="10">
        <v>100</v>
      </c>
      <c r="S12" s="10">
        <v>80</v>
      </c>
      <c r="T12" s="10">
        <v>150</v>
      </c>
      <c r="U12" s="11">
        <f>SUM(F12:T12)</f>
        <v>428</v>
      </c>
      <c r="V12" s="11">
        <f>U12/2</f>
        <v>214</v>
      </c>
      <c r="W12" s="11"/>
      <c r="X12" s="11"/>
      <c r="Y12" s="11"/>
      <c r="Z12" s="11">
        <v>100</v>
      </c>
      <c r="AA12" s="11"/>
      <c r="AB12" s="11"/>
      <c r="AC12" s="11">
        <v>64</v>
      </c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>
        <f>SUM(V12:AM12)</f>
        <v>378</v>
      </c>
      <c r="AO12" s="11">
        <f>(AN12-V12)/2</f>
        <v>82</v>
      </c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>
        <v>100</v>
      </c>
      <c r="BG12" s="11">
        <f>SUM(AO12:BF12)</f>
        <v>182</v>
      </c>
      <c r="BH12" s="11">
        <f>(BG12-AO12)/2</f>
        <v>50</v>
      </c>
      <c r="BI12" s="11"/>
      <c r="BJ12" s="11"/>
      <c r="BK12" s="11">
        <v>150</v>
      </c>
      <c r="BL12" s="11">
        <v>75</v>
      </c>
      <c r="BM12" s="11"/>
      <c r="BN12" s="11"/>
      <c r="BO12" s="11">
        <f t="shared" si="0"/>
        <v>275</v>
      </c>
      <c r="BP12" s="11">
        <f t="shared" si="1"/>
        <v>112.5</v>
      </c>
      <c r="BQ12" s="11">
        <v>48</v>
      </c>
      <c r="BR12" s="11"/>
      <c r="BS12" s="11">
        <v>105</v>
      </c>
      <c r="BT12" s="11">
        <v>60</v>
      </c>
      <c r="BU12" s="11"/>
      <c r="BV12" s="11"/>
      <c r="BW12" s="11">
        <f t="shared" si="2"/>
        <v>325.5</v>
      </c>
      <c r="BX12" s="24"/>
      <c r="BY12" s="10">
        <f>SUM(CB12:CG12)/2</f>
        <v>50</v>
      </c>
      <c r="BZ12" s="10">
        <f>V12/4</f>
        <v>53.5</v>
      </c>
      <c r="CA12" s="10">
        <f>U12/2</f>
        <v>214</v>
      </c>
      <c r="CB12" s="10"/>
      <c r="CC12" s="10"/>
      <c r="CD12" s="10"/>
      <c r="CE12" s="10"/>
      <c r="CF12" s="10">
        <v>50</v>
      </c>
      <c r="CG12" s="10">
        <v>50</v>
      </c>
      <c r="CH12" s="10">
        <f>SUM(CA12:CG12)</f>
        <v>314</v>
      </c>
      <c r="CI12" s="10">
        <v>15</v>
      </c>
      <c r="CJ12" s="10"/>
      <c r="CK12" s="10">
        <v>36</v>
      </c>
      <c r="CL12" s="10">
        <v>70</v>
      </c>
      <c r="CM12" s="10">
        <v>5</v>
      </c>
      <c r="CN12" s="10">
        <v>70</v>
      </c>
      <c r="CO12" s="10">
        <v>100</v>
      </c>
      <c r="CP12" s="10"/>
      <c r="CQ12" s="10"/>
      <c r="CR12" s="10">
        <f>SUM(BY12:BZ12)+SUM(CI12:CO12)</f>
        <v>399.5</v>
      </c>
      <c r="CS12" s="8">
        <f>(CR12-BY12)/2</f>
        <v>174.75</v>
      </c>
      <c r="CT12" s="8">
        <f>BG12/4</f>
        <v>45.5</v>
      </c>
      <c r="CU12" s="11"/>
      <c r="CV12" s="11"/>
      <c r="CW12" s="11"/>
      <c r="CX12" s="11"/>
      <c r="CY12" s="11"/>
      <c r="CZ12" s="11">
        <v>35</v>
      </c>
      <c r="DA12" s="8">
        <f>SUM(CS12:CZ12)</f>
        <v>255.25</v>
      </c>
      <c r="DB12" s="8">
        <f t="shared" si="3"/>
        <v>40.25</v>
      </c>
      <c r="DC12" s="10">
        <v>18</v>
      </c>
      <c r="DD12" s="10"/>
      <c r="DE12" s="10"/>
      <c r="DF12" s="10"/>
      <c r="DG12" s="10"/>
      <c r="DH12" s="10"/>
      <c r="DI12" s="10">
        <v>100</v>
      </c>
      <c r="DJ12" s="10"/>
      <c r="DK12" s="10"/>
      <c r="DL12" s="8">
        <f>SUM(DB12:DI12)</f>
        <v>158.25</v>
      </c>
      <c r="DM12" s="8">
        <f t="shared" si="4"/>
        <v>59</v>
      </c>
      <c r="DN12" s="10">
        <v>30</v>
      </c>
      <c r="DO12" s="10">
        <v>48</v>
      </c>
      <c r="DP12" s="10"/>
      <c r="DQ12" s="10">
        <v>54</v>
      </c>
      <c r="DR12" s="10">
        <v>50</v>
      </c>
      <c r="DS12" s="10"/>
      <c r="DT12" s="10">
        <v>39</v>
      </c>
      <c r="DU12" s="27">
        <f>SUM(DM12:DT12)</f>
        <v>280</v>
      </c>
    </row>
    <row r="13" spans="1:125" x14ac:dyDescent="0.25">
      <c r="A13">
        <v>3</v>
      </c>
      <c r="B13" s="8" t="s">
        <v>140</v>
      </c>
      <c r="C13" s="8"/>
      <c r="D13" s="8" t="s">
        <v>569</v>
      </c>
      <c r="E13" s="8" t="s">
        <v>19</v>
      </c>
      <c r="F13" s="8"/>
      <c r="G13" s="8"/>
      <c r="H13" s="8"/>
      <c r="I13" s="8"/>
      <c r="J13" s="8"/>
      <c r="K13" s="8"/>
      <c r="L13" s="8"/>
      <c r="M13" s="10"/>
      <c r="N13" s="10"/>
      <c r="O13" s="10"/>
      <c r="P13" s="10"/>
      <c r="Q13" s="10"/>
      <c r="R13" s="10"/>
      <c r="S13" s="10"/>
      <c r="T13" s="10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10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>
        <v>36</v>
      </c>
      <c r="BA13" s="8"/>
      <c r="BB13" s="8"/>
      <c r="BC13" s="8"/>
      <c r="BD13" s="8"/>
      <c r="BE13" s="8">
        <v>4</v>
      </c>
      <c r="BF13" s="8">
        <v>10</v>
      </c>
      <c r="BG13" s="11">
        <f>SUM(AO13:BF13)</f>
        <v>50</v>
      </c>
      <c r="BH13" s="11">
        <f>(BG13-AO13)/2</f>
        <v>25</v>
      </c>
      <c r="BI13" s="11">
        <v>33.6</v>
      </c>
      <c r="BJ13" s="11">
        <v>64</v>
      </c>
      <c r="BK13" s="11">
        <v>75</v>
      </c>
      <c r="BL13" s="11">
        <v>100</v>
      </c>
      <c r="BM13" s="11">
        <v>105</v>
      </c>
      <c r="BN13" s="11">
        <v>33.6</v>
      </c>
      <c r="BO13" s="11">
        <f t="shared" si="0"/>
        <v>436.20000000000005</v>
      </c>
      <c r="BP13" s="11">
        <f t="shared" si="1"/>
        <v>205.60000000000002</v>
      </c>
      <c r="BQ13" s="11"/>
      <c r="BR13" s="11">
        <v>64</v>
      </c>
      <c r="BS13" s="11"/>
      <c r="BT13" s="11"/>
      <c r="BU13" s="11"/>
      <c r="BV13" s="11"/>
      <c r="BW13" s="11">
        <f t="shared" si="2"/>
        <v>269.60000000000002</v>
      </c>
      <c r="BY13" s="8"/>
      <c r="BZ13" s="8"/>
      <c r="CA13" s="8"/>
      <c r="CB13" s="8"/>
      <c r="CC13" s="8"/>
      <c r="CD13" s="8"/>
      <c r="CE13" s="8"/>
      <c r="CF13" s="10"/>
      <c r="CG13" s="10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10">
        <f>SUM(BZ13:CQ13)</f>
        <v>0</v>
      </c>
      <c r="CS13" s="8">
        <f>(CR13-BY13)/2</f>
        <v>0</v>
      </c>
      <c r="CT13" s="8">
        <f>BG13/4</f>
        <v>12.5</v>
      </c>
      <c r="CU13" s="11"/>
      <c r="CV13" s="11"/>
      <c r="CW13" s="11"/>
      <c r="CX13" s="11"/>
      <c r="CY13" s="11"/>
      <c r="CZ13" s="11"/>
      <c r="DA13" s="8">
        <f>SUM(CS13:CU13)</f>
        <v>12.5</v>
      </c>
      <c r="DB13" s="8">
        <f t="shared" si="3"/>
        <v>6.25</v>
      </c>
      <c r="DC13" s="10">
        <v>12</v>
      </c>
      <c r="DD13" s="10"/>
      <c r="DE13" s="10"/>
      <c r="DF13" s="10"/>
      <c r="DG13" s="10"/>
      <c r="DH13" s="10"/>
      <c r="DI13" s="10">
        <v>36</v>
      </c>
      <c r="DJ13" s="10"/>
      <c r="DK13" s="10">
        <v>40</v>
      </c>
      <c r="DL13" s="8">
        <f>SUM(DB13:DK13)</f>
        <v>94.25</v>
      </c>
      <c r="DM13" s="8">
        <f t="shared" si="4"/>
        <v>44</v>
      </c>
      <c r="DN13" s="10"/>
      <c r="DO13" s="10"/>
      <c r="DP13" s="10"/>
      <c r="DQ13" s="10">
        <v>105</v>
      </c>
      <c r="DR13" s="10">
        <v>36</v>
      </c>
      <c r="DS13" s="10"/>
      <c r="DT13" s="10"/>
      <c r="DU13" s="8">
        <f>SUM(DM13:DR13)</f>
        <v>185</v>
      </c>
    </row>
    <row r="14" spans="1:125" x14ac:dyDescent="0.25">
      <c r="A14" s="68">
        <v>4</v>
      </c>
      <c r="B14" s="18" t="s">
        <v>124</v>
      </c>
      <c r="C14" s="18" t="s">
        <v>101</v>
      </c>
      <c r="D14" s="18" t="s">
        <v>18</v>
      </c>
      <c r="E14" s="18" t="s">
        <v>62</v>
      </c>
      <c r="F14" s="8"/>
      <c r="G14" s="8"/>
      <c r="H14" s="8"/>
      <c r="I14" s="8"/>
      <c r="J14" s="8"/>
      <c r="K14" s="8"/>
      <c r="L14" s="8"/>
      <c r="M14" s="10"/>
      <c r="N14" s="10"/>
      <c r="O14" s="10"/>
      <c r="P14" s="10"/>
      <c r="Q14" s="10"/>
      <c r="R14" s="10"/>
      <c r="S14" s="10"/>
      <c r="T14" s="10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10"/>
      <c r="AN14" s="11">
        <f>SUM(V14:AM14)</f>
        <v>0</v>
      </c>
      <c r="AO14" s="11">
        <f>(AN14-V14)/2</f>
        <v>0</v>
      </c>
      <c r="AP14" s="11"/>
      <c r="AQ14" s="11"/>
      <c r="AR14" s="11">
        <v>36</v>
      </c>
      <c r="AS14" s="11"/>
      <c r="AT14" s="11"/>
      <c r="AU14" s="11">
        <v>105</v>
      </c>
      <c r="AV14" s="11">
        <v>50</v>
      </c>
      <c r="AW14" s="11"/>
      <c r="AX14" s="11"/>
      <c r="AY14" s="11">
        <v>75</v>
      </c>
      <c r="AZ14" s="11"/>
      <c r="BA14" s="11"/>
      <c r="BB14" s="11"/>
      <c r="BC14" s="11"/>
      <c r="BD14" s="11">
        <v>105</v>
      </c>
      <c r="BE14" s="11"/>
      <c r="BF14" s="11">
        <v>10</v>
      </c>
      <c r="BG14" s="11">
        <f>SUM(AO14:BF14)</f>
        <v>381</v>
      </c>
      <c r="BH14" s="11">
        <f>(BG14-AO14)/2</f>
        <v>190.5</v>
      </c>
      <c r="BI14" s="11">
        <v>48</v>
      </c>
      <c r="BJ14" s="11"/>
      <c r="BK14" s="11">
        <v>105</v>
      </c>
      <c r="BL14" s="11">
        <v>70</v>
      </c>
      <c r="BM14" s="11">
        <v>54</v>
      </c>
      <c r="BN14" s="11">
        <v>200</v>
      </c>
      <c r="BO14" s="11">
        <f t="shared" si="0"/>
        <v>667.5</v>
      </c>
      <c r="BP14" s="11">
        <f t="shared" si="1"/>
        <v>238.5</v>
      </c>
      <c r="BQ14" s="11"/>
      <c r="BR14" s="11"/>
      <c r="BS14" s="11"/>
      <c r="BT14" s="11"/>
      <c r="BU14" s="11"/>
      <c r="BV14" s="11"/>
      <c r="BW14" s="11">
        <f t="shared" si="2"/>
        <v>238.5</v>
      </c>
      <c r="BY14" s="10">
        <f>SUM(CB14:CG14)/2</f>
        <v>0</v>
      </c>
      <c r="BZ14" s="10">
        <f>AN14/4</f>
        <v>0</v>
      </c>
      <c r="CA14" s="8"/>
      <c r="CB14" s="8"/>
      <c r="CC14" s="8"/>
      <c r="CD14" s="8"/>
      <c r="CE14" s="8"/>
      <c r="CF14" s="10"/>
      <c r="CG14" s="10"/>
      <c r="CH14" s="8"/>
      <c r="CI14" s="8"/>
      <c r="CJ14" s="8"/>
      <c r="CK14" s="8"/>
      <c r="CL14" s="8"/>
      <c r="CM14" s="8"/>
      <c r="CN14" s="8"/>
      <c r="CO14" s="8"/>
      <c r="CP14" s="8"/>
      <c r="CQ14" s="8">
        <v>36</v>
      </c>
      <c r="CR14" s="10">
        <f>SUM(BZ14:CQ14)</f>
        <v>36</v>
      </c>
      <c r="CS14" s="8">
        <f>(CR14-BY14)/2</f>
        <v>18</v>
      </c>
      <c r="CT14" s="8">
        <f>BG14/4</f>
        <v>95.25</v>
      </c>
      <c r="CU14" s="11">
        <v>18</v>
      </c>
      <c r="CV14" s="11"/>
      <c r="CW14" s="11"/>
      <c r="CX14" s="11"/>
      <c r="CY14" s="11"/>
      <c r="CZ14" s="11">
        <v>25</v>
      </c>
      <c r="DA14" s="8">
        <f>SUM(CS14:CZ14)</f>
        <v>156.25</v>
      </c>
      <c r="DB14" s="8">
        <f t="shared" si="3"/>
        <v>69.125</v>
      </c>
      <c r="DC14" s="10">
        <v>22.5</v>
      </c>
      <c r="DD14" s="10"/>
      <c r="DE14" s="10"/>
      <c r="DF14" s="10"/>
      <c r="DG14" s="10"/>
      <c r="DH14" s="10"/>
      <c r="DI14" s="10"/>
      <c r="DJ14" s="10"/>
      <c r="DK14" s="10"/>
      <c r="DL14" s="8">
        <f>SUM(DB14:DD14)</f>
        <v>91.625</v>
      </c>
      <c r="DM14" s="8">
        <f t="shared" si="4"/>
        <v>11.25</v>
      </c>
      <c r="DN14" s="10">
        <v>1.5</v>
      </c>
      <c r="DO14" s="10"/>
      <c r="DP14" s="10"/>
      <c r="DQ14" s="10"/>
      <c r="DR14" s="10"/>
      <c r="DS14" s="10"/>
      <c r="DT14" s="10"/>
      <c r="DU14" s="8">
        <f t="shared" ref="DU14:DU33" si="5">SUM(DM14:DN14)</f>
        <v>12.75</v>
      </c>
    </row>
    <row r="15" spans="1:125" x14ac:dyDescent="0.25">
      <c r="A15">
        <v>5</v>
      </c>
      <c r="B15" s="18" t="s">
        <v>466</v>
      </c>
      <c r="C15" s="8"/>
      <c r="D15" s="18" t="s">
        <v>467</v>
      </c>
      <c r="E15" s="18" t="s">
        <v>41</v>
      </c>
      <c r="F15" s="8"/>
      <c r="G15" s="8"/>
      <c r="H15" s="8"/>
      <c r="I15" s="8"/>
      <c r="J15" s="8"/>
      <c r="K15" s="8"/>
      <c r="L15" s="8"/>
      <c r="M15" s="10"/>
      <c r="N15" s="10"/>
      <c r="O15" s="10"/>
      <c r="P15" s="10"/>
      <c r="Q15" s="10"/>
      <c r="R15" s="10"/>
      <c r="S15" s="10"/>
      <c r="T15" s="10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10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>
        <v>36</v>
      </c>
      <c r="BJ15" s="8">
        <v>48</v>
      </c>
      <c r="BK15" s="10">
        <v>50</v>
      </c>
      <c r="BL15" s="10">
        <v>54</v>
      </c>
      <c r="BM15" s="10">
        <v>150</v>
      </c>
      <c r="BN15" s="10"/>
      <c r="BO15" s="11">
        <f t="shared" si="0"/>
        <v>338</v>
      </c>
      <c r="BP15" s="11">
        <f t="shared" si="1"/>
        <v>169</v>
      </c>
      <c r="BQ15" s="11">
        <v>48</v>
      </c>
      <c r="BR15" s="11"/>
      <c r="BS15" s="11"/>
      <c r="BT15" s="11"/>
      <c r="BU15" s="11"/>
      <c r="BV15" s="11"/>
      <c r="BW15" s="11">
        <f t="shared" si="2"/>
        <v>217</v>
      </c>
      <c r="BY15" s="8"/>
      <c r="BZ15" s="8"/>
      <c r="CA15" s="8"/>
      <c r="CB15" s="8"/>
      <c r="CC15" s="8"/>
      <c r="CD15" s="8"/>
      <c r="CE15" s="8"/>
      <c r="CF15" s="10"/>
      <c r="CG15" s="10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11"/>
      <c r="CV15" s="11"/>
      <c r="CW15" s="11"/>
      <c r="CX15" s="11"/>
      <c r="CY15" s="11"/>
      <c r="CZ15" s="11"/>
      <c r="DA15" s="8">
        <f>SUM(CS15:CZ15)</f>
        <v>0</v>
      </c>
      <c r="DB15" s="8">
        <f t="shared" si="3"/>
        <v>0</v>
      </c>
      <c r="DC15" s="10">
        <v>18</v>
      </c>
      <c r="DD15" s="10"/>
      <c r="DE15" s="10"/>
      <c r="DF15" s="10"/>
      <c r="DG15" s="10"/>
      <c r="DH15" s="10"/>
      <c r="DI15" s="10">
        <v>50</v>
      </c>
      <c r="DJ15" s="10"/>
      <c r="DK15" s="10"/>
      <c r="DL15" s="8">
        <f>SUM(DB15:DI15)</f>
        <v>68</v>
      </c>
      <c r="DM15" s="8">
        <f t="shared" si="4"/>
        <v>34</v>
      </c>
      <c r="DN15" s="10"/>
      <c r="DO15" s="10"/>
      <c r="DP15" s="10"/>
      <c r="DQ15" s="10"/>
      <c r="DR15" s="10"/>
      <c r="DS15" s="10"/>
      <c r="DT15" s="10"/>
      <c r="DU15" s="8">
        <f t="shared" si="5"/>
        <v>34</v>
      </c>
    </row>
    <row r="16" spans="1:125" x14ac:dyDescent="0.25">
      <c r="A16">
        <v>6</v>
      </c>
      <c r="B16" s="8" t="s">
        <v>593</v>
      </c>
      <c r="C16" s="8"/>
      <c r="D16" s="8" t="s">
        <v>594</v>
      </c>
      <c r="E16" s="8" t="s">
        <v>38</v>
      </c>
      <c r="F16" s="8"/>
      <c r="G16" s="8"/>
      <c r="H16" s="8"/>
      <c r="I16" s="8"/>
      <c r="J16" s="8"/>
      <c r="K16" s="8"/>
      <c r="L16" s="8"/>
      <c r="M16" s="10"/>
      <c r="N16" s="10"/>
      <c r="O16" s="10"/>
      <c r="P16" s="10"/>
      <c r="Q16" s="10"/>
      <c r="R16" s="10"/>
      <c r="S16" s="10"/>
      <c r="T16" s="10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10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>
        <v>64</v>
      </c>
      <c r="BK16" s="10">
        <v>105</v>
      </c>
      <c r="BL16" s="10">
        <v>140</v>
      </c>
      <c r="BM16" s="10"/>
      <c r="BN16" s="10"/>
      <c r="BO16" s="11">
        <f t="shared" si="0"/>
        <v>309</v>
      </c>
      <c r="BP16" s="11">
        <f t="shared" si="1"/>
        <v>154.5</v>
      </c>
      <c r="BQ16" s="11"/>
      <c r="BR16" s="11"/>
      <c r="BS16" s="11"/>
      <c r="BT16" s="11"/>
      <c r="BU16" s="11"/>
      <c r="BV16" s="11"/>
      <c r="BW16" s="11">
        <f t="shared" si="2"/>
        <v>154.5</v>
      </c>
      <c r="BY16" s="8"/>
      <c r="BZ16" s="8"/>
      <c r="CA16" s="8"/>
      <c r="CB16" s="8"/>
      <c r="CC16" s="8"/>
      <c r="CD16" s="8"/>
      <c r="CE16" s="8"/>
      <c r="CF16" s="10"/>
      <c r="CG16" s="10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11"/>
      <c r="CV16" s="11"/>
      <c r="CW16" s="11"/>
      <c r="CX16" s="11"/>
      <c r="CY16" s="11"/>
      <c r="CZ16" s="11"/>
      <c r="DA16" s="8">
        <f>SUM(CS16:CZ16)</f>
        <v>0</v>
      </c>
      <c r="DB16" s="8">
        <f t="shared" si="3"/>
        <v>0</v>
      </c>
      <c r="DC16" s="10"/>
      <c r="DD16" s="10"/>
      <c r="DE16" s="10"/>
      <c r="DF16" s="10"/>
      <c r="DG16" s="10"/>
      <c r="DH16" s="10"/>
      <c r="DI16" s="10"/>
      <c r="DJ16" s="10"/>
      <c r="DK16" s="10"/>
      <c r="DL16" s="8">
        <f>SUM(DB16:DD16)</f>
        <v>0</v>
      </c>
      <c r="DM16" s="8">
        <f t="shared" si="4"/>
        <v>0</v>
      </c>
      <c r="DN16" s="10"/>
      <c r="DO16" s="10"/>
      <c r="DP16" s="10"/>
      <c r="DQ16" s="10"/>
      <c r="DR16" s="10"/>
      <c r="DS16" s="10"/>
      <c r="DT16" s="10"/>
      <c r="DU16" s="8">
        <f t="shared" si="5"/>
        <v>0</v>
      </c>
    </row>
    <row r="17" spans="1:125" x14ac:dyDescent="0.25">
      <c r="A17">
        <v>7</v>
      </c>
      <c r="B17" s="18" t="s">
        <v>134</v>
      </c>
      <c r="C17" s="8"/>
      <c r="D17" s="18" t="s">
        <v>363</v>
      </c>
      <c r="E17" s="18" t="s">
        <v>43</v>
      </c>
      <c r="F17" s="8"/>
      <c r="G17" s="8"/>
      <c r="H17" s="8"/>
      <c r="I17" s="8"/>
      <c r="J17" s="8"/>
      <c r="K17" s="8"/>
      <c r="L17" s="8"/>
      <c r="M17" s="10"/>
      <c r="N17" s="10"/>
      <c r="O17" s="10"/>
      <c r="P17" s="10"/>
      <c r="Q17" s="10"/>
      <c r="R17" s="10"/>
      <c r="S17" s="10"/>
      <c r="T17" s="10"/>
      <c r="U17" s="8"/>
      <c r="V17" s="8"/>
      <c r="W17" s="8"/>
      <c r="X17" s="8"/>
      <c r="Y17" s="8"/>
      <c r="Z17" s="8"/>
      <c r="AA17" s="8"/>
      <c r="AB17" s="8"/>
      <c r="AC17" s="8"/>
      <c r="AD17" s="8">
        <v>36</v>
      </c>
      <c r="AE17" s="8"/>
      <c r="AF17" s="8"/>
      <c r="AG17" s="8"/>
      <c r="AH17" s="8"/>
      <c r="AI17" s="8"/>
      <c r="AJ17" s="8"/>
      <c r="AK17" s="8"/>
      <c r="AL17" s="8"/>
      <c r="AM17" s="10"/>
      <c r="AN17" s="11">
        <f>SUM(V17:AM17)</f>
        <v>36</v>
      </c>
      <c r="AO17" s="11">
        <f>(AN17-V17)/2</f>
        <v>18</v>
      </c>
      <c r="AP17" s="11"/>
      <c r="AQ17" s="11">
        <v>36</v>
      </c>
      <c r="AR17" s="11"/>
      <c r="AS17" s="11"/>
      <c r="AT17" s="11"/>
      <c r="AU17" s="11">
        <v>7.5</v>
      </c>
      <c r="AV17" s="11"/>
      <c r="AW17" s="11"/>
      <c r="AX17" s="11">
        <v>48</v>
      </c>
      <c r="AY17" s="11">
        <v>7.5</v>
      </c>
      <c r="AZ17" s="11"/>
      <c r="BA17" s="11"/>
      <c r="BB17" s="11"/>
      <c r="BC17" s="11">
        <v>36</v>
      </c>
      <c r="BD17" s="11">
        <v>7.5</v>
      </c>
      <c r="BE17" s="11"/>
      <c r="BF17" s="11"/>
      <c r="BG17" s="11">
        <f>SUM(AO17:BF17)</f>
        <v>160.5</v>
      </c>
      <c r="BH17" s="11">
        <f>(BG17-AO17)/2</f>
        <v>71.25</v>
      </c>
      <c r="BI17" s="11">
        <v>36</v>
      </c>
      <c r="BJ17" s="11">
        <v>48</v>
      </c>
      <c r="BK17" s="11">
        <v>54</v>
      </c>
      <c r="BL17" s="11">
        <v>50</v>
      </c>
      <c r="BM17" s="11">
        <v>80</v>
      </c>
      <c r="BN17" s="11">
        <v>36</v>
      </c>
      <c r="BO17" s="11">
        <f t="shared" si="0"/>
        <v>375.25</v>
      </c>
      <c r="BP17" s="11">
        <f t="shared" si="1"/>
        <v>152</v>
      </c>
      <c r="BQ17" s="11"/>
      <c r="BR17" s="11"/>
      <c r="BS17" s="11"/>
      <c r="BT17" s="11"/>
      <c r="BU17" s="11"/>
      <c r="BV17" s="11"/>
      <c r="BW17" s="11">
        <f t="shared" si="2"/>
        <v>152</v>
      </c>
      <c r="BY17" s="10">
        <f>SUM(CB17:CG17)/2</f>
        <v>0</v>
      </c>
      <c r="BZ17" s="10">
        <f>AN17/4</f>
        <v>9</v>
      </c>
      <c r="CA17" s="8"/>
      <c r="CB17" s="8"/>
      <c r="CC17" s="8"/>
      <c r="CD17" s="8"/>
      <c r="CE17" s="8"/>
      <c r="CF17" s="10"/>
      <c r="CG17" s="10"/>
      <c r="CH17" s="8"/>
      <c r="CI17" s="11">
        <v>19</v>
      </c>
      <c r="CJ17" s="11"/>
      <c r="CK17" s="11"/>
      <c r="CL17" s="11"/>
      <c r="CM17" s="11"/>
      <c r="CN17" s="11"/>
      <c r="CO17" s="11"/>
      <c r="CP17" s="11"/>
      <c r="CQ17" s="11"/>
      <c r="CR17" s="10">
        <f>SUM(BZ17:CQ17)</f>
        <v>28</v>
      </c>
      <c r="CS17" s="8">
        <f>(CR17-BY17)/2</f>
        <v>14</v>
      </c>
      <c r="CT17" s="8">
        <f>BG17/4</f>
        <v>40.125</v>
      </c>
      <c r="CU17" s="11"/>
      <c r="CV17" s="11"/>
      <c r="CW17" s="11"/>
      <c r="CX17" s="11"/>
      <c r="CY17" s="11"/>
      <c r="CZ17" s="11">
        <v>2.5</v>
      </c>
      <c r="DA17" s="8">
        <f>SUM(CS17:CZ17)</f>
        <v>56.625</v>
      </c>
      <c r="DB17" s="8">
        <f t="shared" si="3"/>
        <v>21.3125</v>
      </c>
      <c r="DC17" s="10"/>
      <c r="DD17" s="10"/>
      <c r="DE17" s="10"/>
      <c r="DF17" s="10"/>
      <c r="DG17" s="10"/>
      <c r="DH17" s="10"/>
      <c r="DI17" s="10"/>
      <c r="DJ17" s="10">
        <v>7.5</v>
      </c>
      <c r="DK17" s="10"/>
      <c r="DL17" s="8">
        <f>SUM(DB17:DJ17)</f>
        <v>28.8125</v>
      </c>
      <c r="DM17" s="8">
        <f t="shared" si="4"/>
        <v>3.75</v>
      </c>
      <c r="DN17" s="10"/>
      <c r="DO17" s="10"/>
      <c r="DP17" s="10"/>
      <c r="DQ17" s="10"/>
      <c r="DR17" s="10"/>
      <c r="DS17" s="10"/>
      <c r="DT17" s="10"/>
      <c r="DU17" s="8">
        <f t="shared" si="5"/>
        <v>3.75</v>
      </c>
    </row>
    <row r="18" spans="1:125" x14ac:dyDescent="0.25">
      <c r="A18">
        <v>8</v>
      </c>
      <c r="B18" s="8" t="s">
        <v>127</v>
      </c>
      <c r="C18" s="8"/>
      <c r="D18" s="8" t="s">
        <v>265</v>
      </c>
      <c r="E18" s="8" t="s">
        <v>113</v>
      </c>
      <c r="F18" s="8"/>
      <c r="G18" s="8"/>
      <c r="H18" s="8"/>
      <c r="I18" s="8"/>
      <c r="J18" s="8"/>
      <c r="K18" s="8"/>
      <c r="L18" s="8"/>
      <c r="M18" s="10"/>
      <c r="N18" s="10"/>
      <c r="O18" s="10"/>
      <c r="P18" s="10"/>
      <c r="Q18" s="10"/>
      <c r="R18" s="10"/>
      <c r="S18" s="10"/>
      <c r="T18" s="10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10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10">
        <v>36</v>
      </c>
      <c r="BL18" s="10"/>
      <c r="BM18" s="10"/>
      <c r="BN18" s="10"/>
      <c r="BO18" s="11">
        <f t="shared" si="0"/>
        <v>36</v>
      </c>
      <c r="BP18" s="11">
        <f t="shared" si="1"/>
        <v>18</v>
      </c>
      <c r="BQ18" s="11">
        <v>48</v>
      </c>
      <c r="BR18" s="11"/>
      <c r="BS18" s="11">
        <v>75</v>
      </c>
      <c r="BT18" s="11"/>
      <c r="BU18" s="11"/>
      <c r="BV18" s="11"/>
      <c r="BW18" s="11">
        <f t="shared" si="2"/>
        <v>141</v>
      </c>
      <c r="BY18" s="8"/>
      <c r="BZ18" s="8"/>
      <c r="CA18" s="8"/>
      <c r="CB18" s="8"/>
      <c r="CC18" s="8"/>
      <c r="CD18" s="8"/>
      <c r="CE18" s="8"/>
      <c r="CF18" s="10"/>
      <c r="CG18" s="10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11"/>
      <c r="CV18" s="11"/>
      <c r="CW18" s="11"/>
      <c r="CX18" s="11"/>
      <c r="CY18" s="11"/>
      <c r="CZ18" s="11"/>
      <c r="DA18" s="8">
        <f>SUM(CS18:CZ18)</f>
        <v>0</v>
      </c>
      <c r="DB18" s="8">
        <f t="shared" si="3"/>
        <v>0</v>
      </c>
      <c r="DC18" s="10"/>
      <c r="DD18" s="10"/>
      <c r="DE18" s="10"/>
      <c r="DF18" s="10"/>
      <c r="DG18" s="10"/>
      <c r="DH18" s="10"/>
      <c r="DI18" s="10">
        <v>50</v>
      </c>
      <c r="DJ18" s="10"/>
      <c r="DK18" s="10"/>
      <c r="DL18" s="8">
        <f>SUM(DB18:DI18)</f>
        <v>50</v>
      </c>
      <c r="DM18" s="8">
        <f t="shared" si="4"/>
        <v>25</v>
      </c>
      <c r="DN18" s="10">
        <v>18</v>
      </c>
      <c r="DO18" s="10"/>
      <c r="DP18" s="10"/>
      <c r="DQ18" s="10"/>
      <c r="DR18" s="10">
        <v>36</v>
      </c>
      <c r="DS18" s="10"/>
      <c r="DT18" s="10"/>
      <c r="DU18" s="8">
        <f t="shared" si="5"/>
        <v>43</v>
      </c>
    </row>
    <row r="19" spans="1:125" x14ac:dyDescent="0.25">
      <c r="A19">
        <v>9</v>
      </c>
      <c r="B19" s="8" t="s">
        <v>133</v>
      </c>
      <c r="C19" s="8"/>
      <c r="D19" s="8" t="s">
        <v>838</v>
      </c>
      <c r="E19" s="8" t="s">
        <v>68</v>
      </c>
      <c r="F19" s="8"/>
      <c r="G19" s="8"/>
      <c r="H19" s="8"/>
      <c r="I19" s="8"/>
      <c r="J19" s="8"/>
      <c r="K19" s="8"/>
      <c r="L19" s="8"/>
      <c r="M19" s="10"/>
      <c r="N19" s="10"/>
      <c r="O19" s="10"/>
      <c r="P19" s="10"/>
      <c r="Q19" s="10"/>
      <c r="R19" s="10"/>
      <c r="S19" s="10"/>
      <c r="T19" s="10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10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10"/>
      <c r="BL19" s="10"/>
      <c r="BM19" s="10"/>
      <c r="BN19" s="10"/>
      <c r="BO19" s="8"/>
      <c r="BP19" s="8"/>
      <c r="BQ19" s="10">
        <v>2.4</v>
      </c>
      <c r="BR19" s="10">
        <v>48</v>
      </c>
      <c r="BS19" s="10">
        <v>75</v>
      </c>
      <c r="BT19" s="8"/>
      <c r="BU19" s="8"/>
      <c r="BV19" s="8"/>
      <c r="BW19" s="11">
        <f t="shared" si="2"/>
        <v>125.4</v>
      </c>
      <c r="BY19" s="8"/>
      <c r="BZ19" s="8"/>
      <c r="CA19" s="8"/>
      <c r="CB19" s="8"/>
      <c r="CC19" s="8"/>
      <c r="CD19" s="8"/>
      <c r="CE19" s="8"/>
      <c r="CF19" s="10"/>
      <c r="CG19" s="10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11"/>
      <c r="CV19" s="11"/>
      <c r="CW19" s="11"/>
      <c r="CX19" s="11"/>
      <c r="CY19" s="11"/>
      <c r="CZ19" s="11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>
        <f>SUM(DB19:DK19)</f>
        <v>0</v>
      </c>
      <c r="DM19" s="8">
        <f t="shared" si="4"/>
        <v>0</v>
      </c>
      <c r="DN19" s="10"/>
      <c r="DO19" s="10"/>
      <c r="DP19" s="10"/>
      <c r="DQ19" s="10"/>
      <c r="DR19" s="10"/>
      <c r="DS19" s="10"/>
      <c r="DT19" s="10"/>
      <c r="DU19" s="8">
        <f t="shared" si="5"/>
        <v>0</v>
      </c>
    </row>
    <row r="20" spans="1:125" x14ac:dyDescent="0.25">
      <c r="A20">
        <v>10</v>
      </c>
      <c r="B20" s="8" t="s">
        <v>835</v>
      </c>
      <c r="C20" s="8"/>
      <c r="D20" s="8" t="s">
        <v>836</v>
      </c>
      <c r="E20" s="8" t="s">
        <v>391</v>
      </c>
      <c r="F20" s="8"/>
      <c r="G20" s="8"/>
      <c r="H20" s="8"/>
      <c r="I20" s="8"/>
      <c r="J20" s="8"/>
      <c r="K20" s="8"/>
      <c r="L20" s="8"/>
      <c r="M20" s="10"/>
      <c r="N20" s="10"/>
      <c r="O20" s="10"/>
      <c r="P20" s="10"/>
      <c r="Q20" s="10"/>
      <c r="R20" s="10"/>
      <c r="S20" s="10"/>
      <c r="T20" s="10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10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10"/>
      <c r="BL20" s="10"/>
      <c r="BM20" s="10"/>
      <c r="BN20" s="10"/>
      <c r="BO20" s="8"/>
      <c r="BP20" s="8"/>
      <c r="BQ20" s="10">
        <v>36</v>
      </c>
      <c r="BR20" s="10">
        <v>64</v>
      </c>
      <c r="BS20" s="10"/>
      <c r="BT20" s="8"/>
      <c r="BU20" s="8"/>
      <c r="BV20" s="8"/>
      <c r="BW20" s="11">
        <f t="shared" si="2"/>
        <v>100</v>
      </c>
      <c r="BY20" s="8"/>
      <c r="BZ20" s="8"/>
      <c r="CA20" s="8"/>
      <c r="CB20" s="8"/>
      <c r="CC20" s="8"/>
      <c r="CD20" s="8"/>
      <c r="CE20" s="8"/>
      <c r="CF20" s="10"/>
      <c r="CG20" s="10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11"/>
      <c r="CV20" s="11"/>
      <c r="CW20" s="11"/>
      <c r="CX20" s="11"/>
      <c r="CY20" s="11"/>
      <c r="CZ20" s="11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>
        <f>SUM(DB20:DK20)</f>
        <v>0</v>
      </c>
      <c r="DM20" s="8">
        <f t="shared" si="4"/>
        <v>0</v>
      </c>
      <c r="DN20" s="10"/>
      <c r="DO20" s="10"/>
      <c r="DP20" s="10"/>
      <c r="DQ20" s="10"/>
      <c r="DR20" s="10"/>
      <c r="DS20" s="10"/>
      <c r="DT20" s="10"/>
      <c r="DU20" s="8">
        <f t="shared" si="5"/>
        <v>0</v>
      </c>
    </row>
    <row r="21" spans="1:125" x14ac:dyDescent="0.25">
      <c r="A21">
        <v>11</v>
      </c>
      <c r="B21" s="8" t="s">
        <v>161</v>
      </c>
      <c r="C21" s="8"/>
      <c r="D21" s="8" t="s">
        <v>675</v>
      </c>
      <c r="E21" s="8" t="s">
        <v>248</v>
      </c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10">
        <v>7.5</v>
      </c>
      <c r="BL21" s="10"/>
      <c r="BM21" s="10"/>
      <c r="BN21" s="10"/>
      <c r="BO21" s="11">
        <f>SUM(BH21:BN21)</f>
        <v>7.5</v>
      </c>
      <c r="BP21" s="11">
        <f>(BO21-BH21)/2</f>
        <v>3.75</v>
      </c>
      <c r="BQ21" s="11">
        <v>36</v>
      </c>
      <c r="BR21" s="11">
        <v>3.2</v>
      </c>
      <c r="BS21" s="11">
        <v>54</v>
      </c>
      <c r="BT21" s="11">
        <v>2.4</v>
      </c>
      <c r="BU21" s="11"/>
      <c r="BV21" s="11"/>
      <c r="BW21" s="11">
        <f t="shared" si="2"/>
        <v>99.350000000000009</v>
      </c>
      <c r="CR21" s="8"/>
      <c r="CS21" s="8"/>
      <c r="CT21" s="8"/>
      <c r="CU21" s="11"/>
      <c r="CV21" s="11"/>
      <c r="CW21" s="11"/>
      <c r="CX21" s="11"/>
      <c r="CY21" s="11"/>
      <c r="CZ21" s="11"/>
      <c r="DA21" s="8">
        <f>SUM(CS21:CZ21)</f>
        <v>0</v>
      </c>
      <c r="DB21" s="8">
        <f>(DA21-CS21)/2</f>
        <v>0</v>
      </c>
      <c r="DC21" s="10"/>
      <c r="DD21" s="10"/>
      <c r="DE21" s="10"/>
      <c r="DF21" s="10"/>
      <c r="DG21" s="10"/>
      <c r="DH21" s="10"/>
      <c r="DI21" s="10"/>
      <c r="DJ21" s="10"/>
      <c r="DK21" s="10"/>
      <c r="DL21" s="8">
        <f>SUM(DB21:DD21)</f>
        <v>0</v>
      </c>
      <c r="DM21" s="8">
        <f t="shared" si="4"/>
        <v>0</v>
      </c>
      <c r="DN21" s="10"/>
      <c r="DO21" s="10"/>
      <c r="DP21" s="10"/>
      <c r="DQ21" s="10"/>
      <c r="DR21" s="10"/>
      <c r="DS21" s="10"/>
      <c r="DT21" s="10"/>
      <c r="DU21" s="8">
        <f t="shared" si="5"/>
        <v>0</v>
      </c>
    </row>
    <row r="22" spans="1:125" x14ac:dyDescent="0.25">
      <c r="A22">
        <v>12</v>
      </c>
      <c r="B22" s="39" t="s">
        <v>828</v>
      </c>
      <c r="C22" s="39"/>
      <c r="D22" s="39" t="s">
        <v>174</v>
      </c>
      <c r="E22" s="39" t="s">
        <v>330</v>
      </c>
      <c r="BG22" s="39"/>
      <c r="BH22" s="39"/>
      <c r="BI22" s="39"/>
      <c r="BJ22" s="39"/>
      <c r="BK22" s="40"/>
      <c r="BL22" s="40"/>
      <c r="BM22" s="40"/>
      <c r="BN22" s="40"/>
      <c r="BO22" s="8"/>
      <c r="BP22" s="8"/>
      <c r="BQ22" s="10">
        <v>36</v>
      </c>
      <c r="BR22" s="10">
        <v>44.8</v>
      </c>
      <c r="BS22" s="10"/>
      <c r="BT22" s="8"/>
      <c r="BU22" s="8"/>
      <c r="BV22" s="8"/>
      <c r="BW22" s="11">
        <f t="shared" si="2"/>
        <v>80.8</v>
      </c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>
        <f>SUM(DB22:DK22)</f>
        <v>0</v>
      </c>
      <c r="DM22" s="8">
        <f t="shared" si="4"/>
        <v>0</v>
      </c>
      <c r="DN22" s="10"/>
      <c r="DO22" s="10"/>
      <c r="DP22" s="10"/>
      <c r="DQ22" s="10"/>
      <c r="DR22" s="10"/>
      <c r="DS22" s="10"/>
      <c r="DT22" s="10"/>
      <c r="DU22" s="8">
        <f t="shared" si="5"/>
        <v>0</v>
      </c>
    </row>
    <row r="23" spans="1:125" x14ac:dyDescent="0.25">
      <c r="A23">
        <v>13</v>
      </c>
      <c r="B23" s="8" t="s">
        <v>640</v>
      </c>
      <c r="C23" s="8"/>
      <c r="D23" s="8" t="s">
        <v>641</v>
      </c>
      <c r="E23" s="8" t="s">
        <v>639</v>
      </c>
      <c r="F23" s="8"/>
      <c r="G23" s="8"/>
      <c r="H23" s="8"/>
      <c r="I23" s="8"/>
      <c r="J23" s="8"/>
      <c r="K23" s="8"/>
      <c r="L23" s="8"/>
      <c r="M23" s="10"/>
      <c r="N23" s="10"/>
      <c r="O23" s="10"/>
      <c r="P23" s="10"/>
      <c r="Q23" s="10"/>
      <c r="R23" s="10"/>
      <c r="S23" s="10"/>
      <c r="T23" s="10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10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>
        <v>36</v>
      </c>
      <c r="BJ23" s="8"/>
      <c r="BK23" s="10">
        <v>7.5</v>
      </c>
      <c r="BL23" s="10"/>
      <c r="BM23" s="10"/>
      <c r="BN23" s="10"/>
      <c r="BO23" s="11">
        <f>SUM(BH23:BN23)</f>
        <v>43.5</v>
      </c>
      <c r="BP23" s="11">
        <f>(BO23-BH23)/2</f>
        <v>21.75</v>
      </c>
      <c r="BQ23" s="11">
        <v>36</v>
      </c>
      <c r="BR23" s="11"/>
      <c r="BS23" s="11">
        <v>7.5</v>
      </c>
      <c r="BT23" s="11"/>
      <c r="BU23" s="11"/>
      <c r="BV23" s="11"/>
      <c r="BW23" s="11">
        <f t="shared" si="2"/>
        <v>65.25</v>
      </c>
      <c r="DA23" s="8">
        <f>SUM(CS23:CZ23)</f>
        <v>0</v>
      </c>
      <c r="DB23" s="8">
        <f>(DA23-CS23)/2</f>
        <v>0</v>
      </c>
      <c r="DC23" s="10"/>
      <c r="DD23" s="10"/>
      <c r="DE23" s="10"/>
      <c r="DF23" s="10"/>
      <c r="DG23" s="10"/>
      <c r="DH23" s="10"/>
      <c r="DI23" s="10"/>
      <c r="DJ23" s="10"/>
      <c r="DK23" s="10"/>
      <c r="DL23" s="8">
        <f>SUM(DB23:DD23)</f>
        <v>0</v>
      </c>
      <c r="DM23" s="8">
        <f t="shared" si="4"/>
        <v>0</v>
      </c>
      <c r="DN23" s="10"/>
      <c r="DO23" s="10"/>
      <c r="DP23" s="10"/>
      <c r="DQ23" s="10"/>
      <c r="DR23" s="10"/>
      <c r="DS23" s="10"/>
      <c r="DT23" s="10"/>
      <c r="DU23" s="8">
        <f t="shared" si="5"/>
        <v>0</v>
      </c>
    </row>
    <row r="24" spans="1:125" x14ac:dyDescent="0.25">
      <c r="A24">
        <v>14</v>
      </c>
      <c r="B24" s="8" t="s">
        <v>145</v>
      </c>
      <c r="C24" s="8"/>
      <c r="D24" s="8" t="s">
        <v>6</v>
      </c>
      <c r="E24" s="8" t="s">
        <v>725</v>
      </c>
      <c r="F24" s="8"/>
      <c r="G24" s="8"/>
      <c r="H24" s="8"/>
      <c r="I24" s="8"/>
      <c r="J24" s="8"/>
      <c r="K24" s="8"/>
      <c r="L24" s="8"/>
      <c r="M24" s="10"/>
      <c r="N24" s="10"/>
      <c r="O24" s="10"/>
      <c r="P24" s="10"/>
      <c r="Q24" s="10"/>
      <c r="R24" s="10"/>
      <c r="S24" s="10"/>
      <c r="T24" s="10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10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10"/>
      <c r="BL24" s="10"/>
      <c r="BM24" s="10"/>
      <c r="BN24" s="10"/>
      <c r="BO24" s="8"/>
      <c r="BP24" s="8"/>
      <c r="BQ24" s="10"/>
      <c r="BR24" s="10">
        <v>44.8</v>
      </c>
      <c r="BS24" s="10"/>
      <c r="BT24" s="8"/>
      <c r="BU24" s="8"/>
      <c r="BV24" s="8"/>
      <c r="BW24" s="11">
        <f t="shared" si="2"/>
        <v>44.8</v>
      </c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>
        <f>SUM(DB24:DK24)</f>
        <v>0</v>
      </c>
      <c r="DM24" s="8">
        <f t="shared" si="4"/>
        <v>0</v>
      </c>
      <c r="DN24" s="10"/>
      <c r="DO24" s="10"/>
      <c r="DP24" s="10"/>
      <c r="DQ24" s="10"/>
      <c r="DR24" s="10"/>
      <c r="DS24" s="10"/>
      <c r="DT24" s="10"/>
      <c r="DU24" s="8">
        <f t="shared" si="5"/>
        <v>0</v>
      </c>
    </row>
    <row r="25" spans="1:125" x14ac:dyDescent="0.25">
      <c r="A25">
        <v>15</v>
      </c>
      <c r="B25" s="8" t="s">
        <v>260</v>
      </c>
      <c r="C25" s="8"/>
      <c r="D25" s="8" t="s">
        <v>66</v>
      </c>
      <c r="E25" s="8" t="s">
        <v>618</v>
      </c>
      <c r="F25" s="8"/>
      <c r="G25" s="8"/>
      <c r="H25" s="8"/>
      <c r="I25" s="8"/>
      <c r="J25" s="8"/>
      <c r="K25" s="8"/>
      <c r="L25" s="8"/>
      <c r="M25" s="10"/>
      <c r="N25" s="10"/>
      <c r="O25" s="10"/>
      <c r="P25" s="10"/>
      <c r="Q25" s="10"/>
      <c r="R25" s="10"/>
      <c r="S25" s="10"/>
      <c r="T25" s="10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10">
        <v>75</v>
      </c>
      <c r="AN25" s="11">
        <f>SUM(V25:AM25)</f>
        <v>75</v>
      </c>
      <c r="AO25" s="11">
        <f>(AN25-V25)/2</f>
        <v>37.5</v>
      </c>
      <c r="AP25" s="11"/>
      <c r="AQ25" s="11"/>
      <c r="AR25" s="11"/>
      <c r="AS25" s="11"/>
      <c r="AT25" s="11"/>
      <c r="AU25" s="11">
        <v>75</v>
      </c>
      <c r="AV25" s="11">
        <v>50</v>
      </c>
      <c r="AW25" s="11"/>
      <c r="AX25" s="11"/>
      <c r="AY25" s="11"/>
      <c r="AZ25" s="11"/>
      <c r="BA25" s="11"/>
      <c r="BB25" s="11"/>
      <c r="BC25" s="11"/>
      <c r="BD25" s="11"/>
      <c r="BE25" s="11"/>
      <c r="BF25" s="11">
        <v>100</v>
      </c>
      <c r="BG25" s="11">
        <f>SUM(AO25:BF25)</f>
        <v>262.5</v>
      </c>
      <c r="BH25" s="11">
        <f>(BG25-AO25)/2</f>
        <v>112.5</v>
      </c>
      <c r="BI25" s="11"/>
      <c r="BJ25" s="11"/>
      <c r="BK25" s="11">
        <v>75</v>
      </c>
      <c r="BL25" s="11">
        <v>6</v>
      </c>
      <c r="BM25" s="11"/>
      <c r="BN25" s="11"/>
      <c r="BO25" s="11">
        <f>SUM(BH25:BN25)</f>
        <v>193.5</v>
      </c>
      <c r="BP25" s="11">
        <f>(BO25-BH25)/2</f>
        <v>40.5</v>
      </c>
      <c r="BQ25" s="11"/>
      <c r="BR25" s="11"/>
      <c r="BS25" s="11"/>
      <c r="BT25" s="11"/>
      <c r="BU25" s="11"/>
      <c r="BV25" s="11"/>
      <c r="BW25" s="11">
        <f t="shared" si="2"/>
        <v>40.5</v>
      </c>
      <c r="BY25" s="12">
        <f>SUM(CB25:CG25)/2</f>
        <v>0</v>
      </c>
      <c r="BZ25" s="12">
        <f>AN25/4</f>
        <v>18.75</v>
      </c>
      <c r="CQ25">
        <v>50</v>
      </c>
      <c r="CR25" s="12">
        <f>SUM(BZ25:CQ25)</f>
        <v>68.75</v>
      </c>
      <c r="CS25">
        <f>(CR25-BY25)/2</f>
        <v>34.375</v>
      </c>
      <c r="CT25">
        <f>BG25/4</f>
        <v>65.625</v>
      </c>
      <c r="CU25" s="24">
        <v>22.5</v>
      </c>
      <c r="CW25" s="24">
        <v>7.5</v>
      </c>
      <c r="DA25" s="8">
        <f>SUM(CS25:CW25)</f>
        <v>130</v>
      </c>
      <c r="DB25" s="8">
        <f>(DA25-CS25)/2</f>
        <v>47.8125</v>
      </c>
      <c r="DC25" s="10">
        <v>1.5</v>
      </c>
      <c r="DD25" s="10"/>
      <c r="DE25" s="10"/>
      <c r="DF25" s="10"/>
      <c r="DG25" s="10"/>
      <c r="DH25" s="10"/>
      <c r="DI25" s="10"/>
      <c r="DJ25" s="10"/>
      <c r="DK25" s="10"/>
      <c r="DL25" s="8">
        <f>SUM(DB25:DD25)</f>
        <v>49.3125</v>
      </c>
      <c r="DM25" s="8">
        <f t="shared" si="4"/>
        <v>0.75</v>
      </c>
      <c r="DN25" s="10"/>
      <c r="DO25" s="10"/>
      <c r="DP25" s="10"/>
      <c r="DQ25" s="10"/>
      <c r="DR25" s="10"/>
      <c r="DS25" s="10"/>
      <c r="DT25" s="10"/>
      <c r="DU25" s="8">
        <f t="shared" si="5"/>
        <v>0.75</v>
      </c>
    </row>
    <row r="26" spans="1:125" x14ac:dyDescent="0.25">
      <c r="A26">
        <v>16</v>
      </c>
      <c r="B26" s="8" t="s">
        <v>214</v>
      </c>
      <c r="C26" s="8"/>
      <c r="D26" s="8" t="s">
        <v>798</v>
      </c>
      <c r="E26" s="8" t="s">
        <v>306</v>
      </c>
      <c r="F26" s="8"/>
      <c r="G26" s="8"/>
      <c r="H26" s="8"/>
      <c r="I26" s="8"/>
      <c r="J26" s="8"/>
      <c r="K26" s="8"/>
      <c r="L26" s="8"/>
      <c r="M26" s="10"/>
      <c r="N26" s="10"/>
      <c r="O26" s="10"/>
      <c r="P26" s="10"/>
      <c r="Q26" s="10"/>
      <c r="R26" s="10"/>
      <c r="S26" s="10"/>
      <c r="T26" s="10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10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10"/>
      <c r="BL26" s="10"/>
      <c r="BM26" s="10"/>
      <c r="BN26" s="10"/>
      <c r="BO26" s="8"/>
      <c r="BP26" s="8"/>
      <c r="BQ26" s="10">
        <v>36</v>
      </c>
      <c r="BR26" s="10"/>
      <c r="BS26" s="10"/>
      <c r="BT26" s="8"/>
      <c r="BU26" s="8"/>
      <c r="BV26" s="8"/>
      <c r="BW26" s="11">
        <f t="shared" si="2"/>
        <v>36</v>
      </c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>
        <f>SUM(DB26:DK26)</f>
        <v>0</v>
      </c>
      <c r="DM26" s="8">
        <f t="shared" si="4"/>
        <v>0</v>
      </c>
      <c r="DN26" s="10"/>
      <c r="DO26" s="10"/>
      <c r="DP26" s="10"/>
      <c r="DQ26" s="10"/>
      <c r="DR26" s="10"/>
      <c r="DS26" s="10"/>
      <c r="DT26" s="10"/>
      <c r="DU26" s="8">
        <f t="shared" si="5"/>
        <v>0</v>
      </c>
    </row>
    <row r="27" spans="1:125" x14ac:dyDescent="0.25">
      <c r="A27">
        <v>17</v>
      </c>
      <c r="B27" s="18" t="s">
        <v>249</v>
      </c>
      <c r="C27" s="8" t="s">
        <v>244</v>
      </c>
      <c r="D27" s="18" t="s">
        <v>250</v>
      </c>
      <c r="E27" s="18" t="s">
        <v>193</v>
      </c>
      <c r="F27" s="8"/>
      <c r="G27" s="8"/>
      <c r="H27" s="8"/>
      <c r="I27" s="8"/>
      <c r="J27" s="8"/>
      <c r="K27" s="8"/>
      <c r="L27" s="8"/>
      <c r="M27" s="10"/>
      <c r="N27" s="10"/>
      <c r="O27" s="10"/>
      <c r="P27" s="10"/>
      <c r="Q27" s="10"/>
      <c r="R27" s="10"/>
      <c r="S27" s="10"/>
      <c r="T27" s="10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10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10"/>
      <c r="BL27" s="10"/>
      <c r="BM27" s="10"/>
      <c r="BN27" s="10"/>
      <c r="BO27" s="8"/>
      <c r="BP27" s="8"/>
      <c r="BQ27" s="10">
        <v>36</v>
      </c>
      <c r="BR27" s="10"/>
      <c r="BS27" s="10"/>
      <c r="BT27" s="8"/>
      <c r="BU27" s="8"/>
      <c r="BV27" s="8"/>
      <c r="BW27" s="11">
        <f t="shared" si="2"/>
        <v>36</v>
      </c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10"/>
      <c r="DO27" s="10"/>
      <c r="DP27" s="10"/>
      <c r="DQ27" s="10"/>
      <c r="DR27" s="10"/>
      <c r="DS27" s="10"/>
      <c r="DT27" s="10"/>
      <c r="DU27" s="8">
        <f t="shared" si="5"/>
        <v>0</v>
      </c>
    </row>
    <row r="28" spans="1:125" x14ac:dyDescent="0.25">
      <c r="A28">
        <v>18</v>
      </c>
      <c r="B28" s="8" t="s">
        <v>195</v>
      </c>
      <c r="C28" s="8"/>
      <c r="D28" s="8" t="s">
        <v>674</v>
      </c>
      <c r="E28" s="8" t="s">
        <v>427</v>
      </c>
      <c r="F28" s="8"/>
      <c r="G28" s="8"/>
      <c r="H28" s="8"/>
      <c r="I28" s="8"/>
      <c r="J28" s="8"/>
      <c r="K28" s="8"/>
      <c r="L28" s="8"/>
      <c r="M28" s="10"/>
      <c r="N28" s="10"/>
      <c r="O28" s="10"/>
      <c r="P28" s="10"/>
      <c r="Q28" s="10"/>
      <c r="R28" s="10"/>
      <c r="S28" s="10"/>
      <c r="T28" s="10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10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10">
        <v>54</v>
      </c>
      <c r="BL28" s="10">
        <v>7.5</v>
      </c>
      <c r="BM28" s="10"/>
      <c r="BN28" s="10"/>
      <c r="BO28" s="11">
        <f t="shared" ref="BO28:BO33" si="6">SUM(BH28:BN28)</f>
        <v>61.5</v>
      </c>
      <c r="BP28" s="11">
        <f t="shared" ref="BP28:BP33" si="7">(BO28-BH28)/2</f>
        <v>30.75</v>
      </c>
      <c r="BQ28" s="11"/>
      <c r="BR28" s="11"/>
      <c r="BS28" s="11"/>
      <c r="BT28" s="11"/>
      <c r="BU28" s="11"/>
      <c r="BV28" s="11"/>
      <c r="BW28" s="11">
        <f t="shared" si="2"/>
        <v>30.75</v>
      </c>
      <c r="DA28">
        <f>SUM(CS28:CZ28)</f>
        <v>0</v>
      </c>
      <c r="DB28">
        <f>(DA28-CS28)/2</f>
        <v>0</v>
      </c>
      <c r="DC28" s="12"/>
      <c r="DD28" s="12"/>
      <c r="DE28" s="12"/>
      <c r="DF28" s="12"/>
      <c r="DG28" s="12"/>
      <c r="DH28" s="12"/>
      <c r="DI28" s="12"/>
      <c r="DJ28" s="12"/>
      <c r="DK28" s="12"/>
      <c r="DL28" s="8">
        <f>SUM(DB28:DD28)</f>
        <v>0</v>
      </c>
      <c r="DM28" s="8">
        <f t="shared" ref="DM28:DM33" si="8">(DL28-DB28)/2</f>
        <v>0</v>
      </c>
      <c r="DN28" s="10"/>
      <c r="DO28" s="10"/>
      <c r="DP28" s="10"/>
      <c r="DQ28" s="10"/>
      <c r="DR28" s="10"/>
      <c r="DS28" s="10"/>
      <c r="DT28" s="10"/>
      <c r="DU28" s="8">
        <f t="shared" si="5"/>
        <v>0</v>
      </c>
    </row>
    <row r="29" spans="1:125" x14ac:dyDescent="0.25">
      <c r="A29">
        <v>19</v>
      </c>
      <c r="B29" s="8" t="s">
        <v>497</v>
      </c>
      <c r="C29" s="8"/>
      <c r="D29" s="8" t="s">
        <v>498</v>
      </c>
      <c r="E29" s="8" t="s">
        <v>24</v>
      </c>
      <c r="F29" s="8"/>
      <c r="G29" s="8"/>
      <c r="H29" s="8"/>
      <c r="I29" s="8"/>
      <c r="J29" s="8"/>
      <c r="K29" s="8"/>
      <c r="L29" s="8"/>
      <c r="M29" s="10"/>
      <c r="N29" s="10"/>
      <c r="O29" s="10"/>
      <c r="P29" s="10"/>
      <c r="Q29" s="10"/>
      <c r="R29" s="10"/>
      <c r="S29" s="10"/>
      <c r="T29" s="10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10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>
        <v>2.4</v>
      </c>
      <c r="BJ29" s="8"/>
      <c r="BK29" s="10">
        <v>36</v>
      </c>
      <c r="BL29" s="10"/>
      <c r="BM29" s="10"/>
      <c r="BN29" s="10"/>
      <c r="BO29" s="11">
        <f t="shared" si="6"/>
        <v>38.4</v>
      </c>
      <c r="BP29" s="11">
        <f t="shared" si="7"/>
        <v>19.2</v>
      </c>
      <c r="BQ29" s="11"/>
      <c r="BR29" s="11"/>
      <c r="BS29" s="11"/>
      <c r="BT29" s="11"/>
      <c r="BU29" s="11"/>
      <c r="BV29" s="11"/>
      <c r="BW29" s="11">
        <f t="shared" si="2"/>
        <v>19.2</v>
      </c>
      <c r="DA29">
        <f>SUM(CS29:CZ29)</f>
        <v>0</v>
      </c>
      <c r="DB29">
        <f>(DA29-CS29)/2</f>
        <v>0</v>
      </c>
      <c r="DC29" s="12"/>
      <c r="DD29" s="12"/>
      <c r="DE29" s="12"/>
      <c r="DF29" s="12"/>
      <c r="DG29" s="12"/>
      <c r="DH29" s="12"/>
      <c r="DI29" s="12"/>
      <c r="DJ29" s="12"/>
      <c r="DK29" s="12"/>
      <c r="DL29" s="8">
        <f>SUM(DB29:DD29)</f>
        <v>0</v>
      </c>
      <c r="DM29" s="8">
        <f t="shared" si="8"/>
        <v>0</v>
      </c>
      <c r="DN29" s="10"/>
      <c r="DO29" s="10"/>
      <c r="DP29" s="10"/>
      <c r="DQ29" s="10"/>
      <c r="DR29" s="10"/>
      <c r="DS29" s="10"/>
      <c r="DT29" s="10"/>
      <c r="DU29" s="8">
        <f t="shared" si="5"/>
        <v>0</v>
      </c>
    </row>
    <row r="30" spans="1:125" x14ac:dyDescent="0.25">
      <c r="A30">
        <v>20</v>
      </c>
      <c r="B30" s="8" t="s">
        <v>258</v>
      </c>
      <c r="C30" s="8"/>
      <c r="D30" s="8" t="s">
        <v>64</v>
      </c>
      <c r="E30" s="8" t="s">
        <v>364</v>
      </c>
      <c r="F30" s="8"/>
      <c r="G30" s="8"/>
      <c r="H30" s="8"/>
      <c r="I30" s="8"/>
      <c r="J30" s="8"/>
      <c r="K30" s="8"/>
      <c r="L30" s="8"/>
      <c r="M30" s="10"/>
      <c r="N30" s="10"/>
      <c r="O30" s="10"/>
      <c r="P30" s="10"/>
      <c r="Q30" s="10"/>
      <c r="R30" s="10"/>
      <c r="S30" s="10"/>
      <c r="T30" s="10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>
        <v>50</v>
      </c>
      <c r="AF30" s="8"/>
      <c r="AG30" s="8"/>
      <c r="AH30" s="8"/>
      <c r="AI30" s="8">
        <v>5</v>
      </c>
      <c r="AJ30" s="8"/>
      <c r="AK30" s="8"/>
      <c r="AL30" s="8"/>
      <c r="AM30" s="10"/>
      <c r="AN30" s="11">
        <f>SUM(V30:AM30)</f>
        <v>55</v>
      </c>
      <c r="AO30" s="11">
        <f>(AN30-V30)/2</f>
        <v>27.5</v>
      </c>
      <c r="AP30" s="11"/>
      <c r="AQ30" s="11"/>
      <c r="AR30" s="11"/>
      <c r="AS30" s="11"/>
      <c r="AT30" s="11"/>
      <c r="AU30" s="11"/>
      <c r="AV30" s="11">
        <v>5</v>
      </c>
      <c r="AW30" s="11"/>
      <c r="AX30" s="11"/>
      <c r="AY30" s="11"/>
      <c r="AZ30" s="11"/>
      <c r="BA30" s="11"/>
      <c r="BB30" s="11"/>
      <c r="BC30" s="11"/>
      <c r="BD30" s="11">
        <v>75</v>
      </c>
      <c r="BE30" s="11">
        <v>80</v>
      </c>
      <c r="BF30" s="11">
        <v>140</v>
      </c>
      <c r="BG30" s="11">
        <f>SUM(AO30:BF30)</f>
        <v>327.5</v>
      </c>
      <c r="BH30" s="11">
        <f>(BG30-AO30)/2</f>
        <v>150</v>
      </c>
      <c r="BI30" s="11">
        <v>36</v>
      </c>
      <c r="BJ30" s="11"/>
      <c r="BK30" s="11"/>
      <c r="BL30" s="11"/>
      <c r="BM30" s="11"/>
      <c r="BN30" s="11"/>
      <c r="BO30" s="11">
        <f t="shared" si="6"/>
        <v>186</v>
      </c>
      <c r="BP30" s="11">
        <f t="shared" si="7"/>
        <v>18</v>
      </c>
      <c r="BQ30" s="11"/>
      <c r="BR30" s="11"/>
      <c r="BS30" s="11"/>
      <c r="BT30" s="11"/>
      <c r="BU30" s="11"/>
      <c r="BV30" s="11"/>
      <c r="BW30" s="11">
        <f t="shared" si="2"/>
        <v>18</v>
      </c>
      <c r="BY30" s="12">
        <f>SUM(CB30:CG30)/2</f>
        <v>0</v>
      </c>
      <c r="BZ30" s="12">
        <f>AN30/4</f>
        <v>13.75</v>
      </c>
      <c r="CQ30">
        <v>36</v>
      </c>
      <c r="CR30" s="12">
        <f>SUM(BZ30:CQ30)</f>
        <v>49.75</v>
      </c>
      <c r="CS30">
        <f>(CR30-BY30)/2</f>
        <v>24.875</v>
      </c>
      <c r="CT30">
        <f>BG30/4</f>
        <v>81.875</v>
      </c>
      <c r="DA30">
        <f>SUM(CS30:CU30)</f>
        <v>106.75</v>
      </c>
      <c r="DB30">
        <f>(DA30-CS30)/2</f>
        <v>40.9375</v>
      </c>
      <c r="DC30" s="12"/>
      <c r="DD30" s="12"/>
      <c r="DE30" s="12"/>
      <c r="DF30" s="12"/>
      <c r="DG30" s="12"/>
      <c r="DH30" s="12"/>
      <c r="DI30" s="12"/>
      <c r="DJ30" s="12"/>
      <c r="DK30" s="12"/>
      <c r="DL30" s="8">
        <f>SUM(DB30:DD30)</f>
        <v>40.9375</v>
      </c>
      <c r="DM30" s="8">
        <f t="shared" si="8"/>
        <v>0</v>
      </c>
      <c r="DN30" s="10"/>
      <c r="DO30" s="10"/>
      <c r="DP30" s="10"/>
      <c r="DQ30" s="10"/>
      <c r="DR30" s="10"/>
      <c r="DS30" s="10"/>
      <c r="DT30" s="10"/>
      <c r="DU30" s="8">
        <f t="shared" si="5"/>
        <v>0</v>
      </c>
    </row>
    <row r="31" spans="1:125" x14ac:dyDescent="0.25">
      <c r="A31">
        <v>21</v>
      </c>
      <c r="B31" s="8" t="s">
        <v>726</v>
      </c>
      <c r="C31" s="8"/>
      <c r="D31" s="8" t="s">
        <v>727</v>
      </c>
      <c r="E31" s="8" t="s">
        <v>725</v>
      </c>
      <c r="F31" s="8"/>
      <c r="G31" s="8"/>
      <c r="H31" s="8"/>
      <c r="I31" s="8"/>
      <c r="J31" s="8"/>
      <c r="K31" s="8"/>
      <c r="L31" s="8"/>
      <c r="M31" s="10"/>
      <c r="N31" s="10"/>
      <c r="O31" s="10"/>
      <c r="P31" s="10"/>
      <c r="Q31" s="10"/>
      <c r="R31" s="10"/>
      <c r="S31" s="10"/>
      <c r="T31" s="10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10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10">
        <v>3.2</v>
      </c>
      <c r="BK31" s="10">
        <v>7.5</v>
      </c>
      <c r="BL31" s="10"/>
      <c r="BM31" s="10"/>
      <c r="BN31" s="10"/>
      <c r="BO31" s="11">
        <f t="shared" si="6"/>
        <v>10.7</v>
      </c>
      <c r="BP31" s="11">
        <f t="shared" si="7"/>
        <v>5.35</v>
      </c>
      <c r="BQ31" s="11"/>
      <c r="BR31" s="11"/>
      <c r="BS31" s="11"/>
      <c r="BT31" s="11"/>
      <c r="BU31" s="11"/>
      <c r="BV31" s="11"/>
      <c r="BW31" s="11">
        <f t="shared" si="2"/>
        <v>5.35</v>
      </c>
      <c r="DA31">
        <f>SUM(CS31:CZ31)</f>
        <v>0</v>
      </c>
      <c r="DB31">
        <f>(DA31-CS31)/2</f>
        <v>0</v>
      </c>
      <c r="DC31" s="12"/>
      <c r="DD31" s="12"/>
      <c r="DE31" s="12"/>
      <c r="DF31" s="12"/>
      <c r="DG31" s="12"/>
      <c r="DH31" s="12"/>
      <c r="DI31" s="12"/>
      <c r="DJ31" s="12"/>
      <c r="DK31" s="12"/>
      <c r="DL31" s="8">
        <f>SUM(DB31:DD31)</f>
        <v>0</v>
      </c>
      <c r="DM31" s="8">
        <f t="shared" si="8"/>
        <v>0</v>
      </c>
      <c r="DN31" s="10"/>
      <c r="DO31" s="10"/>
      <c r="DP31" s="10"/>
      <c r="DQ31" s="10"/>
      <c r="DR31" s="10"/>
      <c r="DS31" s="10"/>
      <c r="DT31" s="10"/>
      <c r="DU31" s="8">
        <f t="shared" si="5"/>
        <v>0</v>
      </c>
    </row>
    <row r="32" spans="1:125" x14ac:dyDescent="0.25">
      <c r="A32">
        <v>22</v>
      </c>
      <c r="B32" s="8" t="s">
        <v>709</v>
      </c>
      <c r="C32" s="8"/>
      <c r="D32" s="8" t="s">
        <v>710</v>
      </c>
      <c r="E32" s="8" t="s">
        <v>24</v>
      </c>
      <c r="F32" s="8"/>
      <c r="G32" s="8"/>
      <c r="H32" s="8"/>
      <c r="I32" s="8"/>
      <c r="J32" s="8"/>
      <c r="K32" s="8"/>
      <c r="L32" s="8"/>
      <c r="M32" s="10"/>
      <c r="N32" s="10"/>
      <c r="O32" s="10"/>
      <c r="P32" s="10"/>
      <c r="Q32" s="10"/>
      <c r="R32" s="10"/>
      <c r="S32" s="10"/>
      <c r="T32" s="10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10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10">
        <v>5</v>
      </c>
      <c r="BL32" s="10"/>
      <c r="BM32" s="10"/>
      <c r="BN32" s="10"/>
      <c r="BO32" s="11">
        <f t="shared" si="6"/>
        <v>5</v>
      </c>
      <c r="BP32" s="11">
        <f t="shared" si="7"/>
        <v>2.5</v>
      </c>
      <c r="BQ32" s="11"/>
      <c r="BR32" s="11"/>
      <c r="BS32" s="11"/>
      <c r="BT32" s="11"/>
      <c r="BU32" s="11"/>
      <c r="BV32" s="11"/>
      <c r="BW32" s="11">
        <f t="shared" si="2"/>
        <v>2.5</v>
      </c>
      <c r="DA32">
        <f>SUM(CS32:CZ32)</f>
        <v>0</v>
      </c>
      <c r="DB32">
        <f>(DA32-CS32)/2</f>
        <v>0</v>
      </c>
      <c r="DC32" s="12"/>
      <c r="DD32" s="12"/>
      <c r="DE32" s="12"/>
      <c r="DF32" s="12"/>
      <c r="DG32" s="12"/>
      <c r="DH32" s="12"/>
      <c r="DI32" s="12"/>
      <c r="DJ32" s="12"/>
      <c r="DK32" s="12"/>
      <c r="DL32" s="8">
        <f>SUM(DB32:DD32)</f>
        <v>0</v>
      </c>
      <c r="DM32" s="8">
        <f t="shared" si="8"/>
        <v>0</v>
      </c>
      <c r="DN32" s="10"/>
      <c r="DO32" s="10"/>
      <c r="DP32" s="10"/>
      <c r="DQ32" s="10"/>
      <c r="DR32" s="10"/>
      <c r="DS32" s="10"/>
      <c r="DT32" s="10"/>
      <c r="DU32" s="8">
        <f t="shared" si="5"/>
        <v>0</v>
      </c>
    </row>
    <row r="33" spans="1:125" x14ac:dyDescent="0.25">
      <c r="A33">
        <v>23</v>
      </c>
      <c r="B33" s="8" t="s">
        <v>785</v>
      </c>
      <c r="C33" s="8"/>
      <c r="D33" s="8" t="s">
        <v>498</v>
      </c>
      <c r="E33" s="8" t="s">
        <v>427</v>
      </c>
      <c r="BO33" s="11">
        <f t="shared" si="6"/>
        <v>0</v>
      </c>
      <c r="BP33" s="11">
        <f t="shared" si="7"/>
        <v>0</v>
      </c>
      <c r="BQ33" s="11"/>
      <c r="BR33" s="11"/>
      <c r="BS33" s="11"/>
      <c r="BT33" s="11"/>
      <c r="BU33" s="11"/>
      <c r="BV33" s="11"/>
      <c r="BW33" s="11">
        <f t="shared" si="2"/>
        <v>0</v>
      </c>
      <c r="DK33" s="12">
        <v>2</v>
      </c>
      <c r="DL33" s="8">
        <f>SUM(DB33:DK33)</f>
        <v>2</v>
      </c>
      <c r="DM33" s="8">
        <f t="shared" si="8"/>
        <v>1</v>
      </c>
      <c r="DN33" s="10"/>
      <c r="DO33" s="10"/>
      <c r="DP33" s="10"/>
      <c r="DQ33" s="10"/>
      <c r="DR33" s="10"/>
      <c r="DS33" s="10"/>
      <c r="DT33" s="10"/>
      <c r="DU33" s="8">
        <f t="shared" si="5"/>
        <v>1</v>
      </c>
    </row>
    <row r="34" spans="1:125" x14ac:dyDescent="0.25">
      <c r="A34">
        <v>24</v>
      </c>
      <c r="B34" s="26" t="s">
        <v>180</v>
      </c>
      <c r="C34" s="26" t="s">
        <v>181</v>
      </c>
      <c r="D34" s="26" t="s">
        <v>42</v>
      </c>
      <c r="E34" s="26" t="s">
        <v>62</v>
      </c>
      <c r="BO34" s="8"/>
      <c r="BP34" s="8"/>
      <c r="BQ34" s="10"/>
      <c r="BR34" s="10"/>
      <c r="BS34" s="10"/>
      <c r="BT34" s="8"/>
      <c r="BU34" s="8"/>
      <c r="BV34" s="8"/>
      <c r="BW34" s="11">
        <f t="shared" si="2"/>
        <v>0</v>
      </c>
      <c r="DL34" s="8"/>
      <c r="DM34" s="8"/>
      <c r="DN34" s="10"/>
      <c r="DO34" s="10"/>
      <c r="DP34" s="10"/>
      <c r="DQ34" s="10">
        <v>150</v>
      </c>
      <c r="DR34" s="10">
        <v>100</v>
      </c>
      <c r="DS34" s="10">
        <v>48</v>
      </c>
      <c r="DT34" s="10"/>
      <c r="DU34" s="26">
        <f>SUM(DM34:DS34)</f>
        <v>298</v>
      </c>
    </row>
  </sheetData>
  <sortState xmlns:xlrd2="http://schemas.microsoft.com/office/spreadsheetml/2017/richdata2" ref="B11:DU34">
    <sortCondition descending="1" ref="BW11:BW34"/>
  </sortState>
  <mergeCells count="6">
    <mergeCell ref="B1:DU1"/>
    <mergeCell ref="B8:C10"/>
    <mergeCell ref="BK9:BN9"/>
    <mergeCell ref="BS9:BV9"/>
    <mergeCell ref="D4:BW5"/>
    <mergeCell ref="BY4:DU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W38"/>
  <sheetViews>
    <sheetView tabSelected="1" zoomScale="80" zoomScaleNormal="80" workbookViewId="0">
      <selection activeCell="DZ21" sqref="DZ21"/>
    </sheetView>
  </sheetViews>
  <sheetFormatPr baseColWidth="10" defaultRowHeight="15" x14ac:dyDescent="0.25"/>
  <cols>
    <col min="1" max="1" width="3.140625" bestFit="1" customWidth="1"/>
    <col min="2" max="2" width="13.5703125" bestFit="1" customWidth="1"/>
    <col min="4" max="4" width="13" bestFit="1" customWidth="1"/>
    <col min="5" max="5" width="23.42578125" bestFit="1" customWidth="1"/>
    <col min="6" max="6" width="6.28515625" hidden="1" customWidth="1"/>
    <col min="7" max="8" width="7.28515625" hidden="1" customWidth="1"/>
    <col min="9" max="9" width="6.28515625" hidden="1" customWidth="1"/>
    <col min="10" max="12" width="6.28515625" style="12" hidden="1" customWidth="1"/>
    <col min="13" max="13" width="6.7109375" style="12" hidden="1" customWidth="1"/>
    <col min="14" max="15" width="7.28515625" style="12" hidden="1" customWidth="1"/>
    <col min="16" max="17" width="6.42578125" style="12" hidden="1" customWidth="1"/>
    <col min="18" max="18" width="5.7109375" style="12" hidden="1" customWidth="1"/>
    <col min="19" max="19" width="0" hidden="1" customWidth="1"/>
    <col min="20" max="20" width="6.85546875" hidden="1" customWidth="1"/>
    <col min="21" max="34" width="6" style="12" hidden="1" customWidth="1"/>
    <col min="35" max="36" width="8.5703125" hidden="1" customWidth="1"/>
    <col min="37" max="42" width="6" hidden="1" customWidth="1"/>
    <col min="43" max="54" width="6" style="12" hidden="1" customWidth="1"/>
    <col min="55" max="55" width="7.140625" style="12" hidden="1" customWidth="1"/>
    <col min="56" max="57" width="8.5703125" hidden="1" customWidth="1"/>
    <col min="58" max="63" width="8.5703125" style="12" hidden="1" customWidth="1"/>
    <col min="64" max="65" width="8.5703125" customWidth="1"/>
    <col min="66" max="68" width="8.5703125" style="12" customWidth="1"/>
    <col min="69" max="72" width="8.5703125" customWidth="1"/>
    <col min="74" max="76" width="0" hidden="1" customWidth="1"/>
    <col min="77" max="77" width="10.140625" hidden="1" customWidth="1"/>
    <col min="78" max="78" width="6.42578125" hidden="1" customWidth="1"/>
    <col min="79" max="79" width="6.42578125" style="12" hidden="1" customWidth="1"/>
    <col min="80" max="80" width="9" style="12" hidden="1" customWidth="1"/>
    <col min="81" max="81" width="7.28515625" style="12" hidden="1" customWidth="1"/>
    <col min="82" max="84" width="6.42578125" style="12" hidden="1" customWidth="1"/>
    <col min="85" max="86" width="0" hidden="1" customWidth="1"/>
    <col min="87" max="89" width="9.7109375" hidden="1" customWidth="1"/>
    <col min="90" max="90" width="10.7109375" hidden="1" customWidth="1"/>
    <col min="91" max="91" width="7.140625" hidden="1" customWidth="1"/>
    <col min="92" max="94" width="7.5703125" hidden="1" customWidth="1"/>
    <col min="95" max="97" width="0" hidden="1" customWidth="1"/>
    <col min="98" max="103" width="6" style="12" hidden="1" customWidth="1"/>
    <col min="104" max="104" width="11.85546875" hidden="1" customWidth="1"/>
    <col min="105" max="105" width="9.140625" hidden="1" customWidth="1"/>
    <col min="106" max="106" width="6.85546875" hidden="1" customWidth="1"/>
    <col min="107" max="117" width="6" hidden="1" customWidth="1"/>
    <col min="120" max="120" width="11.42578125" style="12"/>
    <col min="121" max="121" width="6" style="12" bestFit="1" customWidth="1"/>
    <col min="122" max="126" width="6" style="12" customWidth="1"/>
  </cols>
  <sheetData>
    <row r="1" spans="1:127" ht="26.25" x14ac:dyDescent="0.4">
      <c r="B1" s="80" t="s">
        <v>3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  <c r="CG1" s="80"/>
      <c r="CH1" s="80"/>
      <c r="CI1" s="80"/>
      <c r="CJ1" s="80"/>
      <c r="CK1" s="80"/>
      <c r="CL1" s="80"/>
      <c r="CM1" s="80"/>
      <c r="CN1" s="80"/>
      <c r="CO1" s="80"/>
      <c r="CP1" s="80"/>
      <c r="CQ1" s="80"/>
      <c r="CR1" s="80"/>
      <c r="CS1" s="80"/>
      <c r="CT1" s="80"/>
      <c r="CU1" s="80"/>
      <c r="CV1" s="80"/>
      <c r="CW1" s="80"/>
      <c r="CX1" s="80"/>
      <c r="CY1" s="80"/>
      <c r="CZ1" s="80"/>
      <c r="DA1" s="80"/>
      <c r="DB1" s="80"/>
      <c r="DC1" s="80"/>
      <c r="DD1" s="80"/>
      <c r="DE1" s="80"/>
      <c r="DF1" s="80"/>
      <c r="DG1" s="80"/>
      <c r="DH1" s="80"/>
      <c r="DI1" s="80"/>
      <c r="DJ1" s="80"/>
      <c r="DK1" s="80"/>
      <c r="DL1" s="80"/>
      <c r="DM1" s="80"/>
      <c r="DN1" s="80"/>
      <c r="DO1" s="80"/>
      <c r="DP1" s="80"/>
      <c r="DQ1" s="80"/>
      <c r="DR1" s="80"/>
      <c r="DS1" s="80"/>
      <c r="DT1" s="80"/>
      <c r="DU1" s="80"/>
      <c r="DV1" s="80"/>
      <c r="DW1" s="80"/>
    </row>
    <row r="2" spans="1:127" ht="15.75" thickBot="1" x14ac:dyDescent="0.3">
      <c r="C2" s="12"/>
      <c r="D2" s="12"/>
      <c r="E2" s="12"/>
    </row>
    <row r="3" spans="1:127" ht="15.75" thickTop="1" x14ac:dyDescent="0.25">
      <c r="B3" s="1" t="s">
        <v>0</v>
      </c>
      <c r="C3" s="4" t="s">
        <v>10</v>
      </c>
    </row>
    <row r="4" spans="1:127" ht="15.6" customHeight="1" x14ac:dyDescent="0.25">
      <c r="B4" s="2" t="s">
        <v>1</v>
      </c>
      <c r="C4" s="5" t="s">
        <v>11</v>
      </c>
      <c r="D4" s="81" t="s">
        <v>791</v>
      </c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2"/>
      <c r="BK4" s="82"/>
      <c r="BL4" s="82"/>
      <c r="BM4" s="82"/>
      <c r="BN4" s="82"/>
      <c r="BO4" s="82"/>
      <c r="BP4" s="82"/>
      <c r="BQ4" s="82"/>
      <c r="BR4" s="82"/>
      <c r="BS4" s="82"/>
      <c r="BT4" s="82"/>
      <c r="BV4" s="82" t="s">
        <v>792</v>
      </c>
      <c r="BW4" s="82"/>
      <c r="BX4" s="82"/>
      <c r="BY4" s="82"/>
      <c r="BZ4" s="82"/>
      <c r="CA4" s="82"/>
      <c r="CB4" s="82"/>
      <c r="CC4" s="82"/>
      <c r="CD4" s="82"/>
      <c r="CE4" s="82"/>
      <c r="CF4" s="82"/>
      <c r="CG4" s="82"/>
      <c r="CH4" s="82"/>
      <c r="CI4" s="82"/>
      <c r="CJ4" s="82"/>
      <c r="CK4" s="82"/>
      <c r="CL4" s="82"/>
      <c r="CM4" s="82"/>
      <c r="CN4" s="82"/>
      <c r="CO4" s="82"/>
      <c r="CP4" s="82"/>
      <c r="CQ4" s="82"/>
      <c r="CR4" s="82"/>
      <c r="CS4" s="82"/>
      <c r="CT4" s="82"/>
      <c r="CU4" s="82"/>
      <c r="CV4" s="82"/>
      <c r="CW4" s="82"/>
      <c r="CX4" s="82"/>
      <c r="CY4" s="82"/>
      <c r="CZ4" s="82"/>
      <c r="DA4" s="82"/>
      <c r="DB4" s="82"/>
      <c r="DC4" s="82"/>
      <c r="DD4" s="82"/>
      <c r="DE4" s="82"/>
      <c r="DF4" s="82"/>
      <c r="DG4" s="82"/>
      <c r="DH4" s="82"/>
      <c r="DI4" s="82"/>
      <c r="DJ4" s="82"/>
      <c r="DK4" s="82"/>
      <c r="DL4" s="82"/>
      <c r="DM4" s="82"/>
      <c r="DN4" s="82"/>
      <c r="DO4" s="82"/>
      <c r="DP4" s="82"/>
      <c r="DQ4" s="82"/>
      <c r="DR4" s="82"/>
      <c r="DS4" s="82"/>
      <c r="DT4" s="82"/>
      <c r="DU4" s="82"/>
      <c r="DV4" s="82"/>
      <c r="DW4" s="82"/>
    </row>
    <row r="5" spans="1:127" ht="16.149999999999999" customHeight="1" thickBot="1" x14ac:dyDescent="0.3">
      <c r="B5" s="3" t="s">
        <v>2</v>
      </c>
      <c r="C5" s="53">
        <v>-63</v>
      </c>
      <c r="D5" s="81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2"/>
      <c r="BI5" s="82"/>
      <c r="BJ5" s="82"/>
      <c r="BK5" s="82"/>
      <c r="BL5" s="82"/>
      <c r="BM5" s="82"/>
      <c r="BN5" s="82"/>
      <c r="BO5" s="82"/>
      <c r="BP5" s="82"/>
      <c r="BQ5" s="82"/>
      <c r="BR5" s="82"/>
      <c r="BS5" s="82"/>
      <c r="BT5" s="82"/>
      <c r="BV5" s="82"/>
      <c r="BW5" s="82"/>
      <c r="BX5" s="82"/>
      <c r="BY5" s="82"/>
      <c r="BZ5" s="82"/>
      <c r="CA5" s="82"/>
      <c r="CB5" s="82"/>
      <c r="CC5" s="82"/>
      <c r="CD5" s="82"/>
      <c r="CE5" s="82"/>
      <c r="CF5" s="82"/>
      <c r="CG5" s="82"/>
      <c r="CH5" s="82"/>
      <c r="CI5" s="82"/>
      <c r="CJ5" s="82"/>
      <c r="CK5" s="82"/>
      <c r="CL5" s="82"/>
      <c r="CM5" s="82"/>
      <c r="CN5" s="82"/>
      <c r="CO5" s="82"/>
      <c r="CP5" s="82"/>
      <c r="CQ5" s="82"/>
      <c r="CR5" s="82"/>
      <c r="CS5" s="82"/>
      <c r="CT5" s="82"/>
      <c r="CU5" s="82"/>
      <c r="CV5" s="82"/>
      <c r="CW5" s="82"/>
      <c r="CX5" s="82"/>
      <c r="CY5" s="82"/>
      <c r="CZ5" s="82"/>
      <c r="DA5" s="82"/>
      <c r="DB5" s="82"/>
      <c r="DC5" s="82"/>
      <c r="DD5" s="82"/>
      <c r="DE5" s="82"/>
      <c r="DF5" s="82"/>
      <c r="DG5" s="82"/>
      <c r="DH5" s="82"/>
      <c r="DI5" s="82"/>
      <c r="DJ5" s="82"/>
      <c r="DK5" s="82"/>
      <c r="DL5" s="82"/>
      <c r="DM5" s="82"/>
      <c r="DN5" s="82"/>
      <c r="DO5" s="82"/>
      <c r="DP5" s="82"/>
      <c r="DQ5" s="82"/>
      <c r="DR5" s="82"/>
      <c r="DS5" s="82"/>
      <c r="DT5" s="82"/>
      <c r="DU5" s="82"/>
      <c r="DV5" s="82"/>
      <c r="DW5" s="82"/>
    </row>
    <row r="6" spans="1:127" ht="15.75" thickTop="1" x14ac:dyDescent="0.25"/>
    <row r="7" spans="1:127" ht="15.75" thickBot="1" x14ac:dyDescent="0.3"/>
    <row r="8" spans="1:127" ht="15.75" thickTop="1" x14ac:dyDescent="0.25">
      <c r="B8" s="73" t="s">
        <v>61</v>
      </c>
      <c r="C8" s="74"/>
      <c r="D8" s="1"/>
      <c r="E8" s="1"/>
      <c r="F8" s="4" t="s">
        <v>170</v>
      </c>
      <c r="G8" s="4" t="s">
        <v>224</v>
      </c>
      <c r="H8" s="4" t="s">
        <v>82</v>
      </c>
      <c r="I8" s="4" t="s">
        <v>287</v>
      </c>
      <c r="J8" s="4" t="s">
        <v>286</v>
      </c>
      <c r="K8" s="4" t="s">
        <v>286</v>
      </c>
      <c r="L8" s="4" t="s">
        <v>296</v>
      </c>
      <c r="M8" s="4" t="s">
        <v>82</v>
      </c>
      <c r="N8" s="4" t="s">
        <v>82</v>
      </c>
      <c r="O8" s="4" t="s">
        <v>316</v>
      </c>
      <c r="P8" s="4" t="s">
        <v>82</v>
      </c>
      <c r="Q8" s="4" t="s">
        <v>334</v>
      </c>
      <c r="R8" s="4" t="s">
        <v>334</v>
      </c>
      <c r="S8" s="1"/>
      <c r="T8" s="25">
        <v>44927</v>
      </c>
      <c r="U8" s="29" t="s">
        <v>82</v>
      </c>
      <c r="V8" s="29" t="s">
        <v>82</v>
      </c>
      <c r="W8" s="29" t="s">
        <v>334</v>
      </c>
      <c r="X8" s="29" t="s">
        <v>82</v>
      </c>
      <c r="Y8" s="29" t="s">
        <v>387</v>
      </c>
      <c r="Z8" s="29" t="s">
        <v>387</v>
      </c>
      <c r="AA8" s="29" t="s">
        <v>387</v>
      </c>
      <c r="AB8" s="29" t="s">
        <v>82</v>
      </c>
      <c r="AC8" s="29" t="s">
        <v>334</v>
      </c>
      <c r="AD8" s="29" t="s">
        <v>82</v>
      </c>
      <c r="AE8" s="29" t="s">
        <v>82</v>
      </c>
      <c r="AF8" s="29" t="s">
        <v>334</v>
      </c>
      <c r="AG8" s="29" t="s">
        <v>82</v>
      </c>
      <c r="AH8" s="29" t="s">
        <v>339</v>
      </c>
      <c r="AI8" s="1" t="s">
        <v>9</v>
      </c>
      <c r="AJ8" s="29">
        <v>45292</v>
      </c>
      <c r="AK8" s="29" t="s">
        <v>82</v>
      </c>
      <c r="AL8" s="29" t="s">
        <v>82</v>
      </c>
      <c r="AM8" s="29" t="s">
        <v>82</v>
      </c>
      <c r="AN8" s="29" t="s">
        <v>82</v>
      </c>
      <c r="AO8" s="29" t="s">
        <v>334</v>
      </c>
      <c r="AP8" s="29" t="s">
        <v>82</v>
      </c>
      <c r="AQ8" s="29" t="s">
        <v>334</v>
      </c>
      <c r="AR8" s="29" t="s">
        <v>387</v>
      </c>
      <c r="AS8" s="29" t="s">
        <v>387</v>
      </c>
      <c r="AT8" s="29" t="s">
        <v>387</v>
      </c>
      <c r="AU8" s="29" t="s">
        <v>334</v>
      </c>
      <c r="AV8" s="29" t="s">
        <v>82</v>
      </c>
      <c r="AW8" s="29" t="s">
        <v>82</v>
      </c>
      <c r="AX8" s="29" t="s">
        <v>82</v>
      </c>
      <c r="AY8" s="29" t="s">
        <v>82</v>
      </c>
      <c r="AZ8" s="29" t="s">
        <v>82</v>
      </c>
      <c r="BA8" s="29" t="s">
        <v>334</v>
      </c>
      <c r="BB8" s="29" t="s">
        <v>597</v>
      </c>
      <c r="BC8" s="29" t="s">
        <v>339</v>
      </c>
      <c r="BD8" s="29" t="s">
        <v>9</v>
      </c>
      <c r="BE8" s="29">
        <v>45658</v>
      </c>
      <c r="BF8" s="29"/>
      <c r="BG8" s="29"/>
      <c r="BH8" s="59"/>
      <c r="BI8" s="60"/>
      <c r="BJ8" s="60"/>
      <c r="BK8" s="61"/>
      <c r="BL8" s="29" t="s">
        <v>9</v>
      </c>
      <c r="BM8" s="29">
        <v>46023</v>
      </c>
      <c r="BN8" s="29"/>
      <c r="BO8" s="29"/>
      <c r="BP8" s="59"/>
      <c r="BQ8" s="60"/>
      <c r="BR8" s="60"/>
      <c r="BS8" s="61"/>
      <c r="BT8" s="29" t="s">
        <v>612</v>
      </c>
      <c r="BV8" s="25">
        <v>44927</v>
      </c>
      <c r="BW8" s="1" t="s">
        <v>59</v>
      </c>
      <c r="BX8" s="1" t="s">
        <v>59</v>
      </c>
      <c r="BY8" s="4" t="s">
        <v>58</v>
      </c>
      <c r="BZ8" s="4" t="s">
        <v>120</v>
      </c>
      <c r="CA8" s="4" t="s">
        <v>291</v>
      </c>
      <c r="CB8" s="4" t="s">
        <v>79</v>
      </c>
      <c r="CC8" s="4" t="s">
        <v>79</v>
      </c>
      <c r="CD8" s="4" t="s">
        <v>325</v>
      </c>
      <c r="CE8" s="4" t="s">
        <v>331</v>
      </c>
      <c r="CF8" s="4" t="s">
        <v>79</v>
      </c>
      <c r="CG8" s="1" t="s">
        <v>9</v>
      </c>
      <c r="CH8" s="1" t="s">
        <v>58</v>
      </c>
      <c r="CI8" s="1" t="s">
        <v>349</v>
      </c>
      <c r="CJ8" s="1" t="s">
        <v>381</v>
      </c>
      <c r="CK8" s="32" t="s">
        <v>385</v>
      </c>
      <c r="CL8" s="32" t="s">
        <v>411</v>
      </c>
      <c r="CM8" s="4" t="s">
        <v>331</v>
      </c>
      <c r="CN8" s="4" t="s">
        <v>120</v>
      </c>
      <c r="CO8" s="4" t="s">
        <v>443</v>
      </c>
      <c r="CP8" s="4" t="s">
        <v>335</v>
      </c>
      <c r="CQ8" s="1" t="s">
        <v>9</v>
      </c>
      <c r="CR8" s="25">
        <v>45292</v>
      </c>
      <c r="CS8" s="4" t="s">
        <v>59</v>
      </c>
      <c r="CT8" s="4" t="s">
        <v>464</v>
      </c>
      <c r="CU8" s="4" t="s">
        <v>120</v>
      </c>
      <c r="CV8" s="4" t="s">
        <v>505</v>
      </c>
      <c r="CW8" s="4" t="s">
        <v>505</v>
      </c>
      <c r="CX8" s="4" t="s">
        <v>505</v>
      </c>
      <c r="CY8" s="4" t="s">
        <v>335</v>
      </c>
      <c r="CZ8" s="1" t="s">
        <v>9</v>
      </c>
      <c r="DA8" s="25">
        <v>45658</v>
      </c>
      <c r="DB8" s="4" t="s">
        <v>464</v>
      </c>
      <c r="DC8" s="4" t="s">
        <v>302</v>
      </c>
      <c r="DD8" s="4" t="s">
        <v>505</v>
      </c>
      <c r="DE8" s="4" t="s">
        <v>120</v>
      </c>
      <c r="DF8" s="4" t="s">
        <v>505</v>
      </c>
      <c r="DG8" s="4" t="s">
        <v>505</v>
      </c>
      <c r="DH8" s="4" t="s">
        <v>302</v>
      </c>
      <c r="DI8" s="4" t="s">
        <v>505</v>
      </c>
      <c r="DJ8" s="4" t="s">
        <v>302</v>
      </c>
      <c r="DK8" s="4" t="s">
        <v>331</v>
      </c>
      <c r="DL8" s="4" t="s">
        <v>335</v>
      </c>
      <c r="DM8" s="4" t="s">
        <v>443</v>
      </c>
      <c r="DN8" s="1" t="s">
        <v>612</v>
      </c>
      <c r="DO8" s="29">
        <v>46023</v>
      </c>
      <c r="DP8" s="4" t="s">
        <v>58</v>
      </c>
      <c r="DQ8" s="4" t="s">
        <v>120</v>
      </c>
      <c r="DR8" s="4" t="s">
        <v>505</v>
      </c>
      <c r="DS8" s="4" t="s">
        <v>331</v>
      </c>
      <c r="DT8" s="4" t="s">
        <v>302</v>
      </c>
      <c r="DU8" s="4" t="s">
        <v>505</v>
      </c>
      <c r="DV8" s="4" t="s">
        <v>77</v>
      </c>
      <c r="DW8" s="1" t="s">
        <v>9</v>
      </c>
    </row>
    <row r="9" spans="1:127" x14ac:dyDescent="0.25">
      <c r="B9" s="75"/>
      <c r="C9" s="76"/>
      <c r="D9" s="2"/>
      <c r="E9" s="2"/>
      <c r="F9" s="14" t="s">
        <v>171</v>
      </c>
      <c r="G9" s="14" t="s">
        <v>225</v>
      </c>
      <c r="H9" s="14" t="s">
        <v>259</v>
      </c>
      <c r="I9" s="14" t="s">
        <v>278</v>
      </c>
      <c r="J9" s="14" t="s">
        <v>284</v>
      </c>
      <c r="K9" s="14" t="s">
        <v>290</v>
      </c>
      <c r="L9" s="14" t="s">
        <v>171</v>
      </c>
      <c r="M9" s="14" t="s">
        <v>132</v>
      </c>
      <c r="N9" s="14" t="s">
        <v>314</v>
      </c>
      <c r="O9" s="14" t="s">
        <v>317</v>
      </c>
      <c r="P9" s="14" t="s">
        <v>314</v>
      </c>
      <c r="Q9" s="14" t="s">
        <v>335</v>
      </c>
      <c r="R9" s="14" t="s">
        <v>339</v>
      </c>
      <c r="S9" s="2" t="s">
        <v>9</v>
      </c>
      <c r="T9" s="2"/>
      <c r="U9" s="5" t="s">
        <v>132</v>
      </c>
      <c r="V9" s="5" t="s">
        <v>85</v>
      </c>
      <c r="W9" s="5" t="s">
        <v>287</v>
      </c>
      <c r="X9" s="5" t="s">
        <v>314</v>
      </c>
      <c r="Y9" s="5" t="s">
        <v>286</v>
      </c>
      <c r="Z9" s="5" t="s">
        <v>289</v>
      </c>
      <c r="AA9" s="5" t="s">
        <v>287</v>
      </c>
      <c r="AB9" s="5" t="s">
        <v>261</v>
      </c>
      <c r="AC9" s="5" t="s">
        <v>286</v>
      </c>
      <c r="AD9" s="5" t="s">
        <v>132</v>
      </c>
      <c r="AE9" s="5" t="s">
        <v>304</v>
      </c>
      <c r="AF9" s="5" t="s">
        <v>289</v>
      </c>
      <c r="AG9" s="5" t="s">
        <v>261</v>
      </c>
      <c r="AH9" s="5"/>
      <c r="AI9" s="2"/>
      <c r="AJ9" s="5"/>
      <c r="AK9" s="5" t="s">
        <v>261</v>
      </c>
      <c r="AL9" s="5" t="s">
        <v>492</v>
      </c>
      <c r="AM9" s="5" t="s">
        <v>308</v>
      </c>
      <c r="AN9" s="5" t="s">
        <v>132</v>
      </c>
      <c r="AO9" s="5" t="s">
        <v>286</v>
      </c>
      <c r="AP9" s="5" t="s">
        <v>434</v>
      </c>
      <c r="AQ9" s="5" t="s">
        <v>524</v>
      </c>
      <c r="AR9" s="5" t="s">
        <v>286</v>
      </c>
      <c r="AS9" s="5" t="s">
        <v>287</v>
      </c>
      <c r="AT9" s="5" t="s">
        <v>289</v>
      </c>
      <c r="AU9" s="5" t="s">
        <v>287</v>
      </c>
      <c r="AV9" s="5" t="s">
        <v>492</v>
      </c>
      <c r="AW9" s="5" t="s">
        <v>308</v>
      </c>
      <c r="AX9" s="5" t="s">
        <v>167</v>
      </c>
      <c r="AY9" s="5" t="s">
        <v>261</v>
      </c>
      <c r="AZ9" s="5" t="s">
        <v>578</v>
      </c>
      <c r="BA9" s="5" t="s">
        <v>289</v>
      </c>
      <c r="BB9" s="5" t="s">
        <v>492</v>
      </c>
      <c r="BC9" s="5" t="s">
        <v>606</v>
      </c>
      <c r="BD9" s="5"/>
      <c r="BE9" s="5"/>
      <c r="BF9" s="14" t="s">
        <v>82</v>
      </c>
      <c r="BG9" s="14" t="s">
        <v>387</v>
      </c>
      <c r="BH9" s="77" t="s">
        <v>608</v>
      </c>
      <c r="BI9" s="78"/>
      <c r="BJ9" s="78"/>
      <c r="BK9" s="79"/>
      <c r="BL9" s="5"/>
      <c r="BM9" s="5"/>
      <c r="BN9" s="14" t="s">
        <v>82</v>
      </c>
      <c r="BO9" s="14" t="s">
        <v>387</v>
      </c>
      <c r="BP9" s="77" t="s">
        <v>608</v>
      </c>
      <c r="BQ9" s="78"/>
      <c r="BR9" s="78"/>
      <c r="BS9" s="79"/>
      <c r="BT9" s="14"/>
      <c r="BV9" s="2"/>
      <c r="BW9" s="2" t="s">
        <v>60</v>
      </c>
      <c r="BX9" s="2" t="s">
        <v>60</v>
      </c>
      <c r="BY9" s="5"/>
      <c r="BZ9" s="5" t="s">
        <v>121</v>
      </c>
      <c r="CA9" s="5" t="s">
        <v>292</v>
      </c>
      <c r="CB9" s="5" t="s">
        <v>312</v>
      </c>
      <c r="CC9" s="5" t="s">
        <v>121</v>
      </c>
      <c r="CD9" s="5" t="s">
        <v>326</v>
      </c>
      <c r="CE9" s="5" t="s">
        <v>332</v>
      </c>
      <c r="CF9" s="5" t="s">
        <v>332</v>
      </c>
      <c r="CG9" s="2"/>
      <c r="CH9" s="2"/>
      <c r="CI9" s="2"/>
      <c r="CJ9" s="2"/>
      <c r="CK9" s="33"/>
      <c r="CL9" s="33"/>
      <c r="CM9" s="5" t="s">
        <v>326</v>
      </c>
      <c r="CN9" s="5" t="s">
        <v>430</v>
      </c>
      <c r="CO9" s="5" t="s">
        <v>444</v>
      </c>
      <c r="CP9" s="5" t="s">
        <v>444</v>
      </c>
      <c r="CQ9" s="2"/>
      <c r="CS9" s="5" t="s">
        <v>60</v>
      </c>
      <c r="CT9" s="5"/>
      <c r="CU9" s="5" t="s">
        <v>501</v>
      </c>
      <c r="CV9" s="5" t="s">
        <v>444</v>
      </c>
      <c r="CW9" s="5" t="s">
        <v>292</v>
      </c>
      <c r="CX9" s="5" t="s">
        <v>430</v>
      </c>
      <c r="CY9" s="5" t="s">
        <v>171</v>
      </c>
      <c r="CZ9" s="2"/>
      <c r="DA9" s="2"/>
      <c r="DB9" s="5"/>
      <c r="DC9" s="5" t="s">
        <v>311</v>
      </c>
      <c r="DD9" s="5" t="s">
        <v>501</v>
      </c>
      <c r="DE9" s="5" t="s">
        <v>444</v>
      </c>
      <c r="DF9" s="5" t="s">
        <v>687</v>
      </c>
      <c r="DG9" s="5" t="s">
        <v>584</v>
      </c>
      <c r="DH9" s="5" t="s">
        <v>544</v>
      </c>
      <c r="DI9" s="5" t="s">
        <v>544</v>
      </c>
      <c r="DJ9" s="5" t="s">
        <v>758</v>
      </c>
      <c r="DK9" s="5" t="s">
        <v>326</v>
      </c>
      <c r="DL9" s="5" t="s">
        <v>171</v>
      </c>
      <c r="DM9" s="5" t="s">
        <v>544</v>
      </c>
      <c r="DN9" s="2"/>
      <c r="DO9" s="5"/>
      <c r="DP9" s="5"/>
      <c r="DQ9" s="5" t="s">
        <v>225</v>
      </c>
      <c r="DR9" s="5" t="s">
        <v>444</v>
      </c>
      <c r="DS9" s="5" t="s">
        <v>444</v>
      </c>
      <c r="DT9" s="5" t="s">
        <v>544</v>
      </c>
      <c r="DU9" s="5" t="s">
        <v>544</v>
      </c>
      <c r="DV9" s="5" t="s">
        <v>900</v>
      </c>
      <c r="DW9" s="2"/>
    </row>
    <row r="10" spans="1:127" x14ac:dyDescent="0.25">
      <c r="B10" s="75"/>
      <c r="C10" s="76"/>
      <c r="D10" s="2" t="s">
        <v>4</v>
      </c>
      <c r="E10" s="2" t="s">
        <v>5</v>
      </c>
      <c r="F10" s="5" t="s">
        <v>172</v>
      </c>
      <c r="G10" s="15">
        <v>44695</v>
      </c>
      <c r="H10" s="15">
        <v>44709</v>
      </c>
      <c r="I10" s="15">
        <v>44730</v>
      </c>
      <c r="J10" s="15">
        <v>44730</v>
      </c>
      <c r="K10" s="15">
        <v>44737</v>
      </c>
      <c r="L10" s="15">
        <v>44758</v>
      </c>
      <c r="M10" s="15">
        <v>44779</v>
      </c>
      <c r="N10" s="15">
        <v>44814</v>
      </c>
      <c r="O10" s="15">
        <v>44828</v>
      </c>
      <c r="P10" s="15">
        <v>44856</v>
      </c>
      <c r="Q10" s="15">
        <v>44891</v>
      </c>
      <c r="R10" s="15">
        <v>44905</v>
      </c>
      <c r="S10" s="2">
        <v>2022</v>
      </c>
      <c r="T10" s="2"/>
      <c r="U10" s="5" t="s">
        <v>353</v>
      </c>
      <c r="V10" s="5" t="s">
        <v>359</v>
      </c>
      <c r="W10" s="5" t="s">
        <v>172</v>
      </c>
      <c r="X10" s="5" t="s">
        <v>379</v>
      </c>
      <c r="Y10" s="5" t="s">
        <v>388</v>
      </c>
      <c r="Z10" s="5" t="s">
        <v>396</v>
      </c>
      <c r="AA10" s="5" t="s">
        <v>400</v>
      </c>
      <c r="AB10" s="5" t="s">
        <v>408</v>
      </c>
      <c r="AC10" s="5" t="s">
        <v>412</v>
      </c>
      <c r="AD10" s="5" t="s">
        <v>422</v>
      </c>
      <c r="AE10" s="5" t="s">
        <v>428</v>
      </c>
      <c r="AF10" s="5" t="s">
        <v>432</v>
      </c>
      <c r="AG10" s="5" t="s">
        <v>433</v>
      </c>
      <c r="AH10" s="5" t="s">
        <v>453</v>
      </c>
      <c r="AI10" s="2">
        <v>2023</v>
      </c>
      <c r="AJ10" s="35"/>
      <c r="AK10" s="35" t="s">
        <v>479</v>
      </c>
      <c r="AL10" s="35" t="s">
        <v>479</v>
      </c>
      <c r="AM10" s="35" t="s">
        <v>479</v>
      </c>
      <c r="AN10" s="35" t="s">
        <v>503</v>
      </c>
      <c r="AO10" s="35" t="s">
        <v>513</v>
      </c>
      <c r="AP10" s="35" t="s">
        <v>530</v>
      </c>
      <c r="AQ10" s="35" t="s">
        <v>525</v>
      </c>
      <c r="AR10" s="35" t="s">
        <v>534</v>
      </c>
      <c r="AS10" s="35" t="s">
        <v>534</v>
      </c>
      <c r="AT10" s="35" t="s">
        <v>546</v>
      </c>
      <c r="AU10" s="35" t="s">
        <v>550</v>
      </c>
      <c r="AV10" s="35" t="s">
        <v>564</v>
      </c>
      <c r="AW10" s="35" t="s">
        <v>567</v>
      </c>
      <c r="AX10" s="35" t="s">
        <v>573</v>
      </c>
      <c r="AY10" s="35" t="s">
        <v>573</v>
      </c>
      <c r="AZ10" s="35" t="s">
        <v>579</v>
      </c>
      <c r="BA10" s="35" t="s">
        <v>587</v>
      </c>
      <c r="BB10" s="35" t="s">
        <v>598</v>
      </c>
      <c r="BC10" s="35" t="s">
        <v>607</v>
      </c>
      <c r="BD10" s="5">
        <v>2024</v>
      </c>
      <c r="BE10" s="5"/>
      <c r="BF10" s="5"/>
      <c r="BG10" s="5"/>
      <c r="BH10" s="5">
        <v>1</v>
      </c>
      <c r="BI10" s="5">
        <v>2</v>
      </c>
      <c r="BJ10" s="5">
        <v>3</v>
      </c>
      <c r="BK10" s="5">
        <v>4</v>
      </c>
      <c r="BL10" s="5">
        <v>2025</v>
      </c>
      <c r="BM10" s="5"/>
      <c r="BN10" s="5"/>
      <c r="BO10" s="5"/>
      <c r="BP10" s="5">
        <v>1</v>
      </c>
      <c r="BQ10" s="5">
        <v>2</v>
      </c>
      <c r="BR10" s="5">
        <v>3</v>
      </c>
      <c r="BS10" s="5">
        <v>4</v>
      </c>
      <c r="BT10" s="5">
        <v>2026</v>
      </c>
      <c r="BV10" s="2"/>
      <c r="BW10" s="2"/>
      <c r="BX10" s="2"/>
      <c r="BY10" s="14">
        <v>44562</v>
      </c>
      <c r="BZ10" s="14">
        <v>44652</v>
      </c>
      <c r="CA10" s="14">
        <v>44737</v>
      </c>
      <c r="CB10" s="14">
        <v>44805</v>
      </c>
      <c r="CC10" s="14">
        <v>44821</v>
      </c>
      <c r="CD10" s="14">
        <v>44835</v>
      </c>
      <c r="CE10" s="14">
        <v>44868</v>
      </c>
      <c r="CF10" s="14">
        <v>44866</v>
      </c>
      <c r="CG10" s="2">
        <v>2022</v>
      </c>
      <c r="CH10" s="7">
        <v>44927</v>
      </c>
      <c r="CI10" s="7">
        <v>44986</v>
      </c>
      <c r="CJ10" s="7">
        <v>45078</v>
      </c>
      <c r="CK10" s="34">
        <v>45087</v>
      </c>
      <c r="CL10" s="34">
        <v>45129</v>
      </c>
      <c r="CM10" s="14">
        <v>45139</v>
      </c>
      <c r="CN10" s="14">
        <v>45184</v>
      </c>
      <c r="CO10" s="14">
        <v>45227</v>
      </c>
      <c r="CP10" s="14">
        <v>45255</v>
      </c>
      <c r="CQ10" s="2">
        <v>2023</v>
      </c>
      <c r="CS10" s="5"/>
      <c r="CT10" s="5" t="s">
        <v>465</v>
      </c>
      <c r="CU10" s="5" t="s">
        <v>502</v>
      </c>
      <c r="CV10" s="5" t="s">
        <v>506</v>
      </c>
      <c r="CW10" s="5" t="s">
        <v>572</v>
      </c>
      <c r="CX10" s="5" t="s">
        <v>599</v>
      </c>
      <c r="CY10" s="5" t="s">
        <v>600</v>
      </c>
      <c r="CZ10" s="2">
        <v>2024</v>
      </c>
      <c r="DA10" s="2"/>
      <c r="DB10" s="5" t="s">
        <v>610</v>
      </c>
      <c r="DC10" s="5" t="s">
        <v>473</v>
      </c>
      <c r="DD10" s="5" t="s">
        <v>623</v>
      </c>
      <c r="DE10" s="5" t="s">
        <v>649</v>
      </c>
      <c r="DF10" s="5" t="s">
        <v>688</v>
      </c>
      <c r="DG10" s="5" t="s">
        <v>729</v>
      </c>
      <c r="DH10" s="5" t="s">
        <v>756</v>
      </c>
      <c r="DI10" s="5" t="s">
        <v>439</v>
      </c>
      <c r="DJ10" s="5" t="s">
        <v>760</v>
      </c>
      <c r="DK10" s="5" t="s">
        <v>769</v>
      </c>
      <c r="DL10" s="5" t="s">
        <v>600</v>
      </c>
      <c r="DM10" s="5" t="s">
        <v>788</v>
      </c>
      <c r="DN10" s="2">
        <v>2025</v>
      </c>
      <c r="DO10" s="5"/>
      <c r="DP10" s="5" t="s">
        <v>849</v>
      </c>
      <c r="DQ10" s="5" t="s">
        <v>850</v>
      </c>
      <c r="DR10" s="5" t="s">
        <v>880</v>
      </c>
      <c r="DS10" s="5" t="s">
        <v>729</v>
      </c>
      <c r="DT10" s="5" t="s">
        <v>888</v>
      </c>
      <c r="DU10" s="5" t="s">
        <v>891</v>
      </c>
      <c r="DV10" s="5" t="s">
        <v>902</v>
      </c>
      <c r="DW10" s="2">
        <v>2026</v>
      </c>
    </row>
    <row r="11" spans="1:127" x14ac:dyDescent="0.25">
      <c r="A11">
        <v>1</v>
      </c>
      <c r="B11" s="26" t="s">
        <v>180</v>
      </c>
      <c r="C11" s="26" t="s">
        <v>181</v>
      </c>
      <c r="D11" s="26" t="s">
        <v>42</v>
      </c>
      <c r="E11" s="26" t="s">
        <v>62</v>
      </c>
      <c r="F11" s="11"/>
      <c r="G11" s="11">
        <v>70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>
        <f>SUM(F11:R11)</f>
        <v>70</v>
      </c>
      <c r="T11" s="11">
        <f>S11/2</f>
        <v>35</v>
      </c>
      <c r="U11" s="11"/>
      <c r="V11" s="11"/>
      <c r="W11" s="11">
        <v>100</v>
      </c>
      <c r="X11" s="11"/>
      <c r="Y11" s="11"/>
      <c r="Z11" s="11">
        <v>80</v>
      </c>
      <c r="AA11" s="11"/>
      <c r="AB11" s="11"/>
      <c r="AC11" s="11">
        <v>100</v>
      </c>
      <c r="AD11" s="11"/>
      <c r="AE11" s="11"/>
      <c r="AF11" s="11">
        <v>80</v>
      </c>
      <c r="AG11" s="11"/>
      <c r="AH11" s="11">
        <v>84</v>
      </c>
      <c r="AI11" s="11">
        <f>SUM(T11:AH11)</f>
        <v>479</v>
      </c>
      <c r="AJ11" s="11">
        <f>(AI11-T11)/2</f>
        <v>222</v>
      </c>
      <c r="AK11" s="11"/>
      <c r="AL11" s="11"/>
      <c r="AM11" s="11"/>
      <c r="AN11" s="11"/>
      <c r="AO11" s="11">
        <v>150</v>
      </c>
      <c r="AP11" s="11"/>
      <c r="AQ11" s="11"/>
      <c r="AR11" s="11"/>
      <c r="AS11" s="11"/>
      <c r="AT11" s="11"/>
      <c r="AU11" s="11">
        <v>150</v>
      </c>
      <c r="AV11" s="11"/>
      <c r="AW11" s="11"/>
      <c r="AX11" s="11"/>
      <c r="AY11" s="11"/>
      <c r="AZ11" s="11"/>
      <c r="BA11" s="11">
        <v>150</v>
      </c>
      <c r="BB11" s="11"/>
      <c r="BC11" s="11">
        <v>160</v>
      </c>
      <c r="BD11" s="11">
        <f>SUM(AJ11:BC11)</f>
        <v>832</v>
      </c>
      <c r="BE11" s="11">
        <f>(BD11-AJ11)/2</f>
        <v>305</v>
      </c>
      <c r="BF11" s="11"/>
      <c r="BG11" s="11">
        <v>80</v>
      </c>
      <c r="BH11" s="11">
        <v>150</v>
      </c>
      <c r="BI11" s="11">
        <v>80</v>
      </c>
      <c r="BJ11" s="11"/>
      <c r="BK11" s="11"/>
      <c r="BL11" s="11">
        <f>SUM(BE11:BK11)</f>
        <v>615</v>
      </c>
      <c r="BM11" s="11">
        <f>(BL11-BE11)/2</f>
        <v>155</v>
      </c>
      <c r="BN11" s="11">
        <v>36</v>
      </c>
      <c r="BO11" s="11">
        <v>64</v>
      </c>
      <c r="BP11" s="11">
        <v>90</v>
      </c>
      <c r="BQ11" s="11"/>
      <c r="BR11" s="11"/>
      <c r="BS11" s="11"/>
      <c r="BT11" s="11">
        <f>SUM(BM11:BS11)</f>
        <v>345</v>
      </c>
      <c r="BV11" s="10">
        <f>SUM(BY11:CF11)/2</f>
        <v>9</v>
      </c>
      <c r="BW11" s="10">
        <f>AI11/4</f>
        <v>119.75</v>
      </c>
      <c r="BX11" s="10">
        <f>S11/2</f>
        <v>35</v>
      </c>
      <c r="BY11" s="10">
        <f>12+12*1/2</f>
        <v>18</v>
      </c>
      <c r="BZ11" s="10"/>
      <c r="CA11" s="10"/>
      <c r="CB11" s="10"/>
      <c r="CC11" s="10"/>
      <c r="CD11" s="10"/>
      <c r="CE11" s="10"/>
      <c r="CF11" s="10"/>
      <c r="CG11" s="10">
        <f>SUM(BX11:BZ11)</f>
        <v>53</v>
      </c>
      <c r="CH11" s="10"/>
      <c r="CI11" s="10"/>
      <c r="CJ11" s="10">
        <v>50</v>
      </c>
      <c r="CK11" s="10"/>
      <c r="CL11" s="10"/>
      <c r="CM11" s="10">
        <v>100</v>
      </c>
      <c r="CN11" s="10"/>
      <c r="CO11" s="10"/>
      <c r="CP11" s="10">
        <v>100</v>
      </c>
      <c r="CQ11" s="10">
        <f>SUM(BV11:BW11)+SUM(CH11:CP11)</f>
        <v>378.75</v>
      </c>
      <c r="CR11" s="8">
        <f>(CQ11-BV11)/2</f>
        <v>184.875</v>
      </c>
      <c r="CS11" s="8">
        <f>BD11/4</f>
        <v>208</v>
      </c>
      <c r="CT11" s="10">
        <v>30</v>
      </c>
      <c r="CU11" s="10"/>
      <c r="CV11" s="10">
        <v>150</v>
      </c>
      <c r="CW11" s="10">
        <v>50</v>
      </c>
      <c r="CX11" s="10"/>
      <c r="CY11" s="10"/>
      <c r="CZ11" s="8">
        <f>SUM(CR11:CW11)</f>
        <v>622.875</v>
      </c>
      <c r="DA11" s="8">
        <f>(CZ11-CR11)/2</f>
        <v>219</v>
      </c>
      <c r="DB11" s="10">
        <v>25</v>
      </c>
      <c r="DC11" s="10">
        <v>15</v>
      </c>
      <c r="DD11" s="10"/>
      <c r="DE11" s="10">
        <v>78</v>
      </c>
      <c r="DF11" s="10"/>
      <c r="DG11" s="10">
        <v>7.5</v>
      </c>
      <c r="DH11" s="10">
        <v>48</v>
      </c>
      <c r="DI11" s="10">
        <v>75</v>
      </c>
      <c r="DJ11" s="10">
        <v>15</v>
      </c>
      <c r="DK11" s="10">
        <v>70</v>
      </c>
      <c r="DL11" s="10"/>
      <c r="DM11" s="10">
        <v>100</v>
      </c>
      <c r="DN11" s="8">
        <f>SUM(DA11:DM11)</f>
        <v>652.5</v>
      </c>
      <c r="DO11" s="8">
        <f>(DN11-DA11)/2</f>
        <v>216.75</v>
      </c>
      <c r="DP11" s="10">
        <v>20</v>
      </c>
      <c r="DQ11" s="10">
        <v>15</v>
      </c>
      <c r="DR11" s="10"/>
      <c r="DS11" s="10"/>
      <c r="DT11" s="10"/>
      <c r="DU11" s="10"/>
      <c r="DV11" s="10"/>
      <c r="DW11" s="26">
        <f>SUM(DO11:DQ11)</f>
        <v>251.75</v>
      </c>
    </row>
    <row r="12" spans="1:127" x14ac:dyDescent="0.25">
      <c r="A12">
        <v>2</v>
      </c>
      <c r="B12" s="8" t="s">
        <v>677</v>
      </c>
      <c r="C12" s="8"/>
      <c r="D12" s="8" t="s">
        <v>711</v>
      </c>
      <c r="E12" s="8" t="s">
        <v>24</v>
      </c>
      <c r="F12" s="8"/>
      <c r="G12" s="8"/>
      <c r="H12" s="8"/>
      <c r="I12" s="8"/>
      <c r="J12" s="10"/>
      <c r="K12" s="10"/>
      <c r="L12" s="10"/>
      <c r="M12" s="10"/>
      <c r="N12" s="10"/>
      <c r="O12" s="10"/>
      <c r="P12" s="10"/>
      <c r="Q12" s="10"/>
      <c r="R12" s="10"/>
      <c r="S12" s="8"/>
      <c r="T12" s="8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8"/>
      <c r="AJ12" s="8"/>
      <c r="AK12" s="8"/>
      <c r="AL12" s="8"/>
      <c r="AM12" s="8"/>
      <c r="AN12" s="8"/>
      <c r="AO12" s="8"/>
      <c r="AP12" s="8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8"/>
      <c r="BE12" s="8"/>
      <c r="BF12" s="10"/>
      <c r="BG12" s="10">
        <v>40</v>
      </c>
      <c r="BH12" s="10">
        <v>50</v>
      </c>
      <c r="BI12" s="10">
        <v>75</v>
      </c>
      <c r="BJ12" s="10">
        <v>60</v>
      </c>
      <c r="BK12" s="10">
        <v>100</v>
      </c>
      <c r="BL12" s="11">
        <f>SUM(BE12:BK12)</f>
        <v>325</v>
      </c>
      <c r="BM12" s="11">
        <f>(BL12-BE12)/2</f>
        <v>162.5</v>
      </c>
      <c r="BN12" s="11"/>
      <c r="BO12" s="11"/>
      <c r="BP12" s="11">
        <v>56</v>
      </c>
      <c r="BQ12" s="11"/>
      <c r="BR12" s="11"/>
      <c r="BS12" s="11"/>
      <c r="BT12" s="11">
        <f>SUM(BM12:BS12)</f>
        <v>218.5</v>
      </c>
      <c r="BV12" s="8"/>
      <c r="BW12" s="8"/>
      <c r="BX12" s="8"/>
      <c r="BY12" s="8"/>
      <c r="BZ12" s="8"/>
      <c r="CA12" s="10"/>
      <c r="CB12" s="10"/>
      <c r="CC12" s="10"/>
      <c r="CD12" s="10"/>
      <c r="CE12" s="10"/>
      <c r="CF12" s="10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10"/>
      <c r="CU12" s="10"/>
      <c r="CV12" s="10"/>
      <c r="CW12" s="10"/>
      <c r="CX12" s="10"/>
      <c r="CY12" s="10"/>
      <c r="CZ12" s="8">
        <f>SUM(CR12:CY12)</f>
        <v>0</v>
      </c>
      <c r="DA12" s="8">
        <f>(CZ12-CR12)/2</f>
        <v>0</v>
      </c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>
        <v>30</v>
      </c>
      <c r="DM12" s="10"/>
      <c r="DN12" s="8">
        <f>SUM(DA12:DL12)</f>
        <v>30</v>
      </c>
      <c r="DO12" s="8">
        <f>(DN12-DA12)/2</f>
        <v>15</v>
      </c>
      <c r="DP12" s="10"/>
      <c r="DQ12" s="10"/>
      <c r="DR12" s="10"/>
      <c r="DS12" s="10"/>
      <c r="DT12" s="10"/>
      <c r="DU12" s="10"/>
      <c r="DV12" s="10"/>
      <c r="DW12" s="8">
        <f>SUM(DO12:DP12)</f>
        <v>15</v>
      </c>
    </row>
    <row r="13" spans="1:127" x14ac:dyDescent="0.25">
      <c r="A13">
        <v>3</v>
      </c>
      <c r="B13" s="8" t="s">
        <v>103</v>
      </c>
      <c r="C13" s="8"/>
      <c r="D13" s="8" t="s">
        <v>307</v>
      </c>
      <c r="E13" s="8" t="s">
        <v>306</v>
      </c>
      <c r="F13" s="8"/>
      <c r="G13" s="8"/>
      <c r="H13" s="8"/>
      <c r="I13" s="8"/>
      <c r="J13" s="10"/>
      <c r="K13" s="10"/>
      <c r="L13" s="10"/>
      <c r="M13" s="10"/>
      <c r="N13" s="10"/>
      <c r="O13" s="10"/>
      <c r="P13" s="10"/>
      <c r="Q13" s="10"/>
      <c r="R13" s="10"/>
      <c r="S13" s="8"/>
      <c r="T13" s="8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8"/>
      <c r="AJ13" s="8"/>
      <c r="AK13" s="8"/>
      <c r="AL13" s="8"/>
      <c r="AM13" s="8"/>
      <c r="AN13" s="8"/>
      <c r="AO13" s="8"/>
      <c r="AP13" s="8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8"/>
      <c r="BE13" s="8"/>
      <c r="BF13" s="10">
        <v>48</v>
      </c>
      <c r="BG13" s="10">
        <v>56</v>
      </c>
      <c r="BH13" s="10">
        <v>36</v>
      </c>
      <c r="BI13" s="10">
        <v>40</v>
      </c>
      <c r="BJ13" s="10">
        <v>140</v>
      </c>
      <c r="BK13" s="10"/>
      <c r="BL13" s="11">
        <f>SUM(BE13:BK13)</f>
        <v>320</v>
      </c>
      <c r="BM13" s="11">
        <f>(BL13-BE13)/2</f>
        <v>160</v>
      </c>
      <c r="BN13" s="11">
        <v>36</v>
      </c>
      <c r="BO13" s="11"/>
      <c r="BP13" s="11"/>
      <c r="BQ13" s="11"/>
      <c r="BR13" s="11"/>
      <c r="BS13" s="11"/>
      <c r="BT13" s="11">
        <f>SUM(BM13:BS13)</f>
        <v>196</v>
      </c>
      <c r="BV13" s="8"/>
      <c r="BW13" s="8"/>
      <c r="BX13" s="8"/>
      <c r="BY13" s="8"/>
      <c r="BZ13" s="8"/>
      <c r="CA13" s="10"/>
      <c r="CB13" s="10"/>
      <c r="CC13" s="10"/>
      <c r="CD13" s="10"/>
      <c r="CE13" s="10"/>
      <c r="CF13" s="10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10"/>
      <c r="CU13" s="10"/>
      <c r="CV13" s="10"/>
      <c r="CW13" s="10"/>
      <c r="CX13" s="10"/>
      <c r="CY13" s="10"/>
      <c r="CZ13" s="8">
        <f>SUM(CR13:CY13)</f>
        <v>0</v>
      </c>
      <c r="DA13" s="8">
        <f>(CZ13-CR13)/2</f>
        <v>0</v>
      </c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8">
        <f>SUM(DA13:DC13)</f>
        <v>0</v>
      </c>
      <c r="DO13" s="8">
        <f>(DN13-DA13)/2</f>
        <v>0</v>
      </c>
      <c r="DP13" s="10"/>
      <c r="DQ13" s="10"/>
      <c r="DR13" s="10"/>
      <c r="DS13" s="10"/>
      <c r="DT13" s="10"/>
      <c r="DU13" s="10"/>
      <c r="DV13" s="10"/>
      <c r="DW13" s="8">
        <f>SUM(DO13:DP13)</f>
        <v>0</v>
      </c>
    </row>
    <row r="14" spans="1:127" x14ac:dyDescent="0.25">
      <c r="A14" s="68">
        <v>4</v>
      </c>
      <c r="B14" s="8" t="s">
        <v>140</v>
      </c>
      <c r="C14" s="8"/>
      <c r="D14" s="8" t="s">
        <v>569</v>
      </c>
      <c r="E14" s="8" t="s">
        <v>19</v>
      </c>
      <c r="F14" s="8"/>
      <c r="G14" s="8"/>
      <c r="H14" s="8"/>
      <c r="I14" s="8"/>
      <c r="J14" s="10"/>
      <c r="K14" s="10"/>
      <c r="L14" s="10"/>
      <c r="M14" s="10"/>
      <c r="N14" s="10"/>
      <c r="O14" s="10"/>
      <c r="P14" s="10"/>
      <c r="Q14" s="10"/>
      <c r="R14" s="10"/>
      <c r="S14" s="8"/>
      <c r="T14" s="8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8"/>
      <c r="AJ14" s="8"/>
      <c r="AK14" s="8"/>
      <c r="AL14" s="8"/>
      <c r="AM14" s="8"/>
      <c r="AN14" s="8"/>
      <c r="AO14" s="8"/>
      <c r="AP14" s="8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8"/>
      <c r="BE14" s="8"/>
      <c r="BF14" s="10"/>
      <c r="BG14" s="10"/>
      <c r="BH14" s="10"/>
      <c r="BI14" s="10"/>
      <c r="BJ14" s="10"/>
      <c r="BK14" s="10"/>
      <c r="BL14" s="8"/>
      <c r="BM14" s="8"/>
      <c r="BN14" s="10">
        <v>48</v>
      </c>
      <c r="BO14" s="10"/>
      <c r="BP14" s="10">
        <v>80</v>
      </c>
      <c r="BQ14" s="8"/>
      <c r="BR14" s="8"/>
      <c r="BS14" s="8"/>
      <c r="BT14" s="11">
        <f>SUM(BM14:BS14)</f>
        <v>128</v>
      </c>
      <c r="BV14" s="8"/>
      <c r="BW14" s="8"/>
      <c r="BX14" s="8"/>
      <c r="BY14" s="8"/>
      <c r="BZ14" s="8"/>
      <c r="CA14" s="10"/>
      <c r="CB14" s="10"/>
      <c r="CC14" s="10"/>
      <c r="CD14" s="10"/>
      <c r="CE14" s="10"/>
      <c r="CF14" s="10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10"/>
      <c r="CU14" s="10"/>
      <c r="CV14" s="10"/>
      <c r="CW14" s="10"/>
      <c r="CX14" s="10"/>
      <c r="CY14" s="10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>
        <f>SUM(DA14:DC14)</f>
        <v>0</v>
      </c>
      <c r="DO14" s="8">
        <f>(DN14-DA14)/2</f>
        <v>0</v>
      </c>
      <c r="DP14" s="10"/>
      <c r="DQ14" s="10"/>
      <c r="DR14" s="10"/>
      <c r="DS14" s="10"/>
      <c r="DT14" s="10"/>
      <c r="DU14" s="10">
        <v>7.5</v>
      </c>
      <c r="DV14" s="10"/>
      <c r="DW14" s="8">
        <f>SUM(DO14:DU14)</f>
        <v>7.5</v>
      </c>
    </row>
    <row r="15" spans="1:127" x14ac:dyDescent="0.25">
      <c r="A15">
        <v>5</v>
      </c>
      <c r="B15" s="8" t="s">
        <v>541</v>
      </c>
      <c r="C15" s="8"/>
      <c r="D15" s="8" t="s">
        <v>542</v>
      </c>
      <c r="E15" s="8" t="s">
        <v>543</v>
      </c>
      <c r="F15" s="8"/>
      <c r="G15" s="8"/>
      <c r="H15" s="8"/>
      <c r="I15" s="8"/>
      <c r="J15" s="10"/>
      <c r="K15" s="10"/>
      <c r="L15" s="10"/>
      <c r="M15" s="10"/>
      <c r="N15" s="10"/>
      <c r="O15" s="10"/>
      <c r="P15" s="10"/>
      <c r="Q15" s="10"/>
      <c r="R15" s="10"/>
      <c r="S15" s="8"/>
      <c r="T15" s="8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8"/>
      <c r="AJ15" s="8"/>
      <c r="AK15" s="8"/>
      <c r="AL15" s="8"/>
      <c r="AM15" s="8"/>
      <c r="AN15" s="8"/>
      <c r="AO15" s="8"/>
      <c r="AP15" s="8"/>
      <c r="AQ15" s="10"/>
      <c r="AR15" s="10">
        <v>64</v>
      </c>
      <c r="AS15" s="10"/>
      <c r="AT15" s="10"/>
      <c r="AU15" s="10">
        <v>75</v>
      </c>
      <c r="AV15" s="10"/>
      <c r="AW15" s="10"/>
      <c r="AX15" s="10">
        <v>36</v>
      </c>
      <c r="AY15" s="10"/>
      <c r="AZ15" s="10"/>
      <c r="BA15" s="10"/>
      <c r="BB15" s="10"/>
      <c r="BC15" s="10"/>
      <c r="BD15" s="11">
        <f>SUM(AJ15:BC15)</f>
        <v>175</v>
      </c>
      <c r="BE15" s="11">
        <f>(BD15-AJ15)/2</f>
        <v>87.5</v>
      </c>
      <c r="BF15" s="11"/>
      <c r="BG15" s="11">
        <v>64</v>
      </c>
      <c r="BH15" s="11">
        <v>105</v>
      </c>
      <c r="BI15" s="11">
        <v>75</v>
      </c>
      <c r="BJ15" s="11">
        <v>10</v>
      </c>
      <c r="BK15" s="11"/>
      <c r="BL15" s="11">
        <f>SUM(BE15:BK15)</f>
        <v>341.5</v>
      </c>
      <c r="BM15" s="11">
        <f>(BL15-BE15)/2</f>
        <v>127</v>
      </c>
      <c r="BN15" s="11"/>
      <c r="BO15" s="11"/>
      <c r="BP15" s="11"/>
      <c r="BQ15" s="11"/>
      <c r="BR15" s="11"/>
      <c r="BS15" s="11"/>
      <c r="BT15" s="11">
        <f>SUM(BM15:BS15)</f>
        <v>127</v>
      </c>
      <c r="BV15" s="8"/>
      <c r="BW15" s="8"/>
      <c r="BX15" s="8"/>
      <c r="BY15" s="8"/>
      <c r="BZ15" s="8"/>
      <c r="CA15" s="10"/>
      <c r="CB15" s="10"/>
      <c r="CC15" s="10"/>
      <c r="CD15" s="10"/>
      <c r="CE15" s="10"/>
      <c r="CF15" s="10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10"/>
      <c r="CR15" s="8">
        <f>(CQ15-BV15)/2</f>
        <v>0</v>
      </c>
      <c r="CS15" s="8">
        <f>BD15/4</f>
        <v>43.75</v>
      </c>
      <c r="CT15" s="10"/>
      <c r="CU15" s="10"/>
      <c r="CV15" s="10"/>
      <c r="CW15" s="10"/>
      <c r="CX15" s="10"/>
      <c r="CY15" s="10"/>
      <c r="CZ15" s="8">
        <f>SUM(CR15:CY15)</f>
        <v>43.75</v>
      </c>
      <c r="DA15" s="8">
        <f>(CZ15-CR15)/2</f>
        <v>21.875</v>
      </c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8">
        <f>SUM(DA15:DC15)</f>
        <v>21.875</v>
      </c>
      <c r="DO15" s="8">
        <f>(DN15-DA15)/2</f>
        <v>0</v>
      </c>
      <c r="DP15" s="10"/>
      <c r="DQ15" s="10"/>
      <c r="DR15" s="10"/>
      <c r="DS15" s="10"/>
      <c r="DT15" s="10"/>
      <c r="DU15" s="10"/>
      <c r="DV15" s="10"/>
      <c r="DW15" s="8">
        <f>SUM(DO15:DP15)</f>
        <v>0</v>
      </c>
    </row>
    <row r="16" spans="1:127" x14ac:dyDescent="0.25">
      <c r="A16">
        <v>6</v>
      </c>
      <c r="B16" s="21" t="s">
        <v>182</v>
      </c>
      <c r="C16" s="21" t="s">
        <v>154</v>
      </c>
      <c r="D16" s="21" t="s">
        <v>45</v>
      </c>
      <c r="E16" s="21" t="s">
        <v>19</v>
      </c>
      <c r="F16" s="11"/>
      <c r="G16" s="11">
        <v>100</v>
      </c>
      <c r="H16" s="11"/>
      <c r="I16" s="11"/>
      <c r="J16" s="11"/>
      <c r="K16" s="11"/>
      <c r="L16" s="11">
        <v>70</v>
      </c>
      <c r="M16" s="11"/>
      <c r="N16" s="11"/>
      <c r="O16" s="11"/>
      <c r="P16" s="11"/>
      <c r="Q16" s="11">
        <v>50</v>
      </c>
      <c r="R16" s="11">
        <v>75</v>
      </c>
      <c r="S16" s="11">
        <f>SUM(F16:R16)</f>
        <v>295</v>
      </c>
      <c r="T16" s="11">
        <f>S16/2</f>
        <v>147.5</v>
      </c>
      <c r="U16" s="11"/>
      <c r="V16" s="11"/>
      <c r="W16" s="11" t="s">
        <v>327</v>
      </c>
      <c r="X16" s="11" t="s">
        <v>327</v>
      </c>
      <c r="Y16" s="11"/>
      <c r="Z16" s="11"/>
      <c r="AA16" s="11"/>
      <c r="AB16" s="11"/>
      <c r="AC16" s="11" t="s">
        <v>327</v>
      </c>
      <c r="AD16" s="11"/>
      <c r="AE16" s="11"/>
      <c r="AF16" s="11"/>
      <c r="AG16" s="11"/>
      <c r="AH16" s="11"/>
      <c r="AI16" s="11">
        <f>SUM(T16:AH16)</f>
        <v>147.5</v>
      </c>
      <c r="AJ16" s="11">
        <f>(AI16-T16)/2</f>
        <v>0</v>
      </c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>
        <v>80</v>
      </c>
      <c r="BC16" s="11"/>
      <c r="BD16" s="11">
        <f>SUM(AJ16:BC16)</f>
        <v>80</v>
      </c>
      <c r="BE16" s="11">
        <f>(BD16-AJ16)/2</f>
        <v>40</v>
      </c>
      <c r="BF16" s="11"/>
      <c r="BG16" s="11"/>
      <c r="BH16" s="11">
        <v>200</v>
      </c>
      <c r="BI16" s="11"/>
      <c r="BJ16" s="11"/>
      <c r="BK16" s="11"/>
      <c r="BL16" s="11">
        <f>SUM(BE16:BK16)</f>
        <v>240</v>
      </c>
      <c r="BM16" s="11">
        <f>(BL16-BE16)/2</f>
        <v>100</v>
      </c>
      <c r="BN16" s="11"/>
      <c r="BO16" s="11"/>
      <c r="BP16" s="11"/>
      <c r="BQ16" s="11"/>
      <c r="BR16" s="11"/>
      <c r="BS16" s="11"/>
      <c r="BT16" s="11">
        <f>SUM(BM16:BS16)</f>
        <v>100</v>
      </c>
      <c r="BV16" s="10">
        <f>SUM(BY16:CF16)/2</f>
        <v>54</v>
      </c>
      <c r="BW16" s="10">
        <f>AI16/4</f>
        <v>36.875</v>
      </c>
      <c r="BX16" s="10">
        <f>S16/2</f>
        <v>147.5</v>
      </c>
      <c r="BY16" s="10">
        <f>8+8*1/2</f>
        <v>12</v>
      </c>
      <c r="BZ16" s="10"/>
      <c r="CA16" s="10">
        <v>50</v>
      </c>
      <c r="CB16" s="10"/>
      <c r="CC16" s="10">
        <v>5</v>
      </c>
      <c r="CD16" s="10"/>
      <c r="CE16" s="10">
        <v>5</v>
      </c>
      <c r="CF16" s="10">
        <v>36</v>
      </c>
      <c r="CG16" s="10">
        <f>SUM(BX16:CF16)</f>
        <v>255.5</v>
      </c>
      <c r="CH16" s="10">
        <v>1.5</v>
      </c>
      <c r="CI16" s="10"/>
      <c r="CJ16" s="10"/>
      <c r="CK16" s="10"/>
      <c r="CL16" s="10">
        <v>50</v>
      </c>
      <c r="CM16" s="10">
        <v>5</v>
      </c>
      <c r="CN16" s="10"/>
      <c r="CO16" s="10"/>
      <c r="CP16" s="10"/>
      <c r="CQ16" s="10">
        <v>147.375</v>
      </c>
      <c r="CR16" s="8">
        <f>(CQ16-BV16)/2</f>
        <v>46.6875</v>
      </c>
      <c r="CS16" s="8">
        <f>BD16/4</f>
        <v>20</v>
      </c>
      <c r="CT16" s="10">
        <v>15</v>
      </c>
      <c r="CU16" s="10"/>
      <c r="CV16" s="10"/>
      <c r="CW16" s="10"/>
      <c r="CX16" s="10"/>
      <c r="CY16" s="10">
        <v>40</v>
      </c>
      <c r="CZ16" s="8">
        <f>SUM(CR16:CY16)</f>
        <v>121.6875</v>
      </c>
      <c r="DA16" s="8">
        <f>(CZ16-CR16)/2</f>
        <v>37.5</v>
      </c>
      <c r="DB16" s="10">
        <v>18.75</v>
      </c>
      <c r="DC16" s="10"/>
      <c r="DD16" s="10">
        <v>54</v>
      </c>
      <c r="DE16" s="10">
        <v>15</v>
      </c>
      <c r="DF16" s="10"/>
      <c r="DG16" s="10"/>
      <c r="DH16" s="10"/>
      <c r="DI16" s="10">
        <v>7.5</v>
      </c>
      <c r="DJ16" s="10"/>
      <c r="DK16" s="10"/>
      <c r="DL16" s="10"/>
      <c r="DM16" s="10"/>
      <c r="DN16" s="8">
        <f>SUM(DA16:DI16)</f>
        <v>132.75</v>
      </c>
      <c r="DO16" s="8">
        <f>(DN16-DA16)/2</f>
        <v>47.625</v>
      </c>
      <c r="DP16" s="10"/>
      <c r="DQ16" s="10"/>
      <c r="DR16" s="10">
        <v>75</v>
      </c>
      <c r="DS16" s="10">
        <v>5</v>
      </c>
      <c r="DT16" s="10">
        <v>15</v>
      </c>
      <c r="DU16" s="10"/>
      <c r="DV16" s="10">
        <v>80</v>
      </c>
      <c r="DW16" s="27">
        <f>SUM(DO16:DV16)</f>
        <v>222.625</v>
      </c>
    </row>
    <row r="17" spans="1:127" x14ac:dyDescent="0.25">
      <c r="A17">
        <v>7</v>
      </c>
      <c r="B17" s="8" t="s">
        <v>636</v>
      </c>
      <c r="C17" s="8"/>
      <c r="D17" s="8" t="s">
        <v>345</v>
      </c>
      <c r="E17" s="8" t="s">
        <v>369</v>
      </c>
      <c r="F17" s="8"/>
      <c r="G17" s="8"/>
      <c r="H17" s="8"/>
      <c r="I17" s="8"/>
      <c r="J17" s="10"/>
      <c r="K17" s="10"/>
      <c r="L17" s="10"/>
      <c r="M17" s="10"/>
      <c r="N17" s="10"/>
      <c r="O17" s="10"/>
      <c r="P17" s="10"/>
      <c r="Q17" s="10"/>
      <c r="R17" s="10"/>
      <c r="S17" s="8"/>
      <c r="T17" s="8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8"/>
      <c r="AJ17" s="8"/>
      <c r="AK17" s="8"/>
      <c r="AL17" s="8"/>
      <c r="AM17" s="8"/>
      <c r="AN17" s="8"/>
      <c r="AO17" s="8"/>
      <c r="AP17" s="8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8"/>
      <c r="BE17" s="8"/>
      <c r="BF17" s="10">
        <v>36</v>
      </c>
      <c r="BG17" s="10">
        <v>64</v>
      </c>
      <c r="BH17" s="10">
        <v>75</v>
      </c>
      <c r="BI17" s="10"/>
      <c r="BJ17" s="10"/>
      <c r="BK17" s="10"/>
      <c r="BL17" s="11">
        <f>SUM(BE17:BK17)</f>
        <v>175</v>
      </c>
      <c r="BM17" s="11">
        <f>(BL17-BE17)/2</f>
        <v>87.5</v>
      </c>
      <c r="BN17" s="11"/>
      <c r="BO17" s="11"/>
      <c r="BP17" s="11"/>
      <c r="BQ17" s="11"/>
      <c r="BR17" s="11"/>
      <c r="BS17" s="11"/>
      <c r="BT17" s="11">
        <f>SUM(BM17:BS17)</f>
        <v>87.5</v>
      </c>
      <c r="BV17" s="8"/>
      <c r="BW17" s="8"/>
      <c r="BX17" s="8"/>
      <c r="BY17" s="8"/>
      <c r="BZ17" s="8"/>
      <c r="CA17" s="10"/>
      <c r="CB17" s="10"/>
      <c r="CC17" s="10"/>
      <c r="CD17" s="10"/>
      <c r="CE17" s="10"/>
      <c r="CF17" s="10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10"/>
      <c r="CU17" s="10"/>
      <c r="CV17" s="10"/>
      <c r="CW17" s="10"/>
      <c r="CX17" s="10"/>
      <c r="CY17" s="10"/>
      <c r="CZ17" s="8">
        <f>SUM(CR17:CY17)</f>
        <v>0</v>
      </c>
      <c r="DA17" s="8">
        <f>(CZ17-CR17)/2</f>
        <v>0</v>
      </c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8">
        <f>SUM(DA17:DC17)</f>
        <v>0</v>
      </c>
      <c r="DO17" s="8">
        <f>(DN17-DA17)/2</f>
        <v>0</v>
      </c>
      <c r="DP17" s="10"/>
      <c r="DQ17" s="10"/>
      <c r="DR17" s="10"/>
      <c r="DS17" s="10"/>
      <c r="DT17" s="10"/>
      <c r="DU17" s="10"/>
      <c r="DV17" s="10"/>
      <c r="DW17" s="8">
        <f>SUM(DO17:DP17)</f>
        <v>0</v>
      </c>
    </row>
    <row r="18" spans="1:127" x14ac:dyDescent="0.25">
      <c r="A18">
        <v>8</v>
      </c>
      <c r="B18" s="8" t="s">
        <v>183</v>
      </c>
      <c r="C18" s="8"/>
      <c r="D18" s="8" t="s">
        <v>655</v>
      </c>
      <c r="E18" s="8" t="s">
        <v>547</v>
      </c>
      <c r="F18" s="8"/>
      <c r="G18" s="8"/>
      <c r="H18" s="8"/>
      <c r="I18" s="8"/>
      <c r="J18" s="10"/>
      <c r="K18" s="10"/>
      <c r="L18" s="10"/>
      <c r="M18" s="10"/>
      <c r="N18" s="10"/>
      <c r="O18" s="10"/>
      <c r="P18" s="10"/>
      <c r="Q18" s="10"/>
      <c r="R18" s="10"/>
      <c r="S18" s="8"/>
      <c r="T18" s="8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8"/>
      <c r="AJ18" s="8"/>
      <c r="AK18" s="8"/>
      <c r="AL18" s="8"/>
      <c r="AM18" s="8"/>
      <c r="AN18" s="8"/>
      <c r="AO18" s="8"/>
      <c r="AP18" s="8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8"/>
      <c r="BE18" s="8"/>
      <c r="BF18" s="10">
        <v>36</v>
      </c>
      <c r="BG18" s="10">
        <v>64</v>
      </c>
      <c r="BH18" s="10">
        <v>7.5</v>
      </c>
      <c r="BI18" s="10">
        <v>7.5</v>
      </c>
      <c r="BJ18" s="10">
        <v>36</v>
      </c>
      <c r="BK18" s="10">
        <v>3.2</v>
      </c>
      <c r="BL18" s="11">
        <f>SUM(BE18:BK18)</f>
        <v>154.19999999999999</v>
      </c>
      <c r="BM18" s="11">
        <f>(BL18-BE18)/2</f>
        <v>77.099999999999994</v>
      </c>
      <c r="BN18" s="11"/>
      <c r="BO18" s="11"/>
      <c r="BP18" s="11"/>
      <c r="BQ18" s="11"/>
      <c r="BR18" s="11"/>
      <c r="BS18" s="11"/>
      <c r="BT18" s="11">
        <f>SUM(BM18:BS18)</f>
        <v>77.099999999999994</v>
      </c>
      <c r="BV18" s="8"/>
      <c r="BW18" s="8"/>
      <c r="BX18" s="8"/>
      <c r="BY18" s="8"/>
      <c r="BZ18" s="8"/>
      <c r="CA18" s="10"/>
      <c r="CB18" s="10"/>
      <c r="CC18" s="10"/>
      <c r="CD18" s="10"/>
      <c r="CE18" s="10"/>
      <c r="CF18" s="10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10"/>
      <c r="CU18" s="10"/>
      <c r="CV18" s="10"/>
      <c r="CW18" s="10"/>
      <c r="CX18" s="10"/>
      <c r="CY18" s="10"/>
      <c r="CZ18" s="8">
        <f>SUM(CR18:CY18)</f>
        <v>0</v>
      </c>
      <c r="DA18" s="8">
        <f>(CZ18-CR18)/2</f>
        <v>0</v>
      </c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8">
        <f>SUM(DA18:DC18)</f>
        <v>0</v>
      </c>
      <c r="DO18" s="8">
        <f>(DN18-DA18)/2</f>
        <v>0</v>
      </c>
      <c r="DP18" s="10"/>
      <c r="DQ18" s="10"/>
      <c r="DR18" s="10"/>
      <c r="DS18" s="10"/>
      <c r="DT18" s="10"/>
      <c r="DU18" s="10"/>
      <c r="DV18" s="10"/>
      <c r="DW18" s="8">
        <f>SUM(DO18:DP18)</f>
        <v>0</v>
      </c>
    </row>
    <row r="19" spans="1:127" x14ac:dyDescent="0.25">
      <c r="A19">
        <v>9</v>
      </c>
      <c r="B19" s="8" t="s">
        <v>183</v>
      </c>
      <c r="C19" s="8"/>
      <c r="D19" s="8" t="s">
        <v>822</v>
      </c>
      <c r="E19" s="8" t="s">
        <v>368</v>
      </c>
      <c r="F19" s="8"/>
      <c r="G19" s="8"/>
      <c r="H19" s="8"/>
      <c r="I19" s="8"/>
      <c r="J19" s="10"/>
      <c r="K19" s="10"/>
      <c r="L19" s="10"/>
      <c r="M19" s="10"/>
      <c r="N19" s="10"/>
      <c r="O19" s="10"/>
      <c r="P19" s="10"/>
      <c r="Q19" s="10"/>
      <c r="R19" s="10"/>
      <c r="S19" s="8"/>
      <c r="T19" s="8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8"/>
      <c r="AJ19" s="8"/>
      <c r="AK19" s="8"/>
      <c r="AL19" s="8"/>
      <c r="AM19" s="8"/>
      <c r="AN19" s="8"/>
      <c r="AO19" s="8"/>
      <c r="AP19" s="8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8"/>
      <c r="BE19" s="8"/>
      <c r="BF19" s="10"/>
      <c r="BG19" s="10"/>
      <c r="BH19" s="10"/>
      <c r="BI19" s="10"/>
      <c r="BJ19" s="10"/>
      <c r="BK19" s="10"/>
      <c r="BL19" s="8"/>
      <c r="BM19" s="8"/>
      <c r="BN19" s="10">
        <v>36</v>
      </c>
      <c r="BO19" s="10"/>
      <c r="BP19" s="10">
        <v>36</v>
      </c>
      <c r="BQ19" s="8"/>
      <c r="BR19" s="8"/>
      <c r="BS19" s="8"/>
      <c r="BT19" s="11">
        <f>SUM(BM19:BS19)</f>
        <v>72</v>
      </c>
      <c r="BV19" s="8"/>
      <c r="BW19" s="8"/>
      <c r="BX19" s="8"/>
      <c r="BY19" s="8"/>
      <c r="BZ19" s="8"/>
      <c r="CA19" s="10"/>
      <c r="CB19" s="10"/>
      <c r="CC19" s="10"/>
      <c r="CD19" s="10"/>
      <c r="CE19" s="10"/>
      <c r="CF19" s="10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10"/>
      <c r="CU19" s="10"/>
      <c r="CV19" s="10"/>
      <c r="CW19" s="10"/>
      <c r="CX19" s="10"/>
      <c r="CY19" s="10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>
        <f>SUM(DA19:DC19)</f>
        <v>0</v>
      </c>
      <c r="DO19" s="8">
        <f>(DN19-DA19)/2</f>
        <v>0</v>
      </c>
      <c r="DP19" s="10"/>
      <c r="DQ19" s="10"/>
      <c r="DR19" s="10"/>
      <c r="DS19" s="10"/>
      <c r="DT19" s="10"/>
      <c r="DU19" s="10"/>
      <c r="DV19" s="10"/>
      <c r="DW19" s="8">
        <f>SUM(DO19:DP19)</f>
        <v>0</v>
      </c>
    </row>
    <row r="20" spans="1:127" x14ac:dyDescent="0.25">
      <c r="A20">
        <v>10</v>
      </c>
      <c r="B20" s="8" t="s">
        <v>876</v>
      </c>
      <c r="C20" s="8"/>
      <c r="D20" s="8" t="s">
        <v>877</v>
      </c>
      <c r="E20" s="8" t="s">
        <v>113</v>
      </c>
      <c r="F20" s="8"/>
      <c r="G20" s="8"/>
      <c r="H20" s="8"/>
      <c r="I20" s="8"/>
      <c r="J20" s="10"/>
      <c r="K20" s="10"/>
      <c r="L20" s="10"/>
      <c r="M20" s="10"/>
      <c r="N20" s="10"/>
      <c r="O20" s="10"/>
      <c r="P20" s="10"/>
      <c r="Q20" s="10"/>
      <c r="R20" s="10"/>
      <c r="S20" s="8"/>
      <c r="T20" s="8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8"/>
      <c r="AJ20" s="8"/>
      <c r="AK20" s="8"/>
      <c r="AL20" s="8"/>
      <c r="AM20" s="8"/>
      <c r="AN20" s="8"/>
      <c r="AO20" s="8"/>
      <c r="AP20" s="8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8"/>
      <c r="BE20" s="8"/>
      <c r="BF20" s="10"/>
      <c r="BG20" s="10"/>
      <c r="BH20" s="10"/>
      <c r="BI20" s="10"/>
      <c r="BJ20" s="10"/>
      <c r="BK20" s="10"/>
      <c r="BL20" s="8"/>
      <c r="BM20" s="8"/>
      <c r="BN20" s="10"/>
      <c r="BO20" s="10">
        <v>64</v>
      </c>
      <c r="BP20" s="10"/>
      <c r="BQ20" s="8"/>
      <c r="BR20" s="8"/>
      <c r="BS20" s="8"/>
      <c r="BT20" s="11">
        <f>SUM(BM20:BS20)</f>
        <v>64</v>
      </c>
      <c r="BV20" s="8"/>
      <c r="BW20" s="8"/>
      <c r="BX20" s="8"/>
      <c r="BY20" s="8"/>
      <c r="BZ20" s="8"/>
      <c r="CA20" s="10"/>
      <c r="CB20" s="10"/>
      <c r="CC20" s="10"/>
      <c r="CD20" s="10"/>
      <c r="CE20" s="10"/>
      <c r="CF20" s="10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10"/>
      <c r="CU20" s="10"/>
      <c r="CV20" s="10"/>
      <c r="CW20" s="10"/>
      <c r="CX20" s="10"/>
      <c r="CY20" s="10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>
        <f>SUM(DA20:DC20)</f>
        <v>0</v>
      </c>
      <c r="DO20" s="8">
        <f>(DN20-DA20)/2</f>
        <v>0</v>
      </c>
      <c r="DP20" s="10"/>
      <c r="DQ20" s="10"/>
      <c r="DR20" s="10"/>
      <c r="DS20" s="10"/>
      <c r="DT20" s="10"/>
      <c r="DU20" s="10"/>
      <c r="DV20" s="10"/>
      <c r="DW20" s="8">
        <f>SUM(DO20:DP20)</f>
        <v>0</v>
      </c>
    </row>
    <row r="21" spans="1:127" x14ac:dyDescent="0.25">
      <c r="A21">
        <v>11</v>
      </c>
      <c r="B21" s="8" t="s">
        <v>909</v>
      </c>
      <c r="C21" s="8"/>
      <c r="D21" s="8" t="s">
        <v>910</v>
      </c>
      <c r="E21" s="8" t="s">
        <v>229</v>
      </c>
      <c r="F21" s="8"/>
      <c r="G21" s="8"/>
      <c r="H21" s="8"/>
      <c r="I21" s="8"/>
      <c r="J21" s="10"/>
      <c r="K21" s="10"/>
      <c r="L21" s="10"/>
      <c r="M21" s="10"/>
      <c r="N21" s="10"/>
      <c r="O21" s="10"/>
      <c r="P21" s="10"/>
      <c r="Q21" s="10"/>
      <c r="R21" s="10"/>
      <c r="S21" s="8"/>
      <c r="T21" s="8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8"/>
      <c r="AJ21" s="8"/>
      <c r="AK21" s="8"/>
      <c r="AL21" s="8"/>
      <c r="AM21" s="8"/>
      <c r="AN21" s="8"/>
      <c r="AO21" s="8"/>
      <c r="AP21" s="8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8"/>
      <c r="BE21" s="8"/>
      <c r="BF21" s="10"/>
      <c r="BG21" s="10"/>
      <c r="BH21" s="10"/>
      <c r="BI21" s="10"/>
      <c r="BJ21" s="10"/>
      <c r="BK21" s="10"/>
      <c r="BL21" s="8"/>
      <c r="BM21" s="8"/>
      <c r="BN21" s="10">
        <v>48</v>
      </c>
      <c r="BO21" s="10"/>
      <c r="BP21" s="10"/>
      <c r="BQ21" s="8"/>
      <c r="BR21" s="8"/>
      <c r="BS21" s="8"/>
      <c r="BT21" s="11">
        <f>SUM(BM21:BS21)</f>
        <v>48</v>
      </c>
      <c r="BV21" s="8"/>
      <c r="BW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10"/>
      <c r="CU21" s="10"/>
      <c r="CV21" s="10"/>
      <c r="CW21" s="10"/>
      <c r="CX21" s="10"/>
      <c r="CY21" s="10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>
        <f>SUM(DA21:DC21)</f>
        <v>0</v>
      </c>
      <c r="DO21" s="8">
        <f>(DN21-DA21)/2</f>
        <v>0</v>
      </c>
      <c r="DP21" s="10"/>
      <c r="DQ21" s="10"/>
      <c r="DR21" s="10"/>
      <c r="DS21" s="10"/>
      <c r="DT21" s="10"/>
      <c r="DU21" s="10"/>
      <c r="DV21" s="10"/>
      <c r="DW21" s="8">
        <f>SUM(DO21:DP21)</f>
        <v>0</v>
      </c>
    </row>
    <row r="22" spans="1:127" x14ac:dyDescent="0.25">
      <c r="A22">
        <v>12</v>
      </c>
      <c r="B22" s="8" t="s">
        <v>663</v>
      </c>
      <c r="C22" s="8"/>
      <c r="D22" s="8" t="s">
        <v>664</v>
      </c>
      <c r="E22" s="8" t="s">
        <v>563</v>
      </c>
      <c r="F22" s="8"/>
      <c r="G22" s="8"/>
      <c r="H22" s="8"/>
      <c r="I22" s="8"/>
      <c r="J22" s="10"/>
      <c r="K22" s="10"/>
      <c r="L22" s="10"/>
      <c r="M22" s="10"/>
      <c r="N22" s="10"/>
      <c r="O22" s="10"/>
      <c r="P22" s="10"/>
      <c r="Q22" s="10"/>
      <c r="R22" s="10"/>
      <c r="S22" s="8"/>
      <c r="T22" s="8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8"/>
      <c r="AJ22" s="8"/>
      <c r="AK22" s="8"/>
      <c r="AL22" s="8"/>
      <c r="AM22" s="8"/>
      <c r="AN22" s="8"/>
      <c r="AO22" s="8"/>
      <c r="AP22" s="8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8"/>
      <c r="BE22" s="8"/>
      <c r="BF22" s="10">
        <v>2.4</v>
      </c>
      <c r="BG22" s="10">
        <v>40</v>
      </c>
      <c r="BH22" s="10">
        <v>40</v>
      </c>
      <c r="BI22" s="10"/>
      <c r="BJ22" s="10"/>
      <c r="BK22" s="10"/>
      <c r="BL22" s="11">
        <f>SUM(BE22:BK22)</f>
        <v>82.4</v>
      </c>
      <c r="BM22" s="11">
        <f>(BL22-BE22)/2</f>
        <v>41.2</v>
      </c>
      <c r="BN22" s="11"/>
      <c r="BO22" s="11"/>
      <c r="BP22" s="11"/>
      <c r="BQ22" s="11"/>
      <c r="BR22" s="11"/>
      <c r="BS22" s="11"/>
      <c r="BT22" s="11">
        <f>SUM(BM22:BS22)</f>
        <v>41.2</v>
      </c>
      <c r="CQ22" s="8"/>
      <c r="CR22" s="8"/>
      <c r="CS22" s="8"/>
      <c r="CT22" s="10"/>
      <c r="CU22" s="10"/>
      <c r="CV22" s="10"/>
      <c r="CW22" s="10"/>
      <c r="CX22" s="10"/>
      <c r="CY22" s="10"/>
      <c r="CZ22" s="8">
        <f>SUM(CR22:CY22)</f>
        <v>0</v>
      </c>
      <c r="DA22" s="8">
        <f>(CZ22-CR22)/2</f>
        <v>0</v>
      </c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8">
        <f>SUM(DA22:DC22)</f>
        <v>0</v>
      </c>
      <c r="DO22" s="8">
        <f>(DN22-DA22)/2</f>
        <v>0</v>
      </c>
      <c r="DP22" s="10"/>
      <c r="DQ22" s="10"/>
      <c r="DR22" s="10"/>
      <c r="DS22" s="10"/>
      <c r="DT22" s="10"/>
      <c r="DU22" s="10"/>
      <c r="DV22" s="10"/>
      <c r="DW22" s="8">
        <f>SUM(DO22:DP22)</f>
        <v>0</v>
      </c>
    </row>
    <row r="23" spans="1:127" x14ac:dyDescent="0.25">
      <c r="A23">
        <v>13</v>
      </c>
      <c r="B23" s="8" t="s">
        <v>255</v>
      </c>
      <c r="C23" s="8"/>
      <c r="D23" s="8" t="s">
        <v>362</v>
      </c>
      <c r="E23" s="8" t="s">
        <v>248</v>
      </c>
      <c r="F23" s="8"/>
      <c r="G23" s="8"/>
      <c r="H23" s="8"/>
      <c r="I23" s="8"/>
      <c r="J23" s="10"/>
      <c r="K23" s="10"/>
      <c r="L23" s="10"/>
      <c r="M23" s="10"/>
      <c r="N23" s="10"/>
      <c r="O23" s="10"/>
      <c r="P23" s="10"/>
      <c r="Q23" s="10"/>
      <c r="R23" s="10"/>
      <c r="S23" s="8"/>
      <c r="T23" s="8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8"/>
      <c r="AJ23" s="8"/>
      <c r="AK23" s="8"/>
      <c r="AL23" s="8"/>
      <c r="AM23" s="8"/>
      <c r="AN23" s="8"/>
      <c r="AO23" s="8"/>
      <c r="AP23" s="8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8"/>
      <c r="BE23" s="8"/>
      <c r="BF23" s="10"/>
      <c r="BG23" s="10">
        <v>3.2</v>
      </c>
      <c r="BH23" s="10"/>
      <c r="BI23" s="10"/>
      <c r="BJ23" s="10"/>
      <c r="BK23" s="10"/>
      <c r="BL23" s="11">
        <f>SUM(BE23:BK23)</f>
        <v>3.2</v>
      </c>
      <c r="BM23" s="11">
        <f>(BL23-BE23)/2</f>
        <v>1.6</v>
      </c>
      <c r="BN23" s="11">
        <v>36</v>
      </c>
      <c r="BO23" s="11"/>
      <c r="BP23" s="11"/>
      <c r="BQ23" s="11"/>
      <c r="BR23" s="11"/>
      <c r="BS23" s="11"/>
      <c r="BT23" s="11">
        <f>SUM(BM23:BS23)</f>
        <v>37.6</v>
      </c>
      <c r="CZ23" s="8">
        <f>SUM(CR23:CY23)</f>
        <v>0</v>
      </c>
      <c r="DA23" s="8">
        <f>(CZ23-CR23)/2</f>
        <v>0</v>
      </c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8">
        <f>SUM(DA23:DC23)</f>
        <v>0</v>
      </c>
      <c r="DO23" s="8">
        <f>(DN23-DA23)/2</f>
        <v>0</v>
      </c>
      <c r="DP23" s="10"/>
      <c r="DQ23" s="10"/>
      <c r="DR23" s="10"/>
      <c r="DS23" s="10"/>
      <c r="DT23" s="10"/>
      <c r="DU23" s="10"/>
      <c r="DV23" s="10"/>
      <c r="DW23" s="8">
        <f>SUM(DO23:DP23)</f>
        <v>0</v>
      </c>
    </row>
    <row r="24" spans="1:127" x14ac:dyDescent="0.25">
      <c r="A24">
        <v>14</v>
      </c>
      <c r="B24" s="8" t="s">
        <v>260</v>
      </c>
      <c r="C24" s="8"/>
      <c r="D24" s="8" t="s">
        <v>54</v>
      </c>
      <c r="E24" s="8" t="s">
        <v>16</v>
      </c>
      <c r="F24" s="8"/>
      <c r="G24" s="8"/>
      <c r="H24" s="8"/>
      <c r="I24" s="8"/>
      <c r="J24" s="10"/>
      <c r="K24" s="10"/>
      <c r="L24" s="10"/>
      <c r="M24" s="10"/>
      <c r="N24" s="10"/>
      <c r="O24" s="10"/>
      <c r="P24" s="10"/>
      <c r="Q24" s="10"/>
      <c r="R24" s="10"/>
      <c r="S24" s="8"/>
      <c r="T24" s="8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8"/>
      <c r="AJ24" s="8"/>
      <c r="AK24" s="8"/>
      <c r="AL24" s="8"/>
      <c r="AM24" s="8"/>
      <c r="AN24" s="8"/>
      <c r="AO24" s="8"/>
      <c r="AP24" s="8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8"/>
      <c r="BE24" s="8"/>
      <c r="BF24" s="10"/>
      <c r="BG24" s="10">
        <v>4</v>
      </c>
      <c r="BH24" s="10">
        <v>70</v>
      </c>
      <c r="BI24" s="10"/>
      <c r="BJ24" s="10"/>
      <c r="BK24" s="10"/>
      <c r="BL24" s="11">
        <f>SUM(BE24:BK24)</f>
        <v>74</v>
      </c>
      <c r="BM24" s="11">
        <f>(BL24-BE24)/2</f>
        <v>37</v>
      </c>
      <c r="BN24" s="11"/>
      <c r="BO24" s="11"/>
      <c r="BP24" s="11"/>
      <c r="BQ24" s="11"/>
      <c r="BR24" s="11"/>
      <c r="BS24" s="11"/>
      <c r="BT24" s="11">
        <f>SUM(BM24:BS24)</f>
        <v>37</v>
      </c>
      <c r="CZ24" s="8">
        <f>SUM(CR24:CY24)</f>
        <v>0</v>
      </c>
      <c r="DA24" s="8">
        <f>(CZ24-CR24)/2</f>
        <v>0</v>
      </c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8">
        <f>SUM(DA24:DC24)</f>
        <v>0</v>
      </c>
      <c r="DO24" s="8">
        <f>(DN24-DA24)/2</f>
        <v>0</v>
      </c>
      <c r="DP24" s="10"/>
      <c r="DQ24" s="10"/>
      <c r="DR24" s="10"/>
      <c r="DS24" s="10"/>
      <c r="DT24" s="10"/>
      <c r="DU24" s="10"/>
      <c r="DV24" s="10"/>
      <c r="DW24" s="8">
        <f>SUM(DO24:DP24)</f>
        <v>0</v>
      </c>
    </row>
    <row r="25" spans="1:127" x14ac:dyDescent="0.25">
      <c r="A25">
        <v>15</v>
      </c>
      <c r="B25" s="8" t="s">
        <v>595</v>
      </c>
      <c r="C25" s="8"/>
      <c r="D25" s="8" t="s">
        <v>596</v>
      </c>
      <c r="E25" s="8" t="s">
        <v>229</v>
      </c>
      <c r="F25" s="8"/>
      <c r="G25" s="8"/>
      <c r="H25" s="8"/>
      <c r="I25" s="8"/>
      <c r="J25" s="10"/>
      <c r="K25" s="10"/>
      <c r="L25" s="10"/>
      <c r="M25" s="10"/>
      <c r="N25" s="10"/>
      <c r="O25" s="10"/>
      <c r="P25" s="10"/>
      <c r="Q25" s="10"/>
      <c r="R25" s="10"/>
      <c r="S25" s="8"/>
      <c r="T25" s="8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8"/>
      <c r="AJ25" s="8"/>
      <c r="AK25" s="8"/>
      <c r="AL25" s="8"/>
      <c r="AM25" s="8"/>
      <c r="AN25" s="8"/>
      <c r="AO25" s="8"/>
      <c r="AP25" s="8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>
        <v>7.5</v>
      </c>
      <c r="BB25" s="10"/>
      <c r="BC25" s="10"/>
      <c r="BD25" s="11">
        <f>SUM(AJ25:BC25)</f>
        <v>7.5</v>
      </c>
      <c r="BE25" s="11">
        <f>(BD25-AJ25)/2</f>
        <v>3.75</v>
      </c>
      <c r="BF25" s="11"/>
      <c r="BG25" s="11"/>
      <c r="BH25" s="11">
        <v>5</v>
      </c>
      <c r="BI25" s="11"/>
      <c r="BJ25" s="11"/>
      <c r="BK25" s="11"/>
      <c r="BL25" s="11">
        <f>SUM(BE25:BK25)</f>
        <v>8.75</v>
      </c>
      <c r="BM25" s="11">
        <f>(BL25-BE25)/2</f>
        <v>2.5</v>
      </c>
      <c r="BN25" s="11">
        <v>33.6</v>
      </c>
      <c r="BO25" s="11"/>
      <c r="BP25" s="11"/>
      <c r="BQ25" s="11"/>
      <c r="BR25" s="11"/>
      <c r="BS25" s="11"/>
      <c r="BT25" s="11">
        <f>SUM(BM25:BS25)</f>
        <v>36.1</v>
      </c>
      <c r="CQ25" s="12">
        <v>147.375</v>
      </c>
      <c r="CR25">
        <f>(CQ25-BV25)/2</f>
        <v>73.6875</v>
      </c>
      <c r="CS25">
        <f>BD25/4</f>
        <v>1.875</v>
      </c>
      <c r="CZ25" s="8">
        <f>SUM(CR25:CY25)</f>
        <v>75.5625</v>
      </c>
      <c r="DA25" s="8">
        <f>(CZ25-CR25)/2</f>
        <v>0.9375</v>
      </c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8">
        <f>SUM(DA25:DC25)</f>
        <v>0.9375</v>
      </c>
      <c r="DO25" s="8">
        <f>(DN25-DA25)/2</f>
        <v>0</v>
      </c>
      <c r="DP25" s="10"/>
      <c r="DQ25" s="10"/>
      <c r="DR25" s="10"/>
      <c r="DS25" s="10"/>
      <c r="DT25" s="10"/>
      <c r="DU25" s="10"/>
      <c r="DV25" s="10"/>
      <c r="DW25" s="8">
        <f>SUM(DO25:DP25)</f>
        <v>0</v>
      </c>
    </row>
    <row r="26" spans="1:127" x14ac:dyDescent="0.25">
      <c r="A26">
        <v>16</v>
      </c>
      <c r="B26" s="8" t="s">
        <v>828</v>
      </c>
      <c r="C26" s="8"/>
      <c r="D26" s="8" t="s">
        <v>174</v>
      </c>
      <c r="E26" s="8" t="s">
        <v>330</v>
      </c>
      <c r="F26" s="8"/>
      <c r="G26" s="8"/>
      <c r="H26" s="8"/>
      <c r="I26" s="8"/>
      <c r="J26" s="10"/>
      <c r="K26" s="10"/>
      <c r="L26" s="10"/>
      <c r="M26" s="10"/>
      <c r="N26" s="10"/>
      <c r="O26" s="10"/>
      <c r="P26" s="10"/>
      <c r="Q26" s="10"/>
      <c r="R26" s="10"/>
      <c r="S26" s="8"/>
      <c r="T26" s="8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8"/>
      <c r="AJ26" s="8"/>
      <c r="AK26" s="8"/>
      <c r="AL26" s="8"/>
      <c r="AM26" s="8"/>
      <c r="AN26" s="8"/>
      <c r="AO26" s="8"/>
      <c r="AP26" s="8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8"/>
      <c r="BE26" s="8"/>
      <c r="BF26" s="10"/>
      <c r="BG26" s="10"/>
      <c r="BH26" s="10"/>
      <c r="BI26" s="10"/>
      <c r="BJ26" s="10"/>
      <c r="BK26" s="10"/>
      <c r="BL26" s="8"/>
      <c r="BM26" s="8"/>
      <c r="BN26" s="10">
        <v>36</v>
      </c>
      <c r="BO26" s="10"/>
      <c r="BP26" s="10"/>
      <c r="BQ26" s="8"/>
      <c r="BR26" s="8"/>
      <c r="BS26" s="8"/>
      <c r="BT26" s="11">
        <f>SUM(BM26:BS26)</f>
        <v>36</v>
      </c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>
        <f>SUM(DA26:DC26)</f>
        <v>0</v>
      </c>
      <c r="DO26" s="8">
        <f>(DN26-DA26)/2</f>
        <v>0</v>
      </c>
      <c r="DP26" s="10"/>
      <c r="DQ26" s="10"/>
      <c r="DR26" s="10"/>
      <c r="DS26" s="10"/>
      <c r="DT26" s="10"/>
      <c r="DU26" s="10"/>
      <c r="DV26" s="10"/>
      <c r="DW26" s="8">
        <f>SUM(DO26:DP26)</f>
        <v>0</v>
      </c>
    </row>
    <row r="27" spans="1:127" x14ac:dyDescent="0.25">
      <c r="A27">
        <v>17</v>
      </c>
      <c r="B27" s="85" t="s">
        <v>916</v>
      </c>
      <c r="C27" s="8"/>
      <c r="D27" s="85" t="s">
        <v>66</v>
      </c>
      <c r="E27" s="85" t="s">
        <v>113</v>
      </c>
      <c r="F27" s="8"/>
      <c r="G27" s="8"/>
      <c r="H27" s="8"/>
      <c r="I27" s="8"/>
      <c r="J27" s="10"/>
      <c r="K27" s="10"/>
      <c r="L27" s="10"/>
      <c r="M27" s="10"/>
      <c r="N27" s="10"/>
      <c r="O27" s="10"/>
      <c r="P27" s="10"/>
      <c r="Q27" s="10"/>
      <c r="R27" s="10"/>
      <c r="S27" s="8"/>
      <c r="T27" s="8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8"/>
      <c r="AJ27" s="8"/>
      <c r="AK27" s="8"/>
      <c r="AL27" s="8"/>
      <c r="AM27" s="8"/>
      <c r="AN27" s="8"/>
      <c r="AO27" s="8"/>
      <c r="AP27" s="8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8"/>
      <c r="BE27" s="8"/>
      <c r="BF27" s="10"/>
      <c r="BG27" s="10"/>
      <c r="BH27" s="10"/>
      <c r="BI27" s="10"/>
      <c r="BJ27" s="10"/>
      <c r="BK27" s="10"/>
      <c r="BL27" s="8"/>
      <c r="BM27" s="8"/>
      <c r="BN27" s="10">
        <v>36</v>
      </c>
      <c r="BO27" s="10"/>
      <c r="BP27" s="10"/>
      <c r="BQ27" s="8"/>
      <c r="BR27" s="8"/>
      <c r="BS27" s="8"/>
      <c r="BT27" s="11">
        <f>SUM(BM27:BS27)</f>
        <v>36</v>
      </c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>
        <f>SUM(DA27:DC27)</f>
        <v>0</v>
      </c>
      <c r="DO27" s="8">
        <f>(DN27-DA27)/2</f>
        <v>0</v>
      </c>
      <c r="DP27" s="10"/>
      <c r="DQ27" s="10"/>
      <c r="DR27" s="10"/>
      <c r="DS27" s="10"/>
      <c r="DT27" s="10"/>
      <c r="DU27" s="10"/>
      <c r="DV27" s="10"/>
      <c r="DW27" s="8">
        <f>SUM(DO27:DP27)</f>
        <v>0</v>
      </c>
    </row>
    <row r="28" spans="1:127" x14ac:dyDescent="0.25">
      <c r="A28">
        <v>18</v>
      </c>
      <c r="B28" s="8" t="s">
        <v>300</v>
      </c>
      <c r="C28" s="8"/>
      <c r="D28" s="8" t="s">
        <v>361</v>
      </c>
      <c r="E28" s="8" t="s">
        <v>7</v>
      </c>
      <c r="F28" s="8"/>
      <c r="G28" s="8"/>
      <c r="H28" s="8"/>
      <c r="I28" s="8"/>
      <c r="J28" s="10"/>
      <c r="K28" s="10"/>
      <c r="L28" s="10"/>
      <c r="M28" s="10"/>
      <c r="N28" s="10"/>
      <c r="O28" s="10"/>
      <c r="P28" s="10"/>
      <c r="Q28" s="10"/>
      <c r="R28" s="10"/>
      <c r="S28" s="8"/>
      <c r="T28" s="8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8"/>
      <c r="AJ28" s="8"/>
      <c r="AK28" s="8"/>
      <c r="AL28" s="8"/>
      <c r="AM28" s="8"/>
      <c r="AN28" s="8"/>
      <c r="AO28" s="8"/>
      <c r="AP28" s="8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8"/>
      <c r="BE28" s="8"/>
      <c r="BF28" s="10"/>
      <c r="BG28" s="10"/>
      <c r="BH28" s="10">
        <v>60</v>
      </c>
      <c r="BI28" s="10">
        <v>10</v>
      </c>
      <c r="BJ28" s="10"/>
      <c r="BK28" s="10"/>
      <c r="BL28" s="11">
        <f>SUM(BE28:BK28)</f>
        <v>70</v>
      </c>
      <c r="BM28" s="11">
        <f>(BL28-BE28)/2</f>
        <v>35</v>
      </c>
      <c r="BN28" s="11"/>
      <c r="BO28" s="11"/>
      <c r="BP28" s="11"/>
      <c r="BQ28" s="11"/>
      <c r="BR28" s="11"/>
      <c r="BS28" s="11"/>
      <c r="BT28" s="11">
        <f>SUM(BM28:BS28)</f>
        <v>35</v>
      </c>
      <c r="CZ28" s="8">
        <f>SUM(CR28:CY28)</f>
        <v>0</v>
      </c>
      <c r="DA28" s="8">
        <f>(CZ28-CR28)/2</f>
        <v>0</v>
      </c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8">
        <f>SUM(DA28:DC28)</f>
        <v>0</v>
      </c>
      <c r="DO28" s="8">
        <f>(DN28-DA28)/2</f>
        <v>0</v>
      </c>
      <c r="DP28" s="10"/>
      <c r="DQ28" s="10"/>
      <c r="DR28" s="10"/>
      <c r="DS28" s="10"/>
      <c r="DT28" s="10"/>
      <c r="DU28" s="10"/>
      <c r="DV28" s="10"/>
      <c r="DW28" s="8">
        <f>SUM(DO28:DP28)</f>
        <v>0</v>
      </c>
    </row>
    <row r="29" spans="1:127" x14ac:dyDescent="0.25">
      <c r="A29">
        <v>19</v>
      </c>
      <c r="B29" s="8" t="s">
        <v>184</v>
      </c>
      <c r="C29" s="8"/>
      <c r="D29" s="8" t="s">
        <v>18</v>
      </c>
      <c r="E29" s="8" t="s">
        <v>906</v>
      </c>
      <c r="F29" s="8"/>
      <c r="G29" s="8"/>
      <c r="H29" s="8"/>
      <c r="I29" s="8"/>
      <c r="J29" s="10"/>
      <c r="K29" s="10"/>
      <c r="L29" s="10"/>
      <c r="M29" s="10"/>
      <c r="N29" s="10"/>
      <c r="O29" s="10"/>
      <c r="P29" s="10"/>
      <c r="Q29" s="10"/>
      <c r="R29" s="10"/>
      <c r="S29" s="8"/>
      <c r="T29" s="8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8"/>
      <c r="AJ29" s="8"/>
      <c r="AK29" s="8"/>
      <c r="AL29" s="8"/>
      <c r="AM29" s="8"/>
      <c r="AN29" s="8"/>
      <c r="AO29" s="8"/>
      <c r="AP29" s="8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8"/>
      <c r="BE29" s="8"/>
      <c r="BF29" s="10"/>
      <c r="BG29" s="10"/>
      <c r="BH29" s="10"/>
      <c r="BI29" s="10"/>
      <c r="BJ29" s="10"/>
      <c r="BK29" s="10"/>
      <c r="BL29" s="8"/>
      <c r="BM29" s="8"/>
      <c r="BN29" s="10">
        <v>33.6</v>
      </c>
      <c r="BO29" s="10"/>
      <c r="BP29" s="10"/>
      <c r="BQ29" s="8"/>
      <c r="BR29" s="8"/>
      <c r="BS29" s="8"/>
      <c r="BT29" s="11">
        <f>SUM(BM29:BS29)</f>
        <v>33.6</v>
      </c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>
        <f>SUM(DA29:DC29)</f>
        <v>0</v>
      </c>
      <c r="DO29" s="8">
        <f>(DN29-DA29)/2</f>
        <v>0</v>
      </c>
      <c r="DP29" s="10"/>
      <c r="DQ29" s="10"/>
      <c r="DR29" s="10"/>
      <c r="DS29" s="10"/>
      <c r="DT29" s="10"/>
      <c r="DU29" s="10"/>
      <c r="DV29" s="10"/>
      <c r="DW29" s="8">
        <f>SUM(DO29:DP29)</f>
        <v>0</v>
      </c>
    </row>
    <row r="30" spans="1:127" x14ac:dyDescent="0.25">
      <c r="A30">
        <v>20</v>
      </c>
      <c r="B30" s="8" t="s">
        <v>161</v>
      </c>
      <c r="C30" s="8"/>
      <c r="D30" s="8" t="s">
        <v>675</v>
      </c>
      <c r="E30" s="8" t="s">
        <v>248</v>
      </c>
      <c r="F30" s="8"/>
      <c r="G30" s="8"/>
      <c r="H30" s="8"/>
      <c r="I30" s="8"/>
      <c r="J30" s="10"/>
      <c r="K30" s="10"/>
      <c r="L30" s="10"/>
      <c r="M30" s="10"/>
      <c r="N30" s="10"/>
      <c r="O30" s="10"/>
      <c r="P30" s="10"/>
      <c r="Q30" s="10"/>
      <c r="R30" s="10"/>
      <c r="S30" s="8"/>
      <c r="T30" s="8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8"/>
      <c r="AJ30" s="8"/>
      <c r="AK30" s="8"/>
      <c r="AL30" s="8"/>
      <c r="AM30" s="8"/>
      <c r="AN30" s="8"/>
      <c r="AO30" s="8"/>
      <c r="AP30" s="8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8"/>
      <c r="BE30" s="8"/>
      <c r="BF30" s="10"/>
      <c r="BG30" s="10">
        <v>48</v>
      </c>
      <c r="BH30" s="10"/>
      <c r="BI30" s="10"/>
      <c r="BJ30" s="10"/>
      <c r="BK30" s="10"/>
      <c r="BL30" s="11">
        <f>SUM(BE30:BK30)</f>
        <v>48</v>
      </c>
      <c r="BM30" s="11">
        <f>(BL30-BE30)/2</f>
        <v>24</v>
      </c>
      <c r="BN30" s="11"/>
      <c r="BO30" s="11"/>
      <c r="BP30" s="11"/>
      <c r="BQ30" s="11"/>
      <c r="BR30" s="11"/>
      <c r="BS30" s="11"/>
      <c r="BT30" s="11">
        <f>SUM(BM30:BS30)</f>
        <v>24</v>
      </c>
      <c r="CZ30" s="86">
        <f>SUM(CR30:CY30)</f>
        <v>0</v>
      </c>
      <c r="DA30" s="86">
        <f>(CZ30-CR30)/2</f>
        <v>0</v>
      </c>
      <c r="DB30" s="87"/>
      <c r="DC30" s="87"/>
      <c r="DD30" s="87"/>
      <c r="DE30" s="87"/>
      <c r="DF30" s="87"/>
      <c r="DG30" s="87"/>
      <c r="DH30" s="87"/>
      <c r="DI30" s="87"/>
      <c r="DJ30" s="87"/>
      <c r="DK30" s="87"/>
      <c r="DL30" s="87"/>
      <c r="DM30" s="87"/>
      <c r="DN30" s="8">
        <f>SUM(DA30:DC30)</f>
        <v>0</v>
      </c>
      <c r="DO30" s="8">
        <f>(DN30-DA30)/2</f>
        <v>0</v>
      </c>
      <c r="DP30" s="10"/>
      <c r="DQ30" s="10"/>
      <c r="DR30" s="10"/>
      <c r="DS30" s="10"/>
      <c r="DT30" s="10"/>
      <c r="DU30" s="10"/>
      <c r="DV30" s="10"/>
      <c r="DW30" s="8">
        <f>SUM(DO30:DP30)</f>
        <v>0</v>
      </c>
    </row>
    <row r="31" spans="1:127" x14ac:dyDescent="0.25">
      <c r="A31">
        <v>21</v>
      </c>
      <c r="B31" s="8" t="s">
        <v>260</v>
      </c>
      <c r="C31" s="8"/>
      <c r="D31" s="8" t="s">
        <v>66</v>
      </c>
      <c r="E31" s="8" t="s">
        <v>618</v>
      </c>
      <c r="F31" s="8"/>
      <c r="G31" s="8"/>
      <c r="H31" s="8"/>
      <c r="I31" s="8"/>
      <c r="J31" s="10"/>
      <c r="K31" s="10"/>
      <c r="L31" s="10"/>
      <c r="M31" s="10"/>
      <c r="N31" s="10"/>
      <c r="O31" s="10"/>
      <c r="P31" s="10"/>
      <c r="Q31" s="10"/>
      <c r="R31" s="10"/>
      <c r="S31" s="8"/>
      <c r="T31" s="8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8"/>
      <c r="AJ31" s="8"/>
      <c r="AK31" s="8"/>
      <c r="AL31" s="8"/>
      <c r="AM31" s="8"/>
      <c r="AN31" s="8"/>
      <c r="AO31" s="8"/>
      <c r="AP31" s="8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8"/>
      <c r="BE31" s="8"/>
      <c r="BF31" s="10">
        <v>36</v>
      </c>
      <c r="BG31" s="10"/>
      <c r="BH31" s="10"/>
      <c r="BI31" s="10"/>
      <c r="BJ31" s="10"/>
      <c r="BK31" s="10"/>
      <c r="BL31" s="11">
        <f>SUM(BE31:BK31)</f>
        <v>36</v>
      </c>
      <c r="BM31" s="11">
        <f>(BL31-BE31)/2</f>
        <v>18</v>
      </c>
      <c r="BN31" s="11"/>
      <c r="BO31" s="11"/>
      <c r="BP31" s="11"/>
      <c r="BQ31" s="11"/>
      <c r="BR31" s="11"/>
      <c r="BS31" s="11"/>
      <c r="BT31" s="11">
        <f>SUM(BM31:BS31)</f>
        <v>18</v>
      </c>
      <c r="CZ31">
        <f>SUM(CR31:CY31)</f>
        <v>0</v>
      </c>
      <c r="DA31">
        <f>(CZ31-CR31)/2</f>
        <v>0</v>
      </c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8">
        <f>SUM(DA31:DC31)</f>
        <v>0</v>
      </c>
      <c r="DO31" s="8">
        <f>(DN31-DA31)/2</f>
        <v>0</v>
      </c>
      <c r="DP31" s="10"/>
      <c r="DQ31" s="10"/>
      <c r="DR31" s="10"/>
      <c r="DS31" s="10"/>
      <c r="DT31" s="10"/>
      <c r="DU31" s="10"/>
      <c r="DV31" s="10"/>
      <c r="DW31" s="8">
        <f>SUM(DO31:DP31)</f>
        <v>0</v>
      </c>
    </row>
    <row r="32" spans="1:127" x14ac:dyDescent="0.25">
      <c r="A32">
        <v>22</v>
      </c>
      <c r="B32" s="8" t="s">
        <v>437</v>
      </c>
      <c r="C32" s="8"/>
      <c r="D32" s="8" t="s">
        <v>655</v>
      </c>
      <c r="E32" s="8" t="s">
        <v>68</v>
      </c>
      <c r="F32" s="8"/>
      <c r="G32" s="8"/>
      <c r="H32" s="8"/>
      <c r="I32" s="8"/>
      <c r="J32" s="10"/>
      <c r="K32" s="10"/>
      <c r="L32" s="10"/>
      <c r="M32" s="10"/>
      <c r="N32" s="10"/>
      <c r="O32" s="10"/>
      <c r="P32" s="10"/>
      <c r="Q32" s="10"/>
      <c r="R32" s="10"/>
      <c r="S32" s="8"/>
      <c r="T32" s="8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8"/>
      <c r="AJ32" s="8"/>
      <c r="AK32" s="8"/>
      <c r="AL32" s="8"/>
      <c r="AM32" s="8"/>
      <c r="AN32" s="8"/>
      <c r="AO32" s="8"/>
      <c r="AP32" s="8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8"/>
      <c r="BE32" s="8"/>
      <c r="BF32" s="10"/>
      <c r="BG32" s="10"/>
      <c r="BH32" s="10">
        <v>7.5</v>
      </c>
      <c r="BI32" s="10"/>
      <c r="BJ32" s="10"/>
      <c r="BK32" s="10"/>
      <c r="BL32" s="11">
        <f>SUM(BE32:BK32)</f>
        <v>7.5</v>
      </c>
      <c r="BM32" s="11">
        <f>(BL32-BE32)/2</f>
        <v>3.75</v>
      </c>
      <c r="BN32" s="11"/>
      <c r="BO32" s="11">
        <v>3.2</v>
      </c>
      <c r="BP32" s="11"/>
      <c r="BQ32" s="11"/>
      <c r="BR32" s="11"/>
      <c r="BS32" s="11"/>
      <c r="BT32" s="11">
        <f>SUM(BM32:BS32)</f>
        <v>6.95</v>
      </c>
      <c r="CZ32">
        <f>SUM(CR32:CY32)</f>
        <v>0</v>
      </c>
      <c r="DA32">
        <f>(CZ32-CR32)/2</f>
        <v>0</v>
      </c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8">
        <f>SUM(DA32:DC32)</f>
        <v>0</v>
      </c>
      <c r="DO32" s="8">
        <f>(DN32-DA32)/2</f>
        <v>0</v>
      </c>
      <c r="DP32" s="10"/>
      <c r="DQ32" s="10"/>
      <c r="DR32" s="10"/>
      <c r="DS32" s="10"/>
      <c r="DT32" s="10"/>
      <c r="DU32" s="10"/>
      <c r="DV32" s="10"/>
      <c r="DW32" s="8">
        <f>SUM(DO32:DP32)</f>
        <v>0</v>
      </c>
    </row>
    <row r="33" spans="1:127" x14ac:dyDescent="0.25">
      <c r="A33">
        <v>23</v>
      </c>
      <c r="B33" s="8" t="s">
        <v>886</v>
      </c>
      <c r="C33" s="8"/>
      <c r="D33" s="8" t="s">
        <v>674</v>
      </c>
      <c r="E33" s="8" t="s">
        <v>427</v>
      </c>
      <c r="F33" s="8"/>
      <c r="G33" s="8"/>
      <c r="H33" s="8"/>
      <c r="I33" s="8"/>
      <c r="J33" s="10"/>
      <c r="K33" s="10"/>
      <c r="L33" s="10"/>
      <c r="M33" s="10"/>
      <c r="N33" s="10"/>
      <c r="O33" s="10"/>
      <c r="P33" s="10"/>
      <c r="Q33" s="10"/>
      <c r="R33" s="10"/>
      <c r="S33" s="8"/>
      <c r="T33" s="8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8"/>
      <c r="AJ33" s="8"/>
      <c r="AK33" s="8"/>
      <c r="AL33" s="8"/>
      <c r="AM33" s="8"/>
      <c r="AN33" s="8"/>
      <c r="AO33" s="8"/>
      <c r="AP33" s="8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8"/>
      <c r="BE33" s="8"/>
      <c r="BF33" s="10"/>
      <c r="BG33" s="10"/>
      <c r="BH33" s="10"/>
      <c r="BI33" s="10"/>
      <c r="BJ33" s="10"/>
      <c r="BK33" s="10"/>
      <c r="BL33" s="8"/>
      <c r="BM33" s="8"/>
      <c r="BN33" s="10">
        <v>2.4</v>
      </c>
      <c r="BO33" s="10"/>
      <c r="BP33" s="10">
        <v>4</v>
      </c>
      <c r="BQ33" s="8"/>
      <c r="BR33" s="8"/>
      <c r="BS33" s="8"/>
      <c r="BT33" s="11">
        <f>SUM(BM33:BS33)</f>
        <v>6.4</v>
      </c>
      <c r="DN33" s="8">
        <f>SUM(DA33:DC33)</f>
        <v>0</v>
      </c>
      <c r="DO33" s="8">
        <f>(DN33-DA33)/2</f>
        <v>0</v>
      </c>
      <c r="DP33" s="10"/>
      <c r="DQ33" s="10"/>
      <c r="DR33" s="10"/>
      <c r="DS33" s="10"/>
      <c r="DT33" s="10"/>
      <c r="DU33" s="10"/>
      <c r="DV33" s="10"/>
      <c r="DW33" s="8">
        <f>SUM(DO33:DP33)</f>
        <v>0</v>
      </c>
    </row>
    <row r="34" spans="1:127" x14ac:dyDescent="0.25">
      <c r="A34">
        <v>24</v>
      </c>
      <c r="B34" s="8" t="s">
        <v>195</v>
      </c>
      <c r="C34" s="8"/>
      <c r="D34" s="8" t="s">
        <v>285</v>
      </c>
      <c r="E34" s="8" t="s">
        <v>62</v>
      </c>
      <c r="F34" s="8"/>
      <c r="G34" s="8"/>
      <c r="H34" s="8"/>
      <c r="I34" s="8"/>
      <c r="J34" s="10"/>
      <c r="K34" s="10"/>
      <c r="L34" s="10"/>
      <c r="M34" s="10"/>
      <c r="N34" s="10"/>
      <c r="O34" s="10"/>
      <c r="P34" s="10"/>
      <c r="Q34" s="10"/>
      <c r="R34" s="10"/>
      <c r="S34" s="8"/>
      <c r="T34" s="8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8"/>
      <c r="AJ34" s="8"/>
      <c r="AK34" s="8"/>
      <c r="AL34" s="8"/>
      <c r="AM34" s="8"/>
      <c r="AN34" s="8"/>
      <c r="AO34" s="8">
        <v>7.5</v>
      </c>
      <c r="AP34" s="8"/>
      <c r="AQ34" s="10">
        <v>56</v>
      </c>
      <c r="AR34" s="10"/>
      <c r="AS34" s="10">
        <v>3.2</v>
      </c>
      <c r="AT34" s="10"/>
      <c r="AU34" s="10"/>
      <c r="AV34" s="10">
        <v>36</v>
      </c>
      <c r="AW34" s="10"/>
      <c r="AX34" s="10"/>
      <c r="AY34" s="10"/>
      <c r="AZ34" s="10"/>
      <c r="BA34" s="10"/>
      <c r="BB34" s="10"/>
      <c r="BC34" s="10">
        <v>8</v>
      </c>
      <c r="BD34" s="11">
        <f>SUM(AJ34:BC34)</f>
        <v>110.7</v>
      </c>
      <c r="BE34" s="11">
        <f>(BD34-AJ34)/2</f>
        <v>55.35</v>
      </c>
      <c r="BF34" s="11"/>
      <c r="BG34" s="11"/>
      <c r="BH34" s="11">
        <v>7.5</v>
      </c>
      <c r="BI34" s="11"/>
      <c r="BJ34" s="11"/>
      <c r="BK34" s="11"/>
      <c r="BL34" s="11">
        <f>SUM(BE34:BK34)</f>
        <v>62.85</v>
      </c>
      <c r="BM34" s="11">
        <f>(BL34-BE34)/2</f>
        <v>3.75</v>
      </c>
      <c r="BN34" s="11"/>
      <c r="BO34" s="11"/>
      <c r="BP34" s="11"/>
      <c r="BQ34" s="11"/>
      <c r="BR34" s="11"/>
      <c r="BS34" s="11"/>
      <c r="BT34" s="11">
        <f>SUM(BM34:BS34)</f>
        <v>3.75</v>
      </c>
      <c r="CQ34" s="12"/>
      <c r="CR34">
        <f>(CQ34-BV34)/2</f>
        <v>0</v>
      </c>
      <c r="CS34">
        <f>BD34/4</f>
        <v>27.675000000000001</v>
      </c>
      <c r="CY34" s="12">
        <v>2</v>
      </c>
      <c r="CZ34">
        <f>SUM(CR34:CY34)</f>
        <v>29.675000000000001</v>
      </c>
      <c r="DA34">
        <f>(CZ34-CR34)/2</f>
        <v>14.8375</v>
      </c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8">
        <f>SUM(DA34:DC34)</f>
        <v>14.8375</v>
      </c>
      <c r="DO34" s="8">
        <f>(DN34-DA34)/2</f>
        <v>0</v>
      </c>
      <c r="DP34" s="10"/>
      <c r="DQ34" s="10"/>
      <c r="DR34" s="10"/>
      <c r="DS34" s="10"/>
      <c r="DT34" s="10"/>
      <c r="DU34" s="10"/>
      <c r="DV34" s="10"/>
      <c r="DW34" s="8">
        <f>SUM(DO34:DP34)</f>
        <v>0</v>
      </c>
    </row>
    <row r="35" spans="1:127" x14ac:dyDescent="0.25">
      <c r="A35">
        <v>25</v>
      </c>
      <c r="B35" s="8" t="s">
        <v>830</v>
      </c>
      <c r="C35" s="8"/>
      <c r="D35" s="8" t="s">
        <v>831</v>
      </c>
      <c r="E35" s="8" t="s">
        <v>834</v>
      </c>
      <c r="F35" s="8"/>
      <c r="G35" s="8"/>
      <c r="H35" s="8"/>
      <c r="I35" s="8"/>
      <c r="J35" s="10"/>
      <c r="K35" s="10"/>
      <c r="L35" s="10"/>
      <c r="M35" s="10"/>
      <c r="N35" s="10"/>
      <c r="O35" s="10"/>
      <c r="P35" s="10"/>
      <c r="Q35" s="10"/>
      <c r="R35" s="10"/>
      <c r="S35" s="8"/>
      <c r="T35" s="8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8"/>
      <c r="AJ35" s="8"/>
      <c r="AK35" s="8"/>
      <c r="AL35" s="8"/>
      <c r="AM35" s="8"/>
      <c r="AN35" s="8"/>
      <c r="AO35" s="8"/>
      <c r="AP35" s="8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8"/>
      <c r="BE35" s="8"/>
      <c r="BF35" s="10"/>
      <c r="BG35" s="10"/>
      <c r="BH35" s="10"/>
      <c r="BI35" s="10"/>
      <c r="BJ35" s="10"/>
      <c r="BK35" s="10"/>
      <c r="BL35" s="8"/>
      <c r="BM35" s="8"/>
      <c r="BN35" s="10"/>
      <c r="BO35" s="10">
        <v>3.2</v>
      </c>
      <c r="BP35" s="10"/>
      <c r="BQ35" s="8"/>
      <c r="BR35" s="8"/>
      <c r="BS35" s="8"/>
      <c r="BT35" s="11">
        <f>SUM(BM35:BS35)</f>
        <v>3.2</v>
      </c>
      <c r="DN35" s="8">
        <f>SUM(DA35:DC35)</f>
        <v>0</v>
      </c>
      <c r="DO35" s="8">
        <f>(DN35-DA35)/2</f>
        <v>0</v>
      </c>
      <c r="DP35" s="10"/>
      <c r="DQ35" s="10"/>
      <c r="DR35" s="10"/>
      <c r="DS35" s="10"/>
      <c r="DT35" s="10"/>
      <c r="DU35" s="10"/>
      <c r="DV35" s="10"/>
      <c r="DW35" s="8">
        <f>SUM(DO35:DP35)</f>
        <v>0</v>
      </c>
    </row>
    <row r="36" spans="1:127" x14ac:dyDescent="0.25">
      <c r="A36">
        <v>26</v>
      </c>
      <c r="B36" s="8" t="s">
        <v>101</v>
      </c>
      <c r="C36" s="8"/>
      <c r="D36" s="8" t="s">
        <v>752</v>
      </c>
      <c r="E36" s="8" t="s">
        <v>529</v>
      </c>
      <c r="F36" s="8"/>
      <c r="G36" s="8"/>
      <c r="H36" s="8"/>
      <c r="I36" s="8"/>
      <c r="J36" s="10"/>
      <c r="K36" s="10"/>
      <c r="L36" s="10"/>
      <c r="M36" s="10"/>
      <c r="N36" s="10"/>
      <c r="O36" s="10"/>
      <c r="P36" s="10"/>
      <c r="Q36" s="10"/>
      <c r="R36" s="10"/>
      <c r="S36" s="8"/>
      <c r="T36" s="8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8"/>
      <c r="AJ36" s="8"/>
      <c r="AK36" s="8"/>
      <c r="AL36" s="8"/>
      <c r="AM36" s="8"/>
      <c r="AN36" s="8"/>
      <c r="AO36" s="8"/>
      <c r="AP36" s="8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8"/>
      <c r="BE36" s="8"/>
      <c r="BF36" s="10"/>
      <c r="BG36" s="10">
        <v>4</v>
      </c>
      <c r="BH36" s="10"/>
      <c r="BI36" s="10"/>
      <c r="BJ36" s="10"/>
      <c r="BK36" s="10"/>
      <c r="BL36" s="11">
        <f>SUM(BE36:BK36)</f>
        <v>4</v>
      </c>
      <c r="BM36" s="11">
        <f>(BL36-BE36)/2</f>
        <v>2</v>
      </c>
      <c r="BN36" s="11"/>
      <c r="BO36" s="11"/>
      <c r="BP36" s="11"/>
      <c r="BQ36" s="11"/>
      <c r="BR36" s="11"/>
      <c r="BS36" s="11"/>
      <c r="BT36" s="11">
        <f>SUM(BM36:BS36)</f>
        <v>2</v>
      </c>
      <c r="CZ36">
        <f>SUM(CR36:CY36)</f>
        <v>0</v>
      </c>
      <c r="DA36">
        <f>(CZ36-CR36)/2</f>
        <v>0</v>
      </c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8">
        <f>SUM(DA36:DC36)</f>
        <v>0</v>
      </c>
      <c r="DO36" s="8">
        <f>(DN36-DA36)/2</f>
        <v>0</v>
      </c>
      <c r="DP36" s="10"/>
      <c r="DQ36" s="10"/>
      <c r="DR36" s="10"/>
      <c r="DS36" s="10"/>
      <c r="DT36" s="10"/>
      <c r="DU36" s="10"/>
      <c r="DV36" s="10"/>
      <c r="DW36" s="8">
        <f>SUM(DO36:DP36)</f>
        <v>0</v>
      </c>
    </row>
    <row r="37" spans="1:127" x14ac:dyDescent="0.25">
      <c r="A37">
        <v>27</v>
      </c>
      <c r="B37" s="8" t="s">
        <v>137</v>
      </c>
      <c r="C37" s="8"/>
      <c r="D37" s="8" t="s">
        <v>728</v>
      </c>
      <c r="E37" s="8" t="s">
        <v>76</v>
      </c>
      <c r="F37" s="8"/>
      <c r="G37" s="8"/>
      <c r="H37" s="8"/>
      <c r="I37" s="8"/>
      <c r="J37" s="10"/>
      <c r="K37" s="10"/>
      <c r="L37" s="10"/>
      <c r="M37" s="10"/>
      <c r="N37" s="10"/>
      <c r="O37" s="10"/>
      <c r="P37" s="10"/>
      <c r="Q37" s="10"/>
      <c r="R37" s="10"/>
      <c r="S37" s="8"/>
      <c r="T37" s="8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8"/>
      <c r="AJ37" s="8"/>
      <c r="AK37" s="8"/>
      <c r="AL37" s="8"/>
      <c r="AM37" s="8"/>
      <c r="AN37" s="8"/>
      <c r="AO37" s="8"/>
      <c r="AP37" s="8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8"/>
      <c r="BE37" s="8"/>
      <c r="BF37" s="10"/>
      <c r="BG37" s="10">
        <v>3.2</v>
      </c>
      <c r="BH37" s="10"/>
      <c r="BI37" s="10"/>
      <c r="BJ37" s="10"/>
      <c r="BK37" s="10"/>
      <c r="BL37" s="11">
        <f>SUM(BE37:BK37)</f>
        <v>3.2</v>
      </c>
      <c r="BM37" s="11">
        <f>(BL37-BE37)/2</f>
        <v>1.6</v>
      </c>
      <c r="BN37" s="11"/>
      <c r="BO37" s="11"/>
      <c r="BP37" s="11"/>
      <c r="BQ37" s="11"/>
      <c r="BR37" s="11"/>
      <c r="BS37" s="11"/>
      <c r="BT37" s="11">
        <f>SUM(BM37:BS37)</f>
        <v>1.6</v>
      </c>
      <c r="CZ37">
        <f>SUM(CR37:CY37)</f>
        <v>0</v>
      </c>
      <c r="DA37">
        <f>(CZ37-CR37)/2</f>
        <v>0</v>
      </c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8">
        <f>SUM(DA37:DC37)</f>
        <v>0</v>
      </c>
      <c r="DO37" s="8">
        <f>(DN37-DA37)/2</f>
        <v>0</v>
      </c>
      <c r="DP37" s="10"/>
      <c r="DQ37" s="10"/>
      <c r="DR37" s="10"/>
      <c r="DS37" s="10"/>
      <c r="DT37" s="10"/>
      <c r="DU37" s="10"/>
      <c r="DV37" s="10"/>
      <c r="DW37" s="8">
        <f>SUM(DO37:DP37)</f>
        <v>0</v>
      </c>
    </row>
    <row r="38" spans="1:127" x14ac:dyDescent="0.25">
      <c r="A38">
        <v>28</v>
      </c>
      <c r="B38" s="10" t="s">
        <v>141</v>
      </c>
      <c r="C38" s="10" t="s">
        <v>142</v>
      </c>
      <c r="D38" s="8" t="s">
        <v>143</v>
      </c>
      <c r="E38" s="8" t="s">
        <v>7</v>
      </c>
      <c r="F38" s="8"/>
      <c r="G38" s="8"/>
      <c r="H38" s="8"/>
      <c r="I38" s="8"/>
      <c r="J38" s="10"/>
      <c r="K38" s="10"/>
      <c r="L38" s="10"/>
      <c r="M38" s="10"/>
      <c r="N38" s="10"/>
      <c r="O38" s="10"/>
      <c r="P38" s="10"/>
      <c r="Q38" s="10"/>
      <c r="R38" s="10"/>
      <c r="S38" s="8"/>
      <c r="T38" s="8"/>
      <c r="U38" s="10">
        <v>48</v>
      </c>
      <c r="V38" s="10"/>
      <c r="W38" s="10">
        <v>70</v>
      </c>
      <c r="X38" s="10"/>
      <c r="Y38" s="10"/>
      <c r="Z38" s="10">
        <v>40</v>
      </c>
      <c r="AA38" s="10"/>
      <c r="AB38" s="10"/>
      <c r="AC38" s="10">
        <v>5</v>
      </c>
      <c r="AD38" s="10"/>
      <c r="AE38" s="10"/>
      <c r="AF38" s="10"/>
      <c r="AG38" s="10"/>
      <c r="AH38" s="10"/>
      <c r="AI38" s="11">
        <f>SUM(T38:AH38)</f>
        <v>163</v>
      </c>
      <c r="AJ38" s="11">
        <f>(AI38-T38)/2</f>
        <v>81.5</v>
      </c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>
        <v>75</v>
      </c>
      <c r="BB38" s="11"/>
      <c r="BC38" s="11"/>
      <c r="BD38" s="11">
        <f>SUM(AJ38:BC38)</f>
        <v>156.5</v>
      </c>
      <c r="BE38" s="11">
        <f>(BD38-AJ38)/2</f>
        <v>37.5</v>
      </c>
      <c r="BF38" s="11"/>
      <c r="BG38" s="11"/>
      <c r="BH38" s="11"/>
      <c r="BI38" s="11"/>
      <c r="BJ38" s="11"/>
      <c r="BK38" s="11"/>
      <c r="BL38" s="11">
        <f>SUM(BE38:BK38)</f>
        <v>37.5</v>
      </c>
      <c r="BM38" s="11">
        <f>(BL38-BE38)/2</f>
        <v>0</v>
      </c>
      <c r="BN38" s="11"/>
      <c r="BO38" s="11"/>
      <c r="BP38" s="11"/>
      <c r="BQ38" s="11"/>
      <c r="BR38" s="11"/>
      <c r="BS38" s="11"/>
      <c r="BT38" s="11">
        <f>SUM(BM38:BS38)</f>
        <v>0</v>
      </c>
      <c r="BV38" s="12">
        <f>SUM(BY38:CF38)/2</f>
        <v>5.25</v>
      </c>
      <c r="BW38" s="12">
        <f>AI38/4</f>
        <v>40.75</v>
      </c>
      <c r="BX38" s="12">
        <f>S38/2</f>
        <v>0</v>
      </c>
      <c r="BY38" s="12">
        <f>7+7*1/2</f>
        <v>10.5</v>
      </c>
      <c r="BZ38" s="12"/>
      <c r="CG38" s="12">
        <f>SUM(BX38:BZ38)</f>
        <v>10.5</v>
      </c>
      <c r="CH38" s="12"/>
      <c r="CI38" s="12"/>
      <c r="CJ38" s="12"/>
      <c r="CK38" s="12"/>
      <c r="CL38" s="12"/>
      <c r="CM38" s="12"/>
      <c r="CN38" s="12"/>
      <c r="CO38" s="12"/>
      <c r="CP38" s="12"/>
      <c r="CQ38" s="12">
        <f>SUM(BV38:BW38)+SUM(CH38:CJ38)</f>
        <v>46</v>
      </c>
      <c r="CR38">
        <f>(CQ38-BV38)/2</f>
        <v>20.375</v>
      </c>
      <c r="CS38">
        <f>BD38/4</f>
        <v>39.125</v>
      </c>
      <c r="CZ38">
        <f>SUM(CR38:CY38)</f>
        <v>59.5</v>
      </c>
      <c r="DA38">
        <f>(CZ38-CR38)/2</f>
        <v>19.5625</v>
      </c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8">
        <f>SUM(DA38:DC38)</f>
        <v>19.5625</v>
      </c>
      <c r="DO38" s="8">
        <f>(DN38-DA38)/2</f>
        <v>0</v>
      </c>
      <c r="DP38" s="10"/>
      <c r="DQ38" s="10"/>
      <c r="DR38" s="10"/>
      <c r="DS38" s="10"/>
      <c r="DT38" s="10"/>
      <c r="DU38" s="10"/>
      <c r="DV38" s="10"/>
      <c r="DW38" s="8">
        <f>SUM(DO38:DP38)</f>
        <v>0</v>
      </c>
    </row>
  </sheetData>
  <sortState xmlns:xlrd2="http://schemas.microsoft.com/office/spreadsheetml/2017/richdata2" ref="B11:DW38">
    <sortCondition descending="1" ref="BT11:BT38"/>
  </sortState>
  <mergeCells count="6">
    <mergeCell ref="B1:DW1"/>
    <mergeCell ref="B8:C10"/>
    <mergeCell ref="BH9:BK9"/>
    <mergeCell ref="BP9:BS9"/>
    <mergeCell ref="D4:BT5"/>
    <mergeCell ref="BV4:DW5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E39"/>
  <sheetViews>
    <sheetView zoomScale="80" zoomScaleNormal="80" workbookViewId="0">
      <selection activeCell="DH19" sqref="DH19"/>
    </sheetView>
  </sheetViews>
  <sheetFormatPr baseColWidth="10" defaultRowHeight="15" x14ac:dyDescent="0.25"/>
  <cols>
    <col min="1" max="1" width="3.140625" bestFit="1" customWidth="1"/>
    <col min="2" max="2" width="14.42578125" bestFit="1" customWidth="1"/>
    <col min="4" max="4" width="12.7109375" bestFit="1" customWidth="1"/>
    <col min="5" max="5" width="23.42578125" bestFit="1" customWidth="1"/>
    <col min="6" max="6" width="6.42578125" hidden="1" customWidth="1"/>
    <col min="7" max="7" width="6.28515625" hidden="1" customWidth="1"/>
    <col min="8" max="8" width="7.28515625" hidden="1" customWidth="1"/>
    <col min="9" max="10" width="6.28515625" hidden="1" customWidth="1"/>
    <col min="11" max="12" width="6.7109375" hidden="1" customWidth="1"/>
    <col min="13" max="13" width="6.7109375" style="12" hidden="1" customWidth="1"/>
    <col min="14" max="14" width="7.28515625" style="12" hidden="1" customWidth="1"/>
    <col min="15" max="17" width="6.42578125" style="12" hidden="1" customWidth="1"/>
    <col min="18" max="19" width="0" hidden="1" customWidth="1"/>
    <col min="20" max="22" width="6" hidden="1" customWidth="1"/>
    <col min="23" max="30" width="6" style="12" hidden="1" customWidth="1"/>
    <col min="31" max="32" width="0" hidden="1" customWidth="1"/>
    <col min="33" max="50" width="6" hidden="1" customWidth="1"/>
    <col min="51" max="52" width="0" hidden="1" customWidth="1"/>
    <col min="53" max="53" width="7.28515625" style="12" hidden="1" customWidth="1"/>
    <col min="54" max="54" width="6.140625" hidden="1" customWidth="1"/>
    <col min="55" max="55" width="7.85546875" style="12" hidden="1" customWidth="1"/>
    <col min="56" max="56" width="7.7109375" style="12" hidden="1" customWidth="1"/>
    <col min="57" max="57" width="6.85546875" style="12" hidden="1" customWidth="1"/>
    <col min="58" max="58" width="8.28515625" style="12" hidden="1" customWidth="1"/>
    <col min="61" max="61" width="5.5703125" style="12" bestFit="1" customWidth="1"/>
    <col min="62" max="62" width="7.28515625" style="12" customWidth="1"/>
    <col min="63" max="63" width="7.7109375" style="12" customWidth="1"/>
    <col min="64" max="66" width="7.5703125" style="12" customWidth="1"/>
    <col min="69" max="69" width="0" hidden="1" customWidth="1"/>
    <col min="70" max="70" width="10.28515625" hidden="1" customWidth="1"/>
    <col min="71" max="71" width="0" hidden="1" customWidth="1"/>
    <col min="72" max="72" width="10.140625" hidden="1" customWidth="1"/>
    <col min="73" max="74" width="6.42578125" hidden="1" customWidth="1"/>
    <col min="75" max="76" width="6.7109375" style="12" hidden="1" customWidth="1"/>
    <col min="77" max="77" width="0" hidden="1" customWidth="1"/>
    <col min="78" max="78" width="0" style="12" hidden="1" customWidth="1"/>
    <col min="79" max="79" width="9.7109375" style="12" hidden="1" customWidth="1"/>
    <col min="80" max="80" width="9.28515625" style="12" hidden="1" customWidth="1"/>
    <col min="81" max="83" width="9.7109375" style="12" hidden="1" customWidth="1"/>
    <col min="84" max="84" width="10.7109375" style="12" hidden="1" customWidth="1"/>
    <col min="85" max="85" width="6.7109375" style="12" hidden="1" customWidth="1"/>
    <col min="86" max="86" width="7.140625" style="12" hidden="1" customWidth="1"/>
    <col min="87" max="87" width="0" hidden="1" customWidth="1"/>
    <col min="88" max="89" width="0" style="12" hidden="1" customWidth="1"/>
    <col min="90" max="93" width="6" style="12" hidden="1" customWidth="1"/>
    <col min="94" max="94" width="0" style="12" hidden="1" customWidth="1"/>
    <col min="95" max="95" width="10.28515625" hidden="1" customWidth="1"/>
    <col min="96" max="96" width="5.7109375" hidden="1" customWidth="1"/>
    <col min="97" max="99" width="6" hidden="1" customWidth="1"/>
    <col min="102" max="102" width="11.42578125" style="12"/>
    <col min="103" max="103" width="6" style="12" bestFit="1" customWidth="1"/>
    <col min="104" max="108" width="6" style="12" customWidth="1"/>
  </cols>
  <sheetData>
    <row r="1" spans="1:109" ht="26.25" x14ac:dyDescent="0.4">
      <c r="B1" s="80" t="s">
        <v>3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  <c r="CG1" s="80"/>
      <c r="CH1" s="80"/>
      <c r="CI1" s="80"/>
      <c r="CJ1" s="80"/>
      <c r="CK1" s="80"/>
      <c r="CL1" s="80"/>
      <c r="CM1" s="80"/>
      <c r="CN1" s="80"/>
      <c r="CO1" s="80"/>
      <c r="CP1" s="80"/>
      <c r="CQ1" s="80"/>
      <c r="CR1" s="80"/>
      <c r="CS1" s="80"/>
      <c r="CT1" s="80"/>
      <c r="CU1" s="80"/>
      <c r="CV1" s="80"/>
      <c r="CW1" s="80"/>
      <c r="CX1" s="80"/>
      <c r="CY1" s="80"/>
      <c r="CZ1" s="80"/>
      <c r="DA1" s="80"/>
      <c r="DB1" s="80"/>
      <c r="DC1" s="80"/>
      <c r="DD1" s="80"/>
      <c r="DE1" s="80"/>
    </row>
    <row r="2" spans="1:109" ht="15.75" thickBot="1" x14ac:dyDescent="0.3">
      <c r="C2" s="12"/>
      <c r="D2" s="12"/>
      <c r="E2" s="12"/>
    </row>
    <row r="3" spans="1:109" ht="15.75" thickTop="1" x14ac:dyDescent="0.25">
      <c r="B3" s="1" t="s">
        <v>0</v>
      </c>
      <c r="C3" s="4" t="s">
        <v>10</v>
      </c>
    </row>
    <row r="4" spans="1:109" ht="15.6" customHeight="1" x14ac:dyDescent="0.25">
      <c r="B4" s="2" t="s">
        <v>1</v>
      </c>
      <c r="C4" s="5" t="s">
        <v>11</v>
      </c>
      <c r="D4" s="81" t="s">
        <v>791</v>
      </c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2"/>
      <c r="BK4" s="82"/>
      <c r="BL4" s="82"/>
      <c r="BM4" s="82"/>
      <c r="BN4" s="82"/>
      <c r="BO4" s="82"/>
      <c r="BQ4" s="82" t="s">
        <v>792</v>
      </c>
      <c r="BR4" s="82"/>
      <c r="BS4" s="82"/>
      <c r="BT4" s="82"/>
      <c r="BU4" s="82"/>
      <c r="BV4" s="82"/>
      <c r="BW4" s="82"/>
      <c r="BX4" s="82"/>
      <c r="BY4" s="82"/>
      <c r="BZ4" s="82"/>
      <c r="CA4" s="82"/>
      <c r="CB4" s="82"/>
      <c r="CC4" s="82"/>
      <c r="CD4" s="82"/>
      <c r="CE4" s="82"/>
      <c r="CF4" s="82"/>
      <c r="CG4" s="82"/>
      <c r="CH4" s="82"/>
      <c r="CI4" s="82"/>
      <c r="CJ4" s="82"/>
      <c r="CK4" s="82"/>
      <c r="CL4" s="82"/>
      <c r="CM4" s="82"/>
      <c r="CN4" s="82"/>
      <c r="CO4" s="82"/>
      <c r="CP4" s="82"/>
      <c r="CQ4" s="82"/>
      <c r="CR4" s="82"/>
      <c r="CS4" s="82"/>
      <c r="CT4" s="82"/>
      <c r="CU4" s="82"/>
      <c r="CV4" s="82"/>
      <c r="CW4" s="82"/>
      <c r="CX4" s="82"/>
      <c r="CY4" s="82"/>
      <c r="CZ4" s="82"/>
      <c r="DA4" s="82"/>
      <c r="DB4" s="82"/>
      <c r="DC4" s="82"/>
      <c r="DD4" s="82"/>
      <c r="DE4" s="82"/>
    </row>
    <row r="5" spans="1:109" ht="16.149999999999999" customHeight="1" thickBot="1" x14ac:dyDescent="0.3">
      <c r="B5" s="3" t="s">
        <v>2</v>
      </c>
      <c r="C5" s="53">
        <v>-70</v>
      </c>
      <c r="D5" s="81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2"/>
      <c r="BI5" s="82"/>
      <c r="BJ5" s="82"/>
      <c r="BK5" s="82"/>
      <c r="BL5" s="82"/>
      <c r="BM5" s="82"/>
      <c r="BN5" s="82"/>
      <c r="BO5" s="82"/>
      <c r="BQ5" s="82"/>
      <c r="BR5" s="82"/>
      <c r="BS5" s="82"/>
      <c r="BT5" s="82"/>
      <c r="BU5" s="82"/>
      <c r="BV5" s="82"/>
      <c r="BW5" s="82"/>
      <c r="BX5" s="82"/>
      <c r="BY5" s="82"/>
      <c r="BZ5" s="82"/>
      <c r="CA5" s="82"/>
      <c r="CB5" s="82"/>
      <c r="CC5" s="82"/>
      <c r="CD5" s="82"/>
      <c r="CE5" s="82"/>
      <c r="CF5" s="82"/>
      <c r="CG5" s="82"/>
      <c r="CH5" s="82"/>
      <c r="CI5" s="82"/>
      <c r="CJ5" s="82"/>
      <c r="CK5" s="82"/>
      <c r="CL5" s="82"/>
      <c r="CM5" s="82"/>
      <c r="CN5" s="82"/>
      <c r="CO5" s="82"/>
      <c r="CP5" s="82"/>
      <c r="CQ5" s="82"/>
      <c r="CR5" s="82"/>
      <c r="CS5" s="82"/>
      <c r="CT5" s="82"/>
      <c r="CU5" s="82"/>
      <c r="CV5" s="82"/>
      <c r="CW5" s="82"/>
      <c r="CX5" s="82"/>
      <c r="CY5" s="82"/>
      <c r="CZ5" s="82"/>
      <c r="DA5" s="82"/>
      <c r="DB5" s="82"/>
      <c r="DC5" s="82"/>
      <c r="DD5" s="82"/>
      <c r="DE5" s="82"/>
    </row>
    <row r="6" spans="1:109" ht="15.75" thickTop="1" x14ac:dyDescent="0.25"/>
    <row r="7" spans="1:109" ht="15.75" thickBot="1" x14ac:dyDescent="0.3"/>
    <row r="8" spans="1:109" ht="15.75" thickTop="1" x14ac:dyDescent="0.25">
      <c r="B8" s="73" t="s">
        <v>61</v>
      </c>
      <c r="C8" s="74"/>
      <c r="D8" s="1"/>
      <c r="E8" s="1"/>
      <c r="F8" s="4" t="s">
        <v>82</v>
      </c>
      <c r="G8" s="1" t="s">
        <v>170</v>
      </c>
      <c r="H8" s="4" t="s">
        <v>224</v>
      </c>
      <c r="I8" s="4" t="s">
        <v>286</v>
      </c>
      <c r="J8" s="4" t="s">
        <v>296</v>
      </c>
      <c r="K8" s="4" t="s">
        <v>82</v>
      </c>
      <c r="L8" s="4" t="s">
        <v>82</v>
      </c>
      <c r="M8" s="4" t="s">
        <v>82</v>
      </c>
      <c r="N8" s="4" t="s">
        <v>316</v>
      </c>
      <c r="O8" s="4" t="s">
        <v>82</v>
      </c>
      <c r="P8" s="4" t="s">
        <v>82</v>
      </c>
      <c r="Q8" s="4" t="s">
        <v>334</v>
      </c>
      <c r="R8" s="1"/>
      <c r="S8" s="25">
        <v>44927</v>
      </c>
      <c r="T8" s="29" t="s">
        <v>334</v>
      </c>
      <c r="U8" s="29" t="s">
        <v>82</v>
      </c>
      <c r="V8" s="29" t="s">
        <v>82</v>
      </c>
      <c r="W8" s="29" t="s">
        <v>387</v>
      </c>
      <c r="X8" s="29" t="s">
        <v>82</v>
      </c>
      <c r="Y8" s="29" t="s">
        <v>334</v>
      </c>
      <c r="Z8" s="29" t="s">
        <v>334</v>
      </c>
      <c r="AA8" s="29" t="s">
        <v>82</v>
      </c>
      <c r="AB8" s="29" t="s">
        <v>82</v>
      </c>
      <c r="AC8" s="29" t="s">
        <v>82</v>
      </c>
      <c r="AD8" s="29" t="s">
        <v>339</v>
      </c>
      <c r="AE8" s="1" t="s">
        <v>9</v>
      </c>
      <c r="AF8" s="29">
        <v>45292</v>
      </c>
      <c r="AG8" s="29" t="s">
        <v>82</v>
      </c>
      <c r="AH8" s="29" t="s">
        <v>82</v>
      </c>
      <c r="AI8" s="29" t="s">
        <v>334</v>
      </c>
      <c r="AJ8" s="29" t="s">
        <v>334</v>
      </c>
      <c r="AK8" s="29" t="s">
        <v>387</v>
      </c>
      <c r="AL8" s="29" t="s">
        <v>387</v>
      </c>
      <c r="AM8" s="29" t="s">
        <v>387</v>
      </c>
      <c r="AN8" s="29" t="s">
        <v>334</v>
      </c>
      <c r="AO8" s="29" t="s">
        <v>82</v>
      </c>
      <c r="AP8" s="29" t="s">
        <v>82</v>
      </c>
      <c r="AQ8" s="29" t="s">
        <v>82</v>
      </c>
      <c r="AR8" s="29" t="s">
        <v>82</v>
      </c>
      <c r="AS8" s="29" t="s">
        <v>82</v>
      </c>
      <c r="AT8" s="29" t="s">
        <v>82</v>
      </c>
      <c r="AU8" s="29" t="s">
        <v>82</v>
      </c>
      <c r="AV8" s="29" t="s">
        <v>334</v>
      </c>
      <c r="AW8" s="29" t="s">
        <v>597</v>
      </c>
      <c r="AX8" s="29" t="s">
        <v>339</v>
      </c>
      <c r="AY8" s="29" t="s">
        <v>9</v>
      </c>
      <c r="AZ8" s="29">
        <v>45658</v>
      </c>
      <c r="BA8" s="29"/>
      <c r="BB8" s="29"/>
      <c r="BC8" s="59"/>
      <c r="BD8" s="60"/>
      <c r="BE8" s="60"/>
      <c r="BF8" s="61"/>
      <c r="BG8" s="29" t="s">
        <v>9</v>
      </c>
      <c r="BH8" s="29">
        <v>46023</v>
      </c>
      <c r="BI8" s="29"/>
      <c r="BJ8" s="29"/>
      <c r="BK8" s="59"/>
      <c r="BL8" s="60"/>
      <c r="BM8" s="60"/>
      <c r="BN8" s="61"/>
      <c r="BO8" s="29" t="s">
        <v>612</v>
      </c>
      <c r="BQ8" s="25">
        <v>44927</v>
      </c>
      <c r="BR8" s="1" t="s">
        <v>59</v>
      </c>
      <c r="BS8" s="1" t="s">
        <v>59</v>
      </c>
      <c r="BT8" s="4" t="s">
        <v>58</v>
      </c>
      <c r="BU8" s="4" t="s">
        <v>120</v>
      </c>
      <c r="BV8" s="4" t="s">
        <v>291</v>
      </c>
      <c r="BW8" s="4" t="s">
        <v>331</v>
      </c>
      <c r="BX8" s="4" t="s">
        <v>79</v>
      </c>
      <c r="BY8" s="1" t="s">
        <v>9</v>
      </c>
      <c r="BZ8" s="4" t="s">
        <v>58</v>
      </c>
      <c r="CA8" s="1" t="s">
        <v>349</v>
      </c>
      <c r="CB8" s="1" t="s">
        <v>381</v>
      </c>
      <c r="CC8" s="32" t="s">
        <v>385</v>
      </c>
      <c r="CD8" s="32" t="s">
        <v>399</v>
      </c>
      <c r="CE8" s="32" t="s">
        <v>405</v>
      </c>
      <c r="CF8" s="32" t="s">
        <v>411</v>
      </c>
      <c r="CG8" s="4" t="s">
        <v>443</v>
      </c>
      <c r="CH8" s="4" t="s">
        <v>335</v>
      </c>
      <c r="CI8" s="1" t="s">
        <v>9</v>
      </c>
      <c r="CJ8" s="29">
        <v>45292</v>
      </c>
      <c r="CK8" s="4" t="s">
        <v>59</v>
      </c>
      <c r="CL8" s="4" t="s">
        <v>464</v>
      </c>
      <c r="CM8" s="4" t="s">
        <v>120</v>
      </c>
      <c r="CN8" s="4" t="s">
        <v>505</v>
      </c>
      <c r="CO8" s="4" t="s">
        <v>335</v>
      </c>
      <c r="CP8" s="4" t="s">
        <v>9</v>
      </c>
      <c r="CQ8" s="25">
        <v>45658</v>
      </c>
      <c r="CR8" s="4" t="s">
        <v>464</v>
      </c>
      <c r="CS8" s="4" t="s">
        <v>120</v>
      </c>
      <c r="CT8" s="4" t="s">
        <v>331</v>
      </c>
      <c r="CU8" s="4" t="s">
        <v>335</v>
      </c>
      <c r="CV8" s="1" t="s">
        <v>612</v>
      </c>
      <c r="CW8" s="29">
        <v>46023</v>
      </c>
      <c r="CX8" s="4" t="s">
        <v>58</v>
      </c>
      <c r="CY8" s="4" t="s">
        <v>120</v>
      </c>
      <c r="CZ8" s="4" t="s">
        <v>505</v>
      </c>
      <c r="DA8" s="4" t="s">
        <v>505</v>
      </c>
      <c r="DB8" s="4" t="s">
        <v>331</v>
      </c>
      <c r="DC8" s="4" t="s">
        <v>302</v>
      </c>
      <c r="DD8" s="4" t="s">
        <v>505</v>
      </c>
      <c r="DE8" s="1" t="s">
        <v>9</v>
      </c>
    </row>
    <row r="9" spans="1:109" x14ac:dyDescent="0.25">
      <c r="B9" s="75"/>
      <c r="C9" s="76"/>
      <c r="D9" s="2"/>
      <c r="E9" s="2"/>
      <c r="F9" s="14" t="s">
        <v>132</v>
      </c>
      <c r="G9" s="7" t="s">
        <v>171</v>
      </c>
      <c r="H9" s="14" t="s">
        <v>225</v>
      </c>
      <c r="I9" s="14" t="s">
        <v>290</v>
      </c>
      <c r="J9" s="14" t="s">
        <v>171</v>
      </c>
      <c r="K9" s="14" t="s">
        <v>132</v>
      </c>
      <c r="L9" s="14" t="s">
        <v>308</v>
      </c>
      <c r="M9" s="14" t="s">
        <v>266</v>
      </c>
      <c r="N9" s="14" t="s">
        <v>317</v>
      </c>
      <c r="O9" s="14" t="s">
        <v>314</v>
      </c>
      <c r="P9" s="14" t="s">
        <v>167</v>
      </c>
      <c r="Q9" s="14" t="s">
        <v>339</v>
      </c>
      <c r="R9" s="2" t="s">
        <v>9</v>
      </c>
      <c r="S9" s="2"/>
      <c r="T9" s="5" t="s">
        <v>287</v>
      </c>
      <c r="U9" s="5" t="s">
        <v>266</v>
      </c>
      <c r="V9" s="5" t="s">
        <v>314</v>
      </c>
      <c r="W9" s="5" t="s">
        <v>287</v>
      </c>
      <c r="X9" s="5" t="s">
        <v>261</v>
      </c>
      <c r="Y9" s="5" t="s">
        <v>286</v>
      </c>
      <c r="Z9" s="5" t="s">
        <v>289</v>
      </c>
      <c r="AA9" s="5" t="s">
        <v>261</v>
      </c>
      <c r="AB9" s="5" t="s">
        <v>83</v>
      </c>
      <c r="AC9" s="5" t="s">
        <v>308</v>
      </c>
      <c r="AD9" s="5"/>
      <c r="AE9" s="2"/>
      <c r="AF9" s="5"/>
      <c r="AG9" s="5" t="s">
        <v>492</v>
      </c>
      <c r="AH9" s="5" t="s">
        <v>308</v>
      </c>
      <c r="AI9" s="5" t="s">
        <v>286</v>
      </c>
      <c r="AJ9" s="5" t="s">
        <v>524</v>
      </c>
      <c r="AK9" s="5" t="s">
        <v>286</v>
      </c>
      <c r="AL9" s="5" t="s">
        <v>287</v>
      </c>
      <c r="AM9" s="5" t="s">
        <v>289</v>
      </c>
      <c r="AN9" s="5" t="s">
        <v>287</v>
      </c>
      <c r="AO9" s="5" t="s">
        <v>132</v>
      </c>
      <c r="AP9" s="5" t="s">
        <v>492</v>
      </c>
      <c r="AQ9" s="5" t="s">
        <v>85</v>
      </c>
      <c r="AR9" s="5" t="s">
        <v>132</v>
      </c>
      <c r="AS9" s="5" t="s">
        <v>308</v>
      </c>
      <c r="AT9" s="5" t="s">
        <v>261</v>
      </c>
      <c r="AU9" s="5" t="s">
        <v>578</v>
      </c>
      <c r="AV9" s="5" t="s">
        <v>289</v>
      </c>
      <c r="AW9" s="5" t="s">
        <v>492</v>
      </c>
      <c r="AX9" s="5" t="s">
        <v>606</v>
      </c>
      <c r="AY9" s="5"/>
      <c r="AZ9" s="5"/>
      <c r="BA9" s="14" t="s">
        <v>82</v>
      </c>
      <c r="BB9" s="14" t="s">
        <v>387</v>
      </c>
      <c r="BC9" s="77" t="s">
        <v>608</v>
      </c>
      <c r="BD9" s="78"/>
      <c r="BE9" s="78"/>
      <c r="BF9" s="79"/>
      <c r="BG9" s="5"/>
      <c r="BH9" s="5"/>
      <c r="BI9" s="14" t="s">
        <v>82</v>
      </c>
      <c r="BJ9" s="14" t="s">
        <v>387</v>
      </c>
      <c r="BK9" s="77" t="s">
        <v>608</v>
      </c>
      <c r="BL9" s="78"/>
      <c r="BM9" s="78"/>
      <c r="BN9" s="79"/>
      <c r="BO9" s="14"/>
      <c r="BQ9" s="2"/>
      <c r="BR9" s="2" t="s">
        <v>60</v>
      </c>
      <c r="BS9" s="2" t="s">
        <v>60</v>
      </c>
      <c r="BT9" s="5"/>
      <c r="BU9" s="5" t="s">
        <v>121</v>
      </c>
      <c r="BV9" s="5" t="s">
        <v>292</v>
      </c>
      <c r="BW9" s="5" t="s">
        <v>332</v>
      </c>
      <c r="BX9" s="5" t="s">
        <v>332</v>
      </c>
      <c r="BY9" s="2"/>
      <c r="BZ9" s="5"/>
      <c r="CA9" s="2"/>
      <c r="CB9" s="2"/>
      <c r="CC9" s="33"/>
      <c r="CD9" s="33"/>
      <c r="CE9" s="33"/>
      <c r="CF9" s="33"/>
      <c r="CG9" s="5" t="s">
        <v>444</v>
      </c>
      <c r="CH9" s="5" t="s">
        <v>444</v>
      </c>
      <c r="CI9" s="2"/>
      <c r="CK9" s="5" t="s">
        <v>60</v>
      </c>
      <c r="CL9" s="5"/>
      <c r="CM9" s="5" t="s">
        <v>501</v>
      </c>
      <c r="CN9" s="5" t="s">
        <v>444</v>
      </c>
      <c r="CO9" s="5" t="s">
        <v>171</v>
      </c>
      <c r="CP9" s="5"/>
      <c r="CQ9" s="2"/>
      <c r="CR9" s="5"/>
      <c r="CS9" s="5" t="s">
        <v>444</v>
      </c>
      <c r="CT9" s="5" t="s">
        <v>326</v>
      </c>
      <c r="CU9" s="5" t="s">
        <v>171</v>
      </c>
      <c r="CV9" s="2"/>
      <c r="CW9" s="5"/>
      <c r="CX9" s="5"/>
      <c r="CY9" s="5" t="s">
        <v>225</v>
      </c>
      <c r="CZ9" s="5" t="s">
        <v>332</v>
      </c>
      <c r="DA9" s="5" t="s">
        <v>444</v>
      </c>
      <c r="DB9" s="5" t="s">
        <v>444</v>
      </c>
      <c r="DC9" s="5" t="s">
        <v>544</v>
      </c>
      <c r="DD9" s="5" t="s">
        <v>544</v>
      </c>
      <c r="DE9" s="2"/>
    </row>
    <row r="10" spans="1:109" x14ac:dyDescent="0.25">
      <c r="B10" s="83"/>
      <c r="C10" s="84"/>
      <c r="D10" s="2" t="s">
        <v>4</v>
      </c>
      <c r="E10" s="2" t="s">
        <v>5</v>
      </c>
      <c r="F10" s="15">
        <v>44653</v>
      </c>
      <c r="G10" s="2" t="s">
        <v>172</v>
      </c>
      <c r="H10" s="15">
        <v>44695</v>
      </c>
      <c r="I10" s="15">
        <v>44737</v>
      </c>
      <c r="J10" s="15">
        <v>44758</v>
      </c>
      <c r="K10" s="15">
        <v>44779</v>
      </c>
      <c r="L10" s="15">
        <v>44800</v>
      </c>
      <c r="M10" s="15">
        <v>44800</v>
      </c>
      <c r="N10" s="15">
        <v>44828</v>
      </c>
      <c r="O10" s="15">
        <v>44856</v>
      </c>
      <c r="P10" s="15">
        <v>44863</v>
      </c>
      <c r="Q10" s="15">
        <v>44905</v>
      </c>
      <c r="R10" s="2">
        <v>2022</v>
      </c>
      <c r="S10" s="2"/>
      <c r="T10" s="5" t="s">
        <v>172</v>
      </c>
      <c r="U10" s="5" t="s">
        <v>382</v>
      </c>
      <c r="V10" s="5" t="s">
        <v>379</v>
      </c>
      <c r="W10" s="5" t="s">
        <v>400</v>
      </c>
      <c r="X10" s="5" t="s">
        <v>408</v>
      </c>
      <c r="Y10" s="5" t="s">
        <v>412</v>
      </c>
      <c r="Z10" s="5" t="s">
        <v>432</v>
      </c>
      <c r="AA10" s="5" t="s">
        <v>433</v>
      </c>
      <c r="AB10" s="5" t="s">
        <v>439</v>
      </c>
      <c r="AC10" s="5" t="s">
        <v>439</v>
      </c>
      <c r="AD10" s="5" t="s">
        <v>453</v>
      </c>
      <c r="AE10" s="2">
        <v>2023</v>
      </c>
      <c r="AF10" s="35"/>
      <c r="AG10" s="35" t="s">
        <v>479</v>
      </c>
      <c r="AH10" s="35" t="s">
        <v>479</v>
      </c>
      <c r="AI10" s="35" t="s">
        <v>513</v>
      </c>
      <c r="AJ10" s="35" t="s">
        <v>525</v>
      </c>
      <c r="AK10" s="35" t="s">
        <v>534</v>
      </c>
      <c r="AL10" s="35" t="s">
        <v>534</v>
      </c>
      <c r="AM10" s="35" t="s">
        <v>546</v>
      </c>
      <c r="AN10" s="35" t="s">
        <v>550</v>
      </c>
      <c r="AO10" s="35" t="s">
        <v>558</v>
      </c>
      <c r="AP10" s="35" t="s">
        <v>564</v>
      </c>
      <c r="AQ10" s="35" t="s">
        <v>564</v>
      </c>
      <c r="AR10" s="35" t="s">
        <v>567</v>
      </c>
      <c r="AS10" s="35" t="s">
        <v>567</v>
      </c>
      <c r="AT10" s="35" t="s">
        <v>573</v>
      </c>
      <c r="AU10" s="35" t="s">
        <v>579</v>
      </c>
      <c r="AV10" s="35" t="s">
        <v>587</v>
      </c>
      <c r="AW10" s="35" t="s">
        <v>598</v>
      </c>
      <c r="AX10" s="35" t="s">
        <v>607</v>
      </c>
      <c r="AY10" s="35">
        <v>2024</v>
      </c>
      <c r="AZ10" s="5"/>
      <c r="BA10" s="5"/>
      <c r="BB10" s="5"/>
      <c r="BC10" s="5">
        <v>1</v>
      </c>
      <c r="BD10" s="5">
        <v>2</v>
      </c>
      <c r="BE10" s="5">
        <v>3</v>
      </c>
      <c r="BF10" s="5">
        <v>4</v>
      </c>
      <c r="BG10" s="5">
        <v>2025</v>
      </c>
      <c r="BH10" s="5"/>
      <c r="BI10" s="5"/>
      <c r="BJ10" s="5"/>
      <c r="BK10" s="5">
        <v>1</v>
      </c>
      <c r="BL10" s="5">
        <v>2</v>
      </c>
      <c r="BM10" s="5">
        <v>3</v>
      </c>
      <c r="BN10" s="5">
        <v>4</v>
      </c>
      <c r="BO10" s="5">
        <v>2026</v>
      </c>
      <c r="BQ10" s="2"/>
      <c r="BR10" s="2"/>
      <c r="BS10" s="2"/>
      <c r="BT10" s="14">
        <v>44562</v>
      </c>
      <c r="BU10" s="14">
        <v>44652</v>
      </c>
      <c r="BV10" s="14">
        <v>44737</v>
      </c>
      <c r="BW10" s="14">
        <v>44868</v>
      </c>
      <c r="BX10" s="14">
        <v>44866</v>
      </c>
      <c r="BY10" s="2">
        <v>2022</v>
      </c>
      <c r="BZ10" s="14">
        <v>44927</v>
      </c>
      <c r="CA10" s="7">
        <v>44986</v>
      </c>
      <c r="CB10" s="7">
        <v>45078</v>
      </c>
      <c r="CC10" s="34">
        <v>45088</v>
      </c>
      <c r="CD10" s="34">
        <v>45108</v>
      </c>
      <c r="CE10" s="34" t="s">
        <v>407</v>
      </c>
      <c r="CF10" s="34">
        <v>45129</v>
      </c>
      <c r="CG10" s="14">
        <v>45227</v>
      </c>
      <c r="CH10" s="14">
        <v>45255</v>
      </c>
      <c r="CI10" s="2">
        <v>2023</v>
      </c>
      <c r="CK10" s="5"/>
      <c r="CL10" s="5" t="s">
        <v>465</v>
      </c>
      <c r="CM10" s="5" t="s">
        <v>503</v>
      </c>
      <c r="CN10" s="5" t="s">
        <v>507</v>
      </c>
      <c r="CO10" s="5" t="s">
        <v>600</v>
      </c>
      <c r="CP10" s="5">
        <v>2024</v>
      </c>
      <c r="CQ10" s="2"/>
      <c r="CR10" s="5" t="s">
        <v>610</v>
      </c>
      <c r="CS10" s="5" t="s">
        <v>649</v>
      </c>
      <c r="CT10" s="5" t="s">
        <v>769</v>
      </c>
      <c r="CU10" s="5" t="s">
        <v>600</v>
      </c>
      <c r="CV10" s="2">
        <v>2025</v>
      </c>
      <c r="CW10" s="5"/>
      <c r="CX10" s="5" t="s">
        <v>849</v>
      </c>
      <c r="CY10" s="5" t="s">
        <v>850</v>
      </c>
      <c r="CZ10" s="5" t="s">
        <v>879</v>
      </c>
      <c r="DA10" s="5" t="s">
        <v>880</v>
      </c>
      <c r="DB10" s="5" t="s">
        <v>729</v>
      </c>
      <c r="DC10" s="5" t="s">
        <v>888</v>
      </c>
      <c r="DD10" s="5" t="s">
        <v>891</v>
      </c>
      <c r="DE10" s="2">
        <v>2026</v>
      </c>
    </row>
    <row r="11" spans="1:109" x14ac:dyDescent="0.25">
      <c r="A11">
        <v>1</v>
      </c>
      <c r="B11" s="16" t="s">
        <v>154</v>
      </c>
      <c r="C11" s="27"/>
      <c r="D11" s="27" t="s">
        <v>285</v>
      </c>
      <c r="E11" s="27" t="s">
        <v>548</v>
      </c>
      <c r="F11" s="8"/>
      <c r="G11" s="8"/>
      <c r="H11" s="8"/>
      <c r="I11" s="8"/>
      <c r="J11" s="8"/>
      <c r="K11" s="8"/>
      <c r="L11" s="8"/>
      <c r="M11" s="10"/>
      <c r="N11" s="10"/>
      <c r="O11" s="10"/>
      <c r="P11" s="10"/>
      <c r="Q11" s="10"/>
      <c r="R11" s="8"/>
      <c r="S11" s="8"/>
      <c r="T11" s="8"/>
      <c r="U11" s="8"/>
      <c r="V11" s="8"/>
      <c r="W11" s="10"/>
      <c r="X11" s="10"/>
      <c r="Y11" s="10"/>
      <c r="Z11" s="10"/>
      <c r="AA11" s="10"/>
      <c r="AB11" s="10"/>
      <c r="AC11" s="10"/>
      <c r="AD11" s="10"/>
      <c r="AE11" s="8"/>
      <c r="AF11" s="8"/>
      <c r="AG11" s="8"/>
      <c r="AH11" s="8"/>
      <c r="AI11" s="8"/>
      <c r="AJ11" s="8"/>
      <c r="AK11" s="8"/>
      <c r="AL11" s="8"/>
      <c r="AM11" s="8">
        <v>64</v>
      </c>
      <c r="AN11" s="8">
        <v>7.5</v>
      </c>
      <c r="AO11" s="8"/>
      <c r="AP11" s="8"/>
      <c r="AQ11" s="8"/>
      <c r="AR11" s="8"/>
      <c r="AS11" s="8"/>
      <c r="AT11" s="8">
        <v>48</v>
      </c>
      <c r="AU11" s="8"/>
      <c r="AV11" s="8">
        <v>54</v>
      </c>
      <c r="AW11" s="8"/>
      <c r="AX11" s="8">
        <v>100</v>
      </c>
      <c r="AY11" s="11">
        <f>SUM(AF11:AX11)</f>
        <v>273.5</v>
      </c>
      <c r="AZ11" s="11">
        <f>(AY11-AF11)/2</f>
        <v>136.75</v>
      </c>
      <c r="BA11" s="11">
        <v>48</v>
      </c>
      <c r="BB11" s="11"/>
      <c r="BC11" s="11">
        <v>75</v>
      </c>
      <c r="BD11" s="11">
        <v>75</v>
      </c>
      <c r="BE11" s="11">
        <v>72</v>
      </c>
      <c r="BF11" s="11">
        <v>80</v>
      </c>
      <c r="BG11" s="11">
        <f>SUM(AZ11:BF11)</f>
        <v>486.75</v>
      </c>
      <c r="BH11" s="11">
        <f>(BG11-AZ11)/2</f>
        <v>175</v>
      </c>
      <c r="BI11" s="11">
        <v>48</v>
      </c>
      <c r="BJ11" s="11"/>
      <c r="BK11" s="11">
        <v>105</v>
      </c>
      <c r="BL11" s="11">
        <v>36</v>
      </c>
      <c r="BM11" s="11"/>
      <c r="BN11" s="11"/>
      <c r="BO11" s="11">
        <f t="shared" ref="BO11:BO39" si="0">SUM(BH11:BN11)</f>
        <v>364</v>
      </c>
      <c r="BQ11" s="8"/>
      <c r="BR11" s="8"/>
      <c r="BS11" s="8"/>
      <c r="BT11" s="8"/>
      <c r="BU11" s="8"/>
      <c r="BV11" s="8"/>
      <c r="BW11" s="10"/>
      <c r="BX11" s="10"/>
      <c r="BY11" s="8"/>
      <c r="BZ11" s="10"/>
      <c r="CA11" s="10"/>
      <c r="CB11" s="10"/>
      <c r="CC11" s="10"/>
      <c r="CD11" s="10"/>
      <c r="CE11" s="10"/>
      <c r="CF11" s="10"/>
      <c r="CG11" s="10"/>
      <c r="CH11" s="10"/>
      <c r="CI11" s="10">
        <f>SUM(BQ11:BR11)+SUM(BZ11:CH11)</f>
        <v>0</v>
      </c>
      <c r="CJ11" s="10">
        <f>(CI11-BQ11)/2</f>
        <v>0</v>
      </c>
      <c r="CK11" s="10">
        <f>AY11/4</f>
        <v>68.375</v>
      </c>
      <c r="CL11" s="10"/>
      <c r="CM11" s="10"/>
      <c r="CN11" s="10"/>
      <c r="CO11" s="10">
        <v>25</v>
      </c>
      <c r="CP11" s="10">
        <f>SUM(CJ11:CO11)</f>
        <v>93.375</v>
      </c>
      <c r="CQ11" s="8">
        <f>(CP11-CJ11)/2</f>
        <v>46.6875</v>
      </c>
      <c r="CR11" s="10">
        <v>15</v>
      </c>
      <c r="CS11" s="10"/>
      <c r="CT11" s="10">
        <v>70</v>
      </c>
      <c r="CU11" s="10"/>
      <c r="CV11" s="8">
        <f>SUM(CQ11:CS11)</f>
        <v>61.6875</v>
      </c>
      <c r="CW11" s="8">
        <f t="shared" ref="CW11:CW39" si="1">(CV11-CQ11)/2</f>
        <v>7.5</v>
      </c>
      <c r="CX11" s="10"/>
      <c r="CY11" s="10"/>
      <c r="CZ11" s="10"/>
      <c r="DA11" s="10">
        <v>7.5</v>
      </c>
      <c r="DB11" s="10">
        <v>36</v>
      </c>
      <c r="DC11" s="10"/>
      <c r="DD11" s="10"/>
      <c r="DE11" s="27">
        <f>SUM(CW11:DB11)</f>
        <v>51</v>
      </c>
    </row>
    <row r="12" spans="1:109" x14ac:dyDescent="0.25">
      <c r="A12">
        <v>2</v>
      </c>
      <c r="B12" s="10" t="s">
        <v>198</v>
      </c>
      <c r="C12" s="8"/>
      <c r="D12" s="8" t="s">
        <v>174</v>
      </c>
      <c r="E12" s="8" t="s">
        <v>854</v>
      </c>
      <c r="F12" s="8"/>
      <c r="G12" s="8"/>
      <c r="H12" s="8"/>
      <c r="I12" s="8"/>
      <c r="J12" s="8"/>
      <c r="K12" s="8"/>
      <c r="L12" s="8"/>
      <c r="M12" s="10"/>
      <c r="N12" s="10"/>
      <c r="O12" s="10"/>
      <c r="P12" s="10"/>
      <c r="Q12" s="10"/>
      <c r="R12" s="8"/>
      <c r="S12" s="8"/>
      <c r="T12" s="8"/>
      <c r="U12" s="8"/>
      <c r="V12" s="8"/>
      <c r="W12" s="10">
        <v>48</v>
      </c>
      <c r="X12" s="10"/>
      <c r="Y12" s="10"/>
      <c r="Z12" s="10"/>
      <c r="AA12" s="10"/>
      <c r="AB12" s="10"/>
      <c r="AC12" s="10"/>
      <c r="AD12" s="10"/>
      <c r="AE12" s="11">
        <f>SUM(S12:AD12)</f>
        <v>48</v>
      </c>
      <c r="AF12" s="11">
        <f>(AE12-S12)/2</f>
        <v>24</v>
      </c>
      <c r="AG12" s="11"/>
      <c r="AH12" s="11"/>
      <c r="AI12" s="11"/>
      <c r="AJ12" s="11">
        <v>50</v>
      </c>
      <c r="AK12" s="11"/>
      <c r="AL12" s="11">
        <v>44.8</v>
      </c>
      <c r="AM12" s="11"/>
      <c r="AN12" s="11">
        <v>150</v>
      </c>
      <c r="AO12" s="11"/>
      <c r="AP12" s="11">
        <v>33.6</v>
      </c>
      <c r="AQ12" s="11"/>
      <c r="AR12" s="11"/>
      <c r="AS12" s="11"/>
      <c r="AT12" s="11"/>
      <c r="AU12" s="11"/>
      <c r="AV12" s="11">
        <v>105</v>
      </c>
      <c r="AW12" s="11"/>
      <c r="AX12" s="11">
        <v>72</v>
      </c>
      <c r="AY12" s="11">
        <f>SUM(AF12:AX12)</f>
        <v>479.40000000000003</v>
      </c>
      <c r="AZ12" s="11">
        <f>(AY12-AF12)/2</f>
        <v>227.70000000000002</v>
      </c>
      <c r="BA12" s="11">
        <v>30</v>
      </c>
      <c r="BB12" s="11"/>
      <c r="BC12" s="11">
        <v>70</v>
      </c>
      <c r="BD12" s="11">
        <v>7.5</v>
      </c>
      <c r="BE12" s="11">
        <v>105</v>
      </c>
      <c r="BF12" s="11">
        <v>200</v>
      </c>
      <c r="BG12" s="11">
        <f>SUM(AZ12:BF12)</f>
        <v>640.20000000000005</v>
      </c>
      <c r="BH12" s="11">
        <f>(BG12-AZ12)/2</f>
        <v>206.25</v>
      </c>
      <c r="BI12" s="11">
        <v>30</v>
      </c>
      <c r="BJ12" s="11">
        <v>3.2</v>
      </c>
      <c r="BK12" s="11">
        <v>80</v>
      </c>
      <c r="BL12" s="11"/>
      <c r="BM12" s="11"/>
      <c r="BN12" s="11"/>
      <c r="BO12" s="11">
        <f t="shared" si="0"/>
        <v>319.45</v>
      </c>
      <c r="BQ12" s="10">
        <f>SUM(BT12:BX12)/2</f>
        <v>0</v>
      </c>
      <c r="BR12" s="10">
        <f>AE12/4</f>
        <v>12</v>
      </c>
      <c r="BS12" s="8"/>
      <c r="BT12" s="8"/>
      <c r="BU12" s="8"/>
      <c r="BV12" s="8"/>
      <c r="BW12" s="10"/>
      <c r="BX12" s="10"/>
      <c r="BY12" s="8"/>
      <c r="BZ12" s="10"/>
      <c r="CA12" s="10"/>
      <c r="CB12" s="10"/>
      <c r="CC12" s="10"/>
      <c r="CD12" s="10"/>
      <c r="CE12" s="10"/>
      <c r="CF12" s="10"/>
      <c r="CG12" s="10"/>
      <c r="CH12" s="10">
        <v>50</v>
      </c>
      <c r="CI12" s="10">
        <f>SUM(BQ12:BR12)+SUM(BZ12:CH12)</f>
        <v>62</v>
      </c>
      <c r="CJ12" s="10">
        <f>(CI12-BQ12)/2</f>
        <v>31</v>
      </c>
      <c r="CK12" s="10">
        <f>AY12/4</f>
        <v>119.85000000000001</v>
      </c>
      <c r="CL12" s="10"/>
      <c r="CM12" s="10"/>
      <c r="CN12" s="10">
        <v>7.5</v>
      </c>
      <c r="CO12" s="10">
        <v>18</v>
      </c>
      <c r="CP12" s="10">
        <f>SUM(CJ12:CO12)</f>
        <v>176.35000000000002</v>
      </c>
      <c r="CQ12" s="8">
        <f>(CP12-CJ12)/2</f>
        <v>72.675000000000011</v>
      </c>
      <c r="CR12" s="10">
        <v>22.5</v>
      </c>
      <c r="CS12" s="10">
        <v>15</v>
      </c>
      <c r="CT12" s="10"/>
      <c r="CU12" s="10"/>
      <c r="CV12" s="8">
        <f>SUM(CQ12:CS12)</f>
        <v>110.17500000000001</v>
      </c>
      <c r="CW12" s="8">
        <f t="shared" si="1"/>
        <v>18.75</v>
      </c>
      <c r="CX12" s="10"/>
      <c r="CY12" s="10"/>
      <c r="CZ12" s="10"/>
      <c r="DA12" s="10"/>
      <c r="DB12" s="10"/>
      <c r="DC12" s="10"/>
      <c r="DD12" s="10"/>
      <c r="DE12" s="8">
        <f>SUM(CW12:CX12)</f>
        <v>18.75</v>
      </c>
    </row>
    <row r="13" spans="1:109" x14ac:dyDescent="0.25">
      <c r="A13">
        <v>3</v>
      </c>
      <c r="B13" s="17" t="s">
        <v>104</v>
      </c>
      <c r="C13" s="26"/>
      <c r="D13" s="26" t="s">
        <v>54</v>
      </c>
      <c r="E13" s="26" t="s">
        <v>442</v>
      </c>
      <c r="F13" s="8"/>
      <c r="G13" s="8"/>
      <c r="H13" s="8"/>
      <c r="I13" s="8"/>
      <c r="J13" s="8"/>
      <c r="K13" s="8"/>
      <c r="L13" s="8"/>
      <c r="M13" s="10"/>
      <c r="N13" s="10"/>
      <c r="O13" s="10"/>
      <c r="P13" s="10"/>
      <c r="Q13" s="10"/>
      <c r="R13" s="8"/>
      <c r="S13" s="8"/>
      <c r="T13" s="8"/>
      <c r="U13" s="8"/>
      <c r="V13" s="8"/>
      <c r="W13" s="10"/>
      <c r="X13" s="10"/>
      <c r="Y13" s="10"/>
      <c r="Z13" s="10"/>
      <c r="AA13" s="10"/>
      <c r="AB13" s="10"/>
      <c r="AC13" s="10"/>
      <c r="AD13" s="10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10"/>
      <c r="BB13" s="8"/>
      <c r="BC13" s="10"/>
      <c r="BD13" s="10"/>
      <c r="BE13" s="10"/>
      <c r="BF13" s="10"/>
      <c r="BG13" s="8"/>
      <c r="BH13" s="8"/>
      <c r="BI13" s="10">
        <v>60</v>
      </c>
      <c r="BJ13" s="10">
        <v>64</v>
      </c>
      <c r="BK13" s="10">
        <v>150</v>
      </c>
      <c r="BL13" s="10">
        <v>36</v>
      </c>
      <c r="BM13" s="10"/>
      <c r="BN13" s="10"/>
      <c r="BO13" s="11">
        <f t="shared" si="0"/>
        <v>310</v>
      </c>
      <c r="BQ13" s="8"/>
      <c r="BR13" s="8"/>
      <c r="BS13" s="8"/>
      <c r="BT13" s="8"/>
      <c r="BU13" s="8"/>
      <c r="BV13" s="8"/>
      <c r="BW13" s="10"/>
      <c r="BX13" s="10"/>
      <c r="BY13" s="8"/>
      <c r="BZ13" s="10"/>
      <c r="CA13" s="10"/>
      <c r="CB13" s="10"/>
      <c r="CC13" s="10"/>
      <c r="CD13" s="10"/>
      <c r="CE13" s="10"/>
      <c r="CF13" s="10"/>
      <c r="CG13" s="10"/>
      <c r="CH13" s="10"/>
      <c r="CI13" s="8"/>
      <c r="CJ13" s="10"/>
      <c r="CK13" s="10"/>
      <c r="CL13" s="10"/>
      <c r="CM13" s="10"/>
      <c r="CN13" s="10"/>
      <c r="CO13" s="10"/>
      <c r="CP13" s="10"/>
      <c r="CQ13" s="8"/>
      <c r="CR13" s="8"/>
      <c r="CS13" s="8"/>
      <c r="CT13" s="8"/>
      <c r="CU13" s="8"/>
      <c r="CV13" s="8">
        <f>SUM(CQ13:CS13)</f>
        <v>0</v>
      </c>
      <c r="CW13" s="8">
        <f t="shared" si="1"/>
        <v>0</v>
      </c>
      <c r="CX13" s="10">
        <v>20</v>
      </c>
      <c r="CY13" s="10">
        <v>15</v>
      </c>
      <c r="CZ13" s="10">
        <v>39</v>
      </c>
      <c r="DA13" s="10">
        <v>7.5</v>
      </c>
      <c r="DB13" s="10">
        <v>50</v>
      </c>
      <c r="DC13" s="10">
        <v>15</v>
      </c>
      <c r="DD13" s="10">
        <v>39</v>
      </c>
      <c r="DE13" s="26">
        <f>SUM(CW13:DD13)</f>
        <v>185.5</v>
      </c>
    </row>
    <row r="14" spans="1:109" x14ac:dyDescent="0.25">
      <c r="A14" s="68">
        <v>4</v>
      </c>
      <c r="B14" s="10" t="s">
        <v>454</v>
      </c>
      <c r="C14" s="8"/>
      <c r="D14" s="8" t="s">
        <v>310</v>
      </c>
      <c r="E14" s="8" t="s">
        <v>455</v>
      </c>
      <c r="F14" s="8"/>
      <c r="G14" s="8"/>
      <c r="H14" s="8"/>
      <c r="I14" s="8"/>
      <c r="J14" s="8"/>
      <c r="K14" s="8"/>
      <c r="L14" s="8"/>
      <c r="M14" s="10"/>
      <c r="N14" s="10"/>
      <c r="O14" s="10"/>
      <c r="P14" s="10"/>
      <c r="Q14" s="10"/>
      <c r="R14" s="8"/>
      <c r="S14" s="8"/>
      <c r="T14" s="8"/>
      <c r="U14" s="8"/>
      <c r="V14" s="8"/>
      <c r="W14" s="10"/>
      <c r="X14" s="10"/>
      <c r="Y14" s="10"/>
      <c r="Z14" s="10"/>
      <c r="AA14" s="10"/>
      <c r="AB14" s="10"/>
      <c r="AC14" s="10"/>
      <c r="AD14" s="10">
        <v>75</v>
      </c>
      <c r="AE14" s="11">
        <f>SUM(S14:AD14)</f>
        <v>75</v>
      </c>
      <c r="AF14" s="11">
        <f>(AE14-S14)/2</f>
        <v>37.5</v>
      </c>
      <c r="AG14" s="11"/>
      <c r="AH14" s="11"/>
      <c r="AI14" s="11"/>
      <c r="AJ14" s="11">
        <v>70</v>
      </c>
      <c r="AK14" s="11">
        <v>48</v>
      </c>
      <c r="AL14" s="11"/>
      <c r="AM14" s="11"/>
      <c r="AN14" s="11">
        <v>105</v>
      </c>
      <c r="AO14" s="11"/>
      <c r="AP14" s="11"/>
      <c r="AQ14" s="11"/>
      <c r="AR14" s="11"/>
      <c r="AS14" s="11"/>
      <c r="AT14" s="11"/>
      <c r="AU14" s="11"/>
      <c r="AV14" s="11">
        <v>54</v>
      </c>
      <c r="AW14" s="11"/>
      <c r="AX14" s="11">
        <v>10</v>
      </c>
      <c r="AY14" s="11">
        <f>SUM(AF14:AX14)</f>
        <v>324.5</v>
      </c>
      <c r="AZ14" s="11">
        <f>(AY14-AF14)/2</f>
        <v>143.5</v>
      </c>
      <c r="BA14" s="11">
        <v>36</v>
      </c>
      <c r="BB14" s="11"/>
      <c r="BC14" s="11">
        <v>54</v>
      </c>
      <c r="BD14" s="11">
        <v>10</v>
      </c>
      <c r="BE14" s="11"/>
      <c r="BF14" s="11"/>
      <c r="BG14" s="11">
        <f>SUM(AZ14:BF14)</f>
        <v>243.5</v>
      </c>
      <c r="BH14" s="11">
        <f>(BG14-AZ14)/2</f>
        <v>50</v>
      </c>
      <c r="BI14" s="11">
        <v>48</v>
      </c>
      <c r="BJ14" s="11">
        <v>3.2</v>
      </c>
      <c r="BK14" s="11">
        <v>75</v>
      </c>
      <c r="BL14" s="11">
        <v>4</v>
      </c>
      <c r="BM14" s="11">
        <v>33.6</v>
      </c>
      <c r="BN14" s="11"/>
      <c r="BO14" s="11">
        <f t="shared" si="0"/>
        <v>213.79999999999998</v>
      </c>
      <c r="BQ14" s="10">
        <f>SUM(BT14:BX14)/2</f>
        <v>0</v>
      </c>
      <c r="BR14" s="10">
        <f>AE14/4</f>
        <v>18.75</v>
      </c>
      <c r="BS14" s="8"/>
      <c r="BT14" s="8"/>
      <c r="BU14" s="8"/>
      <c r="BV14" s="8"/>
      <c r="BW14" s="10"/>
      <c r="BX14" s="10"/>
      <c r="BY14" s="8"/>
      <c r="BZ14" s="10"/>
      <c r="CA14" s="10"/>
      <c r="CB14" s="10"/>
      <c r="CC14" s="10"/>
      <c r="CD14" s="10"/>
      <c r="CE14" s="10"/>
      <c r="CF14" s="10"/>
      <c r="CG14" s="10"/>
      <c r="CH14" s="10"/>
      <c r="CI14" s="10">
        <f>SUM(BQ14:BR14)+SUM(BZ14:CH14)</f>
        <v>18.75</v>
      </c>
      <c r="CJ14" s="10">
        <f>(CI14-BQ14)/2</f>
        <v>9.375</v>
      </c>
      <c r="CK14" s="10">
        <f>AY14/4</f>
        <v>81.125</v>
      </c>
      <c r="CL14" s="10"/>
      <c r="CM14" s="10"/>
      <c r="CN14" s="10"/>
      <c r="CO14" s="10"/>
      <c r="CP14" s="10">
        <f>SUM(CJ14:CL14)</f>
        <v>90.5</v>
      </c>
      <c r="CQ14" s="8">
        <f>(CP14-CJ14)/2</f>
        <v>40.5625</v>
      </c>
      <c r="CR14" s="10"/>
      <c r="CS14" s="10"/>
      <c r="CT14" s="10"/>
      <c r="CU14" s="10">
        <v>28</v>
      </c>
      <c r="CV14" s="8">
        <f>SUM(CQ14:CU14)</f>
        <v>68.5625</v>
      </c>
      <c r="CW14" s="8">
        <f t="shared" si="1"/>
        <v>14</v>
      </c>
      <c r="CX14" s="10"/>
      <c r="CY14" s="10"/>
      <c r="CZ14" s="10"/>
      <c r="DA14" s="10"/>
      <c r="DB14" s="10"/>
      <c r="DC14" s="10"/>
      <c r="DD14" s="10"/>
      <c r="DE14" s="8">
        <f>SUM(CW14:DB14)</f>
        <v>14</v>
      </c>
    </row>
    <row r="15" spans="1:109" x14ac:dyDescent="0.25">
      <c r="A15">
        <v>5</v>
      </c>
      <c r="B15" s="10" t="s">
        <v>677</v>
      </c>
      <c r="C15" s="8"/>
      <c r="D15" s="8" t="s">
        <v>54</v>
      </c>
      <c r="E15" s="8" t="s">
        <v>248</v>
      </c>
      <c r="F15" s="8"/>
      <c r="G15" s="8"/>
      <c r="H15" s="8"/>
      <c r="I15" s="8"/>
      <c r="J15" s="8"/>
      <c r="K15" s="8"/>
      <c r="L15" s="8"/>
      <c r="M15" s="10"/>
      <c r="N15" s="10"/>
      <c r="O15" s="10"/>
      <c r="P15" s="10"/>
      <c r="Q15" s="10"/>
      <c r="R15" s="8"/>
      <c r="S15" s="8"/>
      <c r="T15" s="8"/>
      <c r="U15" s="8"/>
      <c r="V15" s="8"/>
      <c r="W15" s="10"/>
      <c r="X15" s="10"/>
      <c r="Y15" s="10"/>
      <c r="Z15" s="10"/>
      <c r="AA15" s="10"/>
      <c r="AB15" s="10"/>
      <c r="AC15" s="10"/>
      <c r="AD15" s="10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0"/>
      <c r="BB15" s="8"/>
      <c r="BC15" s="10">
        <v>54</v>
      </c>
      <c r="BD15" s="10"/>
      <c r="BE15" s="10"/>
      <c r="BF15" s="10"/>
      <c r="BG15" s="11">
        <f>SUM(AZ15:BF15)</f>
        <v>54</v>
      </c>
      <c r="BH15" s="11">
        <f>(BG15-AZ15)/2</f>
        <v>27</v>
      </c>
      <c r="BI15" s="11">
        <v>48</v>
      </c>
      <c r="BJ15" s="11">
        <v>44.8</v>
      </c>
      <c r="BK15" s="11">
        <v>54</v>
      </c>
      <c r="BL15" s="11">
        <v>36</v>
      </c>
      <c r="BM15" s="11"/>
      <c r="BN15" s="11"/>
      <c r="BO15" s="11">
        <f t="shared" si="0"/>
        <v>209.8</v>
      </c>
      <c r="BQ15" s="8"/>
      <c r="BR15" s="8"/>
      <c r="BS15" s="8"/>
      <c r="BT15" s="8"/>
      <c r="BU15" s="8"/>
      <c r="BV15" s="8"/>
      <c r="BW15" s="10"/>
      <c r="BX15" s="10"/>
      <c r="BY15" s="8"/>
      <c r="BZ15" s="10"/>
      <c r="CA15" s="10"/>
      <c r="CB15" s="10"/>
      <c r="CC15" s="10"/>
      <c r="CD15" s="10"/>
      <c r="CE15" s="10"/>
      <c r="CF15" s="10"/>
      <c r="CG15" s="10"/>
      <c r="CH15" s="10"/>
      <c r="CI15" s="8"/>
      <c r="CJ15" s="10"/>
      <c r="CK15" s="10"/>
      <c r="CL15" s="10"/>
      <c r="CM15" s="10"/>
      <c r="CN15" s="10"/>
      <c r="CO15" s="10"/>
      <c r="CP15" s="10">
        <f>SUM(CJ15:CO15)</f>
        <v>0</v>
      </c>
      <c r="CQ15" s="8">
        <f>(CP15-CJ15)/2</f>
        <v>0</v>
      </c>
      <c r="CR15" s="10"/>
      <c r="CS15" s="10"/>
      <c r="CT15" s="10"/>
      <c r="CU15" s="10"/>
      <c r="CV15" s="8">
        <f>SUM(CQ15:CS15)</f>
        <v>0</v>
      </c>
      <c r="CW15" s="8">
        <f t="shared" si="1"/>
        <v>0</v>
      </c>
      <c r="CX15" s="10"/>
      <c r="CY15" s="10"/>
      <c r="CZ15" s="10"/>
      <c r="DA15" s="10"/>
      <c r="DB15" s="10">
        <v>5</v>
      </c>
      <c r="DC15" s="10"/>
      <c r="DD15" s="10"/>
      <c r="DE15" s="8">
        <f>SUM(CW15:DB15)</f>
        <v>5</v>
      </c>
    </row>
    <row r="16" spans="1:109" x14ac:dyDescent="0.25">
      <c r="A16">
        <v>6</v>
      </c>
      <c r="B16" s="10" t="s">
        <v>204</v>
      </c>
      <c r="C16" s="8"/>
      <c r="D16" s="8" t="s">
        <v>63</v>
      </c>
      <c r="E16" s="8" t="s">
        <v>374</v>
      </c>
      <c r="F16" s="8"/>
      <c r="G16" s="8"/>
      <c r="H16" s="8"/>
      <c r="I16" s="8"/>
      <c r="J16" s="8"/>
      <c r="K16" s="8"/>
      <c r="L16" s="8"/>
      <c r="M16" s="10"/>
      <c r="N16" s="10"/>
      <c r="O16" s="10"/>
      <c r="P16" s="10"/>
      <c r="Q16" s="10"/>
      <c r="R16" s="8"/>
      <c r="S16" s="8"/>
      <c r="T16" s="8">
        <v>50</v>
      </c>
      <c r="U16" s="8"/>
      <c r="V16" s="8"/>
      <c r="W16" s="10"/>
      <c r="X16" s="10"/>
      <c r="Y16" s="10">
        <v>36</v>
      </c>
      <c r="Z16" s="10">
        <v>70</v>
      </c>
      <c r="AA16" s="10"/>
      <c r="AB16" s="10"/>
      <c r="AC16" s="10"/>
      <c r="AD16" s="10">
        <v>75</v>
      </c>
      <c r="AE16" s="11">
        <f>SUM(S16:AD16)</f>
        <v>231</v>
      </c>
      <c r="AF16" s="11">
        <f>(AE16-S16)/2</f>
        <v>115.5</v>
      </c>
      <c r="AG16" s="11">
        <v>48</v>
      </c>
      <c r="AH16" s="11"/>
      <c r="AI16" s="11"/>
      <c r="AJ16" s="11">
        <v>50</v>
      </c>
      <c r="AK16" s="11"/>
      <c r="AL16" s="11">
        <v>64</v>
      </c>
      <c r="AM16" s="11"/>
      <c r="AN16" s="11">
        <v>75</v>
      </c>
      <c r="AO16" s="11"/>
      <c r="AP16" s="11">
        <v>48</v>
      </c>
      <c r="AQ16" s="11"/>
      <c r="AR16" s="11"/>
      <c r="AS16" s="11"/>
      <c r="AT16" s="11"/>
      <c r="AU16" s="11"/>
      <c r="AV16" s="11">
        <v>7.5</v>
      </c>
      <c r="AW16" s="11">
        <v>80</v>
      </c>
      <c r="AX16" s="11">
        <v>10</v>
      </c>
      <c r="AY16" s="11">
        <f>SUM(AF16:AX16)</f>
        <v>498</v>
      </c>
      <c r="AZ16" s="11">
        <f>(AY16-AF16)/2</f>
        <v>191.25</v>
      </c>
      <c r="BA16" s="11">
        <v>60</v>
      </c>
      <c r="BB16" s="11"/>
      <c r="BC16" s="11">
        <v>105</v>
      </c>
      <c r="BD16" s="11">
        <v>100</v>
      </c>
      <c r="BE16" s="11">
        <v>75</v>
      </c>
      <c r="BF16" s="11">
        <v>75</v>
      </c>
      <c r="BG16" s="11">
        <f>SUM(AZ16:BF16)</f>
        <v>606.25</v>
      </c>
      <c r="BH16" s="11">
        <f>(BG16-AZ16)/2</f>
        <v>207.5</v>
      </c>
      <c r="BI16" s="11"/>
      <c r="BJ16" s="11"/>
      <c r="BK16" s="11"/>
      <c r="BL16" s="11"/>
      <c r="BM16" s="11"/>
      <c r="BN16" s="11"/>
      <c r="BO16" s="11">
        <f t="shared" si="0"/>
        <v>207.5</v>
      </c>
      <c r="BQ16" s="10">
        <f>SUM(BT16:BX16)/2</f>
        <v>0</v>
      </c>
      <c r="BR16" s="10">
        <f>AE16/4</f>
        <v>57.75</v>
      </c>
      <c r="BS16" s="8"/>
      <c r="BT16" s="8"/>
      <c r="BU16" s="8"/>
      <c r="BV16" s="8"/>
      <c r="BW16" s="10"/>
      <c r="BX16" s="10"/>
      <c r="BY16" s="8"/>
      <c r="BZ16" s="10"/>
      <c r="CA16" s="10"/>
      <c r="CB16" s="10">
        <v>5</v>
      </c>
      <c r="CC16" s="10"/>
      <c r="CD16" s="10"/>
      <c r="CE16" s="10"/>
      <c r="CF16" s="10"/>
      <c r="CG16" s="10"/>
      <c r="CH16" s="10">
        <v>100</v>
      </c>
      <c r="CI16" s="10">
        <f>SUM(BQ16:BR16)+SUM(BZ16:CH16)</f>
        <v>162.75</v>
      </c>
      <c r="CJ16" s="10">
        <f>(CI16-BQ16)/2</f>
        <v>81.375</v>
      </c>
      <c r="CK16" s="10">
        <f>AY16/4</f>
        <v>124.5</v>
      </c>
      <c r="CL16" s="10">
        <v>18.75</v>
      </c>
      <c r="CM16" s="10"/>
      <c r="CN16" s="10">
        <v>60</v>
      </c>
      <c r="CO16" s="10">
        <v>35</v>
      </c>
      <c r="CP16" s="10">
        <f>SUM(CJ16:CO16)</f>
        <v>319.625</v>
      </c>
      <c r="CQ16" s="8">
        <f>(CP16-CJ16)/2</f>
        <v>119.125</v>
      </c>
      <c r="CR16" s="10"/>
      <c r="CS16" s="10"/>
      <c r="CT16" s="10"/>
      <c r="CU16" s="10">
        <v>40</v>
      </c>
      <c r="CV16" s="8">
        <f>SUM(CQ16:CU16)</f>
        <v>159.125</v>
      </c>
      <c r="CW16" s="8">
        <f t="shared" si="1"/>
        <v>20</v>
      </c>
      <c r="CX16" s="10"/>
      <c r="CY16" s="10"/>
      <c r="CZ16" s="10"/>
      <c r="DA16" s="10"/>
      <c r="DB16" s="10"/>
      <c r="DC16" s="10"/>
      <c r="DD16" s="10"/>
      <c r="DE16" s="8">
        <f>SUM(CW16:CX16)</f>
        <v>20</v>
      </c>
    </row>
    <row r="17" spans="1:109" x14ac:dyDescent="0.25">
      <c r="A17">
        <v>7</v>
      </c>
      <c r="B17" s="10" t="s">
        <v>570</v>
      </c>
      <c r="C17" s="8"/>
      <c r="D17" s="8" t="s">
        <v>571</v>
      </c>
      <c r="E17" s="8" t="s">
        <v>38</v>
      </c>
      <c r="F17" s="8"/>
      <c r="G17" s="8"/>
      <c r="H17" s="8"/>
      <c r="I17" s="8"/>
      <c r="J17" s="8"/>
      <c r="K17" s="8"/>
      <c r="L17" s="8"/>
      <c r="M17" s="10"/>
      <c r="N17" s="10"/>
      <c r="O17" s="10"/>
      <c r="P17" s="10"/>
      <c r="Q17" s="10"/>
      <c r="R17" s="8"/>
      <c r="S17" s="8"/>
      <c r="T17" s="8"/>
      <c r="U17" s="8"/>
      <c r="V17" s="8"/>
      <c r="W17" s="10"/>
      <c r="X17" s="10"/>
      <c r="Y17" s="10"/>
      <c r="Z17" s="10"/>
      <c r="AA17" s="10"/>
      <c r="AB17" s="10"/>
      <c r="AC17" s="10"/>
      <c r="AD17" s="10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>
        <v>36</v>
      </c>
      <c r="AS17" s="8"/>
      <c r="AT17" s="8"/>
      <c r="AU17" s="8"/>
      <c r="AV17" s="8">
        <v>75</v>
      </c>
      <c r="AW17" s="8"/>
      <c r="AX17" s="8"/>
      <c r="AY17" s="11">
        <f>SUM(AF17:AX17)</f>
        <v>111</v>
      </c>
      <c r="AZ17" s="11">
        <f>(AY17-AF17)/2</f>
        <v>55.5</v>
      </c>
      <c r="BA17" s="11"/>
      <c r="BB17" s="11">
        <v>64</v>
      </c>
      <c r="BC17" s="11">
        <v>7.5</v>
      </c>
      <c r="BD17" s="11">
        <v>56</v>
      </c>
      <c r="BE17" s="11">
        <v>7.5</v>
      </c>
      <c r="BF17" s="11">
        <v>140</v>
      </c>
      <c r="BG17" s="11">
        <f>SUM(AZ17:BF17)</f>
        <v>330.5</v>
      </c>
      <c r="BH17" s="11">
        <f>(BG17-AZ17)/2</f>
        <v>137.5</v>
      </c>
      <c r="BI17" s="11">
        <v>36</v>
      </c>
      <c r="BJ17" s="11">
        <v>3.2</v>
      </c>
      <c r="BK17" s="11">
        <v>7.5</v>
      </c>
      <c r="BL17" s="11"/>
      <c r="BM17" s="11"/>
      <c r="BN17" s="11"/>
      <c r="BO17" s="11">
        <f t="shared" si="0"/>
        <v>184.2</v>
      </c>
      <c r="BQ17" s="8"/>
      <c r="BR17" s="8"/>
      <c r="BS17" s="8"/>
      <c r="BT17" s="8"/>
      <c r="BU17" s="8"/>
      <c r="BV17" s="8"/>
      <c r="BW17" s="10"/>
      <c r="BX17" s="10"/>
      <c r="BY17" s="8"/>
      <c r="BZ17" s="10"/>
      <c r="CA17" s="10"/>
      <c r="CB17" s="10"/>
      <c r="CC17" s="10"/>
      <c r="CD17" s="10"/>
      <c r="CE17" s="10"/>
      <c r="CF17" s="10"/>
      <c r="CG17" s="10"/>
      <c r="CH17" s="10"/>
      <c r="CI17" s="10">
        <f>SUM(BQ17:BR17)+SUM(BZ17:CH17)</f>
        <v>0</v>
      </c>
      <c r="CJ17" s="10">
        <f>(CI17-BQ17)/2</f>
        <v>0</v>
      </c>
      <c r="CK17" s="10">
        <f>AY17/4</f>
        <v>27.75</v>
      </c>
      <c r="CL17" s="10"/>
      <c r="CM17" s="10"/>
      <c r="CN17" s="10"/>
      <c r="CO17" s="10"/>
      <c r="CP17" s="10">
        <f>SUM(CJ17:CL17)</f>
        <v>27.75</v>
      </c>
      <c r="CQ17" s="8">
        <f>(CP17-CJ17)/2</f>
        <v>13.875</v>
      </c>
      <c r="CR17" s="10"/>
      <c r="CS17" s="10"/>
      <c r="CT17" s="10"/>
      <c r="CU17" s="10">
        <v>2</v>
      </c>
      <c r="CV17" s="8">
        <f>SUM(CQ17:CU17)</f>
        <v>15.875</v>
      </c>
      <c r="CW17" s="8">
        <f t="shared" si="1"/>
        <v>1</v>
      </c>
      <c r="CX17" s="10"/>
      <c r="CY17" s="10"/>
      <c r="CZ17" s="10"/>
      <c r="DA17" s="10"/>
      <c r="DB17" s="10"/>
      <c r="DC17" s="10"/>
      <c r="DD17" s="10"/>
      <c r="DE17" s="8">
        <f t="shared" ref="DE17:DE39" si="2">SUM(CW17:DB17)</f>
        <v>1</v>
      </c>
    </row>
    <row r="18" spans="1:109" x14ac:dyDescent="0.25">
      <c r="A18">
        <v>8</v>
      </c>
      <c r="B18" s="10" t="s">
        <v>451</v>
      </c>
      <c r="C18" s="8"/>
      <c r="D18" s="8" t="s">
        <v>676</v>
      </c>
      <c r="E18" s="8" t="s">
        <v>36</v>
      </c>
      <c r="F18" s="8"/>
      <c r="G18" s="8"/>
      <c r="H18" s="8"/>
      <c r="I18" s="8"/>
      <c r="J18" s="8"/>
      <c r="K18" s="8"/>
      <c r="L18" s="8"/>
      <c r="M18" s="10"/>
      <c r="N18" s="10"/>
      <c r="O18" s="10"/>
      <c r="P18" s="10"/>
      <c r="Q18" s="10"/>
      <c r="R18" s="8"/>
      <c r="S18" s="8"/>
      <c r="T18" s="8"/>
      <c r="U18" s="8"/>
      <c r="V18" s="8"/>
      <c r="W18" s="10"/>
      <c r="X18" s="10"/>
      <c r="Y18" s="10"/>
      <c r="Z18" s="10"/>
      <c r="AA18" s="10"/>
      <c r="AB18" s="10"/>
      <c r="AC18" s="10"/>
      <c r="AD18" s="10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10"/>
      <c r="BB18" s="8"/>
      <c r="BC18" s="10">
        <v>150</v>
      </c>
      <c r="BD18" s="10">
        <v>100</v>
      </c>
      <c r="BE18" s="10">
        <v>100</v>
      </c>
      <c r="BF18" s="10"/>
      <c r="BG18" s="11">
        <f>SUM(AZ18:BF18)</f>
        <v>350</v>
      </c>
      <c r="BH18" s="11">
        <f>(BG18-AZ18)/2</f>
        <v>175</v>
      </c>
      <c r="BI18" s="11"/>
      <c r="BJ18" s="11"/>
      <c r="BK18" s="11"/>
      <c r="BL18" s="11"/>
      <c r="BM18" s="11"/>
      <c r="BN18" s="11"/>
      <c r="BO18" s="11">
        <f t="shared" si="0"/>
        <v>175</v>
      </c>
      <c r="BQ18" s="8"/>
      <c r="BR18" s="8"/>
      <c r="BS18" s="8"/>
      <c r="BT18" s="8"/>
      <c r="BU18" s="8"/>
      <c r="BV18" s="8"/>
      <c r="BW18" s="10"/>
      <c r="BX18" s="10"/>
      <c r="BY18" s="8"/>
      <c r="BZ18" s="10"/>
      <c r="CA18" s="10"/>
      <c r="CB18" s="10"/>
      <c r="CC18" s="10"/>
      <c r="CD18" s="10"/>
      <c r="CE18" s="10"/>
      <c r="CF18" s="10"/>
      <c r="CG18" s="10"/>
      <c r="CH18" s="10"/>
      <c r="CI18" s="8"/>
      <c r="CJ18" s="10"/>
      <c r="CK18" s="10"/>
      <c r="CL18" s="10"/>
      <c r="CM18" s="10"/>
      <c r="CN18" s="10"/>
      <c r="CO18" s="10"/>
      <c r="CP18" s="10">
        <f>SUM(CJ18:CO18)</f>
        <v>0</v>
      </c>
      <c r="CQ18" s="8">
        <f>(CP18-CJ18)/2</f>
        <v>0</v>
      </c>
      <c r="CR18" s="10"/>
      <c r="CS18" s="10"/>
      <c r="CT18" s="10"/>
      <c r="CU18" s="10"/>
      <c r="CV18" s="8">
        <f t="shared" ref="CV18:CV39" si="3">SUM(CQ18:CS18)</f>
        <v>0</v>
      </c>
      <c r="CW18" s="8">
        <f t="shared" si="1"/>
        <v>0</v>
      </c>
      <c r="CX18" s="10"/>
      <c r="CY18" s="10"/>
      <c r="CZ18" s="10"/>
      <c r="DA18" s="10"/>
      <c r="DB18" s="10"/>
      <c r="DC18" s="10"/>
      <c r="DD18" s="10"/>
      <c r="DE18" s="8">
        <f t="shared" si="2"/>
        <v>0</v>
      </c>
    </row>
    <row r="19" spans="1:109" x14ac:dyDescent="0.25">
      <c r="A19">
        <v>9</v>
      </c>
      <c r="B19" s="10" t="s">
        <v>848</v>
      </c>
      <c r="C19" s="8"/>
      <c r="D19" s="8" t="s">
        <v>681</v>
      </c>
      <c r="E19" s="8" t="s">
        <v>667</v>
      </c>
      <c r="F19" s="8"/>
      <c r="G19" s="8"/>
      <c r="H19" s="8"/>
      <c r="I19" s="8"/>
      <c r="J19" s="8"/>
      <c r="K19" s="8"/>
      <c r="L19" s="8"/>
      <c r="M19" s="10"/>
      <c r="N19" s="10"/>
      <c r="O19" s="10"/>
      <c r="P19" s="10"/>
      <c r="Q19" s="10"/>
      <c r="R19" s="8"/>
      <c r="S19" s="8"/>
      <c r="T19" s="8"/>
      <c r="U19" s="8"/>
      <c r="V19" s="8"/>
      <c r="W19" s="10"/>
      <c r="X19" s="10"/>
      <c r="Y19" s="10"/>
      <c r="Z19" s="10"/>
      <c r="AA19" s="10"/>
      <c r="AB19" s="10"/>
      <c r="AC19" s="10"/>
      <c r="AD19" s="10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10"/>
      <c r="BB19" s="8"/>
      <c r="BC19" s="10"/>
      <c r="BD19" s="10"/>
      <c r="BE19" s="10"/>
      <c r="BF19" s="10"/>
      <c r="BG19" s="8"/>
      <c r="BH19" s="8"/>
      <c r="BI19" s="10"/>
      <c r="BJ19" s="10">
        <v>64</v>
      </c>
      <c r="BK19" s="10">
        <v>75</v>
      </c>
      <c r="BL19" s="10"/>
      <c r="BM19" s="10"/>
      <c r="BN19" s="10"/>
      <c r="BO19" s="11">
        <f t="shared" si="0"/>
        <v>139</v>
      </c>
      <c r="BQ19" s="8"/>
      <c r="BR19" s="8"/>
      <c r="BS19" s="8"/>
      <c r="BT19" s="8"/>
      <c r="BU19" s="8"/>
      <c r="BV19" s="8"/>
      <c r="BW19" s="10"/>
      <c r="BX19" s="10"/>
      <c r="BY19" s="8"/>
      <c r="BZ19" s="10"/>
      <c r="CA19" s="10"/>
      <c r="CB19" s="10"/>
      <c r="CC19" s="10"/>
      <c r="CD19" s="10"/>
      <c r="CE19" s="10"/>
      <c r="CF19" s="10"/>
      <c r="CG19" s="10"/>
      <c r="CH19" s="10"/>
      <c r="CI19" s="8"/>
      <c r="CJ19" s="10"/>
      <c r="CK19" s="10"/>
      <c r="CL19" s="10"/>
      <c r="CM19" s="10"/>
      <c r="CN19" s="10"/>
      <c r="CO19" s="10"/>
      <c r="CP19" s="10"/>
      <c r="CQ19" s="8"/>
      <c r="CR19" s="8"/>
      <c r="CS19" s="8"/>
      <c r="CT19" s="8"/>
      <c r="CU19" s="8"/>
      <c r="CV19" s="8">
        <f t="shared" si="3"/>
        <v>0</v>
      </c>
      <c r="CW19" s="8">
        <f t="shared" si="1"/>
        <v>0</v>
      </c>
      <c r="CX19" s="10"/>
      <c r="CY19" s="10"/>
      <c r="CZ19" s="10"/>
      <c r="DA19" s="10"/>
      <c r="DB19" s="10">
        <v>5</v>
      </c>
      <c r="DC19" s="10"/>
      <c r="DD19" s="10"/>
      <c r="DE19" s="8">
        <f t="shared" si="2"/>
        <v>5</v>
      </c>
    </row>
    <row r="20" spans="1:109" x14ac:dyDescent="0.25">
      <c r="A20">
        <v>10</v>
      </c>
      <c r="B20" s="10" t="s">
        <v>139</v>
      </c>
      <c r="C20" s="8"/>
      <c r="D20" s="8" t="s">
        <v>565</v>
      </c>
      <c r="E20" s="8" t="s">
        <v>369</v>
      </c>
      <c r="F20" s="8"/>
      <c r="G20" s="8"/>
      <c r="H20" s="8"/>
      <c r="I20" s="8"/>
      <c r="J20" s="8"/>
      <c r="K20" s="8"/>
      <c r="L20" s="8"/>
      <c r="M20" s="10"/>
      <c r="N20" s="10"/>
      <c r="O20" s="10"/>
      <c r="P20" s="10"/>
      <c r="Q20" s="10"/>
      <c r="R20" s="8"/>
      <c r="S20" s="8"/>
      <c r="T20" s="8"/>
      <c r="U20" s="8"/>
      <c r="V20" s="8"/>
      <c r="W20" s="10"/>
      <c r="X20" s="10"/>
      <c r="Y20" s="10"/>
      <c r="Z20" s="10"/>
      <c r="AA20" s="10"/>
      <c r="AB20" s="10"/>
      <c r="AC20" s="10"/>
      <c r="AD20" s="10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>
        <v>2.4</v>
      </c>
      <c r="AR20" s="8"/>
      <c r="AS20" s="8"/>
      <c r="AT20" s="8"/>
      <c r="AU20" s="8"/>
      <c r="AV20" s="8"/>
      <c r="AW20" s="8"/>
      <c r="AX20" s="8"/>
      <c r="AY20" s="11">
        <f>SUM(AF20:AX20)</f>
        <v>2.4</v>
      </c>
      <c r="AZ20" s="11">
        <f>(AY20-AF20)/2</f>
        <v>1.2</v>
      </c>
      <c r="BA20" s="11"/>
      <c r="BB20" s="11">
        <v>64</v>
      </c>
      <c r="BC20" s="11">
        <v>54</v>
      </c>
      <c r="BD20" s="11"/>
      <c r="BE20" s="11"/>
      <c r="BF20" s="11"/>
      <c r="BG20" s="11">
        <f t="shared" ref="BG20:BG27" si="4">SUM(AZ20:BF20)</f>
        <v>119.2</v>
      </c>
      <c r="BH20" s="11">
        <f t="shared" ref="BH20:BH27" si="5">(BG20-AZ20)/2</f>
        <v>59</v>
      </c>
      <c r="BI20" s="11"/>
      <c r="BJ20" s="11">
        <v>64</v>
      </c>
      <c r="BK20" s="11"/>
      <c r="BL20" s="11"/>
      <c r="BM20" s="11"/>
      <c r="BN20" s="11"/>
      <c r="BO20" s="11">
        <f t="shared" si="0"/>
        <v>123</v>
      </c>
      <c r="BQ20" s="8"/>
      <c r="BR20" s="8"/>
      <c r="BS20" s="8"/>
      <c r="BT20" s="8"/>
      <c r="BU20" s="8"/>
      <c r="BV20" s="8"/>
      <c r="BW20" s="10"/>
      <c r="BX20" s="10"/>
      <c r="BY20" s="8"/>
      <c r="BZ20" s="10"/>
      <c r="CA20" s="10"/>
      <c r="CB20" s="10"/>
      <c r="CC20" s="10"/>
      <c r="CD20" s="10"/>
      <c r="CE20" s="10"/>
      <c r="CF20" s="10"/>
      <c r="CG20" s="10"/>
      <c r="CH20" s="10"/>
      <c r="CI20" s="10">
        <f>SUM(BQ20:BR20)+SUM(BZ20:CH20)</f>
        <v>0</v>
      </c>
      <c r="CJ20" s="10">
        <f>(CI20-BQ20)/2</f>
        <v>0</v>
      </c>
      <c r="CK20" s="10">
        <f>AY20/4</f>
        <v>0.6</v>
      </c>
      <c r="CL20" s="10"/>
      <c r="CM20" s="10"/>
      <c r="CN20" s="10"/>
      <c r="CO20" s="10"/>
      <c r="CP20" s="10">
        <f t="shared" ref="CP20:CP27" si="6">SUM(CJ20:CO20)</f>
        <v>0.6</v>
      </c>
      <c r="CQ20" s="8">
        <f t="shared" ref="CQ20:CQ27" si="7">(CP20-CJ20)/2</f>
        <v>0.3</v>
      </c>
      <c r="CR20" s="10"/>
      <c r="CS20" s="10"/>
      <c r="CT20" s="10"/>
      <c r="CU20" s="10"/>
      <c r="CV20" s="8">
        <f t="shared" si="3"/>
        <v>0.3</v>
      </c>
      <c r="CW20" s="8">
        <f t="shared" si="1"/>
        <v>0</v>
      </c>
      <c r="CX20" s="10"/>
      <c r="CY20" s="10"/>
      <c r="CZ20" s="10"/>
      <c r="DA20" s="10"/>
      <c r="DB20" s="10"/>
      <c r="DC20" s="10"/>
      <c r="DD20" s="10"/>
      <c r="DE20" s="8">
        <f t="shared" si="2"/>
        <v>0</v>
      </c>
    </row>
    <row r="21" spans="1:109" x14ac:dyDescent="0.25">
      <c r="A21">
        <v>11</v>
      </c>
      <c r="B21" s="10" t="s">
        <v>138</v>
      </c>
      <c r="C21" s="8"/>
      <c r="D21" s="8" t="s">
        <v>328</v>
      </c>
      <c r="E21" s="8" t="s">
        <v>178</v>
      </c>
      <c r="F21" s="8"/>
      <c r="G21" s="8"/>
      <c r="H21" s="8"/>
      <c r="I21" s="8"/>
      <c r="J21" s="8"/>
      <c r="K21" s="8"/>
      <c r="L21" s="8"/>
      <c r="M21" s="10"/>
      <c r="N21" s="10"/>
      <c r="O21" s="10">
        <v>36</v>
      </c>
      <c r="P21" s="10"/>
      <c r="Q21" s="10"/>
      <c r="R21" s="11">
        <f>SUM(F21:Q21)</f>
        <v>36</v>
      </c>
      <c r="S21" s="11">
        <f>R21/2</f>
        <v>18</v>
      </c>
      <c r="T21" s="11">
        <v>26</v>
      </c>
      <c r="U21" s="11"/>
      <c r="V21" s="11">
        <v>36</v>
      </c>
      <c r="W21" s="11"/>
      <c r="X21" s="11"/>
      <c r="Y21" s="11">
        <v>5</v>
      </c>
      <c r="Z21" s="11"/>
      <c r="AA21" s="11"/>
      <c r="AB21" s="11"/>
      <c r="AC21" s="11"/>
      <c r="AD21" s="11">
        <v>7.5</v>
      </c>
      <c r="AE21" s="11">
        <f>SUM(S21:AD21)</f>
        <v>92.5</v>
      </c>
      <c r="AF21" s="11">
        <f>(AE21-S21)/2</f>
        <v>37.25</v>
      </c>
      <c r="AG21" s="11">
        <v>2.4</v>
      </c>
      <c r="AH21" s="11"/>
      <c r="AI21" s="11"/>
      <c r="AJ21" s="11">
        <v>36</v>
      </c>
      <c r="AK21" s="11"/>
      <c r="AL21" s="11">
        <v>3.2</v>
      </c>
      <c r="AM21" s="11"/>
      <c r="AN21" s="11">
        <v>75</v>
      </c>
      <c r="AO21" s="11"/>
      <c r="AP21" s="11">
        <v>2.4</v>
      </c>
      <c r="AQ21" s="11"/>
      <c r="AR21" s="11"/>
      <c r="AS21" s="11"/>
      <c r="AT21" s="11"/>
      <c r="AU21" s="11"/>
      <c r="AV21" s="11"/>
      <c r="AW21" s="11">
        <v>4</v>
      </c>
      <c r="AX21" s="11">
        <v>100</v>
      </c>
      <c r="AY21" s="11">
        <f>SUM(AF21:AX21)</f>
        <v>260.25</v>
      </c>
      <c r="AZ21" s="11">
        <f>(AY21-AF21)/2</f>
        <v>111.5</v>
      </c>
      <c r="BA21" s="11">
        <v>42</v>
      </c>
      <c r="BB21" s="11">
        <v>48</v>
      </c>
      <c r="BC21" s="11">
        <v>7.5</v>
      </c>
      <c r="BD21" s="11">
        <v>48</v>
      </c>
      <c r="BE21" s="11">
        <v>54</v>
      </c>
      <c r="BF21" s="11">
        <v>36</v>
      </c>
      <c r="BG21" s="11">
        <f t="shared" si="4"/>
        <v>347</v>
      </c>
      <c r="BH21" s="11">
        <f t="shared" si="5"/>
        <v>117.75</v>
      </c>
      <c r="BI21" s="11"/>
      <c r="BJ21" s="11"/>
      <c r="BK21" s="11"/>
      <c r="BL21" s="11"/>
      <c r="BM21" s="11"/>
      <c r="BN21" s="11"/>
      <c r="BO21" s="11">
        <f t="shared" si="0"/>
        <v>117.75</v>
      </c>
      <c r="BQ21" s="10">
        <f>SUM(BT21:BX21)/2</f>
        <v>0</v>
      </c>
      <c r="BR21" s="10">
        <f>AE21/4</f>
        <v>23.125</v>
      </c>
      <c r="BS21" s="12">
        <f>R21/2</f>
        <v>18</v>
      </c>
      <c r="BT21" s="12"/>
      <c r="BU21" s="12"/>
      <c r="BV21" s="12"/>
      <c r="BY21" s="12">
        <f>SUM(BS21:BU21)</f>
        <v>18</v>
      </c>
      <c r="BZ21" s="10"/>
      <c r="CA21" s="10"/>
      <c r="CB21" s="10"/>
      <c r="CC21" s="10"/>
      <c r="CD21" s="10"/>
      <c r="CE21" s="10"/>
      <c r="CF21" s="10"/>
      <c r="CG21" s="10"/>
      <c r="CH21" s="10">
        <v>5</v>
      </c>
      <c r="CI21" s="10">
        <f>SUM(BQ21:BR21)+SUM(BZ21:CH21)</f>
        <v>28.125</v>
      </c>
      <c r="CJ21" s="10">
        <f>(CI21-BQ21)/2</f>
        <v>14.0625</v>
      </c>
      <c r="CK21" s="10">
        <f>AY21/4</f>
        <v>65.0625</v>
      </c>
      <c r="CL21" s="10">
        <v>1.25</v>
      </c>
      <c r="CM21" s="10"/>
      <c r="CN21" s="10"/>
      <c r="CO21" s="10">
        <v>25</v>
      </c>
      <c r="CP21" s="10">
        <f t="shared" si="6"/>
        <v>105.375</v>
      </c>
      <c r="CQ21" s="8">
        <f t="shared" si="7"/>
        <v>45.65625</v>
      </c>
      <c r="CR21" s="10">
        <v>18</v>
      </c>
      <c r="CS21" s="10"/>
      <c r="CT21" s="10"/>
      <c r="CU21" s="10"/>
      <c r="CV21" s="8">
        <f t="shared" si="3"/>
        <v>63.65625</v>
      </c>
      <c r="CW21" s="8">
        <f t="shared" si="1"/>
        <v>9</v>
      </c>
      <c r="CX21" s="10"/>
      <c r="CY21" s="10"/>
      <c r="CZ21" s="10"/>
      <c r="DA21" s="10"/>
      <c r="DB21" s="10"/>
      <c r="DC21" s="10"/>
      <c r="DD21" s="10"/>
      <c r="DE21" s="8">
        <f t="shared" si="2"/>
        <v>9</v>
      </c>
    </row>
    <row r="22" spans="1:109" x14ac:dyDescent="0.25">
      <c r="A22">
        <v>12</v>
      </c>
      <c r="B22" s="19" t="s">
        <v>176</v>
      </c>
      <c r="C22" s="19" t="s">
        <v>222</v>
      </c>
      <c r="D22" s="18" t="s">
        <v>177</v>
      </c>
      <c r="E22" s="18" t="s">
        <v>152</v>
      </c>
      <c r="F22" s="8"/>
      <c r="G22" s="10">
        <v>4</v>
      </c>
      <c r="H22" s="10">
        <v>70</v>
      </c>
      <c r="I22" s="10"/>
      <c r="J22" s="10">
        <v>56</v>
      </c>
      <c r="K22" s="10"/>
      <c r="L22" s="10">
        <v>2.4</v>
      </c>
      <c r="M22" s="10"/>
      <c r="N22" s="10">
        <v>56</v>
      </c>
      <c r="O22" s="10"/>
      <c r="P22" s="10"/>
      <c r="Q22" s="10">
        <v>6</v>
      </c>
      <c r="R22" s="11">
        <f>SUM(F22:Q22)</f>
        <v>194.4</v>
      </c>
      <c r="S22" s="11">
        <f>R22/2</f>
        <v>97.2</v>
      </c>
      <c r="T22" s="11">
        <v>50</v>
      </c>
      <c r="U22" s="11"/>
      <c r="V22" s="11"/>
      <c r="W22" s="11"/>
      <c r="X22" s="11"/>
      <c r="Y22" s="11">
        <v>70</v>
      </c>
      <c r="Z22" s="11">
        <v>100</v>
      </c>
      <c r="AA22" s="11"/>
      <c r="AB22" s="11"/>
      <c r="AC22" s="11">
        <v>36</v>
      </c>
      <c r="AD22" s="11">
        <v>105</v>
      </c>
      <c r="AE22" s="11">
        <f>SUM(S22:AD22)</f>
        <v>458.2</v>
      </c>
      <c r="AF22" s="11">
        <f>(AE22-S22)/2</f>
        <v>180.5</v>
      </c>
      <c r="AG22" s="11"/>
      <c r="AH22" s="11"/>
      <c r="AI22" s="11">
        <v>120</v>
      </c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>
        <v>140</v>
      </c>
      <c r="AY22" s="11">
        <f>SUM(AF22:AX22)</f>
        <v>440.5</v>
      </c>
      <c r="AZ22" s="11">
        <f>(AY22-AF22)/2</f>
        <v>130</v>
      </c>
      <c r="BA22" s="11"/>
      <c r="BB22" s="11"/>
      <c r="BC22" s="11">
        <v>75</v>
      </c>
      <c r="BD22" s="11">
        <v>150</v>
      </c>
      <c r="BE22" s="11"/>
      <c r="BF22" s="11"/>
      <c r="BG22" s="11">
        <f t="shared" si="4"/>
        <v>355</v>
      </c>
      <c r="BH22" s="11">
        <f t="shared" si="5"/>
        <v>112.5</v>
      </c>
      <c r="BI22" s="11"/>
      <c r="BJ22" s="11"/>
      <c r="BK22" s="11"/>
      <c r="BL22" s="11"/>
      <c r="BM22" s="11"/>
      <c r="BN22" s="11"/>
      <c r="BO22" s="11">
        <f t="shared" si="0"/>
        <v>112.5</v>
      </c>
      <c r="BQ22" s="10">
        <f>SUM(BT22:BX22)/2</f>
        <v>0</v>
      </c>
      <c r="BR22" s="10">
        <f>AE22/4</f>
        <v>114.55</v>
      </c>
      <c r="BS22" s="12">
        <f>R22/2</f>
        <v>97.2</v>
      </c>
      <c r="BT22" s="12"/>
      <c r="BU22" s="12"/>
      <c r="BV22" s="12"/>
      <c r="BY22" s="12">
        <f>SUM(BS22:BU22)</f>
        <v>97.2</v>
      </c>
      <c r="BZ22" s="10">
        <v>1.25</v>
      </c>
      <c r="CA22" s="10"/>
      <c r="CB22" s="10">
        <v>5</v>
      </c>
      <c r="CC22" s="10"/>
      <c r="CD22" s="10"/>
      <c r="CE22" s="10"/>
      <c r="CF22" s="10"/>
      <c r="CG22" s="10"/>
      <c r="CH22" s="10"/>
      <c r="CI22" s="10">
        <f>SUM(BQ22:BR22)+SUM(BZ22:CB22)</f>
        <v>120.8</v>
      </c>
      <c r="CJ22" s="10">
        <f>(CI22-BQ22)/2</f>
        <v>60.4</v>
      </c>
      <c r="CK22" s="10">
        <f>AY22/4</f>
        <v>110.125</v>
      </c>
      <c r="CL22" s="10"/>
      <c r="CM22" s="10"/>
      <c r="CN22" s="10"/>
      <c r="CO22" s="10">
        <v>50</v>
      </c>
      <c r="CP22" s="10">
        <f t="shared" si="6"/>
        <v>220.52500000000001</v>
      </c>
      <c r="CQ22" s="8">
        <f t="shared" si="7"/>
        <v>80.0625</v>
      </c>
      <c r="CR22" s="10"/>
      <c r="CS22" s="10"/>
      <c r="CT22" s="10"/>
      <c r="CU22" s="10"/>
      <c r="CV22" s="8">
        <f t="shared" si="3"/>
        <v>80.0625</v>
      </c>
      <c r="CW22" s="8">
        <f t="shared" si="1"/>
        <v>0</v>
      </c>
      <c r="CX22" s="10"/>
      <c r="CY22" s="10"/>
      <c r="CZ22" s="10"/>
      <c r="DA22" s="10"/>
      <c r="DB22" s="10"/>
      <c r="DC22" s="10"/>
      <c r="DD22" s="10"/>
      <c r="DE22" s="8">
        <f t="shared" si="2"/>
        <v>0</v>
      </c>
    </row>
    <row r="23" spans="1:109" x14ac:dyDescent="0.25">
      <c r="A23">
        <v>13</v>
      </c>
      <c r="B23" s="28" t="s">
        <v>137</v>
      </c>
      <c r="C23" s="28"/>
      <c r="D23" s="28" t="s">
        <v>728</v>
      </c>
      <c r="E23" s="28" t="s">
        <v>76</v>
      </c>
      <c r="F23" s="8"/>
      <c r="G23" s="8"/>
      <c r="H23" s="8"/>
      <c r="I23" s="8"/>
      <c r="J23" s="8"/>
      <c r="K23" s="8"/>
      <c r="L23" s="8"/>
      <c r="M23" s="10"/>
      <c r="N23" s="10"/>
      <c r="O23" s="10"/>
      <c r="P23" s="10"/>
      <c r="Q23" s="10"/>
      <c r="R23" s="8"/>
      <c r="S23" s="8"/>
      <c r="T23" s="8"/>
      <c r="U23" s="8"/>
      <c r="V23" s="8"/>
      <c r="W23" s="10"/>
      <c r="X23" s="10"/>
      <c r="Y23" s="10"/>
      <c r="Z23" s="10"/>
      <c r="AA23" s="10"/>
      <c r="AB23" s="10"/>
      <c r="AC23" s="10"/>
      <c r="AD23" s="10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10"/>
      <c r="BB23" s="8">
        <v>44.8</v>
      </c>
      <c r="BC23" s="10"/>
      <c r="BD23" s="10"/>
      <c r="BE23" s="10"/>
      <c r="BF23" s="10"/>
      <c r="BG23" s="11">
        <f t="shared" si="4"/>
        <v>44.8</v>
      </c>
      <c r="BH23" s="11">
        <f t="shared" si="5"/>
        <v>22.4</v>
      </c>
      <c r="BI23" s="11"/>
      <c r="BJ23" s="11"/>
      <c r="BK23" s="11">
        <v>54</v>
      </c>
      <c r="BL23" s="11"/>
      <c r="BM23" s="11"/>
      <c r="BN23" s="11"/>
      <c r="BO23" s="11">
        <f t="shared" si="0"/>
        <v>76.400000000000006</v>
      </c>
      <c r="BQ23" s="8"/>
      <c r="BR23" s="8"/>
      <c r="BZ23" s="10"/>
      <c r="CA23" s="10"/>
      <c r="CB23" s="10"/>
      <c r="CC23" s="10"/>
      <c r="CD23" s="10"/>
      <c r="CE23" s="10"/>
      <c r="CF23" s="10"/>
      <c r="CG23" s="10"/>
      <c r="CH23" s="10"/>
      <c r="CI23" s="8"/>
      <c r="CJ23" s="10"/>
      <c r="CK23" s="10"/>
      <c r="CL23" s="10"/>
      <c r="CM23" s="10"/>
      <c r="CN23" s="10"/>
      <c r="CO23" s="10"/>
      <c r="CP23" s="10">
        <f t="shared" si="6"/>
        <v>0</v>
      </c>
      <c r="CQ23" s="8">
        <f t="shared" si="7"/>
        <v>0</v>
      </c>
      <c r="CR23" s="10"/>
      <c r="CS23" s="10"/>
      <c r="CT23" s="10"/>
      <c r="CU23" s="10"/>
      <c r="CV23" s="8">
        <f t="shared" si="3"/>
        <v>0</v>
      </c>
      <c r="CW23" s="8">
        <f t="shared" si="1"/>
        <v>0</v>
      </c>
      <c r="CX23" s="10"/>
      <c r="CY23" s="10"/>
      <c r="CZ23" s="10"/>
      <c r="DA23" s="10"/>
      <c r="DB23" s="10">
        <v>36</v>
      </c>
      <c r="DC23" s="10"/>
      <c r="DD23" s="10"/>
      <c r="DE23" s="28">
        <f t="shared" si="2"/>
        <v>36</v>
      </c>
    </row>
    <row r="24" spans="1:109" x14ac:dyDescent="0.25">
      <c r="A24">
        <v>14</v>
      </c>
      <c r="B24" s="18" t="s">
        <v>182</v>
      </c>
      <c r="C24" s="18" t="s">
        <v>154</v>
      </c>
      <c r="D24" s="18" t="s">
        <v>45</v>
      </c>
      <c r="E24" s="18" t="s">
        <v>19</v>
      </c>
      <c r="F24" s="8"/>
      <c r="G24" s="8"/>
      <c r="H24" s="8"/>
      <c r="I24" s="8"/>
      <c r="J24" s="8"/>
      <c r="K24" s="8"/>
      <c r="L24" s="8"/>
      <c r="M24" s="10"/>
      <c r="N24" s="10"/>
      <c r="O24" s="10"/>
      <c r="P24" s="10"/>
      <c r="Q24" s="10"/>
      <c r="R24" s="8"/>
      <c r="S24" s="8"/>
      <c r="T24" s="8"/>
      <c r="U24" s="8"/>
      <c r="V24" s="8"/>
      <c r="W24" s="10"/>
      <c r="X24" s="10"/>
      <c r="Y24" s="10"/>
      <c r="Z24" s="10"/>
      <c r="AA24" s="10"/>
      <c r="AB24" s="10"/>
      <c r="AC24" s="10"/>
      <c r="AD24" s="10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10"/>
      <c r="BB24" s="8"/>
      <c r="BC24" s="10">
        <v>150</v>
      </c>
      <c r="BD24" s="10"/>
      <c r="BE24" s="10"/>
      <c r="BF24" s="10"/>
      <c r="BG24" s="11">
        <f t="shared" si="4"/>
        <v>150</v>
      </c>
      <c r="BH24" s="11">
        <f t="shared" si="5"/>
        <v>75</v>
      </c>
      <c r="BI24" s="11"/>
      <c r="BJ24" s="11"/>
      <c r="BK24" s="11"/>
      <c r="BL24" s="11"/>
      <c r="BM24" s="11"/>
      <c r="BN24" s="11"/>
      <c r="BO24" s="11">
        <f t="shared" si="0"/>
        <v>75</v>
      </c>
      <c r="BQ24" s="8"/>
      <c r="BR24" s="8"/>
      <c r="BZ24" s="10"/>
      <c r="CA24" s="10"/>
      <c r="CB24" s="10"/>
      <c r="CC24" s="10"/>
      <c r="CD24" s="10"/>
      <c r="CE24" s="10"/>
      <c r="CF24" s="10"/>
      <c r="CG24" s="10"/>
      <c r="CH24" s="10"/>
      <c r="CI24" s="8"/>
      <c r="CJ24" s="10"/>
      <c r="CK24" s="10"/>
      <c r="CL24" s="10"/>
      <c r="CM24" s="10"/>
      <c r="CN24" s="10"/>
      <c r="CO24" s="10"/>
      <c r="CP24" s="10">
        <f t="shared" si="6"/>
        <v>0</v>
      </c>
      <c r="CQ24" s="8">
        <f t="shared" si="7"/>
        <v>0</v>
      </c>
      <c r="CR24" s="10"/>
      <c r="CS24" s="10"/>
      <c r="CT24" s="10"/>
      <c r="CU24" s="10"/>
      <c r="CV24" s="8">
        <f t="shared" si="3"/>
        <v>0</v>
      </c>
      <c r="CW24" s="8">
        <f t="shared" si="1"/>
        <v>0</v>
      </c>
      <c r="CX24" s="10"/>
      <c r="CY24" s="10"/>
      <c r="CZ24" s="10"/>
      <c r="DA24" s="10"/>
      <c r="DB24" s="10"/>
      <c r="DC24" s="10"/>
      <c r="DD24" s="10"/>
      <c r="DE24" s="8">
        <f t="shared" si="2"/>
        <v>0</v>
      </c>
    </row>
    <row r="25" spans="1:109" x14ac:dyDescent="0.25">
      <c r="A25">
        <v>15</v>
      </c>
      <c r="B25" s="8" t="s">
        <v>255</v>
      </c>
      <c r="C25" s="8"/>
      <c r="D25" s="8" t="s">
        <v>362</v>
      </c>
      <c r="E25" s="8" t="s">
        <v>248</v>
      </c>
      <c r="F25" s="8"/>
      <c r="G25" s="8"/>
      <c r="H25" s="8"/>
      <c r="I25" s="8"/>
      <c r="J25" s="8"/>
      <c r="K25" s="8"/>
      <c r="L25" s="8"/>
      <c r="M25" s="10"/>
      <c r="N25" s="10"/>
      <c r="O25" s="10"/>
      <c r="P25" s="10"/>
      <c r="Q25" s="10"/>
      <c r="R25" s="8"/>
      <c r="S25" s="8"/>
      <c r="T25" s="8"/>
      <c r="U25" s="8"/>
      <c r="V25" s="8"/>
      <c r="W25" s="10"/>
      <c r="X25" s="10"/>
      <c r="Y25" s="10"/>
      <c r="Z25" s="10"/>
      <c r="AA25" s="10"/>
      <c r="AB25" s="10"/>
      <c r="AC25" s="10"/>
      <c r="AD25" s="10"/>
      <c r="AE25" s="8"/>
      <c r="AF25" s="8"/>
      <c r="AG25" s="8"/>
      <c r="AH25" s="8"/>
      <c r="AI25" s="8"/>
      <c r="AJ25" s="8"/>
      <c r="AK25" s="8"/>
      <c r="AL25" s="8"/>
      <c r="AM25" s="8"/>
      <c r="AN25" s="8">
        <v>7.5</v>
      </c>
      <c r="AO25" s="8"/>
      <c r="AP25" s="8"/>
      <c r="AQ25" s="8"/>
      <c r="AR25" s="8"/>
      <c r="AS25" s="8"/>
      <c r="AT25" s="8"/>
      <c r="AU25" s="8">
        <v>36</v>
      </c>
      <c r="AV25" s="8"/>
      <c r="AW25" s="8"/>
      <c r="AX25" s="8"/>
      <c r="AY25" s="11">
        <f>SUM(AF25:AX25)</f>
        <v>43.5</v>
      </c>
      <c r="AZ25" s="11">
        <f>(AY25-AF25)/2</f>
        <v>21.75</v>
      </c>
      <c r="BA25" s="11"/>
      <c r="BB25" s="11">
        <v>48</v>
      </c>
      <c r="BC25" s="11"/>
      <c r="BD25" s="11"/>
      <c r="BE25" s="11"/>
      <c r="BF25" s="11"/>
      <c r="BG25" s="11">
        <f t="shared" si="4"/>
        <v>69.75</v>
      </c>
      <c r="BH25" s="11">
        <f t="shared" si="5"/>
        <v>24</v>
      </c>
      <c r="BI25" s="11">
        <v>33.6</v>
      </c>
      <c r="BJ25" s="11"/>
      <c r="BK25" s="11"/>
      <c r="BL25" s="11"/>
      <c r="BM25" s="11"/>
      <c r="BN25" s="11"/>
      <c r="BO25" s="11">
        <f t="shared" si="0"/>
        <v>57.6</v>
      </c>
      <c r="CI25" s="10">
        <f>SUM(BQ25:BR25)+SUM(BZ25:CH25)</f>
        <v>0</v>
      </c>
      <c r="CJ25" s="10">
        <f>(CI25-BQ25)/2</f>
        <v>0</v>
      </c>
      <c r="CK25" s="10">
        <f>AY25/4</f>
        <v>10.875</v>
      </c>
      <c r="CL25" s="10"/>
      <c r="CM25" s="10"/>
      <c r="CN25" s="10"/>
      <c r="CO25" s="10"/>
      <c r="CP25" s="10">
        <f t="shared" si="6"/>
        <v>10.875</v>
      </c>
      <c r="CQ25" s="8">
        <f t="shared" si="7"/>
        <v>5.4375</v>
      </c>
      <c r="CR25" s="10"/>
      <c r="CS25" s="10"/>
      <c r="CT25" s="10"/>
      <c r="CU25" s="10"/>
      <c r="CV25" s="8">
        <f t="shared" si="3"/>
        <v>5.4375</v>
      </c>
      <c r="CW25" s="8">
        <f t="shared" si="1"/>
        <v>0</v>
      </c>
      <c r="CX25" s="10"/>
      <c r="CY25" s="10"/>
      <c r="CZ25" s="10"/>
      <c r="DA25" s="10"/>
      <c r="DB25" s="10"/>
      <c r="DC25" s="10"/>
      <c r="DD25" s="10"/>
      <c r="DE25" s="8">
        <f t="shared" si="2"/>
        <v>0</v>
      </c>
    </row>
    <row r="26" spans="1:109" x14ac:dyDescent="0.25">
      <c r="A26">
        <v>16</v>
      </c>
      <c r="B26" s="40" t="s">
        <v>490</v>
      </c>
      <c r="C26" s="39"/>
      <c r="D26" s="39" t="s">
        <v>468</v>
      </c>
      <c r="E26" s="39" t="s">
        <v>553</v>
      </c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8"/>
      <c r="AZ26" s="8"/>
      <c r="BA26" s="10"/>
      <c r="BB26" s="8"/>
      <c r="BC26" s="10">
        <v>75</v>
      </c>
      <c r="BD26" s="10">
        <v>36</v>
      </c>
      <c r="BE26" s="10"/>
      <c r="BF26" s="10"/>
      <c r="BG26" s="11">
        <f t="shared" si="4"/>
        <v>111</v>
      </c>
      <c r="BH26" s="11">
        <f t="shared" si="5"/>
        <v>55.5</v>
      </c>
      <c r="BI26" s="11"/>
      <c r="BJ26" s="11"/>
      <c r="BK26" s="11"/>
      <c r="BL26" s="11"/>
      <c r="BM26" s="11"/>
      <c r="BN26" s="11"/>
      <c r="BO26" s="11">
        <f t="shared" si="0"/>
        <v>55.5</v>
      </c>
      <c r="CI26" s="8"/>
      <c r="CJ26" s="10"/>
      <c r="CK26" s="10"/>
      <c r="CL26" s="10"/>
      <c r="CM26" s="10"/>
      <c r="CN26" s="10"/>
      <c r="CO26" s="10"/>
      <c r="CP26" s="10">
        <f t="shared" si="6"/>
        <v>0</v>
      </c>
      <c r="CQ26" s="8">
        <f t="shared" si="7"/>
        <v>0</v>
      </c>
      <c r="CR26" s="10"/>
      <c r="CS26" s="10"/>
      <c r="CT26" s="10"/>
      <c r="CU26" s="10"/>
      <c r="CV26" s="8">
        <f t="shared" si="3"/>
        <v>0</v>
      </c>
      <c r="CW26" s="8">
        <f t="shared" si="1"/>
        <v>0</v>
      </c>
      <c r="CX26" s="10"/>
      <c r="CY26" s="10"/>
      <c r="CZ26" s="10"/>
      <c r="DA26" s="10"/>
      <c r="DB26" s="10"/>
      <c r="DC26" s="10"/>
      <c r="DD26" s="10"/>
      <c r="DE26" s="8">
        <f t="shared" si="2"/>
        <v>0</v>
      </c>
    </row>
    <row r="27" spans="1:109" x14ac:dyDescent="0.25">
      <c r="A27">
        <v>17</v>
      </c>
      <c r="B27" s="10" t="s">
        <v>154</v>
      </c>
      <c r="C27" s="8"/>
      <c r="D27" s="8" t="s">
        <v>678</v>
      </c>
      <c r="E27" s="8" t="s">
        <v>679</v>
      </c>
      <c r="F27" s="8"/>
      <c r="G27" s="8"/>
      <c r="H27" s="8"/>
      <c r="I27" s="8"/>
      <c r="J27" s="8"/>
      <c r="K27" s="8"/>
      <c r="L27" s="8"/>
      <c r="M27" s="10"/>
      <c r="N27" s="10"/>
      <c r="O27" s="10"/>
      <c r="P27" s="10"/>
      <c r="Q27" s="10"/>
      <c r="R27" s="8"/>
      <c r="S27" s="8"/>
      <c r="T27" s="8"/>
      <c r="U27" s="8"/>
      <c r="V27" s="8"/>
      <c r="W27" s="10"/>
      <c r="X27" s="10"/>
      <c r="Y27" s="10"/>
      <c r="Z27" s="10"/>
      <c r="AA27" s="10"/>
      <c r="AB27" s="10"/>
      <c r="AC27" s="10"/>
      <c r="AD27" s="10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10"/>
      <c r="BB27" s="8"/>
      <c r="BC27" s="10">
        <v>7.5</v>
      </c>
      <c r="BD27" s="10">
        <v>36</v>
      </c>
      <c r="BE27" s="10">
        <v>54</v>
      </c>
      <c r="BF27" s="10"/>
      <c r="BG27" s="11">
        <f t="shared" si="4"/>
        <v>97.5</v>
      </c>
      <c r="BH27" s="11">
        <f t="shared" si="5"/>
        <v>48.75</v>
      </c>
      <c r="BI27" s="11"/>
      <c r="BJ27" s="11"/>
      <c r="BK27" s="11"/>
      <c r="BL27" s="11"/>
      <c r="BM27" s="11"/>
      <c r="BN27" s="11"/>
      <c r="BO27" s="11">
        <f t="shared" si="0"/>
        <v>48.75</v>
      </c>
      <c r="CI27" s="8"/>
      <c r="CJ27" s="10"/>
      <c r="CK27" s="10"/>
      <c r="CL27" s="10"/>
      <c r="CM27" s="10"/>
      <c r="CN27" s="10"/>
      <c r="CO27" s="10"/>
      <c r="CP27" s="10">
        <f t="shared" si="6"/>
        <v>0</v>
      </c>
      <c r="CQ27" s="8">
        <f t="shared" si="7"/>
        <v>0</v>
      </c>
      <c r="CR27" s="10"/>
      <c r="CS27" s="10"/>
      <c r="CT27" s="10"/>
      <c r="CU27" s="10"/>
      <c r="CV27" s="8">
        <f t="shared" si="3"/>
        <v>0</v>
      </c>
      <c r="CW27" s="8">
        <f t="shared" si="1"/>
        <v>0</v>
      </c>
      <c r="CX27" s="10"/>
      <c r="CY27" s="10"/>
      <c r="CZ27" s="10"/>
      <c r="DA27" s="10"/>
      <c r="DB27" s="10"/>
      <c r="DC27" s="10"/>
      <c r="DD27" s="10"/>
      <c r="DE27" s="8">
        <f t="shared" si="2"/>
        <v>0</v>
      </c>
    </row>
    <row r="28" spans="1:109" x14ac:dyDescent="0.25">
      <c r="A28">
        <v>18</v>
      </c>
      <c r="B28" s="10" t="s">
        <v>541</v>
      </c>
      <c r="C28" s="8"/>
      <c r="D28" s="8" t="s">
        <v>829</v>
      </c>
      <c r="E28" s="8" t="s">
        <v>243</v>
      </c>
      <c r="F28" s="8"/>
      <c r="G28" s="8"/>
      <c r="H28" s="8"/>
      <c r="I28" s="8"/>
      <c r="J28" s="8"/>
      <c r="K28" s="8"/>
      <c r="L28" s="8"/>
      <c r="M28" s="10"/>
      <c r="N28" s="10"/>
      <c r="O28" s="10"/>
      <c r="P28" s="10"/>
      <c r="Q28" s="10"/>
      <c r="R28" s="8"/>
      <c r="S28" s="8"/>
      <c r="T28" s="8"/>
      <c r="U28" s="8"/>
      <c r="V28" s="8"/>
      <c r="W28" s="10"/>
      <c r="X28" s="10"/>
      <c r="Y28" s="10"/>
      <c r="Z28" s="10"/>
      <c r="AA28" s="10"/>
      <c r="AB28" s="10"/>
      <c r="AC28" s="10"/>
      <c r="AD28" s="10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10"/>
      <c r="BB28" s="8"/>
      <c r="BC28" s="10"/>
      <c r="BD28" s="10"/>
      <c r="BE28" s="10"/>
      <c r="BF28" s="10"/>
      <c r="BG28" s="8"/>
      <c r="BH28" s="8"/>
      <c r="BI28" s="10">
        <v>48</v>
      </c>
      <c r="BJ28" s="10"/>
      <c r="BK28" s="10"/>
      <c r="BL28" s="10"/>
      <c r="BM28" s="10"/>
      <c r="BN28" s="10"/>
      <c r="BO28" s="11">
        <f t="shared" si="0"/>
        <v>48</v>
      </c>
      <c r="CI28" s="8"/>
      <c r="CJ28" s="10"/>
      <c r="CK28" s="10"/>
      <c r="CL28" s="10"/>
      <c r="CM28" s="10"/>
      <c r="CN28" s="10"/>
      <c r="CO28" s="10"/>
      <c r="CP28" s="10"/>
      <c r="CQ28" s="8"/>
      <c r="CR28" s="8"/>
      <c r="CS28" s="8"/>
      <c r="CT28" s="8"/>
      <c r="CU28" s="8"/>
      <c r="CV28" s="8">
        <f t="shared" si="3"/>
        <v>0</v>
      </c>
      <c r="CW28" s="8">
        <f t="shared" si="1"/>
        <v>0</v>
      </c>
      <c r="CX28" s="10"/>
      <c r="CY28" s="10"/>
      <c r="CZ28" s="10"/>
      <c r="DA28" s="10"/>
      <c r="DB28" s="10"/>
      <c r="DC28" s="10"/>
      <c r="DD28" s="10"/>
      <c r="DE28" s="8">
        <f t="shared" si="2"/>
        <v>0</v>
      </c>
    </row>
    <row r="29" spans="1:109" x14ac:dyDescent="0.25">
      <c r="A29">
        <v>19</v>
      </c>
      <c r="B29" s="10" t="s">
        <v>187</v>
      </c>
      <c r="C29" s="8"/>
      <c r="D29" s="8" t="s">
        <v>711</v>
      </c>
      <c r="E29" s="8" t="s">
        <v>16</v>
      </c>
      <c r="F29" s="8"/>
      <c r="G29" s="8"/>
      <c r="H29" s="8"/>
      <c r="I29" s="8"/>
      <c r="J29" s="8"/>
      <c r="K29" s="8"/>
      <c r="L29" s="8"/>
      <c r="M29" s="10"/>
      <c r="N29" s="10"/>
      <c r="O29" s="10"/>
      <c r="P29" s="10"/>
      <c r="Q29" s="10"/>
      <c r="R29" s="8"/>
      <c r="S29" s="8"/>
      <c r="T29" s="8"/>
      <c r="U29" s="8"/>
      <c r="V29" s="8"/>
      <c r="W29" s="10"/>
      <c r="X29" s="10"/>
      <c r="Y29" s="10"/>
      <c r="Z29" s="10"/>
      <c r="AA29" s="10"/>
      <c r="AB29" s="10"/>
      <c r="AC29" s="10"/>
      <c r="AD29" s="10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10"/>
      <c r="BB29" s="8"/>
      <c r="BC29" s="10"/>
      <c r="BD29" s="10"/>
      <c r="BE29" s="10"/>
      <c r="BF29" s="10"/>
      <c r="BG29" s="8"/>
      <c r="BH29" s="8"/>
      <c r="BI29" s="10">
        <v>42</v>
      </c>
      <c r="BJ29" s="10"/>
      <c r="BK29" s="10"/>
      <c r="BL29" s="10"/>
      <c r="BM29" s="10"/>
      <c r="BN29" s="10"/>
      <c r="BO29" s="11">
        <f t="shared" si="0"/>
        <v>42</v>
      </c>
      <c r="CI29" s="8"/>
      <c r="CJ29" s="10"/>
      <c r="CK29" s="10"/>
      <c r="CL29" s="10"/>
      <c r="CM29" s="10"/>
      <c r="CN29" s="10"/>
      <c r="CO29" s="10"/>
      <c r="CP29" s="10"/>
      <c r="CQ29" s="8"/>
      <c r="CR29" s="8"/>
      <c r="CS29" s="8"/>
      <c r="CT29" s="8"/>
      <c r="CU29" s="8"/>
      <c r="CV29" s="8">
        <f t="shared" si="3"/>
        <v>0</v>
      </c>
      <c r="CW29" s="8">
        <f t="shared" si="1"/>
        <v>0</v>
      </c>
      <c r="CX29" s="10"/>
      <c r="CY29" s="10"/>
      <c r="CZ29" s="10"/>
      <c r="DA29" s="10"/>
      <c r="DB29" s="10"/>
      <c r="DC29" s="10"/>
      <c r="DD29" s="10"/>
      <c r="DE29" s="8">
        <f t="shared" si="2"/>
        <v>0</v>
      </c>
    </row>
    <row r="30" spans="1:109" x14ac:dyDescent="0.25">
      <c r="A30">
        <v>20</v>
      </c>
      <c r="B30" s="10" t="s">
        <v>218</v>
      </c>
      <c r="C30" s="8"/>
      <c r="D30" s="8" t="s">
        <v>799</v>
      </c>
      <c r="E30" s="8" t="s">
        <v>563</v>
      </c>
      <c r="F30" s="8"/>
      <c r="G30" s="8"/>
      <c r="H30" s="8"/>
      <c r="I30" s="8"/>
      <c r="J30" s="8"/>
      <c r="K30" s="8"/>
      <c r="L30" s="8"/>
      <c r="M30" s="10"/>
      <c r="N30" s="10"/>
      <c r="O30" s="10"/>
      <c r="P30" s="10"/>
      <c r="Q30" s="10"/>
      <c r="R30" s="8"/>
      <c r="S30" s="8"/>
      <c r="T30" s="8"/>
      <c r="U30" s="8"/>
      <c r="V30" s="8"/>
      <c r="W30" s="10"/>
      <c r="X30" s="10"/>
      <c r="Y30" s="10"/>
      <c r="Z30" s="10"/>
      <c r="AA30" s="10"/>
      <c r="AB30" s="10"/>
      <c r="AC30" s="10"/>
      <c r="AD30" s="10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10"/>
      <c r="BB30" s="8"/>
      <c r="BC30" s="10"/>
      <c r="BD30" s="10"/>
      <c r="BE30" s="10"/>
      <c r="BF30" s="10"/>
      <c r="BG30" s="8"/>
      <c r="BH30" s="8"/>
      <c r="BI30" s="10">
        <v>36</v>
      </c>
      <c r="BJ30" s="10"/>
      <c r="BK30" s="10"/>
      <c r="BL30" s="10"/>
      <c r="BM30" s="10"/>
      <c r="BN30" s="10"/>
      <c r="BO30" s="11">
        <f t="shared" si="0"/>
        <v>36</v>
      </c>
      <c r="CP30" s="10"/>
      <c r="CQ30" s="8"/>
      <c r="CR30" s="8"/>
      <c r="CS30" s="8"/>
      <c r="CT30" s="8"/>
      <c r="CU30" s="8"/>
      <c r="CV30" s="8">
        <f t="shared" si="3"/>
        <v>0</v>
      </c>
      <c r="CW30" s="8">
        <f t="shared" si="1"/>
        <v>0</v>
      </c>
      <c r="CX30" s="10"/>
      <c r="CY30" s="10"/>
      <c r="CZ30" s="10"/>
      <c r="DA30" s="10"/>
      <c r="DB30" s="10"/>
      <c r="DC30" s="10"/>
      <c r="DD30" s="10"/>
      <c r="DE30" s="8">
        <f t="shared" si="2"/>
        <v>0</v>
      </c>
    </row>
    <row r="31" spans="1:109" x14ac:dyDescent="0.25">
      <c r="A31">
        <v>21</v>
      </c>
      <c r="B31" s="10" t="s">
        <v>830</v>
      </c>
      <c r="C31" s="8"/>
      <c r="D31" s="8" t="s">
        <v>831</v>
      </c>
      <c r="E31" s="8" t="s">
        <v>832</v>
      </c>
      <c r="F31" s="8"/>
      <c r="G31" s="8"/>
      <c r="H31" s="8"/>
      <c r="I31" s="8"/>
      <c r="J31" s="8"/>
      <c r="K31" s="8"/>
      <c r="L31" s="8"/>
      <c r="M31" s="10"/>
      <c r="N31" s="10"/>
      <c r="O31" s="10"/>
      <c r="P31" s="10"/>
      <c r="Q31" s="10"/>
      <c r="R31" s="8"/>
      <c r="S31" s="8"/>
      <c r="T31" s="8"/>
      <c r="U31" s="8"/>
      <c r="V31" s="8"/>
      <c r="W31" s="10"/>
      <c r="X31" s="10"/>
      <c r="Y31" s="10"/>
      <c r="Z31" s="10"/>
      <c r="AA31" s="10"/>
      <c r="AB31" s="10"/>
      <c r="AC31" s="10"/>
      <c r="AD31" s="10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10"/>
      <c r="BB31" s="8"/>
      <c r="BC31" s="10"/>
      <c r="BD31" s="10"/>
      <c r="BE31" s="10"/>
      <c r="BF31" s="10"/>
      <c r="BG31" s="8"/>
      <c r="BH31" s="8"/>
      <c r="BI31" s="10">
        <v>36</v>
      </c>
      <c r="BJ31" s="10"/>
      <c r="BK31" s="10"/>
      <c r="BL31" s="10"/>
      <c r="BM31" s="10"/>
      <c r="BN31" s="10"/>
      <c r="BO31" s="11">
        <f t="shared" si="0"/>
        <v>36</v>
      </c>
      <c r="CV31" s="8">
        <f t="shared" si="3"/>
        <v>0</v>
      </c>
      <c r="CW31" s="8">
        <f t="shared" si="1"/>
        <v>0</v>
      </c>
      <c r="CX31" s="10"/>
      <c r="CY31" s="10"/>
      <c r="CZ31" s="10"/>
      <c r="DA31" s="10"/>
      <c r="DB31" s="10"/>
      <c r="DC31" s="10"/>
      <c r="DD31" s="10"/>
      <c r="DE31" s="8">
        <f t="shared" si="2"/>
        <v>0</v>
      </c>
    </row>
    <row r="32" spans="1:109" x14ac:dyDescent="0.25">
      <c r="A32">
        <v>22</v>
      </c>
      <c r="B32" s="10" t="s">
        <v>133</v>
      </c>
      <c r="C32" s="8"/>
      <c r="D32" s="8" t="s">
        <v>571</v>
      </c>
      <c r="E32" s="8" t="s">
        <v>68</v>
      </c>
      <c r="F32" s="8"/>
      <c r="G32" s="8"/>
      <c r="H32" s="8"/>
      <c r="I32" s="8"/>
      <c r="J32" s="8"/>
      <c r="K32" s="8"/>
      <c r="L32" s="8"/>
      <c r="M32" s="10"/>
      <c r="N32" s="10"/>
      <c r="O32" s="10"/>
      <c r="P32" s="10"/>
      <c r="Q32" s="10"/>
      <c r="R32" s="8"/>
      <c r="S32" s="8"/>
      <c r="T32" s="8"/>
      <c r="U32" s="8"/>
      <c r="V32" s="8"/>
      <c r="W32" s="10"/>
      <c r="X32" s="10"/>
      <c r="Y32" s="10"/>
      <c r="Z32" s="10"/>
      <c r="AA32" s="10"/>
      <c r="AB32" s="10"/>
      <c r="AC32" s="10"/>
      <c r="AD32" s="10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10"/>
      <c r="BB32" s="8"/>
      <c r="BC32" s="10"/>
      <c r="BD32" s="10"/>
      <c r="BE32" s="10"/>
      <c r="BF32" s="10"/>
      <c r="BG32" s="8"/>
      <c r="BH32" s="8"/>
      <c r="BI32" s="10">
        <v>36</v>
      </c>
      <c r="BJ32" s="10"/>
      <c r="BK32" s="10"/>
      <c r="BL32" s="10"/>
      <c r="BM32" s="10"/>
      <c r="BN32" s="10"/>
      <c r="BO32" s="11">
        <f t="shared" si="0"/>
        <v>36</v>
      </c>
      <c r="CV32" s="8">
        <f t="shared" si="3"/>
        <v>0</v>
      </c>
      <c r="CW32" s="8">
        <f t="shared" si="1"/>
        <v>0</v>
      </c>
      <c r="CX32" s="10"/>
      <c r="CY32" s="10"/>
      <c r="CZ32" s="10"/>
      <c r="DA32" s="10"/>
      <c r="DB32" s="10"/>
      <c r="DC32" s="10"/>
      <c r="DD32" s="10"/>
      <c r="DE32" s="8">
        <f t="shared" si="2"/>
        <v>0</v>
      </c>
    </row>
    <row r="33" spans="1:109" x14ac:dyDescent="0.25">
      <c r="A33">
        <v>23</v>
      </c>
      <c r="B33" s="10" t="s">
        <v>145</v>
      </c>
      <c r="C33" s="8"/>
      <c r="D33" s="8" t="s">
        <v>63</v>
      </c>
      <c r="E33" s="8" t="s">
        <v>43</v>
      </c>
      <c r="F33" s="8"/>
      <c r="G33" s="8"/>
      <c r="H33" s="8"/>
      <c r="I33" s="8"/>
      <c r="J33" s="8"/>
      <c r="K33" s="8"/>
      <c r="L33" s="8"/>
      <c r="M33" s="10"/>
      <c r="N33" s="10"/>
      <c r="O33" s="10"/>
      <c r="P33" s="10"/>
      <c r="Q33" s="10"/>
      <c r="R33" s="8"/>
      <c r="S33" s="8"/>
      <c r="T33" s="8"/>
      <c r="U33" s="8"/>
      <c r="V33" s="8"/>
      <c r="W33" s="10"/>
      <c r="X33" s="10"/>
      <c r="Y33" s="10"/>
      <c r="Z33" s="10"/>
      <c r="AA33" s="10"/>
      <c r="AB33" s="10"/>
      <c r="AC33" s="10"/>
      <c r="AD33" s="10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>
        <v>2.4</v>
      </c>
      <c r="AU33" s="8"/>
      <c r="AV33" s="8"/>
      <c r="AW33" s="8"/>
      <c r="AX33" s="8"/>
      <c r="AY33" s="11">
        <f>SUM(AF33:AX33)</f>
        <v>2.4</v>
      </c>
      <c r="AZ33" s="11">
        <f>(AY33-AF33)/2</f>
        <v>1.2</v>
      </c>
      <c r="BA33" s="11">
        <v>36</v>
      </c>
      <c r="BB33" s="11">
        <v>3.2</v>
      </c>
      <c r="BC33" s="11">
        <v>5</v>
      </c>
      <c r="BD33" s="11">
        <v>7.5</v>
      </c>
      <c r="BE33" s="11">
        <v>7.5</v>
      </c>
      <c r="BF33" s="11">
        <v>3.2</v>
      </c>
      <c r="BG33" s="11">
        <f>SUM(AZ33:BF33)</f>
        <v>63.600000000000009</v>
      </c>
      <c r="BH33" s="11">
        <f>(BG33-AZ33)/2</f>
        <v>31.200000000000003</v>
      </c>
      <c r="BI33" s="11">
        <v>2.4</v>
      </c>
      <c r="BJ33" s="11"/>
      <c r="BK33" s="11"/>
      <c r="BL33" s="11"/>
      <c r="BM33" s="11"/>
      <c r="BN33" s="11"/>
      <c r="BO33" s="11">
        <f t="shared" si="0"/>
        <v>33.6</v>
      </c>
      <c r="CI33" s="12">
        <f>SUM(BQ33:BR33)+SUM(BZ33:CH33)</f>
        <v>0</v>
      </c>
      <c r="CJ33" s="12">
        <f>(CI33-BQ33)/2</f>
        <v>0</v>
      </c>
      <c r="CK33" s="12">
        <f>AY33/4</f>
        <v>0.6</v>
      </c>
      <c r="CP33" s="12">
        <f>SUM(CJ33:CO33)</f>
        <v>0.6</v>
      </c>
      <c r="CQ33">
        <f>(CP33-CJ33)/2</f>
        <v>0.3</v>
      </c>
      <c r="CR33" s="12"/>
      <c r="CS33" s="12"/>
      <c r="CT33" s="12"/>
      <c r="CU33" s="12"/>
      <c r="CV33" s="8">
        <f t="shared" si="3"/>
        <v>0.3</v>
      </c>
      <c r="CW33" s="8">
        <f t="shared" si="1"/>
        <v>0</v>
      </c>
      <c r="CX33" s="10"/>
      <c r="CY33" s="10"/>
      <c r="CZ33" s="10"/>
      <c r="DA33" s="10"/>
      <c r="DB33" s="10"/>
      <c r="DC33" s="10"/>
      <c r="DD33" s="10"/>
      <c r="DE33" s="8">
        <f t="shared" si="2"/>
        <v>0</v>
      </c>
    </row>
    <row r="34" spans="1:109" x14ac:dyDescent="0.25">
      <c r="A34">
        <v>24</v>
      </c>
      <c r="B34" s="10" t="s">
        <v>898</v>
      </c>
      <c r="C34" s="8"/>
      <c r="D34" s="8" t="s">
        <v>899</v>
      </c>
      <c r="E34" s="8" t="s">
        <v>455</v>
      </c>
      <c r="F34" s="8"/>
      <c r="G34" s="8"/>
      <c r="H34" s="8"/>
      <c r="I34" s="8"/>
      <c r="J34" s="8"/>
      <c r="K34" s="8"/>
      <c r="L34" s="8"/>
      <c r="M34" s="10"/>
      <c r="N34" s="10"/>
      <c r="O34" s="10"/>
      <c r="P34" s="10"/>
      <c r="Q34" s="10"/>
      <c r="R34" s="8"/>
      <c r="S34" s="8"/>
      <c r="T34" s="8"/>
      <c r="U34" s="8"/>
      <c r="V34" s="8"/>
      <c r="W34" s="10"/>
      <c r="X34" s="10"/>
      <c r="Y34" s="10"/>
      <c r="Z34" s="10"/>
      <c r="AA34" s="10"/>
      <c r="AB34" s="10"/>
      <c r="AC34" s="10"/>
      <c r="AD34" s="10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10"/>
      <c r="BB34" s="8"/>
      <c r="BC34" s="10"/>
      <c r="BD34" s="10"/>
      <c r="BE34" s="10"/>
      <c r="BF34" s="10"/>
      <c r="BG34" s="8"/>
      <c r="BH34" s="8"/>
      <c r="BI34" s="10">
        <v>33.6</v>
      </c>
      <c r="BJ34" s="10"/>
      <c r="BK34" s="10"/>
      <c r="BL34" s="10"/>
      <c r="BM34" s="10"/>
      <c r="BN34" s="10"/>
      <c r="BO34" s="11">
        <f t="shared" si="0"/>
        <v>33.6</v>
      </c>
      <c r="CV34" s="8">
        <f t="shared" si="3"/>
        <v>0</v>
      </c>
      <c r="CW34" s="8">
        <f t="shared" si="1"/>
        <v>0</v>
      </c>
      <c r="CX34" s="10"/>
      <c r="CY34" s="10"/>
      <c r="CZ34" s="10"/>
      <c r="DA34" s="10"/>
      <c r="DB34" s="10"/>
      <c r="DC34" s="10"/>
      <c r="DD34" s="10"/>
      <c r="DE34" s="8">
        <f t="shared" si="2"/>
        <v>0</v>
      </c>
    </row>
    <row r="35" spans="1:109" x14ac:dyDescent="0.25">
      <c r="A35">
        <v>25</v>
      </c>
      <c r="B35" s="10" t="s">
        <v>300</v>
      </c>
      <c r="C35" s="8"/>
      <c r="D35" s="8" t="s">
        <v>361</v>
      </c>
      <c r="E35" s="8" t="s">
        <v>7</v>
      </c>
      <c r="F35" s="8"/>
      <c r="G35" s="8"/>
      <c r="H35" s="8"/>
      <c r="I35" s="8"/>
      <c r="J35" s="8"/>
      <c r="K35" s="8"/>
      <c r="L35" s="8"/>
      <c r="M35" s="10"/>
      <c r="N35" s="10"/>
      <c r="O35" s="10"/>
      <c r="P35" s="10"/>
      <c r="Q35" s="10"/>
      <c r="R35" s="8"/>
      <c r="S35" s="8"/>
      <c r="T35" s="8">
        <v>5</v>
      </c>
      <c r="U35" s="8"/>
      <c r="V35" s="8"/>
      <c r="W35" s="10"/>
      <c r="X35" s="10"/>
      <c r="Y35" s="10"/>
      <c r="Z35" s="10"/>
      <c r="AA35" s="10"/>
      <c r="AB35" s="10"/>
      <c r="AC35" s="10"/>
      <c r="AD35" s="10"/>
      <c r="AE35" s="11">
        <f>SUM(S35:AD35)</f>
        <v>5</v>
      </c>
      <c r="AF35" s="11">
        <f>(AE35-S35)/2</f>
        <v>2.5</v>
      </c>
      <c r="AG35" s="11"/>
      <c r="AH35" s="11"/>
      <c r="AI35" s="11"/>
      <c r="AJ35" s="11"/>
      <c r="AK35" s="11"/>
      <c r="AL35" s="11"/>
      <c r="AM35" s="11">
        <v>44.8</v>
      </c>
      <c r="AN35" s="11">
        <v>54</v>
      </c>
      <c r="AO35" s="11"/>
      <c r="AP35" s="11"/>
      <c r="AQ35" s="11"/>
      <c r="AR35" s="11"/>
      <c r="AS35" s="11"/>
      <c r="AT35" s="11"/>
      <c r="AU35" s="11"/>
      <c r="AV35" s="11">
        <v>7.5</v>
      </c>
      <c r="AW35" s="11"/>
      <c r="AX35" s="11"/>
      <c r="AY35" s="11">
        <f>SUM(AF35:AX35)</f>
        <v>108.8</v>
      </c>
      <c r="AZ35" s="11">
        <f>(AY35-AF35)/2</f>
        <v>53.15</v>
      </c>
      <c r="BA35" s="11">
        <v>36</v>
      </c>
      <c r="BB35" s="11"/>
      <c r="BC35" s="11"/>
      <c r="BD35" s="11"/>
      <c r="BE35" s="11"/>
      <c r="BF35" s="11"/>
      <c r="BG35" s="11">
        <f>SUM(AZ35:BF35)</f>
        <v>89.15</v>
      </c>
      <c r="BH35" s="11">
        <f>(BG35-AZ35)/2</f>
        <v>18.000000000000004</v>
      </c>
      <c r="BI35" s="11"/>
      <c r="BJ35" s="11"/>
      <c r="BK35" s="11"/>
      <c r="BL35" s="11"/>
      <c r="BM35" s="11"/>
      <c r="BN35" s="11"/>
      <c r="BO35" s="11">
        <f t="shared" si="0"/>
        <v>18.000000000000004</v>
      </c>
      <c r="BQ35" s="12">
        <f>SUM(BT35:BX35)/2</f>
        <v>0</v>
      </c>
      <c r="BR35" s="12">
        <f>AE35/4</f>
        <v>1.25</v>
      </c>
      <c r="CI35" s="12">
        <f>SUM(BQ35:BR35)+SUM(BZ35:CH35)</f>
        <v>1.25</v>
      </c>
      <c r="CJ35" s="12">
        <f>(CI35-BQ35)/2</f>
        <v>0.625</v>
      </c>
      <c r="CK35" s="12">
        <f>AY35/4</f>
        <v>27.2</v>
      </c>
      <c r="CP35" s="12">
        <f>SUM(CJ35:CL35)</f>
        <v>27.824999999999999</v>
      </c>
      <c r="CQ35">
        <f>(CP35-CJ35)/2</f>
        <v>13.6</v>
      </c>
      <c r="CR35" s="12"/>
      <c r="CS35" s="12"/>
      <c r="CT35" s="12"/>
      <c r="CU35" s="12"/>
      <c r="CV35" s="8">
        <f t="shared" si="3"/>
        <v>13.6</v>
      </c>
      <c r="CW35" s="8">
        <f t="shared" si="1"/>
        <v>0</v>
      </c>
      <c r="CX35" s="10"/>
      <c r="CY35" s="10"/>
      <c r="CZ35" s="10"/>
      <c r="DA35" s="10"/>
      <c r="DB35" s="10"/>
      <c r="DC35" s="10"/>
      <c r="DD35" s="10"/>
      <c r="DE35" s="8">
        <f t="shared" si="2"/>
        <v>0</v>
      </c>
    </row>
    <row r="36" spans="1:109" x14ac:dyDescent="0.25">
      <c r="A36">
        <v>26</v>
      </c>
      <c r="B36" s="10" t="s">
        <v>270</v>
      </c>
      <c r="C36" s="8"/>
      <c r="D36" s="8" t="s">
        <v>468</v>
      </c>
      <c r="E36" s="8" t="s">
        <v>907</v>
      </c>
      <c r="F36" s="8"/>
      <c r="G36" s="8"/>
      <c r="H36" s="8"/>
      <c r="I36" s="8"/>
      <c r="J36" s="8"/>
      <c r="K36" s="8"/>
      <c r="L36" s="8"/>
      <c r="M36" s="10"/>
      <c r="N36" s="10"/>
      <c r="O36" s="10"/>
      <c r="P36" s="10"/>
      <c r="Q36" s="10"/>
      <c r="R36" s="8"/>
      <c r="S36" s="8"/>
      <c r="T36" s="8"/>
      <c r="U36" s="8"/>
      <c r="V36" s="8"/>
      <c r="W36" s="10"/>
      <c r="X36" s="10"/>
      <c r="Y36" s="10"/>
      <c r="Z36" s="10"/>
      <c r="AA36" s="10"/>
      <c r="AB36" s="10"/>
      <c r="AC36" s="10"/>
      <c r="AD36" s="10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10"/>
      <c r="BB36" s="8"/>
      <c r="BC36" s="10"/>
      <c r="BD36" s="10"/>
      <c r="BE36" s="10"/>
      <c r="BF36" s="10"/>
      <c r="BG36" s="8"/>
      <c r="BH36" s="8"/>
      <c r="BI36" s="10">
        <v>3</v>
      </c>
      <c r="BJ36" s="10"/>
      <c r="BK36" s="10"/>
      <c r="BL36" s="10"/>
      <c r="BM36" s="10"/>
      <c r="BN36" s="10"/>
      <c r="BO36" s="11">
        <f t="shared" si="0"/>
        <v>3</v>
      </c>
      <c r="CV36" s="8">
        <f t="shared" si="3"/>
        <v>0</v>
      </c>
      <c r="CW36" s="8">
        <f t="shared" si="1"/>
        <v>0</v>
      </c>
      <c r="CX36" s="10"/>
      <c r="CY36" s="10"/>
      <c r="CZ36" s="10"/>
      <c r="DA36" s="10"/>
      <c r="DB36" s="10"/>
      <c r="DC36" s="10"/>
      <c r="DD36" s="10"/>
      <c r="DE36" s="8">
        <f t="shared" si="2"/>
        <v>0</v>
      </c>
    </row>
    <row r="37" spans="1:109" x14ac:dyDescent="0.25">
      <c r="A37">
        <v>27</v>
      </c>
      <c r="B37" s="10" t="s">
        <v>426</v>
      </c>
      <c r="C37" s="8"/>
      <c r="D37" s="8" t="s">
        <v>310</v>
      </c>
      <c r="E37" s="8" t="s">
        <v>19</v>
      </c>
      <c r="F37" s="8"/>
      <c r="G37" s="8"/>
      <c r="H37" s="8"/>
      <c r="I37" s="8"/>
      <c r="J37" s="8"/>
      <c r="K37" s="8"/>
      <c r="L37" s="8"/>
      <c r="M37" s="10"/>
      <c r="N37" s="10"/>
      <c r="O37" s="10"/>
      <c r="P37" s="10"/>
      <c r="Q37" s="10"/>
      <c r="R37" s="8"/>
      <c r="S37" s="8"/>
      <c r="T37" s="8"/>
      <c r="U37" s="8"/>
      <c r="V37" s="8"/>
      <c r="W37" s="10"/>
      <c r="X37" s="10"/>
      <c r="Y37" s="10"/>
      <c r="Z37" s="10"/>
      <c r="AA37" s="10"/>
      <c r="AB37" s="10"/>
      <c r="AC37" s="10"/>
      <c r="AD37" s="10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10">
        <v>3</v>
      </c>
      <c r="BB37" s="8"/>
      <c r="BC37" s="10"/>
      <c r="BD37" s="10"/>
      <c r="BE37" s="10"/>
      <c r="BF37" s="10"/>
      <c r="BG37" s="11">
        <f>SUM(AZ37:BF37)</f>
        <v>3</v>
      </c>
      <c r="BH37" s="11">
        <f>(BG37-AZ37)/2</f>
        <v>1.5</v>
      </c>
      <c r="BI37" s="11"/>
      <c r="BJ37" s="11"/>
      <c r="BK37" s="11"/>
      <c r="BL37" s="11"/>
      <c r="BM37" s="11"/>
      <c r="BN37" s="11"/>
      <c r="BO37" s="11">
        <f t="shared" si="0"/>
        <v>1.5</v>
      </c>
      <c r="CR37">
        <v>1.5</v>
      </c>
      <c r="CV37" s="8">
        <f t="shared" si="3"/>
        <v>1.5</v>
      </c>
      <c r="CW37" s="8">
        <f t="shared" si="1"/>
        <v>0.75</v>
      </c>
      <c r="CX37" s="10"/>
      <c r="CY37" s="10"/>
      <c r="CZ37" s="10"/>
      <c r="DA37" s="10"/>
      <c r="DB37" s="10"/>
      <c r="DC37" s="10"/>
      <c r="DD37" s="10"/>
      <c r="DE37" s="8">
        <f t="shared" si="2"/>
        <v>0.75</v>
      </c>
    </row>
    <row r="38" spans="1:109" x14ac:dyDescent="0.25">
      <c r="A38">
        <v>28</v>
      </c>
      <c r="B38" s="19" t="s">
        <v>175</v>
      </c>
      <c r="C38" s="19" t="s">
        <v>190</v>
      </c>
      <c r="D38" s="18" t="s">
        <v>18</v>
      </c>
      <c r="E38" s="18" t="s">
        <v>152</v>
      </c>
      <c r="F38" s="8"/>
      <c r="G38" s="10">
        <v>80</v>
      </c>
      <c r="H38" s="10">
        <v>40</v>
      </c>
      <c r="I38" s="10"/>
      <c r="J38" s="10">
        <v>80</v>
      </c>
      <c r="K38" s="10"/>
      <c r="L38" s="10">
        <v>48</v>
      </c>
      <c r="M38" s="10"/>
      <c r="N38" s="10">
        <v>80</v>
      </c>
      <c r="O38" s="10"/>
      <c r="P38" s="10"/>
      <c r="Q38" s="10">
        <v>120</v>
      </c>
      <c r="R38" s="11">
        <f>SUM(F38:Q38)</f>
        <v>448</v>
      </c>
      <c r="S38" s="11">
        <f>R38/2</f>
        <v>224</v>
      </c>
      <c r="T38" s="11">
        <v>70</v>
      </c>
      <c r="U38" s="11"/>
      <c r="V38" s="11"/>
      <c r="W38" s="11"/>
      <c r="X38" s="11"/>
      <c r="Y38" s="11">
        <v>100</v>
      </c>
      <c r="Z38" s="11" t="s">
        <v>132</v>
      </c>
      <c r="AA38" s="11"/>
      <c r="AB38" s="11"/>
      <c r="AC38" s="11" t="s">
        <v>132</v>
      </c>
      <c r="AD38" s="11">
        <v>150</v>
      </c>
      <c r="AE38" s="11">
        <f>SUM(S38:AD38)</f>
        <v>544</v>
      </c>
      <c r="AF38" s="11">
        <f>(AE38-S38)/2</f>
        <v>160</v>
      </c>
      <c r="AG38" s="11"/>
      <c r="AH38" s="11">
        <v>36</v>
      </c>
      <c r="AI38" s="11" t="s">
        <v>327</v>
      </c>
      <c r="AJ38" s="11"/>
      <c r="AK38" s="11"/>
      <c r="AL38" s="11"/>
      <c r="AM38" s="11"/>
      <c r="AN38" s="11"/>
      <c r="AO38" s="11"/>
      <c r="AP38" s="11"/>
      <c r="AQ38" s="11"/>
      <c r="AR38" s="11"/>
      <c r="AS38" s="11">
        <v>36</v>
      </c>
      <c r="AT38" s="11"/>
      <c r="AU38" s="11"/>
      <c r="AV38" s="11">
        <v>75</v>
      </c>
      <c r="AW38" s="11"/>
      <c r="AX38" s="11">
        <v>200</v>
      </c>
      <c r="AY38" s="11">
        <f>SUM(AF38:AX38)</f>
        <v>507</v>
      </c>
      <c r="AZ38" s="11">
        <f>(AY38-AF38)/2</f>
        <v>173.5</v>
      </c>
      <c r="BA38" s="11"/>
      <c r="BB38" s="11"/>
      <c r="BC38" s="11"/>
      <c r="BD38" s="11"/>
      <c r="BE38" s="11"/>
      <c r="BF38" s="11"/>
      <c r="BG38" s="11">
        <f>SUM(AZ38:BF38)</f>
        <v>173.5</v>
      </c>
      <c r="BH38" s="11">
        <f>(BG38-AZ38)/2</f>
        <v>0</v>
      </c>
      <c r="BI38" s="11"/>
      <c r="BJ38" s="11"/>
      <c r="BK38" s="11"/>
      <c r="BL38" s="11"/>
      <c r="BM38" s="11"/>
      <c r="BN38" s="11"/>
      <c r="BO38" s="11">
        <f t="shared" si="0"/>
        <v>0</v>
      </c>
      <c r="BQ38" s="12">
        <f>SUM(BT38:BX38)/2</f>
        <v>37.5</v>
      </c>
      <c r="BR38" s="12">
        <f>AE38/4</f>
        <v>136</v>
      </c>
      <c r="BS38" s="12">
        <f>R38/2</f>
        <v>224</v>
      </c>
      <c r="BT38" s="12"/>
      <c r="BU38" s="12"/>
      <c r="BV38" s="12"/>
      <c r="BW38" s="12">
        <v>70</v>
      </c>
      <c r="BX38" s="12">
        <v>5</v>
      </c>
      <c r="BY38" s="12">
        <f>SUM(BS38:BX38)</f>
        <v>299</v>
      </c>
      <c r="BZ38" s="12">
        <v>18.75</v>
      </c>
      <c r="CA38" s="12">
        <v>5</v>
      </c>
      <c r="CB38" s="12">
        <v>36</v>
      </c>
      <c r="CC38" s="12">
        <v>40</v>
      </c>
      <c r="CF38" s="12">
        <v>5</v>
      </c>
      <c r="CG38" s="12">
        <v>15</v>
      </c>
      <c r="CI38" s="12">
        <f>SUM(BQ38:BR38)+SUM(BZ38:CG38)</f>
        <v>293.25</v>
      </c>
      <c r="CJ38" s="12">
        <f>(CI38-BQ38)/2</f>
        <v>127.875</v>
      </c>
      <c r="CK38" s="12">
        <f>AY38/4</f>
        <v>126.75</v>
      </c>
      <c r="CP38" s="12">
        <f>SUM(CJ38:CL38)</f>
        <v>254.625</v>
      </c>
      <c r="CQ38">
        <f>(CP38-CJ38)/2</f>
        <v>63.375</v>
      </c>
      <c r="CR38" s="12">
        <v>30</v>
      </c>
      <c r="CS38" s="12"/>
      <c r="CT38" s="12"/>
      <c r="CU38" s="12"/>
      <c r="CV38" s="8">
        <f t="shared" si="3"/>
        <v>93.375</v>
      </c>
      <c r="CW38" s="8">
        <f t="shared" si="1"/>
        <v>15</v>
      </c>
      <c r="CX38" s="10"/>
      <c r="CY38" s="10"/>
      <c r="CZ38" s="10"/>
      <c r="DA38" s="10"/>
      <c r="DB38" s="10"/>
      <c r="DC38" s="10"/>
      <c r="DD38" s="10"/>
      <c r="DE38" s="8">
        <f t="shared" si="2"/>
        <v>15</v>
      </c>
    </row>
    <row r="39" spans="1:109" x14ac:dyDescent="0.25">
      <c r="A39">
        <v>29</v>
      </c>
      <c r="B39" s="10" t="s">
        <v>256</v>
      </c>
      <c r="C39" s="8" t="s">
        <v>179</v>
      </c>
      <c r="D39" s="8" t="s">
        <v>298</v>
      </c>
      <c r="E39" s="8" t="s">
        <v>36</v>
      </c>
      <c r="F39" s="8"/>
      <c r="G39" s="8"/>
      <c r="H39" s="8"/>
      <c r="I39" s="8"/>
      <c r="J39" s="8"/>
      <c r="K39" s="8"/>
      <c r="L39" s="8"/>
      <c r="M39" s="10"/>
      <c r="N39" s="10"/>
      <c r="O39" s="10"/>
      <c r="P39" s="10"/>
      <c r="Q39" s="10"/>
      <c r="R39" s="8"/>
      <c r="S39" s="8"/>
      <c r="T39" s="8">
        <v>100</v>
      </c>
      <c r="U39" s="8"/>
      <c r="V39" s="8"/>
      <c r="W39" s="10" t="s">
        <v>132</v>
      </c>
      <c r="X39" s="10"/>
      <c r="Y39" s="10" t="s">
        <v>327</v>
      </c>
      <c r="Z39" s="10" t="s">
        <v>327</v>
      </c>
      <c r="AA39" s="10"/>
      <c r="AB39" s="10"/>
      <c r="AC39" s="10"/>
      <c r="AD39" s="10"/>
      <c r="AE39" s="11">
        <f>SUM(S39:AD39)</f>
        <v>100</v>
      </c>
      <c r="AF39" s="11">
        <f>(AE39-S39)/2</f>
        <v>50</v>
      </c>
      <c r="AG39" s="11" t="s">
        <v>132</v>
      </c>
      <c r="AH39" s="11"/>
      <c r="AI39" s="11"/>
      <c r="AJ39" s="11">
        <v>100</v>
      </c>
      <c r="AK39" s="11"/>
      <c r="AL39" s="11"/>
      <c r="AM39" s="11"/>
      <c r="AN39" s="11"/>
      <c r="AO39" s="11"/>
      <c r="AP39" s="11" t="s">
        <v>327</v>
      </c>
      <c r="AQ39" s="11"/>
      <c r="AR39" s="11"/>
      <c r="AS39" s="11"/>
      <c r="AT39" s="11"/>
      <c r="AU39" s="11"/>
      <c r="AV39" s="11" t="s">
        <v>327</v>
      </c>
      <c r="AW39" s="11"/>
      <c r="AX39" s="11"/>
      <c r="AY39" s="11">
        <f>SUM(AF39:AX39)</f>
        <v>150</v>
      </c>
      <c r="AZ39" s="11">
        <f>(AY39-AF39)/2</f>
        <v>50</v>
      </c>
      <c r="BA39" s="11"/>
      <c r="BB39" s="11"/>
      <c r="BC39" s="11"/>
      <c r="BD39" s="11"/>
      <c r="BE39" s="11"/>
      <c r="BF39" s="11"/>
      <c r="BG39" s="11">
        <f>SUM(AZ39:BF39)</f>
        <v>50</v>
      </c>
      <c r="BH39" s="11">
        <f>(BG39-AZ39)/2</f>
        <v>0</v>
      </c>
      <c r="BI39" s="11"/>
      <c r="BJ39" s="11"/>
      <c r="BK39" s="11"/>
      <c r="BL39" s="11"/>
      <c r="BM39" s="11"/>
      <c r="BN39" s="11"/>
      <c r="BO39" s="11">
        <f t="shared" si="0"/>
        <v>0</v>
      </c>
      <c r="BQ39" s="12">
        <f>SUM(BT39:BX39)/2</f>
        <v>0</v>
      </c>
      <c r="BR39" s="12">
        <f>AE39/4</f>
        <v>25</v>
      </c>
      <c r="BZ39" s="12">
        <v>25</v>
      </c>
      <c r="CB39" s="12">
        <v>5</v>
      </c>
      <c r="CC39" s="12">
        <v>5</v>
      </c>
      <c r="CD39" s="12">
        <v>5</v>
      </c>
      <c r="CE39" s="12">
        <v>5</v>
      </c>
      <c r="CI39" s="12">
        <f>SUM(BQ39:BR39)+SUM(BZ39:CE39)</f>
        <v>70</v>
      </c>
      <c r="CJ39" s="12">
        <f>(CI39-BQ39)/2</f>
        <v>35</v>
      </c>
      <c r="CK39" s="12">
        <f>AY39/4</f>
        <v>37.5</v>
      </c>
      <c r="CL39" s="12">
        <v>25</v>
      </c>
      <c r="CM39" s="12">
        <v>15</v>
      </c>
      <c r="CN39" s="12">
        <v>105</v>
      </c>
      <c r="CP39" s="12">
        <f>SUM(CJ39:CN39)</f>
        <v>217.5</v>
      </c>
      <c r="CQ39">
        <f>(CP39-CJ39)/2</f>
        <v>91.25</v>
      </c>
      <c r="CR39" s="12"/>
      <c r="CS39" s="12"/>
      <c r="CT39" s="12"/>
      <c r="CU39" s="12"/>
      <c r="CV39" s="8">
        <f t="shared" si="3"/>
        <v>91.25</v>
      </c>
      <c r="CW39" s="8">
        <f t="shared" si="1"/>
        <v>0</v>
      </c>
      <c r="CX39" s="10"/>
      <c r="CY39" s="10"/>
      <c r="CZ39" s="10"/>
      <c r="DA39" s="10"/>
      <c r="DB39" s="10"/>
      <c r="DC39" s="10"/>
      <c r="DD39" s="10"/>
      <c r="DE39" s="8">
        <f t="shared" si="2"/>
        <v>0</v>
      </c>
    </row>
  </sheetData>
  <sortState xmlns:xlrd2="http://schemas.microsoft.com/office/spreadsheetml/2017/richdata2" ref="B11:DE39">
    <sortCondition descending="1" ref="BO11:BO39"/>
  </sortState>
  <mergeCells count="6">
    <mergeCell ref="B1:DE1"/>
    <mergeCell ref="B8:C10"/>
    <mergeCell ref="BC9:BF9"/>
    <mergeCell ref="BK9:BN9"/>
    <mergeCell ref="D4:BO5"/>
    <mergeCell ref="BQ4:DE5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F27"/>
  <sheetViews>
    <sheetView zoomScale="80" zoomScaleNormal="80" workbookViewId="0">
      <selection activeCell="BB12" sqref="BB12"/>
    </sheetView>
  </sheetViews>
  <sheetFormatPr baseColWidth="10" defaultRowHeight="15" x14ac:dyDescent="0.25"/>
  <cols>
    <col min="1" max="1" width="3.140625" bestFit="1" customWidth="1"/>
    <col min="2" max="2" width="14.42578125" bestFit="1" customWidth="1"/>
    <col min="4" max="4" width="12.7109375" bestFit="1" customWidth="1"/>
    <col min="5" max="5" width="14.7109375" bestFit="1" customWidth="1"/>
    <col min="6" max="6" width="6.28515625" hidden="1" customWidth="1"/>
    <col min="7" max="7" width="7.28515625" hidden="1" customWidth="1"/>
    <col min="8" max="8" width="7.28515625" style="12" hidden="1" customWidth="1"/>
    <col min="9" max="10" width="6.28515625" style="12" hidden="1" customWidth="1"/>
    <col min="11" max="12" width="6.7109375" style="12" hidden="1" customWidth="1"/>
    <col min="13" max="14" width="7.28515625" style="12" hidden="1" customWidth="1"/>
    <col min="15" max="15" width="6.42578125" style="12" hidden="1" customWidth="1"/>
    <col min="16" max="17" width="6.7109375" style="12" hidden="1" customWidth="1"/>
    <col min="18" max="19" width="0" hidden="1" customWidth="1"/>
    <col min="20" max="28" width="5.5703125" hidden="1" customWidth="1"/>
    <col min="29" max="29" width="0" hidden="1" customWidth="1"/>
    <col min="30" max="30" width="6.85546875" hidden="1" customWidth="1"/>
    <col min="31" max="38" width="5.5703125" hidden="1" customWidth="1"/>
    <col min="39" max="39" width="6.85546875" hidden="1" customWidth="1"/>
    <col min="40" max="41" width="0" hidden="1" customWidth="1"/>
    <col min="42" max="42" width="7.85546875" style="12" hidden="1" customWidth="1"/>
    <col min="43" max="43" width="6.85546875" style="12" hidden="1" customWidth="1"/>
    <col min="44" max="44" width="8.28515625" style="12" hidden="1" customWidth="1"/>
    <col min="45" max="45" width="8.42578125" style="12" hidden="1" customWidth="1"/>
    <col min="46" max="46" width="7.28515625" style="12" hidden="1" customWidth="1"/>
    <col min="47" max="47" width="7" style="12" hidden="1" customWidth="1"/>
    <col min="50" max="50" width="5.85546875" style="12" customWidth="1"/>
    <col min="51" max="51" width="7.7109375" style="12" customWidth="1"/>
    <col min="53" max="53" width="11.42578125" customWidth="1"/>
    <col min="58" max="61" width="0" hidden="1" customWidth="1"/>
    <col min="62" max="62" width="6.42578125" hidden="1" customWidth="1"/>
    <col min="63" max="64" width="6.7109375" style="12" hidden="1" customWidth="1"/>
    <col min="65" max="66" width="0" hidden="1" customWidth="1"/>
    <col min="67" max="68" width="9.5703125" hidden="1" customWidth="1"/>
    <col min="69" max="70" width="6.7109375" hidden="1" customWidth="1"/>
    <col min="71" max="73" width="0" hidden="1" customWidth="1"/>
    <col min="74" max="76" width="5.5703125" hidden="1" customWidth="1"/>
    <col min="77" max="77" width="0" hidden="1" customWidth="1"/>
    <col min="78" max="78" width="8" hidden="1" customWidth="1"/>
    <col min="79" max="79" width="5" hidden="1" customWidth="1"/>
    <col min="80" max="80" width="6.28515625" hidden="1" customWidth="1"/>
    <col min="83" max="83" width="11.42578125" style="12"/>
  </cols>
  <sheetData>
    <row r="1" spans="1:84" ht="26.25" x14ac:dyDescent="0.4">
      <c r="B1" s="80" t="s">
        <v>3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</row>
    <row r="2" spans="1:84" ht="15.75" thickBot="1" x14ac:dyDescent="0.3">
      <c r="C2" s="12"/>
      <c r="D2" s="12"/>
      <c r="E2" s="12"/>
    </row>
    <row r="3" spans="1:84" ht="15.75" thickTop="1" x14ac:dyDescent="0.25">
      <c r="B3" s="1" t="s">
        <v>0</v>
      </c>
      <c r="C3" s="4" t="s">
        <v>10</v>
      </c>
    </row>
    <row r="4" spans="1:84" ht="15.6" customHeight="1" x14ac:dyDescent="0.25">
      <c r="B4" s="2" t="s">
        <v>1</v>
      </c>
      <c r="C4" s="5" t="s">
        <v>11</v>
      </c>
      <c r="D4" s="81" t="s">
        <v>791</v>
      </c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F4" s="82" t="s">
        <v>792</v>
      </c>
      <c r="BG4" s="82"/>
      <c r="BH4" s="82"/>
      <c r="BI4" s="82"/>
      <c r="BJ4" s="82"/>
      <c r="BK4" s="82"/>
      <c r="BL4" s="82"/>
      <c r="BM4" s="82"/>
      <c r="BN4" s="82"/>
      <c r="BO4" s="82"/>
      <c r="BP4" s="82"/>
      <c r="BQ4" s="82"/>
      <c r="BR4" s="82"/>
      <c r="BS4" s="82"/>
      <c r="BT4" s="82"/>
      <c r="BU4" s="82"/>
      <c r="BV4" s="82"/>
      <c r="BW4" s="82"/>
      <c r="BX4" s="82"/>
      <c r="BY4" s="82"/>
      <c r="BZ4" s="82"/>
      <c r="CA4" s="82"/>
      <c r="CB4" s="82"/>
      <c r="CC4" s="82"/>
      <c r="CD4" s="82"/>
      <c r="CE4" s="82"/>
      <c r="CF4" s="82"/>
    </row>
    <row r="5" spans="1:84" ht="16.149999999999999" customHeight="1" thickBot="1" x14ac:dyDescent="0.3">
      <c r="B5" s="3" t="s">
        <v>2</v>
      </c>
      <c r="C5" s="53">
        <v>-78</v>
      </c>
      <c r="D5" s="81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F5" s="82"/>
      <c r="BG5" s="82"/>
      <c r="BH5" s="82"/>
      <c r="BI5" s="82"/>
      <c r="BJ5" s="82"/>
      <c r="BK5" s="82"/>
      <c r="BL5" s="82"/>
      <c r="BM5" s="82"/>
      <c r="BN5" s="82"/>
      <c r="BO5" s="82"/>
      <c r="BP5" s="82"/>
      <c r="BQ5" s="82"/>
      <c r="BR5" s="82"/>
      <c r="BS5" s="82"/>
      <c r="BT5" s="82"/>
      <c r="BU5" s="82"/>
      <c r="BV5" s="82"/>
      <c r="BW5" s="82"/>
      <c r="BX5" s="82"/>
      <c r="BY5" s="82"/>
      <c r="BZ5" s="82"/>
      <c r="CA5" s="82"/>
      <c r="CB5" s="82"/>
      <c r="CC5" s="82"/>
      <c r="CD5" s="82"/>
      <c r="CE5" s="82"/>
      <c r="CF5" s="82"/>
    </row>
    <row r="6" spans="1:84" ht="15.75" thickTop="1" x14ac:dyDescent="0.25"/>
    <row r="7" spans="1:84" ht="15.75" thickBot="1" x14ac:dyDescent="0.3"/>
    <row r="8" spans="1:84" ht="15.75" thickTop="1" x14ac:dyDescent="0.25">
      <c r="B8" s="73" t="s">
        <v>61</v>
      </c>
      <c r="C8" s="74"/>
      <c r="D8" s="1"/>
      <c r="E8" s="1"/>
      <c r="F8" s="1" t="s">
        <v>170</v>
      </c>
      <c r="G8" s="4" t="s">
        <v>224</v>
      </c>
      <c r="H8" s="4" t="s">
        <v>287</v>
      </c>
      <c r="I8" s="4" t="s">
        <v>286</v>
      </c>
      <c r="J8" s="4" t="s">
        <v>296</v>
      </c>
      <c r="K8" s="4" t="s">
        <v>82</v>
      </c>
      <c r="L8" s="4" t="s">
        <v>82</v>
      </c>
      <c r="M8" s="4" t="s">
        <v>82</v>
      </c>
      <c r="N8" s="4" t="s">
        <v>316</v>
      </c>
      <c r="O8" s="4" t="s">
        <v>82</v>
      </c>
      <c r="P8" s="4" t="s">
        <v>334</v>
      </c>
      <c r="Q8" s="4" t="s">
        <v>334</v>
      </c>
      <c r="R8" s="1"/>
      <c r="S8" s="25">
        <v>44927</v>
      </c>
      <c r="T8" s="29" t="s">
        <v>82</v>
      </c>
      <c r="U8" s="29" t="s">
        <v>334</v>
      </c>
      <c r="V8" s="29" t="s">
        <v>387</v>
      </c>
      <c r="W8" s="29" t="s">
        <v>334</v>
      </c>
      <c r="X8" s="29" t="s">
        <v>82</v>
      </c>
      <c r="Y8" s="29" t="s">
        <v>334</v>
      </c>
      <c r="Z8" s="29" t="s">
        <v>82</v>
      </c>
      <c r="AA8" s="29" t="s">
        <v>82</v>
      </c>
      <c r="AB8" s="29" t="s">
        <v>339</v>
      </c>
      <c r="AC8" s="1" t="s">
        <v>9</v>
      </c>
      <c r="AD8" s="29">
        <v>45292</v>
      </c>
      <c r="AE8" s="29" t="s">
        <v>82</v>
      </c>
      <c r="AF8" s="29" t="s">
        <v>334</v>
      </c>
      <c r="AG8" s="29" t="s">
        <v>387</v>
      </c>
      <c r="AH8" s="29" t="s">
        <v>387</v>
      </c>
      <c r="AI8" s="29" t="s">
        <v>334</v>
      </c>
      <c r="AJ8" s="29" t="s">
        <v>82</v>
      </c>
      <c r="AK8" s="29" t="s">
        <v>334</v>
      </c>
      <c r="AL8" s="29" t="s">
        <v>597</v>
      </c>
      <c r="AM8" s="29" t="s">
        <v>339</v>
      </c>
      <c r="AN8" s="29" t="s">
        <v>9</v>
      </c>
      <c r="AO8" s="29">
        <v>45658</v>
      </c>
      <c r="AP8" s="29"/>
      <c r="AQ8" s="29"/>
      <c r="AR8" s="59"/>
      <c r="AS8" s="60"/>
      <c r="AT8" s="60"/>
      <c r="AU8" s="61"/>
      <c r="AV8" s="29" t="s">
        <v>9</v>
      </c>
      <c r="AW8" s="29">
        <v>46023</v>
      </c>
      <c r="AX8" s="29"/>
      <c r="AY8" s="29"/>
      <c r="AZ8" s="59"/>
      <c r="BA8" s="60"/>
      <c r="BB8" s="60"/>
      <c r="BC8" s="61"/>
      <c r="BD8" s="29" t="s">
        <v>612</v>
      </c>
      <c r="BF8" s="25">
        <v>44927</v>
      </c>
      <c r="BG8" s="1" t="s">
        <v>59</v>
      </c>
      <c r="BH8" s="1" t="s">
        <v>59</v>
      </c>
      <c r="BI8" s="4" t="s">
        <v>58</v>
      </c>
      <c r="BJ8" s="4" t="s">
        <v>120</v>
      </c>
      <c r="BK8" s="4" t="s">
        <v>331</v>
      </c>
      <c r="BL8" s="4" t="s">
        <v>79</v>
      </c>
      <c r="BM8" s="1" t="s">
        <v>9</v>
      </c>
      <c r="BN8" s="4" t="s">
        <v>58</v>
      </c>
      <c r="BO8" s="1" t="s">
        <v>349</v>
      </c>
      <c r="BP8" s="1" t="s">
        <v>381</v>
      </c>
      <c r="BQ8" s="4" t="s">
        <v>331</v>
      </c>
      <c r="BR8" s="4" t="s">
        <v>443</v>
      </c>
      <c r="BS8" s="1" t="s">
        <v>9</v>
      </c>
      <c r="BT8" s="29">
        <v>45292</v>
      </c>
      <c r="BU8" s="4" t="s">
        <v>59</v>
      </c>
      <c r="BV8" s="4" t="s">
        <v>464</v>
      </c>
      <c r="BW8" s="4" t="s">
        <v>505</v>
      </c>
      <c r="BX8" s="4" t="s">
        <v>335</v>
      </c>
      <c r="BY8" s="4" t="s">
        <v>9</v>
      </c>
      <c r="BZ8" s="25">
        <v>45658</v>
      </c>
      <c r="CA8" s="4" t="s">
        <v>464</v>
      </c>
      <c r="CB8" s="4" t="s">
        <v>335</v>
      </c>
      <c r="CC8" s="1" t="s">
        <v>612</v>
      </c>
      <c r="CD8" s="29">
        <v>46023</v>
      </c>
      <c r="CE8" s="4" t="s">
        <v>58</v>
      </c>
      <c r="CF8" s="1" t="s">
        <v>9</v>
      </c>
    </row>
    <row r="9" spans="1:84" x14ac:dyDescent="0.25">
      <c r="B9" s="75"/>
      <c r="C9" s="76"/>
      <c r="D9" s="2"/>
      <c r="E9" s="2"/>
      <c r="F9" s="7" t="s">
        <v>171</v>
      </c>
      <c r="G9" s="14" t="s">
        <v>225</v>
      </c>
      <c r="H9" s="14" t="s">
        <v>278</v>
      </c>
      <c r="I9" s="14" t="s">
        <v>284</v>
      </c>
      <c r="J9" s="14" t="s">
        <v>171</v>
      </c>
      <c r="K9" s="14" t="s">
        <v>85</v>
      </c>
      <c r="L9" s="14" t="s">
        <v>308</v>
      </c>
      <c r="M9" s="14" t="s">
        <v>156</v>
      </c>
      <c r="N9" s="14" t="s">
        <v>317</v>
      </c>
      <c r="O9" s="14" t="s">
        <v>314</v>
      </c>
      <c r="P9" s="14" t="s">
        <v>335</v>
      </c>
      <c r="Q9" s="14" t="s">
        <v>339</v>
      </c>
      <c r="R9" s="2" t="s">
        <v>9</v>
      </c>
      <c r="S9" s="2"/>
      <c r="T9" s="5" t="s">
        <v>304</v>
      </c>
      <c r="U9" s="5" t="s">
        <v>287</v>
      </c>
      <c r="V9" s="5" t="s">
        <v>287</v>
      </c>
      <c r="W9" s="5" t="s">
        <v>286</v>
      </c>
      <c r="X9" s="5" t="s">
        <v>314</v>
      </c>
      <c r="Y9" s="5" t="s">
        <v>289</v>
      </c>
      <c r="Z9" s="5" t="s">
        <v>434</v>
      </c>
      <c r="AA9" s="5" t="s">
        <v>308</v>
      </c>
      <c r="AB9" s="5"/>
      <c r="AC9" s="2"/>
      <c r="AD9" s="5"/>
      <c r="AE9" s="5" t="s">
        <v>266</v>
      </c>
      <c r="AF9" s="5" t="s">
        <v>286</v>
      </c>
      <c r="AG9" s="5" t="s">
        <v>286</v>
      </c>
      <c r="AH9" s="5" t="s">
        <v>287</v>
      </c>
      <c r="AI9" s="5" t="s">
        <v>287</v>
      </c>
      <c r="AJ9" s="5" t="s">
        <v>308</v>
      </c>
      <c r="AK9" s="5" t="s">
        <v>289</v>
      </c>
      <c r="AL9" s="5" t="s">
        <v>492</v>
      </c>
      <c r="AM9" s="5" t="s">
        <v>606</v>
      </c>
      <c r="AN9" s="5"/>
      <c r="AO9" s="5"/>
      <c r="AP9" s="14" t="s">
        <v>82</v>
      </c>
      <c r="AQ9" s="14" t="s">
        <v>387</v>
      </c>
      <c r="AR9" s="77" t="s">
        <v>608</v>
      </c>
      <c r="AS9" s="78"/>
      <c r="AT9" s="78"/>
      <c r="AU9" s="79"/>
      <c r="AV9" s="5"/>
      <c r="AW9" s="5"/>
      <c r="AX9" s="14" t="s">
        <v>82</v>
      </c>
      <c r="AY9" s="14" t="s">
        <v>387</v>
      </c>
      <c r="AZ9" s="77" t="s">
        <v>608</v>
      </c>
      <c r="BA9" s="78"/>
      <c r="BB9" s="78"/>
      <c r="BC9" s="79"/>
      <c r="BD9" s="14"/>
      <c r="BF9" s="2"/>
      <c r="BG9" s="2" t="s">
        <v>60</v>
      </c>
      <c r="BH9" s="2" t="s">
        <v>60</v>
      </c>
      <c r="BI9" s="5"/>
      <c r="BJ9" s="5" t="s">
        <v>121</v>
      </c>
      <c r="BK9" s="5" t="s">
        <v>332</v>
      </c>
      <c r="BL9" s="5" t="s">
        <v>332</v>
      </c>
      <c r="BM9" s="2"/>
      <c r="BN9" s="5"/>
      <c r="BO9" s="2"/>
      <c r="BP9" s="2"/>
      <c r="BQ9" s="5" t="s">
        <v>326</v>
      </c>
      <c r="BR9" s="5" t="s">
        <v>444</v>
      </c>
      <c r="BS9" s="2"/>
      <c r="BT9" s="12"/>
      <c r="BU9" s="5" t="s">
        <v>60</v>
      </c>
      <c r="BV9" s="5"/>
      <c r="BW9" s="5" t="s">
        <v>444</v>
      </c>
      <c r="BX9" s="5" t="s">
        <v>171</v>
      </c>
      <c r="BY9" s="5"/>
      <c r="BZ9" s="2"/>
      <c r="CA9" s="5"/>
      <c r="CB9" s="5" t="s">
        <v>171</v>
      </c>
      <c r="CC9" s="2"/>
      <c r="CD9" s="5"/>
      <c r="CE9" s="5"/>
      <c r="CF9" s="2"/>
    </row>
    <row r="10" spans="1:84" x14ac:dyDescent="0.25">
      <c r="B10" s="75"/>
      <c r="C10" s="76"/>
      <c r="D10" s="2" t="s">
        <v>4</v>
      </c>
      <c r="E10" s="2" t="s">
        <v>5</v>
      </c>
      <c r="F10" s="2" t="s">
        <v>172</v>
      </c>
      <c r="G10" s="15">
        <v>44695</v>
      </c>
      <c r="H10" s="15">
        <v>44730</v>
      </c>
      <c r="I10" s="15">
        <v>44730</v>
      </c>
      <c r="J10" s="15">
        <v>44758</v>
      </c>
      <c r="K10" s="15">
        <v>44793</v>
      </c>
      <c r="L10" s="15">
        <v>44800</v>
      </c>
      <c r="M10" s="15">
        <v>44807</v>
      </c>
      <c r="N10" s="15">
        <v>44828</v>
      </c>
      <c r="O10" s="15">
        <v>44856</v>
      </c>
      <c r="P10" s="15">
        <v>44891</v>
      </c>
      <c r="Q10" s="15">
        <v>44905</v>
      </c>
      <c r="R10" s="2">
        <v>2022</v>
      </c>
      <c r="S10" s="2"/>
      <c r="T10" s="5" t="s">
        <v>357</v>
      </c>
      <c r="U10" s="5" t="s">
        <v>172</v>
      </c>
      <c r="V10" s="5" t="s">
        <v>400</v>
      </c>
      <c r="W10" s="5" t="s">
        <v>412</v>
      </c>
      <c r="X10" s="5" t="s">
        <v>424</v>
      </c>
      <c r="Y10" s="5" t="s">
        <v>432</v>
      </c>
      <c r="Z10" s="5" t="s">
        <v>435</v>
      </c>
      <c r="AA10" s="5" t="s">
        <v>439</v>
      </c>
      <c r="AB10" s="5" t="s">
        <v>453</v>
      </c>
      <c r="AC10" s="2">
        <v>2023</v>
      </c>
      <c r="AD10" s="35"/>
      <c r="AE10" s="35" t="s">
        <v>479</v>
      </c>
      <c r="AF10" s="35" t="s">
        <v>513</v>
      </c>
      <c r="AG10" s="35" t="s">
        <v>534</v>
      </c>
      <c r="AH10" s="35" t="s">
        <v>534</v>
      </c>
      <c r="AI10" s="35" t="s">
        <v>550</v>
      </c>
      <c r="AJ10" s="35" t="s">
        <v>567</v>
      </c>
      <c r="AK10" s="35" t="s">
        <v>587</v>
      </c>
      <c r="AL10" s="35" t="s">
        <v>598</v>
      </c>
      <c r="AM10" s="35" t="s">
        <v>607</v>
      </c>
      <c r="AN10" s="35">
        <v>2024</v>
      </c>
      <c r="AO10" s="5"/>
      <c r="AP10" s="5"/>
      <c r="AQ10" s="5"/>
      <c r="AR10" s="5">
        <v>1</v>
      </c>
      <c r="AS10" s="5">
        <v>2</v>
      </c>
      <c r="AT10" s="5">
        <v>3</v>
      </c>
      <c r="AU10" s="5">
        <v>4</v>
      </c>
      <c r="AV10" s="5">
        <v>2025</v>
      </c>
      <c r="AW10" s="5"/>
      <c r="AX10" s="5"/>
      <c r="AY10" s="5"/>
      <c r="AZ10" s="5">
        <v>1</v>
      </c>
      <c r="BA10" s="5">
        <v>2</v>
      </c>
      <c r="BB10" s="5">
        <v>3</v>
      </c>
      <c r="BC10" s="5">
        <v>4</v>
      </c>
      <c r="BD10" s="5">
        <v>2026</v>
      </c>
      <c r="BF10" s="2"/>
      <c r="BG10" s="2"/>
      <c r="BH10" s="2"/>
      <c r="BI10" s="14">
        <v>44562</v>
      </c>
      <c r="BJ10" s="14">
        <v>44652</v>
      </c>
      <c r="BK10" s="14">
        <v>44868</v>
      </c>
      <c r="BL10" s="14">
        <v>44866</v>
      </c>
      <c r="BM10" s="2">
        <v>2022</v>
      </c>
      <c r="BN10" s="14">
        <v>44927</v>
      </c>
      <c r="BO10" s="7">
        <v>44986</v>
      </c>
      <c r="BP10" s="7">
        <v>45078</v>
      </c>
      <c r="BQ10" s="14">
        <v>45139</v>
      </c>
      <c r="BR10" s="14">
        <v>45227</v>
      </c>
      <c r="BS10" s="2">
        <v>2023</v>
      </c>
      <c r="BT10" s="12"/>
      <c r="BU10" s="5"/>
      <c r="BV10" s="5" t="s">
        <v>465</v>
      </c>
      <c r="BW10" s="5" t="s">
        <v>507</v>
      </c>
      <c r="BX10" s="5" t="s">
        <v>600</v>
      </c>
      <c r="BY10" s="5">
        <v>2024</v>
      </c>
      <c r="BZ10" s="2"/>
      <c r="CA10" s="5" t="s">
        <v>610</v>
      </c>
      <c r="CB10" s="5" t="s">
        <v>600</v>
      </c>
      <c r="CC10" s="2">
        <v>2025</v>
      </c>
      <c r="CD10" s="5"/>
      <c r="CE10" s="5" t="s">
        <v>849</v>
      </c>
      <c r="CF10" s="2">
        <v>2026</v>
      </c>
    </row>
    <row r="11" spans="1:84" x14ac:dyDescent="0.25">
      <c r="A11">
        <v>1</v>
      </c>
      <c r="B11" s="8" t="s">
        <v>190</v>
      </c>
      <c r="C11" s="8" t="s">
        <v>138</v>
      </c>
      <c r="D11" s="8" t="s">
        <v>403</v>
      </c>
      <c r="E11" s="8" t="s">
        <v>404</v>
      </c>
      <c r="F11" s="8"/>
      <c r="G11" s="8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10">
        <v>36</v>
      </c>
      <c r="AQ11" s="10"/>
      <c r="AR11" s="10">
        <v>150</v>
      </c>
      <c r="AS11" s="10">
        <v>50</v>
      </c>
      <c r="AT11" s="10">
        <v>75</v>
      </c>
      <c r="AU11" s="10">
        <v>8</v>
      </c>
      <c r="AV11" s="11">
        <f t="shared" ref="AV11:AV16" si="0">SUM(AO11:AU11)</f>
        <v>319</v>
      </c>
      <c r="AW11" s="11">
        <f t="shared" ref="AW11:AW16" si="1">(AV11-AO11)/2</f>
        <v>159.5</v>
      </c>
      <c r="AX11" s="11">
        <v>36</v>
      </c>
      <c r="AY11" s="11"/>
      <c r="AZ11" s="11">
        <v>120</v>
      </c>
      <c r="BA11" s="11">
        <v>60</v>
      </c>
      <c r="BB11" s="11">
        <v>36</v>
      </c>
      <c r="BC11" s="11"/>
      <c r="BD11" s="11">
        <f t="shared" ref="BD11:BD27" si="2">SUM(AW11:BC11)</f>
        <v>411.5</v>
      </c>
      <c r="BF11" s="8"/>
      <c r="BG11" s="8"/>
      <c r="BH11" s="8"/>
      <c r="BI11" s="8"/>
      <c r="BJ11" s="8"/>
      <c r="BK11" s="10"/>
      <c r="BL11" s="10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>
        <f t="shared" ref="BY11:BY16" si="3">SUM(BT11:BX11)</f>
        <v>0</v>
      </c>
      <c r="BZ11" s="8">
        <f t="shared" ref="BZ11:BZ16" si="4">(BY11-BT11)/2</f>
        <v>0</v>
      </c>
      <c r="CA11" s="10"/>
      <c r="CB11" s="10"/>
      <c r="CC11" s="8">
        <f t="shared" ref="CC11:CC27" si="5">SUM(BZ11:CB11)</f>
        <v>0</v>
      </c>
      <c r="CD11" s="8">
        <f t="shared" ref="CD11:CD27" si="6">(CC11-BZ11)/2</f>
        <v>0</v>
      </c>
      <c r="CE11" s="10"/>
      <c r="CF11" s="8">
        <f t="shared" ref="CF11:CF27" si="7">SUM(CD11:CE11)</f>
        <v>0</v>
      </c>
    </row>
    <row r="12" spans="1:84" x14ac:dyDescent="0.25">
      <c r="A12">
        <v>2</v>
      </c>
      <c r="B12" s="20" t="s">
        <v>680</v>
      </c>
      <c r="C12" s="26"/>
      <c r="D12" s="20" t="s">
        <v>681</v>
      </c>
      <c r="E12" s="20" t="s">
        <v>667</v>
      </c>
      <c r="F12" s="8"/>
      <c r="G12" s="8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10">
        <v>36</v>
      </c>
      <c r="AQ12" s="10">
        <v>48</v>
      </c>
      <c r="AR12" s="10">
        <v>105</v>
      </c>
      <c r="AS12" s="10">
        <v>70</v>
      </c>
      <c r="AT12" s="10">
        <v>100</v>
      </c>
      <c r="AU12" s="10">
        <v>112</v>
      </c>
      <c r="AV12" s="11">
        <f t="shared" si="0"/>
        <v>471</v>
      </c>
      <c r="AW12" s="11">
        <f t="shared" si="1"/>
        <v>235.5</v>
      </c>
      <c r="AX12" s="11">
        <v>36</v>
      </c>
      <c r="AY12" s="11"/>
      <c r="AZ12" s="11"/>
      <c r="BA12" s="11"/>
      <c r="BB12" s="11"/>
      <c r="BC12" s="11"/>
      <c r="BD12" s="11">
        <f t="shared" si="2"/>
        <v>271.5</v>
      </c>
      <c r="BF12" s="8"/>
      <c r="BG12" s="8"/>
      <c r="BH12" s="8"/>
      <c r="BI12" s="8"/>
      <c r="BJ12" s="8"/>
      <c r="BK12" s="10"/>
      <c r="BL12" s="10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>
        <f t="shared" si="3"/>
        <v>0</v>
      </c>
      <c r="BZ12" s="8">
        <f t="shared" si="4"/>
        <v>0</v>
      </c>
      <c r="CA12" s="10"/>
      <c r="CB12" s="10"/>
      <c r="CC12" s="8">
        <f t="shared" si="5"/>
        <v>0</v>
      </c>
      <c r="CD12" s="8">
        <f t="shared" si="6"/>
        <v>0</v>
      </c>
      <c r="CE12" s="10">
        <v>20</v>
      </c>
      <c r="CF12" s="26">
        <f t="shared" si="7"/>
        <v>20</v>
      </c>
    </row>
    <row r="13" spans="1:84" x14ac:dyDescent="0.25">
      <c r="A13">
        <v>3</v>
      </c>
      <c r="B13" s="10" t="s">
        <v>256</v>
      </c>
      <c r="C13" s="8" t="s">
        <v>179</v>
      </c>
      <c r="D13" s="8" t="s">
        <v>298</v>
      </c>
      <c r="E13" s="8" t="s">
        <v>36</v>
      </c>
      <c r="F13" s="8"/>
      <c r="G13" s="8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10">
        <v>36</v>
      </c>
      <c r="AQ13" s="10">
        <v>64</v>
      </c>
      <c r="AR13" s="10">
        <v>150</v>
      </c>
      <c r="AS13" s="10">
        <v>120</v>
      </c>
      <c r="AT13" s="10">
        <v>160</v>
      </c>
      <c r="AU13" s="10"/>
      <c r="AV13" s="11">
        <f t="shared" si="0"/>
        <v>530</v>
      </c>
      <c r="AW13" s="11">
        <f t="shared" si="1"/>
        <v>265</v>
      </c>
      <c r="AX13" s="11"/>
      <c r="AY13" s="11"/>
      <c r="AZ13" s="11"/>
      <c r="BA13" s="11"/>
      <c r="BB13" s="11"/>
      <c r="BC13" s="11"/>
      <c r="BD13" s="11">
        <f t="shared" si="2"/>
        <v>265</v>
      </c>
      <c r="BF13" s="8"/>
      <c r="BG13" s="8"/>
      <c r="BH13" s="8"/>
      <c r="BI13" s="8"/>
      <c r="BJ13" s="8"/>
      <c r="BK13" s="10"/>
      <c r="BL13" s="10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>
        <f t="shared" si="3"/>
        <v>0</v>
      </c>
      <c r="BZ13" s="8">
        <f t="shared" si="4"/>
        <v>0</v>
      </c>
      <c r="CA13" s="10"/>
      <c r="CB13" s="10"/>
      <c r="CC13" s="8">
        <f t="shared" si="5"/>
        <v>0</v>
      </c>
      <c r="CD13" s="8">
        <f t="shared" si="6"/>
        <v>0</v>
      </c>
      <c r="CE13" s="10"/>
      <c r="CF13" s="8">
        <f t="shared" si="7"/>
        <v>0</v>
      </c>
    </row>
    <row r="14" spans="1:84" x14ac:dyDescent="0.25">
      <c r="A14" s="68">
        <v>4</v>
      </c>
      <c r="B14" s="18" t="s">
        <v>574</v>
      </c>
      <c r="C14" s="8"/>
      <c r="D14" s="18" t="s">
        <v>575</v>
      </c>
      <c r="E14" s="18" t="s">
        <v>43</v>
      </c>
      <c r="F14" s="8"/>
      <c r="G14" s="8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10">
        <v>48</v>
      </c>
      <c r="AQ14" s="10">
        <v>48</v>
      </c>
      <c r="AR14" s="10">
        <v>60</v>
      </c>
      <c r="AS14" s="10"/>
      <c r="AT14" s="10"/>
      <c r="AU14" s="10"/>
      <c r="AV14" s="11">
        <f t="shared" si="0"/>
        <v>156</v>
      </c>
      <c r="AW14" s="11">
        <f t="shared" si="1"/>
        <v>78</v>
      </c>
      <c r="AX14" s="11">
        <v>36</v>
      </c>
      <c r="AY14" s="11"/>
      <c r="AZ14" s="11">
        <v>6</v>
      </c>
      <c r="BA14" s="11"/>
      <c r="BB14" s="11"/>
      <c r="BC14" s="11"/>
      <c r="BD14" s="11">
        <f t="shared" si="2"/>
        <v>120</v>
      </c>
      <c r="BF14" s="8"/>
      <c r="BG14" s="8"/>
      <c r="BH14" s="8"/>
      <c r="BI14" s="8"/>
      <c r="BJ14" s="8"/>
      <c r="BK14" s="10"/>
      <c r="BL14" s="10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>
        <f t="shared" si="3"/>
        <v>0</v>
      </c>
      <c r="BZ14" s="8">
        <f t="shared" si="4"/>
        <v>0</v>
      </c>
      <c r="CA14" s="10"/>
      <c r="CB14" s="10"/>
      <c r="CC14" s="8">
        <f t="shared" si="5"/>
        <v>0</v>
      </c>
      <c r="CD14" s="8">
        <f t="shared" si="6"/>
        <v>0</v>
      </c>
      <c r="CE14" s="10"/>
      <c r="CF14" s="8">
        <f t="shared" si="7"/>
        <v>0</v>
      </c>
    </row>
    <row r="15" spans="1:84" x14ac:dyDescent="0.25">
      <c r="A15">
        <v>5</v>
      </c>
      <c r="B15" s="18" t="s">
        <v>241</v>
      </c>
      <c r="C15" s="8"/>
      <c r="D15" s="18" t="s">
        <v>18</v>
      </c>
      <c r="E15" s="18" t="s">
        <v>732</v>
      </c>
      <c r="F15" s="8"/>
      <c r="G15" s="8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>
        <v>120</v>
      </c>
      <c r="AL15" s="8">
        <v>56</v>
      </c>
      <c r="AM15" s="8">
        <v>8</v>
      </c>
      <c r="AN15" s="11">
        <f>SUM(AD15:AM15)</f>
        <v>184</v>
      </c>
      <c r="AO15" s="11">
        <f>(AN5:AN15-AD15)/2</f>
        <v>92</v>
      </c>
      <c r="AP15" s="11"/>
      <c r="AQ15" s="11">
        <v>48</v>
      </c>
      <c r="AR15" s="11">
        <v>75</v>
      </c>
      <c r="AS15" s="11">
        <v>100</v>
      </c>
      <c r="AT15" s="11"/>
      <c r="AU15" s="11"/>
      <c r="AV15" s="11">
        <f t="shared" si="0"/>
        <v>315</v>
      </c>
      <c r="AW15" s="11">
        <f t="shared" si="1"/>
        <v>111.5</v>
      </c>
      <c r="AX15" s="11"/>
      <c r="AY15" s="11"/>
      <c r="AZ15" s="11"/>
      <c r="BA15" s="11"/>
      <c r="BB15" s="11"/>
      <c r="BC15" s="11"/>
      <c r="BD15" s="11">
        <f t="shared" si="2"/>
        <v>111.5</v>
      </c>
      <c r="BF15" s="8"/>
      <c r="BG15" s="8"/>
      <c r="BH15" s="8"/>
      <c r="BI15" s="8"/>
      <c r="BJ15" s="8"/>
      <c r="BK15" s="10"/>
      <c r="BL15" s="10"/>
      <c r="BM15" s="8"/>
      <c r="BN15" s="8"/>
      <c r="BO15" s="8"/>
      <c r="BP15" s="8"/>
      <c r="BQ15" s="8"/>
      <c r="BR15" s="8"/>
      <c r="BS15" s="10">
        <f>SUM(BF15:BG15)</f>
        <v>0</v>
      </c>
      <c r="BT15" s="8">
        <f>(BS15-BF15)/2</f>
        <v>0</v>
      </c>
      <c r="BU15" s="8">
        <f>AN15/4</f>
        <v>46</v>
      </c>
      <c r="BV15" s="8"/>
      <c r="BW15" s="8"/>
      <c r="BX15" s="8">
        <v>2</v>
      </c>
      <c r="BY15" s="8">
        <f t="shared" si="3"/>
        <v>48</v>
      </c>
      <c r="BZ15" s="8">
        <f t="shared" si="4"/>
        <v>24</v>
      </c>
      <c r="CA15" s="10"/>
      <c r="CB15" s="10"/>
      <c r="CC15" s="8">
        <f t="shared" si="5"/>
        <v>24</v>
      </c>
      <c r="CD15" s="8">
        <f t="shared" si="6"/>
        <v>0</v>
      </c>
      <c r="CE15" s="10"/>
      <c r="CF15" s="8">
        <f t="shared" si="7"/>
        <v>0</v>
      </c>
    </row>
    <row r="16" spans="1:84" x14ac:dyDescent="0.25">
      <c r="A16">
        <v>6</v>
      </c>
      <c r="B16" s="18" t="s">
        <v>87</v>
      </c>
      <c r="C16" s="8"/>
      <c r="D16" s="18" t="s">
        <v>566</v>
      </c>
      <c r="E16" s="18" t="s">
        <v>635</v>
      </c>
      <c r="F16" s="8"/>
      <c r="G16" s="8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10">
        <v>36</v>
      </c>
      <c r="AQ16" s="10">
        <v>48</v>
      </c>
      <c r="AR16" s="10">
        <v>84</v>
      </c>
      <c r="AS16" s="10"/>
      <c r="AT16" s="10"/>
      <c r="AU16" s="10"/>
      <c r="AV16" s="11">
        <f t="shared" si="0"/>
        <v>168</v>
      </c>
      <c r="AW16" s="11">
        <f t="shared" si="1"/>
        <v>84</v>
      </c>
      <c r="AX16" s="11"/>
      <c r="AY16" s="11"/>
      <c r="AZ16" s="11"/>
      <c r="BA16" s="11"/>
      <c r="BB16" s="11"/>
      <c r="BC16" s="11"/>
      <c r="BD16" s="11">
        <f t="shared" si="2"/>
        <v>84</v>
      </c>
      <c r="BF16" s="8"/>
      <c r="BG16" s="8"/>
      <c r="BH16" s="8"/>
      <c r="BI16" s="8"/>
      <c r="BJ16" s="8"/>
      <c r="BK16" s="10"/>
      <c r="BL16" s="10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>
        <f t="shared" si="3"/>
        <v>0</v>
      </c>
      <c r="BZ16" s="8">
        <f t="shared" si="4"/>
        <v>0</v>
      </c>
      <c r="CA16" s="10"/>
      <c r="CB16" s="10"/>
      <c r="CC16" s="8">
        <f t="shared" si="5"/>
        <v>0</v>
      </c>
      <c r="CD16" s="8">
        <f t="shared" si="6"/>
        <v>0</v>
      </c>
      <c r="CE16" s="10"/>
      <c r="CF16" s="8">
        <f t="shared" si="7"/>
        <v>0</v>
      </c>
    </row>
    <row r="17" spans="1:84" x14ac:dyDescent="0.25">
      <c r="A17">
        <v>7</v>
      </c>
      <c r="B17" s="18" t="s">
        <v>175</v>
      </c>
      <c r="C17" s="8"/>
      <c r="D17" s="18" t="s">
        <v>18</v>
      </c>
      <c r="E17" s="18" t="s">
        <v>152</v>
      </c>
      <c r="F17" s="8"/>
      <c r="G17" s="8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10"/>
      <c r="AQ17" s="10"/>
      <c r="AR17" s="10"/>
      <c r="AS17" s="10"/>
      <c r="AT17" s="10"/>
      <c r="AU17" s="10"/>
      <c r="AV17" s="8"/>
      <c r="AW17" s="8"/>
      <c r="AX17" s="10">
        <v>36</v>
      </c>
      <c r="AY17" s="10">
        <v>48</v>
      </c>
      <c r="AZ17" s="8"/>
      <c r="BA17" s="8"/>
      <c r="BB17" s="8"/>
      <c r="BC17" s="8"/>
      <c r="BD17" s="11">
        <f t="shared" si="2"/>
        <v>84</v>
      </c>
      <c r="BF17" s="8"/>
      <c r="BG17" s="8"/>
      <c r="BH17" s="8"/>
      <c r="BI17" s="8"/>
      <c r="BJ17" s="8"/>
      <c r="BK17" s="10"/>
      <c r="BL17" s="10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>
        <f t="shared" si="5"/>
        <v>0</v>
      </c>
      <c r="CD17" s="8">
        <f t="shared" si="6"/>
        <v>0</v>
      </c>
      <c r="CE17" s="10"/>
      <c r="CF17" s="8">
        <f t="shared" si="7"/>
        <v>0</v>
      </c>
    </row>
    <row r="18" spans="1:84" x14ac:dyDescent="0.25">
      <c r="A18">
        <v>8</v>
      </c>
      <c r="B18" s="65" t="s">
        <v>682</v>
      </c>
      <c r="C18" s="39"/>
      <c r="D18" s="65" t="s">
        <v>265</v>
      </c>
      <c r="E18" s="65" t="s">
        <v>264</v>
      </c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8"/>
      <c r="AO18" s="8"/>
      <c r="AP18" s="10">
        <v>2.4</v>
      </c>
      <c r="AQ18" s="10"/>
      <c r="AR18" s="10">
        <v>75</v>
      </c>
      <c r="AS18" s="10"/>
      <c r="AT18" s="10"/>
      <c r="AU18" s="10"/>
      <c r="AV18" s="11">
        <f>SUM(AO18:AU18)</f>
        <v>77.400000000000006</v>
      </c>
      <c r="AW18" s="11">
        <f>(AV18-AO18)/2</f>
        <v>38.700000000000003</v>
      </c>
      <c r="AX18" s="11"/>
      <c r="AY18" s="11"/>
      <c r="AZ18" s="11"/>
      <c r="BA18" s="11"/>
      <c r="BB18" s="11"/>
      <c r="BC18" s="11"/>
      <c r="BD18" s="11">
        <f t="shared" si="2"/>
        <v>38.700000000000003</v>
      </c>
      <c r="BS18" s="8"/>
      <c r="BT18" s="8"/>
      <c r="BU18" s="8"/>
      <c r="BV18" s="8"/>
      <c r="BW18" s="8"/>
      <c r="BX18" s="8"/>
      <c r="BY18" s="8">
        <f>SUM(BT18:BX18)</f>
        <v>0</v>
      </c>
      <c r="BZ18" s="8">
        <f>(BY18-BT18)/2</f>
        <v>0</v>
      </c>
      <c r="CA18" s="10"/>
      <c r="CB18" s="10"/>
      <c r="CC18" s="8">
        <f t="shared" si="5"/>
        <v>0</v>
      </c>
      <c r="CD18" s="8">
        <f t="shared" si="6"/>
        <v>0</v>
      </c>
      <c r="CE18" s="10"/>
      <c r="CF18" s="8">
        <f t="shared" si="7"/>
        <v>0</v>
      </c>
    </row>
    <row r="19" spans="1:84" x14ac:dyDescent="0.25">
      <c r="A19">
        <v>9</v>
      </c>
      <c r="B19" s="10" t="s">
        <v>418</v>
      </c>
      <c r="C19" s="8"/>
      <c r="D19" s="8" t="s">
        <v>362</v>
      </c>
      <c r="E19" s="8" t="s">
        <v>15</v>
      </c>
      <c r="F19" s="8"/>
      <c r="G19" s="8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10"/>
      <c r="AQ19" s="10"/>
      <c r="AR19" s="10">
        <v>75</v>
      </c>
      <c r="AS19" s="10"/>
      <c r="AT19" s="10"/>
      <c r="AU19" s="10"/>
      <c r="AV19" s="11">
        <f>SUM(AO19:AU19)</f>
        <v>75</v>
      </c>
      <c r="AW19" s="11">
        <f>(AV19-AO19)/2</f>
        <v>37.5</v>
      </c>
      <c r="AX19" s="11"/>
      <c r="AY19" s="11"/>
      <c r="AZ19" s="11"/>
      <c r="BA19" s="11"/>
      <c r="BB19" s="11"/>
      <c r="BC19" s="11"/>
      <c r="BD19" s="11">
        <f t="shared" si="2"/>
        <v>37.5</v>
      </c>
      <c r="BS19" s="8"/>
      <c r="BT19" s="8"/>
      <c r="BU19" s="8"/>
      <c r="BV19" s="8"/>
      <c r="BW19" s="8"/>
      <c r="BX19" s="8"/>
      <c r="BY19" s="8">
        <f>SUM(BT19:BX19)</f>
        <v>0</v>
      </c>
      <c r="BZ19" s="8">
        <f>(BY19-BT19)/2</f>
        <v>0</v>
      </c>
      <c r="CA19" s="10"/>
      <c r="CB19" s="10"/>
      <c r="CC19" s="8">
        <f t="shared" si="5"/>
        <v>0</v>
      </c>
      <c r="CD19" s="8">
        <f t="shared" si="6"/>
        <v>0</v>
      </c>
      <c r="CE19" s="10"/>
      <c r="CF19" s="8">
        <f t="shared" si="7"/>
        <v>0</v>
      </c>
    </row>
    <row r="20" spans="1:84" x14ac:dyDescent="0.25">
      <c r="A20">
        <v>10</v>
      </c>
      <c r="B20" s="18" t="s">
        <v>892</v>
      </c>
      <c r="C20" s="8"/>
      <c r="D20" s="18" t="s">
        <v>174</v>
      </c>
      <c r="E20" s="18" t="s">
        <v>825</v>
      </c>
      <c r="F20" s="8"/>
      <c r="G20" s="8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10"/>
      <c r="AQ20" s="10"/>
      <c r="AR20" s="10"/>
      <c r="AS20" s="10"/>
      <c r="AT20" s="10"/>
      <c r="AU20" s="10"/>
      <c r="AV20" s="8"/>
      <c r="AW20" s="8"/>
      <c r="AX20" s="10">
        <v>36</v>
      </c>
      <c r="AY20" s="10"/>
      <c r="AZ20" s="8"/>
      <c r="BA20" s="8"/>
      <c r="BB20" s="8"/>
      <c r="BC20" s="8"/>
      <c r="BD20" s="11">
        <f t="shared" si="2"/>
        <v>36</v>
      </c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>
        <f t="shared" si="5"/>
        <v>0</v>
      </c>
      <c r="CD20" s="8">
        <f t="shared" si="6"/>
        <v>0</v>
      </c>
      <c r="CE20" s="10"/>
      <c r="CF20" s="8">
        <f t="shared" si="7"/>
        <v>0</v>
      </c>
    </row>
    <row r="21" spans="1:84" x14ac:dyDescent="0.25">
      <c r="A21">
        <v>11</v>
      </c>
      <c r="B21" s="18" t="s">
        <v>123</v>
      </c>
      <c r="C21" s="8"/>
      <c r="D21" s="18" t="s">
        <v>684</v>
      </c>
      <c r="E21" s="18" t="s">
        <v>24</v>
      </c>
      <c r="F21" s="8"/>
      <c r="G21" s="8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10"/>
      <c r="AQ21" s="10"/>
      <c r="AR21" s="10">
        <v>7.5</v>
      </c>
      <c r="AS21" s="10">
        <v>5</v>
      </c>
      <c r="AT21" s="10"/>
      <c r="AU21" s="10"/>
      <c r="AV21" s="11">
        <f t="shared" ref="AV21:AV27" si="8">SUM(AO21:AU21)</f>
        <v>12.5</v>
      </c>
      <c r="AW21" s="11">
        <f t="shared" ref="AW21:AW27" si="9">(AV21-AO21)/2</f>
        <v>6.25</v>
      </c>
      <c r="AX21" s="11"/>
      <c r="AY21" s="11"/>
      <c r="AZ21" s="11"/>
      <c r="BA21" s="11"/>
      <c r="BB21" s="11"/>
      <c r="BC21" s="11"/>
      <c r="BD21" s="11">
        <f t="shared" si="2"/>
        <v>6.25</v>
      </c>
      <c r="BY21" s="8">
        <f>SUM(BT21:BX21)</f>
        <v>0</v>
      </c>
      <c r="BZ21" s="8">
        <f>(BY21-BT21)/2</f>
        <v>0</v>
      </c>
      <c r="CA21" s="10"/>
      <c r="CB21" s="10"/>
      <c r="CC21" s="8">
        <f t="shared" si="5"/>
        <v>0</v>
      </c>
      <c r="CD21" s="8">
        <f t="shared" si="6"/>
        <v>0</v>
      </c>
      <c r="CE21" s="10"/>
      <c r="CF21" s="8">
        <f t="shared" si="7"/>
        <v>0</v>
      </c>
    </row>
    <row r="22" spans="1:84" x14ac:dyDescent="0.25">
      <c r="A22">
        <v>12</v>
      </c>
      <c r="B22" s="10" t="s">
        <v>601</v>
      </c>
      <c r="C22" s="8"/>
      <c r="D22" s="8" t="s">
        <v>18</v>
      </c>
      <c r="E22" s="8" t="s">
        <v>31</v>
      </c>
      <c r="F22" s="8"/>
      <c r="G22" s="8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10"/>
      <c r="AQ22" s="10">
        <v>3.2</v>
      </c>
      <c r="AR22" s="10">
        <v>7.5</v>
      </c>
      <c r="AS22" s="10"/>
      <c r="AT22" s="10"/>
      <c r="AU22" s="10"/>
      <c r="AV22" s="11">
        <f t="shared" si="8"/>
        <v>10.7</v>
      </c>
      <c r="AW22" s="11">
        <f t="shared" si="9"/>
        <v>5.35</v>
      </c>
      <c r="AX22" s="11"/>
      <c r="AY22" s="11"/>
      <c r="AZ22" s="11"/>
      <c r="BA22" s="11"/>
      <c r="BB22" s="11"/>
      <c r="BC22" s="11"/>
      <c r="BD22" s="11">
        <f t="shared" si="2"/>
        <v>5.35</v>
      </c>
      <c r="BY22" s="8">
        <f>SUM(BT22:BX22)</f>
        <v>0</v>
      </c>
      <c r="BZ22" s="8">
        <f>(BY22-BT22)/2</f>
        <v>0</v>
      </c>
      <c r="CA22" s="10"/>
      <c r="CB22" s="10"/>
      <c r="CC22" s="8">
        <f t="shared" si="5"/>
        <v>0</v>
      </c>
      <c r="CD22" s="8">
        <f t="shared" si="6"/>
        <v>0</v>
      </c>
      <c r="CE22" s="10"/>
      <c r="CF22" s="8">
        <f t="shared" si="7"/>
        <v>0</v>
      </c>
    </row>
    <row r="23" spans="1:84" x14ac:dyDescent="0.25">
      <c r="A23">
        <v>13</v>
      </c>
      <c r="B23" s="18" t="s">
        <v>166</v>
      </c>
      <c r="C23" s="18" t="s">
        <v>151</v>
      </c>
      <c r="D23" s="18" t="s">
        <v>65</v>
      </c>
      <c r="E23" s="18" t="s">
        <v>41</v>
      </c>
      <c r="F23" s="11">
        <v>50</v>
      </c>
      <c r="G23" s="11">
        <v>80</v>
      </c>
      <c r="H23" s="11"/>
      <c r="I23" s="11">
        <v>64</v>
      </c>
      <c r="J23" s="11">
        <v>50</v>
      </c>
      <c r="K23" s="11"/>
      <c r="L23" s="11"/>
      <c r="M23" s="11"/>
      <c r="N23" s="11">
        <v>50</v>
      </c>
      <c r="O23" s="11"/>
      <c r="P23" s="11">
        <v>5</v>
      </c>
      <c r="Q23" s="11">
        <v>7.5</v>
      </c>
      <c r="R23" s="11">
        <f>SUM(F23:Q23)</f>
        <v>306.5</v>
      </c>
      <c r="S23" s="11">
        <f>R23/2</f>
        <v>153.25</v>
      </c>
      <c r="T23" s="11"/>
      <c r="U23" s="11">
        <v>5</v>
      </c>
      <c r="V23" s="11"/>
      <c r="W23" s="11">
        <v>50</v>
      </c>
      <c r="X23" s="11"/>
      <c r="Y23" s="11"/>
      <c r="Z23" s="11"/>
      <c r="AA23" s="11"/>
      <c r="AB23" s="11">
        <v>90</v>
      </c>
      <c r="AC23" s="11">
        <f>SUM(S23:AB23)</f>
        <v>298.25</v>
      </c>
      <c r="AD23" s="11">
        <f>(AC23-S23)/2</f>
        <v>72.5</v>
      </c>
      <c r="AE23" s="11"/>
      <c r="AF23" s="11"/>
      <c r="AG23" s="11">
        <v>3.2</v>
      </c>
      <c r="AH23" s="11"/>
      <c r="AI23" s="11">
        <v>120</v>
      </c>
      <c r="AJ23" s="11"/>
      <c r="AK23" s="11"/>
      <c r="AL23" s="11"/>
      <c r="AM23" s="11">
        <v>160</v>
      </c>
      <c r="AN23" s="11">
        <f>SUM(AD23:AM23)</f>
        <v>355.7</v>
      </c>
      <c r="AO23" s="11">
        <f>(AN13:AN23-AD23)/2</f>
        <v>141.6</v>
      </c>
      <c r="AP23" s="11"/>
      <c r="AQ23" s="11"/>
      <c r="AR23" s="11">
        <v>7.5</v>
      </c>
      <c r="AS23" s="11"/>
      <c r="AT23" s="11"/>
      <c r="AU23" s="11"/>
      <c r="AV23" s="11">
        <f t="shared" si="8"/>
        <v>149.1</v>
      </c>
      <c r="AW23" s="11">
        <f t="shared" si="9"/>
        <v>3.75</v>
      </c>
      <c r="AX23" s="11"/>
      <c r="AY23" s="11"/>
      <c r="AZ23" s="11"/>
      <c r="BA23" s="11"/>
      <c r="BB23" s="11"/>
      <c r="BC23" s="11"/>
      <c r="BD23" s="11">
        <f t="shared" si="2"/>
        <v>3.75</v>
      </c>
      <c r="BF23" s="12">
        <f>SUM(BI23:BL23)/2</f>
        <v>9.375</v>
      </c>
      <c r="BG23" s="12">
        <f>AC23/4</f>
        <v>74.5625</v>
      </c>
      <c r="BH23" s="12">
        <f>R23/2</f>
        <v>153.25</v>
      </c>
      <c r="BI23" s="12">
        <f>15+15*1/4</f>
        <v>18.75</v>
      </c>
      <c r="BJ23" s="12"/>
      <c r="BM23" s="12">
        <f>SUM(BH23:BJ23)</f>
        <v>172</v>
      </c>
      <c r="BN23" s="12">
        <v>1.25</v>
      </c>
      <c r="BO23" s="12"/>
      <c r="BP23" s="12">
        <v>5</v>
      </c>
      <c r="BQ23" s="12">
        <v>5</v>
      </c>
      <c r="BR23" s="12"/>
      <c r="BS23" s="12">
        <f>SUM(BF23:BG23)+SUM(BN23:BQ23)</f>
        <v>95.1875</v>
      </c>
      <c r="BT23">
        <f>(BS23-BF23)/2</f>
        <v>42.90625</v>
      </c>
      <c r="BU23">
        <f>AN23/4</f>
        <v>88.924999999999997</v>
      </c>
      <c r="BV23">
        <v>25</v>
      </c>
      <c r="BW23">
        <v>7.5</v>
      </c>
      <c r="BX23">
        <v>28</v>
      </c>
      <c r="BY23" s="8">
        <f>SUM(BT23:BX23)</f>
        <v>192.33125000000001</v>
      </c>
      <c r="BZ23" s="8">
        <f>(BY23-BT23)/2</f>
        <v>74.712500000000006</v>
      </c>
      <c r="CA23" s="10">
        <v>1.25</v>
      </c>
      <c r="CB23" s="10"/>
      <c r="CC23" s="8">
        <f t="shared" si="5"/>
        <v>75.962500000000006</v>
      </c>
      <c r="CD23" s="8">
        <f t="shared" si="6"/>
        <v>0.625</v>
      </c>
      <c r="CE23" s="10"/>
      <c r="CF23" s="8">
        <f t="shared" si="7"/>
        <v>0.625</v>
      </c>
    </row>
    <row r="24" spans="1:84" x14ac:dyDescent="0.25">
      <c r="A24">
        <v>14</v>
      </c>
      <c r="B24" s="18" t="s">
        <v>683</v>
      </c>
      <c r="C24" s="8"/>
      <c r="D24" s="18" t="s">
        <v>498</v>
      </c>
      <c r="E24" s="18" t="s">
        <v>538</v>
      </c>
      <c r="F24" s="8"/>
      <c r="G24" s="8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10"/>
      <c r="AQ24" s="10"/>
      <c r="AR24" s="10">
        <v>7.5</v>
      </c>
      <c r="AS24" s="10"/>
      <c r="AT24" s="10"/>
      <c r="AU24" s="10"/>
      <c r="AV24" s="11">
        <f t="shared" si="8"/>
        <v>7.5</v>
      </c>
      <c r="AW24" s="11">
        <f t="shared" si="9"/>
        <v>3.75</v>
      </c>
      <c r="AX24" s="11"/>
      <c r="AY24" s="11"/>
      <c r="AZ24" s="11"/>
      <c r="BA24" s="11"/>
      <c r="BB24" s="11"/>
      <c r="BC24" s="11"/>
      <c r="BD24" s="11">
        <f t="shared" si="2"/>
        <v>3.75</v>
      </c>
      <c r="BY24" s="8">
        <f>SUM(BT24:BX24)</f>
        <v>0</v>
      </c>
      <c r="BZ24" s="8">
        <f>(BY24-BT24)/2</f>
        <v>0</v>
      </c>
      <c r="CA24" s="10"/>
      <c r="CB24" s="10"/>
      <c r="CC24" s="8">
        <f t="shared" si="5"/>
        <v>0</v>
      </c>
      <c r="CD24" s="8">
        <f t="shared" si="6"/>
        <v>0</v>
      </c>
      <c r="CE24" s="10"/>
      <c r="CF24" s="8">
        <f t="shared" si="7"/>
        <v>0</v>
      </c>
    </row>
    <row r="25" spans="1:84" x14ac:dyDescent="0.25">
      <c r="A25">
        <v>15</v>
      </c>
      <c r="B25" s="27" t="s">
        <v>168</v>
      </c>
      <c r="C25" s="27"/>
      <c r="D25" s="27" t="s">
        <v>283</v>
      </c>
      <c r="E25" s="27" t="s">
        <v>16</v>
      </c>
      <c r="F25" s="8"/>
      <c r="G25" s="8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8"/>
      <c r="S25" s="8"/>
      <c r="T25" s="8"/>
      <c r="U25" s="8">
        <v>50</v>
      </c>
      <c r="V25" s="8"/>
      <c r="W25" s="8">
        <v>5</v>
      </c>
      <c r="X25" s="8"/>
      <c r="Y25" s="8"/>
      <c r="Z25" s="8"/>
      <c r="AA25" s="8"/>
      <c r="AB25" s="8"/>
      <c r="AC25" s="11">
        <f>SUM(S25:AB25)</f>
        <v>55</v>
      </c>
      <c r="AD25" s="11">
        <f>(AC25-S25)/2</f>
        <v>27.5</v>
      </c>
      <c r="AE25" s="11"/>
      <c r="AF25" s="11">
        <v>120</v>
      </c>
      <c r="AG25" s="11"/>
      <c r="AH25" s="11">
        <v>48</v>
      </c>
      <c r="AI25" s="11">
        <v>60</v>
      </c>
      <c r="AJ25" s="11"/>
      <c r="AK25" s="11"/>
      <c r="AL25" s="11">
        <v>80</v>
      </c>
      <c r="AM25" s="11"/>
      <c r="AN25" s="11">
        <f>SUM(AD25:AM25)</f>
        <v>335.5</v>
      </c>
      <c r="AO25" s="11">
        <f>(AN15:AN25-AD25)/2</f>
        <v>154</v>
      </c>
      <c r="AP25" s="11"/>
      <c r="AQ25" s="11"/>
      <c r="AR25" s="11"/>
      <c r="AS25" s="11"/>
      <c r="AT25" s="11"/>
      <c r="AU25" s="11"/>
      <c r="AV25" s="11">
        <f t="shared" si="8"/>
        <v>154</v>
      </c>
      <c r="AW25" s="11">
        <f t="shared" si="9"/>
        <v>0</v>
      </c>
      <c r="AX25" s="11"/>
      <c r="AY25" s="11"/>
      <c r="AZ25" s="11"/>
      <c r="BA25" s="11"/>
      <c r="BB25" s="11"/>
      <c r="BC25" s="11"/>
      <c r="BD25" s="11">
        <f t="shared" si="2"/>
        <v>0</v>
      </c>
      <c r="BF25" s="12">
        <f>SUM(BI25:BL25)/2</f>
        <v>0</v>
      </c>
      <c r="BG25" s="12">
        <f>AC25/4</f>
        <v>13.75</v>
      </c>
      <c r="BP25">
        <v>5</v>
      </c>
      <c r="BS25" s="12">
        <f>SUM(BF25:BP25)</f>
        <v>18.75</v>
      </c>
      <c r="BT25">
        <f>(BS25-BF25)/2</f>
        <v>9.375</v>
      </c>
      <c r="BU25">
        <f>AN25/4</f>
        <v>83.875</v>
      </c>
      <c r="BY25" s="8">
        <f>SUM(BT25:BV25)</f>
        <v>93.25</v>
      </c>
      <c r="BZ25" s="8">
        <f>(BY25-BT25)/2</f>
        <v>41.9375</v>
      </c>
      <c r="CA25" s="10">
        <v>25</v>
      </c>
      <c r="CB25" s="10"/>
      <c r="CC25" s="8">
        <f t="shared" si="5"/>
        <v>66.9375</v>
      </c>
      <c r="CD25" s="8">
        <f t="shared" si="6"/>
        <v>12.5</v>
      </c>
      <c r="CE25" s="10"/>
      <c r="CF25" s="27">
        <f t="shared" si="7"/>
        <v>12.5</v>
      </c>
    </row>
    <row r="26" spans="1:84" x14ac:dyDescent="0.25">
      <c r="A26">
        <v>16</v>
      </c>
      <c r="B26" s="17" t="s">
        <v>786</v>
      </c>
      <c r="C26" s="26"/>
      <c r="D26" s="26" t="s">
        <v>528</v>
      </c>
      <c r="E26" s="26" t="s">
        <v>12</v>
      </c>
      <c r="F26" s="8"/>
      <c r="G26" s="8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10"/>
      <c r="AQ26" s="10"/>
      <c r="AR26" s="10"/>
      <c r="AS26" s="10"/>
      <c r="AT26" s="10"/>
      <c r="AU26" s="10"/>
      <c r="AV26" s="11">
        <f t="shared" si="8"/>
        <v>0</v>
      </c>
      <c r="AW26" s="11">
        <f t="shared" si="9"/>
        <v>0</v>
      </c>
      <c r="AX26" s="11"/>
      <c r="AY26" s="11"/>
      <c r="AZ26" s="11"/>
      <c r="BA26" s="11"/>
      <c r="BB26" s="11"/>
      <c r="BC26" s="11"/>
      <c r="BD26" s="11">
        <f t="shared" si="2"/>
        <v>0</v>
      </c>
      <c r="CB26">
        <v>40</v>
      </c>
      <c r="CC26" s="8">
        <f t="shared" si="5"/>
        <v>40</v>
      </c>
      <c r="CD26" s="8">
        <f t="shared" si="6"/>
        <v>20</v>
      </c>
      <c r="CE26" s="10"/>
      <c r="CF26" s="26">
        <f t="shared" si="7"/>
        <v>20</v>
      </c>
    </row>
    <row r="27" spans="1:84" x14ac:dyDescent="0.25">
      <c r="A27">
        <v>17</v>
      </c>
      <c r="B27" s="18" t="s">
        <v>787</v>
      </c>
      <c r="C27" s="8"/>
      <c r="D27" s="18" t="s">
        <v>63</v>
      </c>
      <c r="E27" s="18" t="s">
        <v>391</v>
      </c>
      <c r="F27" s="8"/>
      <c r="G27" s="8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10"/>
      <c r="AQ27" s="10"/>
      <c r="AR27" s="10"/>
      <c r="AS27" s="10"/>
      <c r="AT27" s="10"/>
      <c r="AU27" s="10"/>
      <c r="AV27" s="11">
        <f t="shared" si="8"/>
        <v>0</v>
      </c>
      <c r="AW27" s="11">
        <f t="shared" si="9"/>
        <v>0</v>
      </c>
      <c r="AX27" s="11"/>
      <c r="AY27" s="11"/>
      <c r="AZ27" s="11"/>
      <c r="BA27" s="11"/>
      <c r="BB27" s="11"/>
      <c r="BC27" s="11"/>
      <c r="BD27" s="11">
        <f t="shared" si="2"/>
        <v>0</v>
      </c>
      <c r="CB27">
        <v>2</v>
      </c>
      <c r="CC27" s="8">
        <f t="shared" si="5"/>
        <v>2</v>
      </c>
      <c r="CD27" s="8">
        <f t="shared" si="6"/>
        <v>1</v>
      </c>
      <c r="CE27" s="10"/>
      <c r="CF27" s="8">
        <f t="shared" si="7"/>
        <v>1</v>
      </c>
    </row>
  </sheetData>
  <sortState xmlns:xlrd2="http://schemas.microsoft.com/office/spreadsheetml/2017/richdata2" ref="B11:CF27">
    <sortCondition descending="1" ref="BD11:BD27"/>
  </sortState>
  <mergeCells count="6">
    <mergeCell ref="B1:CF1"/>
    <mergeCell ref="B8:C10"/>
    <mergeCell ref="AR9:AU9"/>
    <mergeCell ref="AZ9:BC9"/>
    <mergeCell ref="D4:BD5"/>
    <mergeCell ref="BF4:CF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Y24"/>
  <sheetViews>
    <sheetView zoomScale="80" zoomScaleNormal="80" workbookViewId="0">
      <selection activeCell="BP32" sqref="BP32"/>
    </sheetView>
  </sheetViews>
  <sheetFormatPr baseColWidth="10" defaultRowHeight="15" x14ac:dyDescent="0.25"/>
  <cols>
    <col min="1" max="1" width="3.140625" bestFit="1" customWidth="1"/>
    <col min="2" max="2" width="12.28515625" bestFit="1" customWidth="1"/>
    <col min="3" max="3" width="12.7109375" bestFit="1" customWidth="1"/>
    <col min="4" max="4" width="11.5703125" bestFit="1" customWidth="1"/>
    <col min="5" max="5" width="23.42578125" bestFit="1" customWidth="1"/>
    <col min="6" max="6" width="6.28515625" hidden="1" customWidth="1"/>
    <col min="7" max="7" width="7.28515625" hidden="1" customWidth="1"/>
    <col min="8" max="10" width="7.28515625" style="12" hidden="1" customWidth="1"/>
    <col min="11" max="12" width="6.28515625" style="12" hidden="1" customWidth="1"/>
    <col min="13" max="16" width="6.7109375" style="12" hidden="1" customWidth="1"/>
    <col min="17" max="17" width="6" style="12" hidden="1" customWidth="1"/>
    <col min="18" max="19" width="6.5703125" style="12" hidden="1" customWidth="1"/>
    <col min="20" max="21" width="0" hidden="1" customWidth="1"/>
    <col min="22" max="26" width="6" hidden="1" customWidth="1"/>
    <col min="27" max="35" width="6" style="12" hidden="1" customWidth="1"/>
    <col min="36" max="37" width="0" hidden="1" customWidth="1"/>
    <col min="38" max="40" width="6" hidden="1" customWidth="1"/>
    <col min="41" max="53" width="6" style="12" hidden="1" customWidth="1"/>
    <col min="54" max="55" width="0" hidden="1" customWidth="1"/>
    <col min="56" max="57" width="7.5703125" style="12" hidden="1" customWidth="1"/>
    <col min="58" max="58" width="7.7109375" style="12" hidden="1" customWidth="1"/>
    <col min="59" max="60" width="8.28515625" style="12" hidden="1" customWidth="1"/>
    <col min="61" max="61" width="8.42578125" style="12" hidden="1" customWidth="1"/>
    <col min="64" max="64" width="8.42578125" customWidth="1"/>
    <col min="65" max="65" width="8.7109375" customWidth="1"/>
    <col min="72" max="74" width="0" hidden="1" customWidth="1"/>
    <col min="75" max="75" width="10.140625" hidden="1" customWidth="1"/>
    <col min="76" max="76" width="6.42578125" hidden="1" customWidth="1"/>
    <col min="77" max="77" width="6.140625" hidden="1" customWidth="1"/>
    <col min="78" max="78" width="6" style="12" hidden="1" customWidth="1"/>
    <col min="79" max="79" width="0" hidden="1" customWidth="1"/>
    <col min="80" max="80" width="10" hidden="1" customWidth="1"/>
    <col min="81" max="82" width="9.7109375" hidden="1" customWidth="1"/>
    <col min="83" max="83" width="10.7109375" hidden="1" customWidth="1"/>
    <col min="84" max="86" width="7.140625" hidden="1" customWidth="1"/>
    <col min="87" max="89" width="0" hidden="1" customWidth="1"/>
    <col min="90" max="93" width="6" hidden="1" customWidth="1"/>
    <col min="94" max="94" width="0" hidden="1" customWidth="1"/>
    <col min="95" max="95" width="9.140625" hidden="1" customWidth="1"/>
    <col min="96" max="96" width="5.7109375" hidden="1" customWidth="1"/>
    <col min="97" max="97" width="6" hidden="1" customWidth="1"/>
    <col min="100" max="100" width="11.42578125" style="12"/>
    <col min="101" max="101" width="6" style="12" bestFit="1" customWidth="1"/>
    <col min="102" max="102" width="6" style="12" customWidth="1"/>
  </cols>
  <sheetData>
    <row r="1" spans="1:103" ht="26.25" x14ac:dyDescent="0.4">
      <c r="B1" s="80" t="s">
        <v>3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  <c r="CG1" s="80"/>
      <c r="CH1" s="80"/>
      <c r="CI1" s="80"/>
      <c r="CJ1" s="80"/>
      <c r="CK1" s="80"/>
      <c r="CL1" s="80"/>
      <c r="CM1" s="80"/>
      <c r="CN1" s="80"/>
      <c r="CO1" s="80"/>
      <c r="CP1" s="80"/>
      <c r="CQ1" s="80"/>
      <c r="CR1" s="80"/>
      <c r="CS1" s="80"/>
      <c r="CT1" s="80"/>
      <c r="CU1" s="80"/>
      <c r="CV1" s="80"/>
      <c r="CW1" s="80"/>
      <c r="CX1" s="80"/>
      <c r="CY1" s="80"/>
    </row>
    <row r="2" spans="1:103" ht="15.75" thickBot="1" x14ac:dyDescent="0.3">
      <c r="C2" s="12"/>
      <c r="D2" s="12"/>
      <c r="E2" s="12"/>
    </row>
    <row r="3" spans="1:103" ht="15.75" thickTop="1" x14ac:dyDescent="0.25">
      <c r="B3" s="1" t="s">
        <v>0</v>
      </c>
      <c r="C3" s="4" t="s">
        <v>10</v>
      </c>
    </row>
    <row r="4" spans="1:103" ht="15.6" customHeight="1" x14ac:dyDescent="0.25">
      <c r="B4" s="2" t="s">
        <v>1</v>
      </c>
      <c r="C4" s="5" t="s">
        <v>11</v>
      </c>
      <c r="D4" s="81" t="s">
        <v>791</v>
      </c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2"/>
      <c r="BK4" s="82"/>
      <c r="BL4" s="82"/>
      <c r="BM4" s="82"/>
      <c r="BN4" s="82"/>
      <c r="BO4" s="82"/>
      <c r="BP4" s="82"/>
      <c r="BQ4" s="82"/>
      <c r="BR4" s="82"/>
      <c r="BT4" s="82" t="s">
        <v>792</v>
      </c>
      <c r="BU4" s="82"/>
      <c r="BV4" s="82"/>
      <c r="BW4" s="82"/>
      <c r="BX4" s="82"/>
      <c r="BY4" s="82"/>
      <c r="BZ4" s="82"/>
      <c r="CA4" s="82"/>
      <c r="CB4" s="82"/>
      <c r="CC4" s="82"/>
      <c r="CD4" s="82"/>
      <c r="CE4" s="82"/>
      <c r="CF4" s="82"/>
      <c r="CG4" s="82"/>
      <c r="CH4" s="82"/>
      <c r="CI4" s="82"/>
      <c r="CJ4" s="82"/>
      <c r="CK4" s="82"/>
      <c r="CL4" s="82"/>
      <c r="CM4" s="82"/>
      <c r="CN4" s="82"/>
      <c r="CO4" s="82"/>
      <c r="CP4" s="82"/>
      <c r="CQ4" s="82"/>
      <c r="CR4" s="82"/>
      <c r="CS4" s="82"/>
      <c r="CT4" s="82"/>
      <c r="CU4" s="82"/>
      <c r="CV4" s="82"/>
      <c r="CW4" s="82"/>
      <c r="CX4" s="82"/>
      <c r="CY4" s="82"/>
    </row>
    <row r="5" spans="1:103" ht="16.149999999999999" customHeight="1" thickBot="1" x14ac:dyDescent="0.3">
      <c r="B5" s="3" t="s">
        <v>2</v>
      </c>
      <c r="C5" s="53" t="s">
        <v>419</v>
      </c>
      <c r="D5" s="81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2"/>
      <c r="BI5" s="82"/>
      <c r="BJ5" s="82"/>
      <c r="BK5" s="82"/>
      <c r="BL5" s="82"/>
      <c r="BM5" s="82"/>
      <c r="BN5" s="82"/>
      <c r="BO5" s="82"/>
      <c r="BP5" s="82"/>
      <c r="BQ5" s="82"/>
      <c r="BR5" s="82"/>
      <c r="BT5" s="82"/>
      <c r="BU5" s="82"/>
      <c r="BV5" s="82"/>
      <c r="BW5" s="82"/>
      <c r="BX5" s="82"/>
      <c r="BY5" s="82"/>
      <c r="BZ5" s="82"/>
      <c r="CA5" s="82"/>
      <c r="CB5" s="82"/>
      <c r="CC5" s="82"/>
      <c r="CD5" s="82"/>
      <c r="CE5" s="82"/>
      <c r="CF5" s="82"/>
      <c r="CG5" s="82"/>
      <c r="CH5" s="82"/>
      <c r="CI5" s="82"/>
      <c r="CJ5" s="82"/>
      <c r="CK5" s="82"/>
      <c r="CL5" s="82"/>
      <c r="CM5" s="82"/>
      <c r="CN5" s="82"/>
      <c r="CO5" s="82"/>
      <c r="CP5" s="82"/>
      <c r="CQ5" s="82"/>
      <c r="CR5" s="82"/>
      <c r="CS5" s="82"/>
      <c r="CT5" s="82"/>
      <c r="CU5" s="82"/>
      <c r="CV5" s="82"/>
      <c r="CW5" s="82"/>
      <c r="CX5" s="82"/>
      <c r="CY5" s="82"/>
    </row>
    <row r="6" spans="1:103" ht="15.75" thickTop="1" x14ac:dyDescent="0.25"/>
    <row r="7" spans="1:103" ht="15.75" thickBot="1" x14ac:dyDescent="0.3"/>
    <row r="8" spans="1:103" ht="15.75" thickTop="1" x14ac:dyDescent="0.25">
      <c r="B8" s="73" t="s">
        <v>61</v>
      </c>
      <c r="C8" s="74"/>
      <c r="D8" s="1"/>
      <c r="E8" s="1"/>
      <c r="F8" s="1" t="s">
        <v>170</v>
      </c>
      <c r="G8" s="4" t="s">
        <v>224</v>
      </c>
      <c r="H8" s="4" t="s">
        <v>82</v>
      </c>
      <c r="I8" s="4" t="s">
        <v>82</v>
      </c>
      <c r="J8" s="4" t="s">
        <v>287</v>
      </c>
      <c r="K8" s="4" t="s">
        <v>286</v>
      </c>
      <c r="L8" s="4" t="s">
        <v>296</v>
      </c>
      <c r="M8" s="4" t="s">
        <v>82</v>
      </c>
      <c r="N8" s="4" t="s">
        <v>82</v>
      </c>
      <c r="O8" s="4" t="s">
        <v>82</v>
      </c>
      <c r="P8" s="4" t="s">
        <v>316</v>
      </c>
      <c r="Q8" s="4" t="s">
        <v>82</v>
      </c>
      <c r="R8" s="4" t="s">
        <v>334</v>
      </c>
      <c r="S8" s="4" t="s">
        <v>334</v>
      </c>
      <c r="T8" s="1"/>
      <c r="U8" s="25">
        <v>44927</v>
      </c>
      <c r="V8" s="29" t="s">
        <v>82</v>
      </c>
      <c r="W8" s="29" t="s">
        <v>334</v>
      </c>
      <c r="X8" s="29" t="s">
        <v>82</v>
      </c>
      <c r="Y8" s="29" t="s">
        <v>82</v>
      </c>
      <c r="Z8" s="29" t="s">
        <v>387</v>
      </c>
      <c r="AA8" s="29" t="s">
        <v>387</v>
      </c>
      <c r="AB8" s="29" t="s">
        <v>334</v>
      </c>
      <c r="AC8" s="29" t="s">
        <v>82</v>
      </c>
      <c r="AD8" s="29" t="s">
        <v>82</v>
      </c>
      <c r="AE8" s="29" t="s">
        <v>82</v>
      </c>
      <c r="AF8" s="29" t="s">
        <v>82</v>
      </c>
      <c r="AG8" s="29" t="s">
        <v>334</v>
      </c>
      <c r="AH8" s="29" t="s">
        <v>82</v>
      </c>
      <c r="AI8" s="29" t="s">
        <v>339</v>
      </c>
      <c r="AJ8" s="1" t="s">
        <v>9</v>
      </c>
      <c r="AK8" s="29">
        <v>45292</v>
      </c>
      <c r="AL8" s="29" t="s">
        <v>82</v>
      </c>
      <c r="AM8" s="29" t="s">
        <v>82</v>
      </c>
      <c r="AN8" s="29" t="s">
        <v>334</v>
      </c>
      <c r="AO8" s="29" t="s">
        <v>334</v>
      </c>
      <c r="AP8" s="29" t="s">
        <v>387</v>
      </c>
      <c r="AQ8" s="29" t="s">
        <v>387</v>
      </c>
      <c r="AR8" s="29" t="s">
        <v>387</v>
      </c>
      <c r="AS8" s="29" t="s">
        <v>334</v>
      </c>
      <c r="AT8" s="29" t="s">
        <v>82</v>
      </c>
      <c r="AU8" s="29" t="s">
        <v>82</v>
      </c>
      <c r="AV8" s="29" t="s">
        <v>82</v>
      </c>
      <c r="AW8" s="29" t="s">
        <v>82</v>
      </c>
      <c r="AX8" s="29" t="s">
        <v>82</v>
      </c>
      <c r="AY8" s="29" t="s">
        <v>334</v>
      </c>
      <c r="AZ8" s="29" t="s">
        <v>597</v>
      </c>
      <c r="BA8" s="29" t="s">
        <v>339</v>
      </c>
      <c r="BB8" s="29" t="s">
        <v>9</v>
      </c>
      <c r="BC8" s="29">
        <v>45658</v>
      </c>
      <c r="BD8" s="29"/>
      <c r="BE8" s="29"/>
      <c r="BF8" s="59"/>
      <c r="BG8" s="60"/>
      <c r="BH8" s="60"/>
      <c r="BI8" s="61"/>
      <c r="BJ8" s="29" t="s">
        <v>9</v>
      </c>
      <c r="BK8" s="29">
        <v>46023</v>
      </c>
      <c r="BL8" s="29"/>
      <c r="BM8" s="29"/>
      <c r="BN8" s="59"/>
      <c r="BO8" s="60"/>
      <c r="BP8" s="60"/>
      <c r="BQ8" s="61"/>
      <c r="BR8" s="29" t="s">
        <v>612</v>
      </c>
      <c r="BT8" s="25">
        <v>44927</v>
      </c>
      <c r="BU8" s="1" t="s">
        <v>59</v>
      </c>
      <c r="BV8" s="1" t="s">
        <v>59</v>
      </c>
      <c r="BW8" s="4" t="s">
        <v>58</v>
      </c>
      <c r="BX8" s="4" t="s">
        <v>120</v>
      </c>
      <c r="BY8" s="4" t="s">
        <v>291</v>
      </c>
      <c r="BZ8" s="4" t="s">
        <v>325</v>
      </c>
      <c r="CA8" s="1" t="s">
        <v>9</v>
      </c>
      <c r="CB8" s="4" t="s">
        <v>58</v>
      </c>
      <c r="CC8" s="1" t="s">
        <v>349</v>
      </c>
      <c r="CD8" s="1" t="s">
        <v>381</v>
      </c>
      <c r="CE8" s="32" t="s">
        <v>411</v>
      </c>
      <c r="CF8" s="4" t="s">
        <v>331</v>
      </c>
      <c r="CG8" s="4" t="s">
        <v>443</v>
      </c>
      <c r="CH8" s="4" t="s">
        <v>335</v>
      </c>
      <c r="CI8" s="1" t="s">
        <v>9</v>
      </c>
      <c r="CJ8" s="29">
        <v>45292</v>
      </c>
      <c r="CK8" s="4" t="s">
        <v>59</v>
      </c>
      <c r="CL8" s="4" t="s">
        <v>464</v>
      </c>
      <c r="CM8" s="4" t="s">
        <v>120</v>
      </c>
      <c r="CN8" s="4" t="s">
        <v>505</v>
      </c>
      <c r="CO8" s="4" t="s">
        <v>335</v>
      </c>
      <c r="CP8" s="4" t="s">
        <v>9</v>
      </c>
      <c r="CQ8" s="25">
        <v>45658</v>
      </c>
      <c r="CR8" s="4" t="s">
        <v>464</v>
      </c>
      <c r="CS8" s="4" t="s">
        <v>331</v>
      </c>
      <c r="CT8" s="1" t="s">
        <v>612</v>
      </c>
      <c r="CU8" s="29">
        <v>46023</v>
      </c>
      <c r="CV8" s="4" t="s">
        <v>58</v>
      </c>
      <c r="CW8" s="4" t="s">
        <v>505</v>
      </c>
      <c r="CX8" s="4" t="s">
        <v>331</v>
      </c>
      <c r="CY8" s="1" t="s">
        <v>9</v>
      </c>
    </row>
    <row r="9" spans="1:103" x14ac:dyDescent="0.25">
      <c r="B9" s="75"/>
      <c r="C9" s="76"/>
      <c r="D9" s="2"/>
      <c r="E9" s="2"/>
      <c r="F9" s="7" t="s">
        <v>171</v>
      </c>
      <c r="G9" s="14" t="s">
        <v>225</v>
      </c>
      <c r="H9" s="14" t="s">
        <v>266</v>
      </c>
      <c r="I9" s="14" t="s">
        <v>261</v>
      </c>
      <c r="J9" s="14" t="s">
        <v>278</v>
      </c>
      <c r="K9" s="14" t="s">
        <v>290</v>
      </c>
      <c r="L9" s="14" t="s">
        <v>171</v>
      </c>
      <c r="M9" s="14" t="s">
        <v>132</v>
      </c>
      <c r="N9" s="14" t="s">
        <v>305</v>
      </c>
      <c r="O9" s="14" t="s">
        <v>266</v>
      </c>
      <c r="P9" s="14" t="s">
        <v>317</v>
      </c>
      <c r="Q9" s="14" t="s">
        <v>314</v>
      </c>
      <c r="R9" s="14" t="s">
        <v>335</v>
      </c>
      <c r="S9" s="14" t="s">
        <v>339</v>
      </c>
      <c r="T9" s="2" t="s">
        <v>9</v>
      </c>
      <c r="U9" s="2"/>
      <c r="V9" s="5" t="s">
        <v>132</v>
      </c>
      <c r="W9" s="5" t="s">
        <v>287</v>
      </c>
      <c r="X9" s="5" t="s">
        <v>266</v>
      </c>
      <c r="Y9" s="5" t="s">
        <v>314</v>
      </c>
      <c r="Z9" s="5" t="s">
        <v>289</v>
      </c>
      <c r="AA9" s="5" t="s">
        <v>287</v>
      </c>
      <c r="AB9" s="5" t="s">
        <v>286</v>
      </c>
      <c r="AC9" s="5" t="s">
        <v>420</v>
      </c>
      <c r="AD9" s="5" t="s">
        <v>132</v>
      </c>
      <c r="AE9" s="5" t="s">
        <v>266</v>
      </c>
      <c r="AF9" s="5" t="s">
        <v>314</v>
      </c>
      <c r="AG9" s="5" t="s">
        <v>289</v>
      </c>
      <c r="AH9" s="5" t="s">
        <v>420</v>
      </c>
      <c r="AI9" s="5"/>
      <c r="AJ9" s="2"/>
      <c r="AK9" s="5"/>
      <c r="AL9" s="5" t="s">
        <v>492</v>
      </c>
      <c r="AM9" s="5" t="s">
        <v>420</v>
      </c>
      <c r="AN9" s="5" t="s">
        <v>286</v>
      </c>
      <c r="AO9" s="5" t="s">
        <v>524</v>
      </c>
      <c r="AP9" s="5" t="s">
        <v>286</v>
      </c>
      <c r="AQ9" s="5" t="s">
        <v>287</v>
      </c>
      <c r="AR9" s="5" t="s">
        <v>289</v>
      </c>
      <c r="AS9" s="5" t="s">
        <v>287</v>
      </c>
      <c r="AT9" s="5" t="s">
        <v>266</v>
      </c>
      <c r="AU9" s="5" t="s">
        <v>492</v>
      </c>
      <c r="AV9" s="5" t="s">
        <v>85</v>
      </c>
      <c r="AW9" s="5" t="s">
        <v>420</v>
      </c>
      <c r="AX9" s="5" t="s">
        <v>261</v>
      </c>
      <c r="AY9" s="5" t="s">
        <v>289</v>
      </c>
      <c r="AZ9" s="5" t="s">
        <v>492</v>
      </c>
      <c r="BA9" s="5" t="s">
        <v>606</v>
      </c>
      <c r="BB9" s="5"/>
      <c r="BC9" s="5"/>
      <c r="BD9" s="14" t="s">
        <v>82</v>
      </c>
      <c r="BE9" s="14" t="s">
        <v>387</v>
      </c>
      <c r="BF9" s="77" t="s">
        <v>608</v>
      </c>
      <c r="BG9" s="78"/>
      <c r="BH9" s="78"/>
      <c r="BI9" s="79"/>
      <c r="BJ9" s="5"/>
      <c r="BK9" s="5"/>
      <c r="BL9" s="14" t="s">
        <v>82</v>
      </c>
      <c r="BM9" s="14" t="s">
        <v>387</v>
      </c>
      <c r="BN9" s="77" t="s">
        <v>608</v>
      </c>
      <c r="BO9" s="78"/>
      <c r="BP9" s="78"/>
      <c r="BQ9" s="79"/>
      <c r="BR9" s="14"/>
      <c r="BT9" s="2"/>
      <c r="BU9" s="2" t="s">
        <v>60</v>
      </c>
      <c r="BV9" s="2" t="s">
        <v>60</v>
      </c>
      <c r="BW9" s="5"/>
      <c r="BX9" s="5" t="s">
        <v>121</v>
      </c>
      <c r="BY9" s="5" t="s">
        <v>292</v>
      </c>
      <c r="BZ9" s="5" t="s">
        <v>326</v>
      </c>
      <c r="CA9" s="2"/>
      <c r="CB9" s="5"/>
      <c r="CC9" s="2"/>
      <c r="CD9" s="2"/>
      <c r="CE9" s="33"/>
      <c r="CF9" s="5" t="s">
        <v>326</v>
      </c>
      <c r="CG9" s="5" t="s">
        <v>444</v>
      </c>
      <c r="CH9" s="5" t="s">
        <v>444</v>
      </c>
      <c r="CI9" s="2"/>
      <c r="CJ9" s="12"/>
      <c r="CK9" s="5" t="s">
        <v>60</v>
      </c>
      <c r="CL9" s="5"/>
      <c r="CM9" s="5" t="s">
        <v>501</v>
      </c>
      <c r="CN9" s="5" t="s">
        <v>444</v>
      </c>
      <c r="CO9" s="5" t="s">
        <v>171</v>
      </c>
      <c r="CP9" s="5"/>
      <c r="CQ9" s="2"/>
      <c r="CR9" s="5"/>
      <c r="CS9" s="5" t="s">
        <v>326</v>
      </c>
      <c r="CT9" s="2"/>
      <c r="CU9" s="5"/>
      <c r="CV9" s="5"/>
      <c r="CW9" s="5" t="s">
        <v>444</v>
      </c>
      <c r="CX9" s="5" t="s">
        <v>444</v>
      </c>
      <c r="CY9" s="2"/>
    </row>
    <row r="10" spans="1:103" x14ac:dyDescent="0.25">
      <c r="B10" s="83"/>
      <c r="C10" s="84"/>
      <c r="D10" s="2" t="s">
        <v>4</v>
      </c>
      <c r="E10" s="2" t="s">
        <v>5</v>
      </c>
      <c r="F10" s="2" t="s">
        <v>172</v>
      </c>
      <c r="G10" s="15">
        <v>44695</v>
      </c>
      <c r="H10" s="15">
        <v>44709</v>
      </c>
      <c r="I10" s="15">
        <v>44709</v>
      </c>
      <c r="J10" s="15">
        <v>44730</v>
      </c>
      <c r="K10" s="15">
        <v>44737</v>
      </c>
      <c r="L10" s="15">
        <v>44758</v>
      </c>
      <c r="M10" s="15">
        <v>44779</v>
      </c>
      <c r="N10" s="15">
        <v>44793</v>
      </c>
      <c r="O10" s="15">
        <v>44800</v>
      </c>
      <c r="P10" s="15">
        <v>44828</v>
      </c>
      <c r="Q10" s="15">
        <v>44856</v>
      </c>
      <c r="R10" s="15">
        <v>44891</v>
      </c>
      <c r="S10" s="15">
        <v>44905</v>
      </c>
      <c r="T10" s="2">
        <v>2022</v>
      </c>
      <c r="U10" s="2"/>
      <c r="V10" s="5" t="s">
        <v>353</v>
      </c>
      <c r="W10" s="5" t="s">
        <v>172</v>
      </c>
      <c r="X10" s="5" t="s">
        <v>382</v>
      </c>
      <c r="Y10" s="5" t="s">
        <v>379</v>
      </c>
      <c r="Z10" s="5" t="s">
        <v>396</v>
      </c>
      <c r="AA10" s="5" t="s">
        <v>400</v>
      </c>
      <c r="AB10" s="5" t="s">
        <v>412</v>
      </c>
      <c r="AC10" s="5" t="s">
        <v>421</v>
      </c>
      <c r="AD10" s="5" t="s">
        <v>422</v>
      </c>
      <c r="AE10" s="5" t="s">
        <v>424</v>
      </c>
      <c r="AF10" s="5" t="s">
        <v>424</v>
      </c>
      <c r="AG10" s="5" t="s">
        <v>432</v>
      </c>
      <c r="AH10" s="5" t="s">
        <v>446</v>
      </c>
      <c r="AI10" s="5" t="s">
        <v>453</v>
      </c>
      <c r="AJ10" s="2">
        <v>2023</v>
      </c>
      <c r="AK10" s="35"/>
      <c r="AL10" s="35" t="s">
        <v>479</v>
      </c>
      <c r="AM10" s="35" t="s">
        <v>479</v>
      </c>
      <c r="AN10" s="35" t="s">
        <v>513</v>
      </c>
      <c r="AO10" s="35" t="s">
        <v>525</v>
      </c>
      <c r="AP10" s="35" t="s">
        <v>534</v>
      </c>
      <c r="AQ10" s="35" t="s">
        <v>534</v>
      </c>
      <c r="AR10" s="35" t="s">
        <v>546</v>
      </c>
      <c r="AS10" s="35" t="s">
        <v>550</v>
      </c>
      <c r="AT10" s="35" t="s">
        <v>558</v>
      </c>
      <c r="AU10" s="35" t="s">
        <v>564</v>
      </c>
      <c r="AV10" s="35" t="s">
        <v>564</v>
      </c>
      <c r="AW10" s="35" t="s">
        <v>559</v>
      </c>
      <c r="AX10" s="35" t="s">
        <v>573</v>
      </c>
      <c r="AY10" s="35" t="s">
        <v>587</v>
      </c>
      <c r="AZ10" s="35" t="s">
        <v>598</v>
      </c>
      <c r="BA10" s="35" t="s">
        <v>607</v>
      </c>
      <c r="BB10" s="35">
        <v>2024</v>
      </c>
      <c r="BC10" s="5"/>
      <c r="BD10" s="5"/>
      <c r="BE10" s="5"/>
      <c r="BF10" s="5">
        <v>1</v>
      </c>
      <c r="BG10" s="5">
        <v>2</v>
      </c>
      <c r="BH10" s="5">
        <v>3</v>
      </c>
      <c r="BI10" s="5">
        <v>4</v>
      </c>
      <c r="BJ10" s="5">
        <v>2025</v>
      </c>
      <c r="BK10" s="5"/>
      <c r="BL10" s="5"/>
      <c r="BM10" s="5"/>
      <c r="BN10" s="5">
        <v>1</v>
      </c>
      <c r="BO10" s="5">
        <v>2</v>
      </c>
      <c r="BP10" s="5">
        <v>3</v>
      </c>
      <c r="BQ10" s="5">
        <v>4</v>
      </c>
      <c r="BR10" s="5">
        <v>2026</v>
      </c>
      <c r="BT10" s="2"/>
      <c r="BU10" s="2"/>
      <c r="BV10" s="2"/>
      <c r="BW10" s="14">
        <v>44562</v>
      </c>
      <c r="BX10" s="14">
        <v>44652</v>
      </c>
      <c r="BY10" s="14">
        <v>44737</v>
      </c>
      <c r="BZ10" s="14">
        <v>44835</v>
      </c>
      <c r="CA10" s="2">
        <v>2022</v>
      </c>
      <c r="CB10" s="14">
        <v>44927</v>
      </c>
      <c r="CC10" s="7">
        <v>44986</v>
      </c>
      <c r="CD10" s="7">
        <v>45078</v>
      </c>
      <c r="CE10" s="34">
        <v>45129</v>
      </c>
      <c r="CF10" s="14">
        <v>45139</v>
      </c>
      <c r="CG10" s="14">
        <v>45227</v>
      </c>
      <c r="CH10" s="14">
        <v>45255</v>
      </c>
      <c r="CI10" s="2">
        <v>2023</v>
      </c>
      <c r="CJ10" s="12"/>
      <c r="CK10" s="5"/>
      <c r="CL10" s="5" t="s">
        <v>465</v>
      </c>
      <c r="CM10" s="5" t="s">
        <v>503</v>
      </c>
      <c r="CN10" s="5" t="s">
        <v>507</v>
      </c>
      <c r="CO10" s="5" t="s">
        <v>600</v>
      </c>
      <c r="CP10" s="5">
        <v>2024</v>
      </c>
      <c r="CQ10" s="2"/>
      <c r="CR10" s="5" t="s">
        <v>610</v>
      </c>
      <c r="CS10" s="5" t="s">
        <v>769</v>
      </c>
      <c r="CT10" s="2">
        <v>2025</v>
      </c>
      <c r="CU10" s="5"/>
      <c r="CV10" s="5" t="s">
        <v>849</v>
      </c>
      <c r="CW10" s="5" t="s">
        <v>880</v>
      </c>
      <c r="CX10" s="5" t="s">
        <v>729</v>
      </c>
      <c r="CY10" s="2">
        <v>2026</v>
      </c>
    </row>
    <row r="11" spans="1:103" x14ac:dyDescent="0.25">
      <c r="A11">
        <v>1</v>
      </c>
      <c r="B11" s="8" t="s">
        <v>736</v>
      </c>
      <c r="C11" s="8"/>
      <c r="D11" s="8" t="s">
        <v>737</v>
      </c>
      <c r="E11" s="8" t="s">
        <v>814</v>
      </c>
      <c r="F11" s="8"/>
      <c r="G11" s="8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8"/>
      <c r="U11" s="8"/>
      <c r="V11" s="8"/>
      <c r="W11" s="8"/>
      <c r="X11" s="8"/>
      <c r="Y11" s="8"/>
      <c r="Z11" s="8"/>
      <c r="AA11" s="10"/>
      <c r="AB11" s="10"/>
      <c r="AC11" s="10"/>
      <c r="AD11" s="10"/>
      <c r="AE11" s="10"/>
      <c r="AF11" s="10"/>
      <c r="AG11" s="10"/>
      <c r="AH11" s="10"/>
      <c r="AI11" s="10"/>
      <c r="AJ11" s="8"/>
      <c r="AK11" s="8"/>
      <c r="AL11" s="8"/>
      <c r="AM11" s="8"/>
      <c r="AN11" s="8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8"/>
      <c r="BC11" s="8"/>
      <c r="BD11" s="10">
        <v>48</v>
      </c>
      <c r="BE11" s="10">
        <v>64</v>
      </c>
      <c r="BF11" s="10">
        <v>150</v>
      </c>
      <c r="BG11" s="10">
        <v>150</v>
      </c>
      <c r="BH11" s="10">
        <v>200</v>
      </c>
      <c r="BI11" s="10"/>
      <c r="BJ11" s="11">
        <f t="shared" ref="BJ11:BJ19" si="0">SUM(BC11:BI11)</f>
        <v>612</v>
      </c>
      <c r="BK11" s="11">
        <f t="shared" ref="BK11:BK19" si="1">(BJ11-BC11)/2</f>
        <v>306</v>
      </c>
      <c r="BL11" s="11">
        <v>48</v>
      </c>
      <c r="BM11" s="11">
        <v>64</v>
      </c>
      <c r="BN11" s="11">
        <v>150</v>
      </c>
      <c r="BO11" s="11"/>
      <c r="BP11" s="11"/>
      <c r="BQ11" s="11"/>
      <c r="BR11" s="11">
        <f t="shared" ref="BR11:BR24" si="2">SUM(BK11:BQ11)</f>
        <v>568</v>
      </c>
      <c r="BT11" s="8"/>
      <c r="BU11" s="8"/>
      <c r="BV11" s="8"/>
      <c r="BW11" s="8"/>
      <c r="BX11" s="8"/>
      <c r="BY11" s="8"/>
      <c r="BZ11" s="10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>
        <f>SUM(CJ11:CN11)</f>
        <v>0</v>
      </c>
      <c r="CQ11" s="8">
        <f t="shared" ref="CQ11:CQ19" si="3">(CP11-CJ11)/2</f>
        <v>0</v>
      </c>
      <c r="CR11" s="10"/>
      <c r="CS11" s="10"/>
      <c r="CT11" s="8">
        <f t="shared" ref="CT11:CT24" si="4">SUM(CQ11:CS11)</f>
        <v>0</v>
      </c>
      <c r="CU11" s="8">
        <f t="shared" ref="CU11:CU24" si="5">(CT11-CQ11)/2</f>
        <v>0</v>
      </c>
      <c r="CV11" s="10"/>
      <c r="CW11" s="10"/>
      <c r="CX11" s="10"/>
      <c r="CY11" s="8">
        <f>SUM(CU11:CV11)</f>
        <v>0</v>
      </c>
    </row>
    <row r="12" spans="1:103" x14ac:dyDescent="0.25">
      <c r="A12">
        <v>2</v>
      </c>
      <c r="B12" s="22" t="s">
        <v>508</v>
      </c>
      <c r="C12" s="28"/>
      <c r="D12" s="22" t="s">
        <v>509</v>
      </c>
      <c r="E12" s="22" t="s">
        <v>38</v>
      </c>
      <c r="F12" s="8"/>
      <c r="G12" s="8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8"/>
      <c r="U12" s="8"/>
      <c r="V12" s="8"/>
      <c r="W12" s="8"/>
      <c r="X12" s="8"/>
      <c r="Y12" s="8"/>
      <c r="Z12" s="8"/>
      <c r="AA12" s="10"/>
      <c r="AB12" s="10"/>
      <c r="AC12" s="10"/>
      <c r="AD12" s="10"/>
      <c r="AE12" s="10"/>
      <c r="AF12" s="10"/>
      <c r="AG12" s="10"/>
      <c r="AH12" s="10"/>
      <c r="AI12" s="10"/>
      <c r="AJ12" s="8"/>
      <c r="AK12" s="8"/>
      <c r="AL12" s="8"/>
      <c r="AM12" s="8"/>
      <c r="AN12" s="8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>
        <v>75</v>
      </c>
      <c r="AZ12" s="10"/>
      <c r="BA12" s="10">
        <v>140</v>
      </c>
      <c r="BB12" s="11">
        <f>SUM(AK12:BA12)</f>
        <v>215</v>
      </c>
      <c r="BC12" s="11">
        <f>(BB12-AK12)/2</f>
        <v>107.5</v>
      </c>
      <c r="BD12" s="11">
        <v>36</v>
      </c>
      <c r="BE12" s="11">
        <v>48</v>
      </c>
      <c r="BF12" s="11">
        <v>105</v>
      </c>
      <c r="BG12" s="11">
        <v>100</v>
      </c>
      <c r="BH12" s="11">
        <v>140</v>
      </c>
      <c r="BI12" s="11">
        <v>105</v>
      </c>
      <c r="BJ12" s="11">
        <f t="shared" si="0"/>
        <v>641.5</v>
      </c>
      <c r="BK12" s="11">
        <f t="shared" si="1"/>
        <v>267</v>
      </c>
      <c r="BL12" s="11">
        <v>36</v>
      </c>
      <c r="BM12" s="11">
        <v>64</v>
      </c>
      <c r="BN12" s="11">
        <v>105</v>
      </c>
      <c r="BO12" s="11"/>
      <c r="BP12" s="11"/>
      <c r="BQ12" s="11"/>
      <c r="BR12" s="11">
        <f t="shared" si="2"/>
        <v>472</v>
      </c>
      <c r="BT12" s="8"/>
      <c r="BU12" s="8"/>
      <c r="BV12" s="8"/>
      <c r="BW12" s="8"/>
      <c r="BX12" s="8"/>
      <c r="BY12" s="8"/>
      <c r="BZ12" s="10"/>
      <c r="CA12" s="8"/>
      <c r="CB12" s="8"/>
      <c r="CC12" s="8"/>
      <c r="CD12" s="8"/>
      <c r="CE12" s="8"/>
      <c r="CF12" s="8"/>
      <c r="CG12" s="8"/>
      <c r="CH12" s="8"/>
      <c r="CI12" s="10">
        <f>SUM(BT12:BU12)</f>
        <v>0</v>
      </c>
      <c r="CJ12" s="8">
        <f>(CI12-BT12)/2</f>
        <v>0</v>
      </c>
      <c r="CK12" s="8">
        <f>BB12/4</f>
        <v>53.75</v>
      </c>
      <c r="CL12" s="8"/>
      <c r="CM12" s="8"/>
      <c r="CN12" s="8">
        <v>60</v>
      </c>
      <c r="CO12" s="8"/>
      <c r="CP12" s="8">
        <f>SUM(CJ12:CN12)</f>
        <v>113.75</v>
      </c>
      <c r="CQ12" s="8">
        <f t="shared" si="3"/>
        <v>56.875</v>
      </c>
      <c r="CR12" s="10"/>
      <c r="CS12" s="10">
        <v>50</v>
      </c>
      <c r="CT12" s="8">
        <f t="shared" si="4"/>
        <v>106.875</v>
      </c>
      <c r="CU12" s="8">
        <f t="shared" si="5"/>
        <v>25</v>
      </c>
      <c r="CV12" s="10">
        <v>25</v>
      </c>
      <c r="CW12" s="10">
        <v>7.5</v>
      </c>
      <c r="CX12" s="10"/>
      <c r="CY12" s="28">
        <f>SUM(CU12:CW12)</f>
        <v>57.5</v>
      </c>
    </row>
    <row r="13" spans="1:103" x14ac:dyDescent="0.25">
      <c r="A13">
        <v>3</v>
      </c>
      <c r="B13" s="26" t="s">
        <v>712</v>
      </c>
      <c r="C13" s="26"/>
      <c r="D13" s="26" t="s">
        <v>571</v>
      </c>
      <c r="E13" s="26" t="s">
        <v>17</v>
      </c>
      <c r="F13" s="8"/>
      <c r="G13" s="8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8"/>
      <c r="U13" s="8"/>
      <c r="V13" s="8"/>
      <c r="W13" s="8"/>
      <c r="X13" s="8"/>
      <c r="Y13" s="8"/>
      <c r="Z13" s="8"/>
      <c r="AA13" s="10"/>
      <c r="AB13" s="10"/>
      <c r="AC13" s="10"/>
      <c r="AD13" s="10"/>
      <c r="AE13" s="10"/>
      <c r="AF13" s="10"/>
      <c r="AG13" s="10"/>
      <c r="AH13" s="10"/>
      <c r="AI13" s="10"/>
      <c r="AJ13" s="8"/>
      <c r="AK13" s="8"/>
      <c r="AL13" s="8"/>
      <c r="AM13" s="8"/>
      <c r="AN13" s="8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8"/>
      <c r="BC13" s="8"/>
      <c r="BD13" s="10">
        <v>36</v>
      </c>
      <c r="BE13" s="10">
        <v>48</v>
      </c>
      <c r="BF13" s="10">
        <v>70</v>
      </c>
      <c r="BG13" s="10">
        <v>75</v>
      </c>
      <c r="BH13" s="10">
        <v>3.2</v>
      </c>
      <c r="BI13" s="10">
        <v>10</v>
      </c>
      <c r="BJ13" s="11">
        <f t="shared" si="0"/>
        <v>242.2</v>
      </c>
      <c r="BK13" s="11">
        <f t="shared" si="1"/>
        <v>121.1</v>
      </c>
      <c r="BL13" s="11">
        <v>36</v>
      </c>
      <c r="BM13" s="11"/>
      <c r="BN13" s="11">
        <v>75</v>
      </c>
      <c r="BO13" s="11"/>
      <c r="BP13" s="11"/>
      <c r="BQ13" s="11"/>
      <c r="BR13" s="11">
        <f t="shared" si="2"/>
        <v>232.1</v>
      </c>
      <c r="BT13" s="8"/>
      <c r="BU13" s="8"/>
      <c r="BV13" s="8"/>
      <c r="BW13" s="8"/>
      <c r="BX13" s="8"/>
      <c r="BY13" s="8"/>
      <c r="BZ13" s="10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>
        <f>SUM(CJ13:CN13)</f>
        <v>0</v>
      </c>
      <c r="CQ13" s="8">
        <f t="shared" si="3"/>
        <v>0</v>
      </c>
      <c r="CR13" s="10"/>
      <c r="CS13" s="10">
        <v>40</v>
      </c>
      <c r="CT13" s="8">
        <f t="shared" si="4"/>
        <v>40</v>
      </c>
      <c r="CU13" s="8">
        <f t="shared" si="5"/>
        <v>20</v>
      </c>
      <c r="CV13" s="10">
        <v>18.75</v>
      </c>
      <c r="CW13" s="10">
        <v>54</v>
      </c>
      <c r="CX13" s="10">
        <v>5</v>
      </c>
      <c r="CY13" s="26">
        <f>SUM(CU13:CX13)</f>
        <v>97.75</v>
      </c>
    </row>
    <row r="14" spans="1:103" x14ac:dyDescent="0.25">
      <c r="A14" s="68">
        <v>4</v>
      </c>
      <c r="B14" s="21" t="s">
        <v>252</v>
      </c>
      <c r="C14" s="27"/>
      <c r="D14" s="21" t="s">
        <v>14</v>
      </c>
      <c r="E14" s="21" t="s">
        <v>17</v>
      </c>
      <c r="F14" s="8"/>
      <c r="G14" s="8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8"/>
      <c r="U14" s="8"/>
      <c r="V14" s="8"/>
      <c r="W14" s="8"/>
      <c r="X14" s="8"/>
      <c r="Y14" s="8"/>
      <c r="Z14" s="8"/>
      <c r="AA14" s="10"/>
      <c r="AB14" s="10"/>
      <c r="AC14" s="10"/>
      <c r="AD14" s="10"/>
      <c r="AE14" s="10"/>
      <c r="AF14" s="10"/>
      <c r="AG14" s="10"/>
      <c r="AH14" s="10"/>
      <c r="AI14" s="10"/>
      <c r="AJ14" s="8"/>
      <c r="AK14" s="8"/>
      <c r="AL14" s="8"/>
      <c r="AM14" s="8"/>
      <c r="AN14" s="8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>
        <v>150</v>
      </c>
      <c r="AZ14" s="10">
        <v>80</v>
      </c>
      <c r="BA14" s="10">
        <v>200</v>
      </c>
      <c r="BB14" s="11">
        <f>SUM(AK14:BA14)</f>
        <v>430</v>
      </c>
      <c r="BC14" s="11">
        <f>(BB14-AK14)/2</f>
        <v>215</v>
      </c>
      <c r="BD14" s="11"/>
      <c r="BE14" s="11">
        <v>64</v>
      </c>
      <c r="BF14" s="11">
        <v>150</v>
      </c>
      <c r="BG14" s="11">
        <v>75</v>
      </c>
      <c r="BH14" s="11">
        <v>100</v>
      </c>
      <c r="BI14" s="11"/>
      <c r="BJ14" s="11">
        <f t="shared" si="0"/>
        <v>604</v>
      </c>
      <c r="BK14" s="11">
        <f t="shared" si="1"/>
        <v>194.5</v>
      </c>
      <c r="BL14" s="11">
        <v>36</v>
      </c>
      <c r="BM14" s="11"/>
      <c r="BN14" s="11"/>
      <c r="BO14" s="11"/>
      <c r="BP14" s="11"/>
      <c r="BQ14" s="11"/>
      <c r="BR14" s="11">
        <f t="shared" si="2"/>
        <v>230.5</v>
      </c>
      <c r="BT14" s="8"/>
      <c r="BU14" s="8"/>
      <c r="BV14" s="8"/>
      <c r="BW14" s="8"/>
      <c r="BX14" s="8"/>
      <c r="BY14" s="8"/>
      <c r="BZ14" s="10"/>
      <c r="CA14" s="8"/>
      <c r="CB14" s="8"/>
      <c r="CC14" s="8"/>
      <c r="CD14" s="8"/>
      <c r="CE14" s="8"/>
      <c r="CF14" s="8"/>
      <c r="CG14" s="8"/>
      <c r="CH14" s="8"/>
      <c r="CI14" s="10">
        <f>SUM(BT14:BU14)</f>
        <v>0</v>
      </c>
      <c r="CJ14" s="8">
        <f>(CI14-BT14)/2</f>
        <v>0</v>
      </c>
      <c r="CK14" s="8">
        <f>BB14/4</f>
        <v>107.5</v>
      </c>
      <c r="CL14" s="8"/>
      <c r="CM14" s="8"/>
      <c r="CN14" s="8"/>
      <c r="CO14" s="8"/>
      <c r="CP14" s="8">
        <f>SUM(CJ14:CN14)</f>
        <v>107.5</v>
      </c>
      <c r="CQ14" s="8">
        <f t="shared" si="3"/>
        <v>53.75</v>
      </c>
      <c r="CR14" s="10">
        <v>30</v>
      </c>
      <c r="CS14" s="10">
        <v>100</v>
      </c>
      <c r="CT14" s="8">
        <f t="shared" si="4"/>
        <v>183.75</v>
      </c>
      <c r="CU14" s="8">
        <f t="shared" si="5"/>
        <v>65</v>
      </c>
      <c r="CV14" s="10"/>
      <c r="CW14" s="10"/>
      <c r="CX14" s="10"/>
      <c r="CY14" s="27">
        <f t="shared" ref="CY14:CY24" si="6">SUM(CU14:CV14)</f>
        <v>65</v>
      </c>
    </row>
    <row r="15" spans="1:103" x14ac:dyDescent="0.25">
      <c r="A15">
        <v>5</v>
      </c>
      <c r="B15" s="18" t="s">
        <v>603</v>
      </c>
      <c r="C15" s="8"/>
      <c r="D15" s="18" t="s">
        <v>528</v>
      </c>
      <c r="E15" s="18" t="s">
        <v>197</v>
      </c>
      <c r="F15" s="8"/>
      <c r="G15" s="8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8"/>
      <c r="U15" s="8"/>
      <c r="V15" s="8"/>
      <c r="W15" s="8"/>
      <c r="X15" s="8"/>
      <c r="Y15" s="8"/>
      <c r="Z15" s="8"/>
      <c r="AA15" s="10"/>
      <c r="AB15" s="10"/>
      <c r="AC15" s="10"/>
      <c r="AD15" s="10"/>
      <c r="AE15" s="10"/>
      <c r="AF15" s="10"/>
      <c r="AG15" s="10"/>
      <c r="AH15" s="10"/>
      <c r="AI15" s="10"/>
      <c r="AJ15" s="8"/>
      <c r="AK15" s="8"/>
      <c r="AL15" s="8"/>
      <c r="AM15" s="8"/>
      <c r="AN15" s="8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1">
        <f>SUM(AK15:BA15)</f>
        <v>0</v>
      </c>
      <c r="BC15" s="11">
        <f>(BB15-AK15)/2</f>
        <v>0</v>
      </c>
      <c r="BD15" s="11">
        <v>36</v>
      </c>
      <c r="BE15" s="11">
        <v>48</v>
      </c>
      <c r="BF15" s="11">
        <v>10</v>
      </c>
      <c r="BG15" s="11">
        <v>105</v>
      </c>
      <c r="BH15" s="11">
        <v>80</v>
      </c>
      <c r="BI15" s="11">
        <v>75</v>
      </c>
      <c r="BJ15" s="11">
        <f t="shared" si="0"/>
        <v>354</v>
      </c>
      <c r="BK15" s="11">
        <f t="shared" si="1"/>
        <v>177</v>
      </c>
      <c r="BL15" s="11">
        <v>2.4</v>
      </c>
      <c r="BM15" s="11"/>
      <c r="BN15" s="11">
        <v>7.5</v>
      </c>
      <c r="BO15" s="11"/>
      <c r="BP15" s="11"/>
      <c r="BQ15" s="11"/>
      <c r="BR15" s="11">
        <f t="shared" si="2"/>
        <v>186.9</v>
      </c>
      <c r="BT15" s="8"/>
      <c r="BU15" s="8"/>
      <c r="BV15" s="8"/>
      <c r="BW15" s="8"/>
      <c r="BX15" s="8"/>
      <c r="BY15" s="8"/>
      <c r="BZ15" s="10"/>
      <c r="CA15" s="8"/>
      <c r="CB15" s="8"/>
      <c r="CC15" s="8"/>
      <c r="CD15" s="8"/>
      <c r="CE15" s="8"/>
      <c r="CF15" s="8"/>
      <c r="CG15" s="8"/>
      <c r="CH15" s="8"/>
      <c r="CI15" s="10">
        <f>SUM(BT15:BU15)</f>
        <v>0</v>
      </c>
      <c r="CJ15" s="8">
        <f>(CI15-BT15)/2</f>
        <v>0</v>
      </c>
      <c r="CK15" s="8">
        <f>BB15/4</f>
        <v>0</v>
      </c>
      <c r="CL15" s="8"/>
      <c r="CM15" s="8"/>
      <c r="CN15" s="8"/>
      <c r="CO15" s="8">
        <v>25</v>
      </c>
      <c r="CP15" s="8">
        <f>SUM(CJ15:CO15)</f>
        <v>25</v>
      </c>
      <c r="CQ15" s="8">
        <f t="shared" si="3"/>
        <v>12.5</v>
      </c>
      <c r="CR15" s="10"/>
      <c r="CS15" s="10">
        <v>5</v>
      </c>
      <c r="CT15" s="8">
        <f t="shared" si="4"/>
        <v>17.5</v>
      </c>
      <c r="CU15" s="8">
        <f t="shared" si="5"/>
        <v>2.5</v>
      </c>
      <c r="CV15" s="10"/>
      <c r="CW15" s="10"/>
      <c r="CX15" s="10"/>
      <c r="CY15" s="8">
        <f t="shared" si="6"/>
        <v>2.5</v>
      </c>
    </row>
    <row r="16" spans="1:103" x14ac:dyDescent="0.25">
      <c r="A16">
        <v>6</v>
      </c>
      <c r="B16" s="8" t="s">
        <v>402</v>
      </c>
      <c r="C16" s="8"/>
      <c r="D16" s="8" t="s">
        <v>265</v>
      </c>
      <c r="E16" s="8" t="s">
        <v>442</v>
      </c>
      <c r="F16" s="8"/>
      <c r="G16" s="8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8"/>
      <c r="U16" s="8"/>
      <c r="V16" s="8"/>
      <c r="W16" s="8"/>
      <c r="X16" s="8"/>
      <c r="Y16" s="8"/>
      <c r="Z16" s="8"/>
      <c r="AA16" s="10">
        <v>56</v>
      </c>
      <c r="AB16" s="10">
        <v>5</v>
      </c>
      <c r="AC16" s="10"/>
      <c r="AD16" s="10"/>
      <c r="AE16" s="10"/>
      <c r="AF16" s="10">
        <v>33.6</v>
      </c>
      <c r="AG16" s="10">
        <v>26</v>
      </c>
      <c r="AH16" s="10"/>
      <c r="AI16" s="10">
        <v>105</v>
      </c>
      <c r="AJ16" s="11">
        <f>SUM(U16:AI16)</f>
        <v>225.6</v>
      </c>
      <c r="AK16" s="11">
        <f>(AJ16-U16)/2</f>
        <v>112.8</v>
      </c>
      <c r="AL16" s="11">
        <v>48</v>
      </c>
      <c r="AM16" s="11"/>
      <c r="AN16" s="11">
        <v>150</v>
      </c>
      <c r="AO16" s="11">
        <v>80</v>
      </c>
      <c r="AP16" s="11"/>
      <c r="AQ16" s="11">
        <v>40</v>
      </c>
      <c r="AR16" s="11"/>
      <c r="AS16" s="11">
        <v>75</v>
      </c>
      <c r="AT16" s="11"/>
      <c r="AU16" s="11">
        <v>36</v>
      </c>
      <c r="AV16" s="11"/>
      <c r="AW16" s="11"/>
      <c r="AX16" s="11"/>
      <c r="AY16" s="11" t="s">
        <v>132</v>
      </c>
      <c r="AZ16" s="11">
        <v>56</v>
      </c>
      <c r="BA16" s="11">
        <v>10</v>
      </c>
      <c r="BB16" s="11">
        <f>SUM(AK16:BA16)</f>
        <v>607.79999999999995</v>
      </c>
      <c r="BC16" s="11">
        <f>(BB16-AK16)/2</f>
        <v>247.49999999999997</v>
      </c>
      <c r="BD16" s="11"/>
      <c r="BE16" s="11"/>
      <c r="BF16" s="11"/>
      <c r="BG16" s="11"/>
      <c r="BH16" s="11"/>
      <c r="BI16" s="11"/>
      <c r="BJ16" s="11">
        <f t="shared" si="0"/>
        <v>247.49999999999997</v>
      </c>
      <c r="BK16" s="11">
        <f t="shared" si="1"/>
        <v>0</v>
      </c>
      <c r="BL16" s="11">
        <v>36</v>
      </c>
      <c r="BM16" s="11">
        <v>3.2</v>
      </c>
      <c r="BN16" s="11">
        <v>7.5</v>
      </c>
      <c r="BO16" s="11">
        <v>60</v>
      </c>
      <c r="BP16" s="11">
        <v>33.6</v>
      </c>
      <c r="BQ16" s="11"/>
      <c r="BR16" s="11">
        <f t="shared" si="2"/>
        <v>140.30000000000001</v>
      </c>
      <c r="BT16" s="10">
        <f>SUM(BW16:BZ16)/2</f>
        <v>0</v>
      </c>
      <c r="BU16" s="10">
        <f>AJ16/4</f>
        <v>56.4</v>
      </c>
      <c r="BV16" s="8"/>
      <c r="BW16" s="8"/>
      <c r="BX16" s="8"/>
      <c r="BY16" s="8"/>
      <c r="BZ16" s="10"/>
      <c r="CA16" s="8"/>
      <c r="CB16" s="10"/>
      <c r="CC16" s="10"/>
      <c r="CD16" s="10"/>
      <c r="CE16" s="10"/>
      <c r="CF16" s="10"/>
      <c r="CG16" s="10"/>
      <c r="CH16" s="10">
        <v>50</v>
      </c>
      <c r="CI16" s="10">
        <f>SUM(BT16:CH16)</f>
        <v>106.4</v>
      </c>
      <c r="CJ16" s="8">
        <f>(CI16-BT16)/2</f>
        <v>53.2</v>
      </c>
      <c r="CK16" s="8">
        <f>BB16/4</f>
        <v>151.94999999999999</v>
      </c>
      <c r="CL16" s="8">
        <v>22.5</v>
      </c>
      <c r="CM16" s="8"/>
      <c r="CN16" s="8">
        <v>7.5</v>
      </c>
      <c r="CO16" s="8">
        <v>50</v>
      </c>
      <c r="CP16" s="8">
        <f>SUM(CJ16:CO16)</f>
        <v>285.14999999999998</v>
      </c>
      <c r="CQ16" s="8">
        <f t="shared" si="3"/>
        <v>115.97499999999999</v>
      </c>
      <c r="CR16" s="10"/>
      <c r="CS16" s="10"/>
      <c r="CT16" s="8">
        <f t="shared" si="4"/>
        <v>115.97499999999999</v>
      </c>
      <c r="CU16" s="8">
        <f t="shared" si="5"/>
        <v>0</v>
      </c>
      <c r="CV16" s="10"/>
      <c r="CW16" s="10"/>
      <c r="CX16" s="10"/>
      <c r="CY16" s="8">
        <f t="shared" si="6"/>
        <v>0</v>
      </c>
    </row>
    <row r="17" spans="1:103" x14ac:dyDescent="0.25">
      <c r="A17">
        <v>7</v>
      </c>
      <c r="B17" s="8" t="s">
        <v>527</v>
      </c>
      <c r="C17" s="8"/>
      <c r="D17" s="8" t="s">
        <v>730</v>
      </c>
      <c r="E17" s="8" t="s">
        <v>731</v>
      </c>
      <c r="F17" s="8"/>
      <c r="G17" s="8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8"/>
      <c r="U17" s="8"/>
      <c r="V17" s="8"/>
      <c r="W17" s="8"/>
      <c r="X17" s="8"/>
      <c r="Y17" s="8"/>
      <c r="Z17" s="8"/>
      <c r="AA17" s="10"/>
      <c r="AB17" s="10"/>
      <c r="AC17" s="10"/>
      <c r="AD17" s="10"/>
      <c r="AE17" s="10"/>
      <c r="AF17" s="10"/>
      <c r="AG17" s="10"/>
      <c r="AH17" s="10"/>
      <c r="AI17" s="10"/>
      <c r="AJ17" s="8"/>
      <c r="AK17" s="8"/>
      <c r="AL17" s="8"/>
      <c r="AM17" s="8"/>
      <c r="AN17" s="8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8"/>
      <c r="BC17" s="8"/>
      <c r="BD17" s="10">
        <v>36</v>
      </c>
      <c r="BE17" s="10">
        <v>48</v>
      </c>
      <c r="BF17" s="10">
        <v>7.5</v>
      </c>
      <c r="BG17" s="10">
        <v>4</v>
      </c>
      <c r="BH17" s="10">
        <v>7.5</v>
      </c>
      <c r="BI17" s="10"/>
      <c r="BJ17" s="11">
        <f t="shared" si="0"/>
        <v>103</v>
      </c>
      <c r="BK17" s="11">
        <f t="shared" si="1"/>
        <v>51.5</v>
      </c>
      <c r="BL17" s="11">
        <v>36</v>
      </c>
      <c r="BM17" s="11">
        <v>3.2</v>
      </c>
      <c r="BN17" s="11"/>
      <c r="BO17" s="11"/>
      <c r="BP17" s="11"/>
      <c r="BQ17" s="11"/>
      <c r="BR17" s="11">
        <f t="shared" si="2"/>
        <v>90.7</v>
      </c>
      <c r="BT17" s="8"/>
      <c r="BU17" s="8"/>
      <c r="BV17" s="8"/>
      <c r="BW17" s="8"/>
      <c r="BX17" s="8"/>
      <c r="BY17" s="8"/>
      <c r="BZ17" s="10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>
        <f>SUM(CJ17:CN17)</f>
        <v>0</v>
      </c>
      <c r="CQ17" s="8">
        <f t="shared" si="3"/>
        <v>0</v>
      </c>
      <c r="CR17" s="10"/>
      <c r="CS17" s="10"/>
      <c r="CT17" s="8">
        <f t="shared" si="4"/>
        <v>0</v>
      </c>
      <c r="CU17" s="8">
        <f t="shared" si="5"/>
        <v>0</v>
      </c>
      <c r="CV17" s="10"/>
      <c r="CW17" s="10"/>
      <c r="CX17" s="10"/>
      <c r="CY17" s="8">
        <f t="shared" si="6"/>
        <v>0</v>
      </c>
    </row>
    <row r="18" spans="1:103" x14ac:dyDescent="0.25">
      <c r="A18">
        <v>8</v>
      </c>
      <c r="B18" s="18" t="s">
        <v>165</v>
      </c>
      <c r="C18" s="18" t="s">
        <v>274</v>
      </c>
      <c r="D18" s="18" t="s">
        <v>275</v>
      </c>
      <c r="E18" s="18" t="s">
        <v>267</v>
      </c>
      <c r="F18" s="8"/>
      <c r="G18" s="8"/>
      <c r="H18" s="10">
        <v>36</v>
      </c>
      <c r="I18" s="10"/>
      <c r="J18" s="10"/>
      <c r="K18" s="10"/>
      <c r="L18" s="10">
        <v>5</v>
      </c>
      <c r="M18" s="10"/>
      <c r="N18" s="10"/>
      <c r="O18" s="10">
        <v>36</v>
      </c>
      <c r="P18" s="10"/>
      <c r="Q18" s="10"/>
      <c r="R18" s="10"/>
      <c r="S18" s="10"/>
      <c r="T18" s="11">
        <f>SUM(F18:S18)</f>
        <v>77</v>
      </c>
      <c r="U18" s="11">
        <f>T18/2</f>
        <v>38.5</v>
      </c>
      <c r="V18" s="11"/>
      <c r="W18" s="11">
        <v>80</v>
      </c>
      <c r="X18" s="11">
        <v>36</v>
      </c>
      <c r="Y18" s="11"/>
      <c r="Z18" s="11">
        <v>48</v>
      </c>
      <c r="AA18" s="11"/>
      <c r="AB18" s="11" t="s">
        <v>327</v>
      </c>
      <c r="AC18" s="11"/>
      <c r="AD18" s="11"/>
      <c r="AE18" s="11">
        <v>36</v>
      </c>
      <c r="AF18" s="11"/>
      <c r="AG18" s="11">
        <v>70</v>
      </c>
      <c r="AH18" s="11"/>
      <c r="AI18" s="11"/>
      <c r="AJ18" s="11">
        <f>SUM(U18:AI18)</f>
        <v>308.5</v>
      </c>
      <c r="AK18" s="11">
        <f>(AJ18-U18)/2</f>
        <v>135</v>
      </c>
      <c r="AL18" s="11"/>
      <c r="AM18" s="11"/>
      <c r="AN18" s="11"/>
      <c r="AO18" s="11"/>
      <c r="AP18" s="11"/>
      <c r="AQ18" s="11"/>
      <c r="AR18" s="11">
        <v>48</v>
      </c>
      <c r="AS18" s="11">
        <v>75</v>
      </c>
      <c r="AT18" s="11">
        <v>36</v>
      </c>
      <c r="AU18" s="11"/>
      <c r="AV18" s="11"/>
      <c r="AW18" s="11"/>
      <c r="AX18" s="11"/>
      <c r="AY18" s="11" t="s">
        <v>327</v>
      </c>
      <c r="AZ18" s="11"/>
      <c r="BA18" s="11">
        <v>10</v>
      </c>
      <c r="BB18" s="11">
        <f>SUM(AK18:BA18)</f>
        <v>304</v>
      </c>
      <c r="BC18" s="11">
        <f>(BB18-AK18)/2</f>
        <v>84.5</v>
      </c>
      <c r="BD18" s="11">
        <v>36</v>
      </c>
      <c r="BE18" s="11">
        <v>3.2</v>
      </c>
      <c r="BF18" s="11">
        <v>50</v>
      </c>
      <c r="BG18" s="11">
        <v>7.5</v>
      </c>
      <c r="BH18" s="11"/>
      <c r="BI18" s="11"/>
      <c r="BJ18" s="11">
        <f t="shared" si="0"/>
        <v>181.2</v>
      </c>
      <c r="BK18" s="11">
        <f t="shared" si="1"/>
        <v>48.349999999999994</v>
      </c>
      <c r="BL18" s="11"/>
      <c r="BM18" s="11"/>
      <c r="BN18" s="11"/>
      <c r="BO18" s="11"/>
      <c r="BP18" s="11"/>
      <c r="BQ18" s="11"/>
      <c r="BR18" s="11">
        <f t="shared" si="2"/>
        <v>48.349999999999994</v>
      </c>
      <c r="BT18" s="10">
        <f>SUM(BW18:BZ18)/2</f>
        <v>0</v>
      </c>
      <c r="BU18" s="10">
        <f>AJ18/4</f>
        <v>77.125</v>
      </c>
      <c r="BV18" s="10">
        <f>T18/2</f>
        <v>38.5</v>
      </c>
      <c r="BW18" s="10"/>
      <c r="BX18" s="10"/>
      <c r="BY18" s="10"/>
      <c r="BZ18" s="10"/>
      <c r="CA18" s="10">
        <f>SUM(BV18:BX18)</f>
        <v>38.5</v>
      </c>
      <c r="CB18" s="10"/>
      <c r="CC18" s="10"/>
      <c r="CD18" s="10">
        <v>5</v>
      </c>
      <c r="CE18" s="10"/>
      <c r="CF18" s="10"/>
      <c r="CG18" s="10"/>
      <c r="CH18" s="10"/>
      <c r="CI18" s="10">
        <f>BU18+SUM(CB18:CD18)</f>
        <v>82.125</v>
      </c>
      <c r="CJ18" s="8">
        <f>(CI18-BT18)/2</f>
        <v>41.0625</v>
      </c>
      <c r="CK18" s="8">
        <f>BB18/4</f>
        <v>76</v>
      </c>
      <c r="CL18" s="8">
        <v>1.5</v>
      </c>
      <c r="CM18" s="8"/>
      <c r="CN18" s="8"/>
      <c r="CO18" s="8"/>
      <c r="CP18" s="8">
        <f>SUM(CJ18:CL18)</f>
        <v>118.5625</v>
      </c>
      <c r="CQ18" s="8">
        <f t="shared" si="3"/>
        <v>38.75</v>
      </c>
      <c r="CR18" s="10">
        <v>18</v>
      </c>
      <c r="CS18" s="10"/>
      <c r="CT18" s="8">
        <f t="shared" si="4"/>
        <v>56.75</v>
      </c>
      <c r="CU18" s="8">
        <f t="shared" si="5"/>
        <v>9</v>
      </c>
      <c r="CV18" s="10"/>
      <c r="CW18" s="10"/>
      <c r="CX18" s="10"/>
      <c r="CY18" s="8">
        <f t="shared" si="6"/>
        <v>9</v>
      </c>
    </row>
    <row r="19" spans="1:103" x14ac:dyDescent="0.25">
      <c r="A19">
        <v>9</v>
      </c>
      <c r="B19" s="8" t="s">
        <v>685</v>
      </c>
      <c r="C19" s="8"/>
      <c r="D19" s="8" t="s">
        <v>686</v>
      </c>
      <c r="E19" s="8" t="s">
        <v>667</v>
      </c>
      <c r="F19" s="8"/>
      <c r="G19" s="8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8"/>
      <c r="U19" s="8"/>
      <c r="V19" s="8"/>
      <c r="W19" s="8"/>
      <c r="X19" s="8"/>
      <c r="Y19" s="8"/>
      <c r="Z19" s="8"/>
      <c r="AA19" s="10"/>
      <c r="AB19" s="10"/>
      <c r="AC19" s="10"/>
      <c r="AD19" s="10"/>
      <c r="AE19" s="10"/>
      <c r="AF19" s="10"/>
      <c r="AG19" s="10"/>
      <c r="AH19" s="10"/>
      <c r="AI19" s="10"/>
      <c r="AJ19" s="8"/>
      <c r="AK19" s="8"/>
      <c r="AL19" s="8"/>
      <c r="AM19" s="8"/>
      <c r="AN19" s="8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8"/>
      <c r="BC19" s="8"/>
      <c r="BD19" s="10"/>
      <c r="BE19" s="10"/>
      <c r="BF19" s="10">
        <v>75</v>
      </c>
      <c r="BG19" s="10"/>
      <c r="BH19" s="10"/>
      <c r="BI19" s="10"/>
      <c r="BJ19" s="11">
        <f t="shared" si="0"/>
        <v>75</v>
      </c>
      <c r="BK19" s="11">
        <f t="shared" si="1"/>
        <v>37.5</v>
      </c>
      <c r="BL19" s="11"/>
      <c r="BM19" s="11"/>
      <c r="BN19" s="11"/>
      <c r="BO19" s="11"/>
      <c r="BP19" s="11"/>
      <c r="BQ19" s="11"/>
      <c r="BR19" s="11">
        <f t="shared" si="2"/>
        <v>37.5</v>
      </c>
      <c r="BT19" s="8"/>
      <c r="BU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>
        <f>SUM(CJ19:CN19)</f>
        <v>0</v>
      </c>
      <c r="CQ19" s="8">
        <f t="shared" si="3"/>
        <v>0</v>
      </c>
      <c r="CR19" s="10"/>
      <c r="CS19" s="10"/>
      <c r="CT19" s="8">
        <f t="shared" si="4"/>
        <v>0</v>
      </c>
      <c r="CU19" s="8">
        <f t="shared" si="5"/>
        <v>0</v>
      </c>
      <c r="CV19" s="10"/>
      <c r="CW19" s="10"/>
      <c r="CX19" s="10"/>
      <c r="CY19" s="8">
        <f t="shared" si="6"/>
        <v>0</v>
      </c>
    </row>
    <row r="20" spans="1:103" x14ac:dyDescent="0.25">
      <c r="A20">
        <v>10</v>
      </c>
      <c r="B20" s="8" t="s">
        <v>191</v>
      </c>
      <c r="C20" s="8"/>
      <c r="D20" s="8" t="s">
        <v>800</v>
      </c>
      <c r="E20" s="8" t="s">
        <v>306</v>
      </c>
      <c r="F20" s="8"/>
      <c r="G20" s="8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8"/>
      <c r="U20" s="8"/>
      <c r="V20" s="8"/>
      <c r="W20" s="8"/>
      <c r="X20" s="8"/>
      <c r="Y20" s="8"/>
      <c r="Z20" s="8"/>
      <c r="AA20" s="10"/>
      <c r="AB20" s="10"/>
      <c r="AC20" s="10"/>
      <c r="AD20" s="10"/>
      <c r="AE20" s="10"/>
      <c r="AF20" s="10"/>
      <c r="AG20" s="10"/>
      <c r="AH20" s="10"/>
      <c r="AI20" s="10"/>
      <c r="AJ20" s="8"/>
      <c r="AK20" s="8"/>
      <c r="AL20" s="8"/>
      <c r="AM20" s="8"/>
      <c r="AN20" s="8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8"/>
      <c r="BC20" s="8"/>
      <c r="BD20" s="10"/>
      <c r="BE20" s="10"/>
      <c r="BF20" s="10"/>
      <c r="BG20" s="10"/>
      <c r="BH20" s="10"/>
      <c r="BI20" s="10"/>
      <c r="BJ20" s="8"/>
      <c r="BK20" s="8"/>
      <c r="BL20" s="8">
        <v>36</v>
      </c>
      <c r="BM20" s="8"/>
      <c r="BN20" s="8"/>
      <c r="BO20" s="8"/>
      <c r="BP20" s="8"/>
      <c r="BQ20" s="8"/>
      <c r="BR20" s="11">
        <f t="shared" si="2"/>
        <v>36</v>
      </c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>
        <f t="shared" si="4"/>
        <v>0</v>
      </c>
      <c r="CU20" s="8">
        <f t="shared" si="5"/>
        <v>0</v>
      </c>
      <c r="CV20" s="10"/>
      <c r="CW20" s="10"/>
      <c r="CX20" s="10"/>
      <c r="CY20" s="8">
        <f t="shared" si="6"/>
        <v>0</v>
      </c>
    </row>
    <row r="21" spans="1:103" x14ac:dyDescent="0.25">
      <c r="A21">
        <v>11</v>
      </c>
      <c r="B21" s="8" t="s">
        <v>682</v>
      </c>
      <c r="C21" s="8"/>
      <c r="D21" s="8" t="s">
        <v>265</v>
      </c>
      <c r="E21" s="8" t="s">
        <v>825</v>
      </c>
      <c r="F21" s="8"/>
      <c r="G21" s="8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8"/>
      <c r="U21" s="8"/>
      <c r="V21" s="8"/>
      <c r="W21" s="8"/>
      <c r="X21" s="8"/>
      <c r="Y21" s="8"/>
      <c r="Z21" s="8"/>
      <c r="AA21" s="10"/>
      <c r="AB21" s="10"/>
      <c r="AC21" s="10"/>
      <c r="AD21" s="10"/>
      <c r="AE21" s="10"/>
      <c r="AF21" s="10"/>
      <c r="AG21" s="10"/>
      <c r="AH21" s="10"/>
      <c r="AI21" s="10"/>
      <c r="AJ21" s="8"/>
      <c r="AK21" s="8"/>
      <c r="AL21" s="8"/>
      <c r="AM21" s="8"/>
      <c r="AN21" s="8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8"/>
      <c r="BC21" s="8"/>
      <c r="BD21" s="10"/>
      <c r="BE21" s="10"/>
      <c r="BF21" s="10"/>
      <c r="BG21" s="10"/>
      <c r="BH21" s="10"/>
      <c r="BI21" s="10"/>
      <c r="BJ21" s="8"/>
      <c r="BK21" s="8"/>
      <c r="BL21" s="8">
        <v>36</v>
      </c>
      <c r="BM21" s="8"/>
      <c r="BN21" s="8"/>
      <c r="BO21" s="8"/>
      <c r="BP21" s="8"/>
      <c r="BQ21" s="8"/>
      <c r="BR21" s="11">
        <f t="shared" si="2"/>
        <v>36</v>
      </c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>
        <f t="shared" si="4"/>
        <v>0</v>
      </c>
      <c r="CU21" s="8">
        <f t="shared" si="5"/>
        <v>0</v>
      </c>
      <c r="CV21" s="10"/>
      <c r="CW21" s="10"/>
      <c r="CX21" s="10"/>
      <c r="CY21" s="8">
        <f t="shared" si="6"/>
        <v>0</v>
      </c>
    </row>
    <row r="22" spans="1:103" x14ac:dyDescent="0.25">
      <c r="A22">
        <v>12</v>
      </c>
      <c r="B22" s="8" t="s">
        <v>447</v>
      </c>
      <c r="C22" s="8" t="s">
        <v>213</v>
      </c>
      <c r="D22" s="8" t="s">
        <v>448</v>
      </c>
      <c r="E22" s="8" t="s">
        <v>427</v>
      </c>
      <c r="F22" s="8"/>
      <c r="G22" s="8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8"/>
      <c r="U22" s="8"/>
      <c r="V22" s="8"/>
      <c r="W22" s="8"/>
      <c r="X22" s="8"/>
      <c r="Y22" s="8"/>
      <c r="Z22" s="8"/>
      <c r="AA22" s="10"/>
      <c r="AB22" s="10"/>
      <c r="AC22" s="10"/>
      <c r="AD22" s="10"/>
      <c r="AE22" s="10"/>
      <c r="AF22" s="10"/>
      <c r="AG22" s="10"/>
      <c r="AH22" s="10">
        <v>33.6</v>
      </c>
      <c r="AI22" s="10"/>
      <c r="AJ22" s="11">
        <f>SUM(U22:AI22)</f>
        <v>33.6</v>
      </c>
      <c r="AK22" s="11">
        <f>(AJ22-U22)/2</f>
        <v>16.8</v>
      </c>
      <c r="AL22" s="11"/>
      <c r="AM22" s="11">
        <v>33.6</v>
      </c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>
        <f>SUM(AK22:BA22)</f>
        <v>50.400000000000006</v>
      </c>
      <c r="BC22" s="11">
        <f>(BB22-AK22)/2</f>
        <v>16.800000000000004</v>
      </c>
      <c r="BD22" s="11"/>
      <c r="BE22" s="11"/>
      <c r="BF22" s="11">
        <v>5</v>
      </c>
      <c r="BG22" s="11"/>
      <c r="BH22" s="11"/>
      <c r="BI22" s="11"/>
      <c r="BJ22" s="11">
        <f>SUM(BC22:BI22)</f>
        <v>21.800000000000004</v>
      </c>
      <c r="BK22" s="11">
        <f>(BJ22-BC22)/2</f>
        <v>2.5</v>
      </c>
      <c r="BL22" s="11"/>
      <c r="BM22" s="11"/>
      <c r="BN22" s="11"/>
      <c r="BO22" s="11"/>
      <c r="BP22" s="11"/>
      <c r="BQ22" s="11"/>
      <c r="BR22" s="11">
        <f t="shared" si="2"/>
        <v>2.5</v>
      </c>
      <c r="BT22" s="12">
        <f>SUM(BW22:BZ22)/2</f>
        <v>0</v>
      </c>
      <c r="BU22" s="12">
        <f>AJ22/4</f>
        <v>8.4</v>
      </c>
      <c r="CB22" s="12"/>
      <c r="CC22" s="12"/>
      <c r="CD22" s="12"/>
      <c r="CE22" s="12"/>
      <c r="CF22" s="12"/>
      <c r="CG22" s="12"/>
      <c r="CH22" s="12"/>
      <c r="CI22" s="12">
        <f>SUM(BT22:BU22)</f>
        <v>8.4</v>
      </c>
      <c r="CJ22">
        <f>(CI22-BT22)/2</f>
        <v>4.2</v>
      </c>
      <c r="CK22">
        <f>BB22/4</f>
        <v>12.600000000000001</v>
      </c>
      <c r="CP22" s="8">
        <f>SUM(CJ22:CN22)</f>
        <v>16.8</v>
      </c>
      <c r="CQ22" s="8">
        <f>(CP22-CJ22)/2</f>
        <v>6.3000000000000007</v>
      </c>
      <c r="CR22" s="10"/>
      <c r="CS22" s="10"/>
      <c r="CT22" s="8">
        <f t="shared" si="4"/>
        <v>6.3000000000000007</v>
      </c>
      <c r="CU22" s="8">
        <f t="shared" si="5"/>
        <v>0</v>
      </c>
      <c r="CV22" s="10"/>
      <c r="CW22" s="10"/>
      <c r="CX22" s="10"/>
      <c r="CY22" s="8">
        <f t="shared" si="6"/>
        <v>0</v>
      </c>
    </row>
    <row r="23" spans="1:103" x14ac:dyDescent="0.25">
      <c r="A23">
        <v>13</v>
      </c>
      <c r="B23" s="8" t="s">
        <v>190</v>
      </c>
      <c r="C23" s="8" t="s">
        <v>138</v>
      </c>
      <c r="D23" s="8" t="s">
        <v>403</v>
      </c>
      <c r="E23" s="8" t="s">
        <v>404</v>
      </c>
      <c r="F23" s="8"/>
      <c r="G23" s="8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8"/>
      <c r="U23" s="8"/>
      <c r="V23" s="8"/>
      <c r="W23" s="8"/>
      <c r="X23" s="8"/>
      <c r="Y23" s="8"/>
      <c r="Z23" s="8"/>
      <c r="AA23" s="10">
        <v>4</v>
      </c>
      <c r="AB23" s="10"/>
      <c r="AC23" s="10">
        <v>48</v>
      </c>
      <c r="AD23" s="10"/>
      <c r="AE23" s="10"/>
      <c r="AF23" s="10"/>
      <c r="AG23" s="10">
        <v>50</v>
      </c>
      <c r="AH23" s="10">
        <v>48</v>
      </c>
      <c r="AI23" s="10">
        <v>75</v>
      </c>
      <c r="AJ23" s="11">
        <f>SUM(U23:AI23)</f>
        <v>225</v>
      </c>
      <c r="AK23" s="11">
        <f>(AJ23-U23)/2</f>
        <v>112.5</v>
      </c>
      <c r="AL23" s="11"/>
      <c r="AM23" s="11">
        <v>48</v>
      </c>
      <c r="AN23" s="11">
        <v>75</v>
      </c>
      <c r="AO23" s="11">
        <v>4</v>
      </c>
      <c r="AP23" s="11"/>
      <c r="AQ23" s="11">
        <v>80</v>
      </c>
      <c r="AR23" s="11"/>
      <c r="AS23" s="11">
        <v>105</v>
      </c>
      <c r="AT23" s="11"/>
      <c r="AU23" s="11"/>
      <c r="AV23" s="11"/>
      <c r="AW23" s="11">
        <v>36</v>
      </c>
      <c r="AX23" s="11"/>
      <c r="AY23" s="11">
        <v>7.5</v>
      </c>
      <c r="AZ23" s="11">
        <v>4</v>
      </c>
      <c r="BA23" s="11">
        <v>100</v>
      </c>
      <c r="BB23" s="11">
        <f>SUM(AK23:BA23)</f>
        <v>572</v>
      </c>
      <c r="BC23" s="11">
        <f>(BB23-AK23)/2</f>
        <v>229.75</v>
      </c>
      <c r="BD23" s="11"/>
      <c r="BE23" s="11"/>
      <c r="BF23" s="11"/>
      <c r="BG23" s="11"/>
      <c r="BH23" s="11"/>
      <c r="BI23" s="11"/>
      <c r="BJ23" s="11">
        <f>SUM(BC23:BI23)</f>
        <v>229.75</v>
      </c>
      <c r="BK23" s="11">
        <f>(BJ23-BC23)/2</f>
        <v>0</v>
      </c>
      <c r="BL23" s="11"/>
      <c r="BM23" s="11"/>
      <c r="BN23" s="11"/>
      <c r="BO23" s="11"/>
      <c r="BP23" s="11"/>
      <c r="BQ23" s="11"/>
      <c r="BR23" s="11">
        <f t="shared" si="2"/>
        <v>0</v>
      </c>
      <c r="BT23" s="12">
        <f>SUM(BW23:BZ23)/2</f>
        <v>0</v>
      </c>
      <c r="BU23" s="12">
        <f>AJ23/4</f>
        <v>56.25</v>
      </c>
      <c r="CB23" s="12"/>
      <c r="CC23" s="12"/>
      <c r="CD23" s="12"/>
      <c r="CE23" s="12"/>
      <c r="CF23" s="12"/>
      <c r="CG23" s="12"/>
      <c r="CH23" s="12">
        <v>5</v>
      </c>
      <c r="CI23" s="12">
        <f>SUM(BT23:CH23)</f>
        <v>61.25</v>
      </c>
      <c r="CJ23">
        <f>(CI23-BT23)/2</f>
        <v>30.625</v>
      </c>
      <c r="CK23">
        <f>BB23/4</f>
        <v>143</v>
      </c>
      <c r="CO23">
        <v>35</v>
      </c>
      <c r="CP23">
        <f>SUM(CJ23:CO23)</f>
        <v>208.625</v>
      </c>
      <c r="CQ23">
        <f>(CP23-CJ23)/2</f>
        <v>89</v>
      </c>
      <c r="CR23" s="12">
        <v>22.5</v>
      </c>
      <c r="CS23" s="12"/>
      <c r="CT23" s="8">
        <f t="shared" si="4"/>
        <v>111.5</v>
      </c>
      <c r="CU23" s="8">
        <f t="shared" si="5"/>
        <v>11.25</v>
      </c>
      <c r="CV23" s="10"/>
      <c r="CW23" s="10"/>
      <c r="CX23" s="10"/>
      <c r="CY23" s="8">
        <f t="shared" si="6"/>
        <v>11.25</v>
      </c>
    </row>
    <row r="24" spans="1:103" x14ac:dyDescent="0.25">
      <c r="A24">
        <v>14</v>
      </c>
      <c r="B24" s="18" t="s">
        <v>153</v>
      </c>
      <c r="C24" s="18" t="s">
        <v>220</v>
      </c>
      <c r="D24" s="18" t="s">
        <v>173</v>
      </c>
      <c r="E24" s="18" t="s">
        <v>16</v>
      </c>
      <c r="F24" s="10">
        <v>80</v>
      </c>
      <c r="G24" s="8"/>
      <c r="H24" s="10"/>
      <c r="I24" s="10"/>
      <c r="J24" s="10"/>
      <c r="K24" s="10"/>
      <c r="L24" s="10">
        <v>5</v>
      </c>
      <c r="M24" s="10"/>
      <c r="N24" s="10"/>
      <c r="O24" s="10"/>
      <c r="P24" s="10"/>
      <c r="Q24" s="10">
        <v>36</v>
      </c>
      <c r="R24" s="10">
        <v>4</v>
      </c>
      <c r="S24" s="10">
        <v>120</v>
      </c>
      <c r="T24" s="11">
        <f>SUM(F24:S24)</f>
        <v>245</v>
      </c>
      <c r="U24" s="11">
        <f>T24/2</f>
        <v>122.5</v>
      </c>
      <c r="V24" s="11"/>
      <c r="W24" s="11">
        <v>56</v>
      </c>
      <c r="X24" s="11"/>
      <c r="Y24" s="11"/>
      <c r="Z24" s="11"/>
      <c r="AA24" s="11"/>
      <c r="AB24" s="11">
        <v>100</v>
      </c>
      <c r="AC24" s="11"/>
      <c r="AD24" s="11"/>
      <c r="AE24" s="11"/>
      <c r="AF24" s="11"/>
      <c r="AG24" s="11">
        <v>100</v>
      </c>
      <c r="AH24" s="11"/>
      <c r="AI24" s="11">
        <v>150</v>
      </c>
      <c r="AJ24" s="11">
        <f>SUM(U24:AI24)</f>
        <v>528.5</v>
      </c>
      <c r="AK24" s="11">
        <f>(AJ24-U24)/2</f>
        <v>203</v>
      </c>
      <c r="AL24" s="11" t="s">
        <v>132</v>
      </c>
      <c r="AM24" s="11"/>
      <c r="AN24" s="11"/>
      <c r="AO24" s="11"/>
      <c r="AP24" s="11"/>
      <c r="AQ24" s="11"/>
      <c r="AR24" s="11"/>
      <c r="AS24" s="11" t="s">
        <v>327</v>
      </c>
      <c r="AT24" s="11"/>
      <c r="AU24" s="11"/>
      <c r="AV24" s="11"/>
      <c r="AW24" s="11"/>
      <c r="AX24" s="11"/>
      <c r="AY24" s="11"/>
      <c r="AZ24" s="11"/>
      <c r="BA24" s="11"/>
      <c r="BB24" s="11">
        <f>SUM(AK24:BA24)</f>
        <v>203</v>
      </c>
      <c r="BC24" s="11">
        <f>(BB24-AK24)/2</f>
        <v>0</v>
      </c>
      <c r="BD24" s="11"/>
      <c r="BE24" s="11"/>
      <c r="BF24" s="11"/>
      <c r="BG24" s="11"/>
      <c r="BH24" s="11"/>
      <c r="BI24" s="11"/>
      <c r="BJ24" s="11">
        <f>SUM(BC24:BI24)</f>
        <v>0</v>
      </c>
      <c r="BK24" s="11">
        <f>(BJ24-BC24)/2</f>
        <v>0</v>
      </c>
      <c r="BL24" s="11"/>
      <c r="BM24" s="11"/>
      <c r="BN24" s="11"/>
      <c r="BO24" s="11"/>
      <c r="BP24" s="11"/>
      <c r="BQ24" s="11"/>
      <c r="BR24" s="11">
        <f t="shared" si="2"/>
        <v>0</v>
      </c>
      <c r="BT24" s="12">
        <f>SUM(BW24:BZ24)/2</f>
        <v>0</v>
      </c>
      <c r="BU24" s="12">
        <f>AJ24/4</f>
        <v>132.125</v>
      </c>
      <c r="BV24" s="12">
        <f>T24/2</f>
        <v>122.5</v>
      </c>
      <c r="BW24" s="12"/>
      <c r="BX24" s="12"/>
      <c r="BY24" s="12"/>
      <c r="CA24" s="12">
        <f>SUM(BV24:BX24)</f>
        <v>122.5</v>
      </c>
      <c r="CB24" s="12">
        <v>20</v>
      </c>
      <c r="CC24" s="12">
        <v>5</v>
      </c>
      <c r="CD24" s="12">
        <v>100</v>
      </c>
      <c r="CE24" s="12"/>
      <c r="CF24" s="12">
        <v>70</v>
      </c>
      <c r="CG24" s="12">
        <v>15</v>
      </c>
      <c r="CH24" s="12">
        <v>100</v>
      </c>
      <c r="CI24" s="12">
        <f>SUM(BT24:BU24)+SUM(CB24:CH24)</f>
        <v>442.125</v>
      </c>
      <c r="CJ24">
        <f>(CI24-BT24)/2</f>
        <v>221.0625</v>
      </c>
      <c r="CK24">
        <f>BB24/4</f>
        <v>50.75</v>
      </c>
      <c r="CL24">
        <v>30</v>
      </c>
      <c r="CM24">
        <v>84</v>
      </c>
      <c r="CN24">
        <v>105</v>
      </c>
      <c r="CP24">
        <f>SUM(CJ24:CN24)</f>
        <v>490.8125</v>
      </c>
      <c r="CQ24">
        <f>(CP24-CJ24)/2</f>
        <v>134.875</v>
      </c>
      <c r="CR24" s="12">
        <v>1.5</v>
      </c>
      <c r="CS24" s="12"/>
      <c r="CT24" s="8">
        <f t="shared" si="4"/>
        <v>136.375</v>
      </c>
      <c r="CU24" s="8">
        <f t="shared" si="5"/>
        <v>0.75</v>
      </c>
      <c r="CV24" s="10"/>
      <c r="CW24" s="10"/>
      <c r="CX24" s="10"/>
      <c r="CY24" s="8">
        <f t="shared" si="6"/>
        <v>0.75</v>
      </c>
    </row>
  </sheetData>
  <sortState xmlns:xlrd2="http://schemas.microsoft.com/office/spreadsheetml/2017/richdata2" ref="B11:CY24">
    <sortCondition descending="1" ref="BR11:BR24"/>
  </sortState>
  <mergeCells count="6">
    <mergeCell ref="B1:CY1"/>
    <mergeCell ref="B8:C10"/>
    <mergeCell ref="BF9:BI9"/>
    <mergeCell ref="BN9:BQ9"/>
    <mergeCell ref="D4:BR5"/>
    <mergeCell ref="BT4:CY5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U46"/>
  <sheetViews>
    <sheetView zoomScale="80" zoomScaleNormal="80" workbookViewId="0">
      <selection activeCell="B11" sqref="B11:DU46"/>
    </sheetView>
  </sheetViews>
  <sheetFormatPr baseColWidth="10" defaultRowHeight="15" x14ac:dyDescent="0.25"/>
  <cols>
    <col min="1" max="1" width="3.140625" bestFit="1" customWidth="1"/>
    <col min="2" max="2" width="12.28515625" bestFit="1" customWidth="1"/>
    <col min="3" max="3" width="11.7109375" bestFit="1" customWidth="1"/>
    <col min="4" max="4" width="12" bestFit="1" customWidth="1"/>
    <col min="5" max="5" width="23.5703125" bestFit="1" customWidth="1"/>
    <col min="6" max="9" width="6.42578125" hidden="1" customWidth="1"/>
    <col min="10" max="11" width="7.28515625" style="12" hidden="1" customWidth="1"/>
    <col min="12" max="15" width="6.28515625" style="12" hidden="1" customWidth="1"/>
    <col min="16" max="17" width="6.7109375" style="12" hidden="1" customWidth="1"/>
    <col min="18" max="20" width="7" style="12" hidden="1" customWidth="1"/>
    <col min="21" max="21" width="6" style="12" hidden="1" customWidth="1"/>
    <col min="22" max="23" width="6.7109375" style="12" hidden="1" customWidth="1"/>
    <col min="24" max="25" width="0" hidden="1" customWidth="1"/>
    <col min="26" max="38" width="6" style="12" hidden="1" customWidth="1"/>
    <col min="39" max="40" width="0" hidden="1" customWidth="1"/>
    <col min="41" max="41" width="6" hidden="1" customWidth="1"/>
    <col min="42" max="42" width="10" hidden="1" customWidth="1"/>
    <col min="43" max="48" width="6" hidden="1" customWidth="1"/>
    <col min="49" max="55" width="6" style="12" hidden="1" customWidth="1"/>
    <col min="56" max="56" width="10.28515625" style="12" hidden="1" customWidth="1"/>
    <col min="57" max="62" width="6.140625" style="12" hidden="1" customWidth="1"/>
    <col min="63" max="64" width="0" hidden="1" customWidth="1"/>
    <col min="65" max="65" width="5.28515625" hidden="1" customWidth="1"/>
    <col min="66" max="66" width="7.85546875" style="12" hidden="1" customWidth="1"/>
    <col min="67" max="67" width="8.42578125" style="12" hidden="1" customWidth="1"/>
    <col min="68" max="68" width="9.140625" style="12" hidden="1" customWidth="1"/>
    <col min="69" max="69" width="9" hidden="1" customWidth="1"/>
    <col min="70" max="70" width="7.7109375" hidden="1" customWidth="1"/>
    <col min="73" max="73" width="7.140625" style="12" customWidth="1"/>
    <col min="74" max="74" width="8" style="12" customWidth="1"/>
    <col min="75" max="75" width="7.7109375" style="12" customWidth="1"/>
    <col min="76" max="76" width="6.5703125" customWidth="1"/>
    <col min="81" max="82" width="0" hidden="1" customWidth="1"/>
    <col min="83" max="83" width="10.7109375" hidden="1" customWidth="1"/>
    <col min="84" max="84" width="10.140625" hidden="1" customWidth="1"/>
    <col min="85" max="85" width="6.42578125" hidden="1" customWidth="1"/>
    <col min="86" max="86" width="8.7109375" hidden="1" customWidth="1"/>
    <col min="87" max="91" width="7" style="12" hidden="1" customWidth="1"/>
    <col min="92" max="93" width="0" hidden="1" customWidth="1"/>
    <col min="94" max="94" width="9.7109375" hidden="1" customWidth="1"/>
    <col min="95" max="96" width="9.28515625" style="30" hidden="1" customWidth="1"/>
    <col min="97" max="99" width="7.140625" style="30" hidden="1" customWidth="1"/>
    <col min="100" max="102" width="0" hidden="1" customWidth="1"/>
    <col min="103" max="108" width="6" hidden="1" customWidth="1"/>
    <col min="109" max="110" width="0" hidden="1" customWidth="1"/>
    <col min="111" max="111" width="6.85546875" style="12" hidden="1" customWidth="1"/>
    <col min="112" max="114" width="5.85546875" style="12" hidden="1" customWidth="1"/>
    <col min="115" max="115" width="6.28515625" style="12" hidden="1" customWidth="1"/>
    <col min="118" max="118" width="11.42578125" style="12"/>
    <col min="119" max="119" width="6" style="12" bestFit="1" customWidth="1"/>
    <col min="120" max="124" width="6" style="12" customWidth="1"/>
  </cols>
  <sheetData>
    <row r="1" spans="1:125" ht="26.25" x14ac:dyDescent="0.4">
      <c r="B1" s="80" t="s">
        <v>3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  <c r="CG1" s="80"/>
      <c r="CH1" s="80"/>
      <c r="CI1" s="80"/>
      <c r="CJ1" s="80"/>
      <c r="CK1" s="80"/>
      <c r="CL1" s="80"/>
      <c r="CM1" s="80"/>
      <c r="CN1" s="80"/>
      <c r="CO1" s="80"/>
      <c r="CP1" s="80"/>
      <c r="CQ1" s="80"/>
      <c r="CR1" s="80"/>
      <c r="CS1" s="80"/>
      <c r="CT1" s="80"/>
      <c r="CU1" s="80"/>
      <c r="CV1" s="80"/>
      <c r="CW1" s="80"/>
      <c r="CX1" s="80"/>
      <c r="CY1" s="80"/>
      <c r="CZ1" s="80"/>
      <c r="DA1" s="80"/>
      <c r="DB1" s="80"/>
      <c r="DC1" s="80"/>
      <c r="DD1" s="80"/>
      <c r="DE1" s="80"/>
      <c r="DF1" s="80"/>
      <c r="DG1" s="80"/>
      <c r="DH1" s="80"/>
      <c r="DI1" s="80"/>
      <c r="DJ1" s="80"/>
      <c r="DK1" s="80"/>
      <c r="DL1" s="80"/>
      <c r="DM1" s="80"/>
      <c r="DN1" s="80"/>
      <c r="DO1" s="80"/>
      <c r="DP1" s="80"/>
      <c r="DQ1" s="80"/>
      <c r="DR1" s="80"/>
      <c r="DS1" s="80"/>
      <c r="DT1" s="80"/>
      <c r="DU1" s="80"/>
    </row>
    <row r="2" spans="1:125" ht="15.75" thickBot="1" x14ac:dyDescent="0.3">
      <c r="C2" s="12"/>
      <c r="D2" s="12"/>
      <c r="E2" s="12"/>
    </row>
    <row r="3" spans="1:125" ht="15.75" thickTop="1" x14ac:dyDescent="0.25">
      <c r="B3" s="1" t="s">
        <v>0</v>
      </c>
      <c r="C3" s="4" t="s">
        <v>10</v>
      </c>
    </row>
    <row r="4" spans="1:125" ht="15.75" x14ac:dyDescent="0.25">
      <c r="B4" s="2" t="s">
        <v>1</v>
      </c>
      <c r="C4" s="5" t="s">
        <v>84</v>
      </c>
      <c r="D4" s="81" t="s">
        <v>791</v>
      </c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2"/>
      <c r="BK4" s="82"/>
      <c r="BL4" s="82"/>
      <c r="BM4" s="82"/>
      <c r="BN4" s="82"/>
      <c r="BO4" s="82"/>
      <c r="BP4" s="82"/>
      <c r="BQ4" s="82"/>
      <c r="BR4" s="82"/>
      <c r="BS4" s="82"/>
      <c r="BT4" s="82"/>
      <c r="BU4" s="82"/>
      <c r="BV4" s="82"/>
      <c r="BW4" s="82"/>
      <c r="BX4" s="82"/>
      <c r="BY4" s="82"/>
      <c r="BZ4" s="82"/>
      <c r="CA4" s="82"/>
      <c r="CB4" s="23"/>
      <c r="CE4" s="82" t="s">
        <v>342</v>
      </c>
      <c r="CF4" s="82"/>
      <c r="CG4" s="82"/>
      <c r="CH4" s="82"/>
      <c r="CI4" s="82"/>
      <c r="CJ4" s="82"/>
      <c r="CK4" s="82"/>
      <c r="CL4" s="82"/>
      <c r="CM4" s="82"/>
      <c r="CN4" s="82"/>
      <c r="CO4" s="23"/>
      <c r="CP4" s="23"/>
      <c r="CQ4" s="31"/>
      <c r="CR4" s="31"/>
      <c r="CS4" s="31"/>
      <c r="CT4" s="31"/>
      <c r="CU4" s="31"/>
      <c r="CV4" s="82" t="s">
        <v>792</v>
      </c>
      <c r="CW4" s="82"/>
      <c r="CX4" s="82"/>
      <c r="CY4" s="82"/>
      <c r="CZ4" s="82"/>
      <c r="DA4" s="82"/>
      <c r="DB4" s="82"/>
      <c r="DC4" s="82"/>
      <c r="DD4" s="82"/>
      <c r="DE4" s="82"/>
      <c r="DF4" s="82"/>
      <c r="DG4" s="82"/>
      <c r="DH4" s="82"/>
      <c r="DI4" s="82"/>
      <c r="DJ4" s="82"/>
      <c r="DK4" s="82"/>
      <c r="DL4" s="82"/>
      <c r="DM4" s="82"/>
      <c r="DN4" s="82"/>
      <c r="DO4" s="82"/>
      <c r="DP4" s="82"/>
      <c r="DQ4" s="82"/>
      <c r="DR4" s="82"/>
      <c r="DS4" s="82"/>
      <c r="DT4" s="82"/>
      <c r="DU4" s="82"/>
    </row>
    <row r="5" spans="1:125" ht="16.5" thickBot="1" x14ac:dyDescent="0.3">
      <c r="B5" s="3" t="s">
        <v>2</v>
      </c>
      <c r="C5" s="53">
        <v>-60</v>
      </c>
      <c r="D5" s="81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2"/>
      <c r="BI5" s="82"/>
      <c r="BJ5" s="82"/>
      <c r="BK5" s="82"/>
      <c r="BL5" s="82"/>
      <c r="BM5" s="82"/>
      <c r="BN5" s="82"/>
      <c r="BO5" s="82"/>
      <c r="BP5" s="82"/>
      <c r="BQ5" s="82"/>
      <c r="BR5" s="82"/>
      <c r="BS5" s="82"/>
      <c r="BT5" s="82"/>
      <c r="BU5" s="82"/>
      <c r="BV5" s="82"/>
      <c r="BW5" s="82"/>
      <c r="BX5" s="82"/>
      <c r="BY5" s="82"/>
      <c r="BZ5" s="82"/>
      <c r="CA5" s="82"/>
      <c r="CB5" s="23"/>
      <c r="CE5" s="82"/>
      <c r="CF5" s="82"/>
      <c r="CG5" s="82"/>
      <c r="CH5" s="82"/>
      <c r="CI5" s="82"/>
      <c r="CJ5" s="82"/>
      <c r="CK5" s="82"/>
      <c r="CL5" s="82"/>
      <c r="CM5" s="82"/>
      <c r="CN5" s="82"/>
      <c r="CO5" s="23"/>
      <c r="CP5" s="23"/>
      <c r="CQ5" s="31"/>
      <c r="CR5" s="31"/>
      <c r="CS5" s="31"/>
      <c r="CT5" s="31"/>
      <c r="CU5" s="31"/>
      <c r="CV5" s="82"/>
      <c r="CW5" s="82"/>
      <c r="CX5" s="82"/>
      <c r="CY5" s="82"/>
      <c r="CZ5" s="82"/>
      <c r="DA5" s="82"/>
      <c r="DB5" s="82"/>
      <c r="DC5" s="82"/>
      <c r="DD5" s="82"/>
      <c r="DE5" s="82"/>
      <c r="DF5" s="82"/>
      <c r="DG5" s="82"/>
      <c r="DH5" s="82"/>
      <c r="DI5" s="82"/>
      <c r="DJ5" s="82"/>
      <c r="DK5" s="82"/>
      <c r="DL5" s="82"/>
      <c r="DM5" s="82"/>
      <c r="DN5" s="82"/>
      <c r="DO5" s="82"/>
      <c r="DP5" s="82"/>
      <c r="DQ5" s="82"/>
      <c r="DR5" s="82"/>
      <c r="DS5" s="82"/>
      <c r="DT5" s="82"/>
      <c r="DU5" s="82"/>
    </row>
    <row r="6" spans="1:125" ht="15.75" thickTop="1" x14ac:dyDescent="0.25"/>
    <row r="7" spans="1:125" ht="15.75" thickBot="1" x14ac:dyDescent="0.3"/>
    <row r="8" spans="1:125" ht="15.75" thickTop="1" x14ac:dyDescent="0.25">
      <c r="B8" s="73" t="s">
        <v>61</v>
      </c>
      <c r="C8" s="74"/>
      <c r="D8" s="1"/>
      <c r="E8" s="1"/>
      <c r="F8" s="4" t="s">
        <v>82</v>
      </c>
      <c r="G8" s="4" t="s">
        <v>82</v>
      </c>
      <c r="H8" s="4" t="s">
        <v>82</v>
      </c>
      <c r="I8" s="4" t="s">
        <v>170</v>
      </c>
      <c r="J8" s="4" t="s">
        <v>224</v>
      </c>
      <c r="K8" s="4" t="s">
        <v>82</v>
      </c>
      <c r="L8" s="4" t="s">
        <v>287</v>
      </c>
      <c r="M8" s="4" t="s">
        <v>286</v>
      </c>
      <c r="N8" s="4" t="s">
        <v>289</v>
      </c>
      <c r="O8" s="4" t="s">
        <v>296</v>
      </c>
      <c r="P8" s="4" t="s">
        <v>82</v>
      </c>
      <c r="Q8" s="4" t="s">
        <v>82</v>
      </c>
      <c r="R8" s="4" t="s">
        <v>82</v>
      </c>
      <c r="S8" s="4" t="s">
        <v>82</v>
      </c>
      <c r="T8" s="4" t="s">
        <v>316</v>
      </c>
      <c r="U8" s="4" t="s">
        <v>82</v>
      </c>
      <c r="V8" s="4" t="s">
        <v>334</v>
      </c>
      <c r="W8" s="4" t="s">
        <v>334</v>
      </c>
      <c r="X8" s="1"/>
      <c r="Y8" s="25">
        <v>44927</v>
      </c>
      <c r="Z8" s="29" t="s">
        <v>82</v>
      </c>
      <c r="AA8" s="29" t="s">
        <v>334</v>
      </c>
      <c r="AB8" s="29" t="s">
        <v>82</v>
      </c>
      <c r="AC8" s="29" t="s">
        <v>82</v>
      </c>
      <c r="AD8" s="29" t="s">
        <v>387</v>
      </c>
      <c r="AE8" s="29" t="s">
        <v>387</v>
      </c>
      <c r="AF8" s="29" t="s">
        <v>387</v>
      </c>
      <c r="AG8" s="29" t="s">
        <v>334</v>
      </c>
      <c r="AH8" s="29" t="s">
        <v>82</v>
      </c>
      <c r="AI8" s="29" t="s">
        <v>82</v>
      </c>
      <c r="AJ8" s="29" t="s">
        <v>82</v>
      </c>
      <c r="AK8" s="29" t="s">
        <v>334</v>
      </c>
      <c r="AL8" s="29" t="s">
        <v>339</v>
      </c>
      <c r="AM8" s="1" t="s">
        <v>9</v>
      </c>
      <c r="AN8" s="29">
        <v>45292</v>
      </c>
      <c r="AO8" s="29" t="s">
        <v>82</v>
      </c>
      <c r="AP8" s="29" t="s">
        <v>82</v>
      </c>
      <c r="AQ8" s="29" t="s">
        <v>82</v>
      </c>
      <c r="AR8" s="29" t="s">
        <v>82</v>
      </c>
      <c r="AS8" s="29" t="s">
        <v>82</v>
      </c>
      <c r="AT8" s="29" t="s">
        <v>82</v>
      </c>
      <c r="AU8" s="29" t="s">
        <v>334</v>
      </c>
      <c r="AV8" s="29" t="s">
        <v>82</v>
      </c>
      <c r="AW8" s="29" t="s">
        <v>334</v>
      </c>
      <c r="AX8" s="29" t="s">
        <v>387</v>
      </c>
      <c r="AY8" s="29" t="s">
        <v>387</v>
      </c>
      <c r="AZ8" s="29" t="s">
        <v>387</v>
      </c>
      <c r="BA8" s="29" t="s">
        <v>334</v>
      </c>
      <c r="BB8" s="29" t="s">
        <v>82</v>
      </c>
      <c r="BC8" s="29" t="s">
        <v>82</v>
      </c>
      <c r="BD8" s="29" t="s">
        <v>82</v>
      </c>
      <c r="BE8" s="29" t="s">
        <v>82</v>
      </c>
      <c r="BF8" s="29" t="s">
        <v>82</v>
      </c>
      <c r="BG8" s="29" t="s">
        <v>82</v>
      </c>
      <c r="BH8" s="29" t="s">
        <v>82</v>
      </c>
      <c r="BI8" s="29" t="s">
        <v>334</v>
      </c>
      <c r="BJ8" s="29" t="s">
        <v>339</v>
      </c>
      <c r="BK8" s="29" t="s">
        <v>9</v>
      </c>
      <c r="BL8" s="29">
        <v>45658</v>
      </c>
      <c r="BM8" s="29"/>
      <c r="BN8" s="29"/>
      <c r="BO8" s="59"/>
      <c r="BP8" s="60"/>
      <c r="BQ8" s="50"/>
      <c r="BR8" s="51"/>
      <c r="BS8" s="29" t="s">
        <v>9</v>
      </c>
      <c r="BT8" s="29">
        <v>46023</v>
      </c>
      <c r="BU8" s="29"/>
      <c r="BV8" s="29"/>
      <c r="BW8" s="59"/>
      <c r="BX8" s="60"/>
      <c r="BY8" s="60"/>
      <c r="BZ8" s="61"/>
      <c r="CA8" s="29" t="s">
        <v>612</v>
      </c>
      <c r="CB8" s="42"/>
      <c r="CC8" s="25">
        <v>44927</v>
      </c>
      <c r="CD8" s="1" t="s">
        <v>59</v>
      </c>
      <c r="CE8" s="1" t="s">
        <v>59</v>
      </c>
      <c r="CF8" s="4" t="s">
        <v>58</v>
      </c>
      <c r="CG8" s="4" t="s">
        <v>120</v>
      </c>
      <c r="CH8" s="4" t="s">
        <v>79</v>
      </c>
      <c r="CI8" s="4" t="s">
        <v>79</v>
      </c>
      <c r="CJ8" s="4" t="s">
        <v>79</v>
      </c>
      <c r="CK8" s="4" t="s">
        <v>325</v>
      </c>
      <c r="CL8" s="4" t="s">
        <v>331</v>
      </c>
      <c r="CM8" s="4" t="s">
        <v>79</v>
      </c>
      <c r="CN8" s="1" t="s">
        <v>9</v>
      </c>
      <c r="CO8" s="1" t="s">
        <v>58</v>
      </c>
      <c r="CP8" s="1" t="s">
        <v>349</v>
      </c>
      <c r="CQ8" s="32" t="s">
        <v>381</v>
      </c>
      <c r="CR8" s="32" t="s">
        <v>385</v>
      </c>
      <c r="CS8" s="4" t="s">
        <v>331</v>
      </c>
      <c r="CT8" s="4" t="s">
        <v>443</v>
      </c>
      <c r="CU8" s="4" t="s">
        <v>335</v>
      </c>
      <c r="CV8" s="1" t="s">
        <v>9</v>
      </c>
      <c r="CW8" s="29">
        <v>45292</v>
      </c>
      <c r="CX8" s="4" t="s">
        <v>59</v>
      </c>
      <c r="CY8" s="4" t="s">
        <v>302</v>
      </c>
      <c r="CZ8" s="4" t="s">
        <v>464</v>
      </c>
      <c r="DA8" s="4" t="s">
        <v>120</v>
      </c>
      <c r="DB8" s="4" t="s">
        <v>505</v>
      </c>
      <c r="DC8" s="4" t="s">
        <v>505</v>
      </c>
      <c r="DD8" s="4" t="s">
        <v>335</v>
      </c>
      <c r="DE8" s="4" t="s">
        <v>9</v>
      </c>
      <c r="DF8" s="25">
        <v>45658</v>
      </c>
      <c r="DG8" s="4" t="s">
        <v>464</v>
      </c>
      <c r="DH8" s="4" t="s">
        <v>120</v>
      </c>
      <c r="DI8" s="4" t="s">
        <v>505</v>
      </c>
      <c r="DJ8" s="4" t="s">
        <v>331</v>
      </c>
      <c r="DK8" s="4" t="s">
        <v>335</v>
      </c>
      <c r="DL8" s="1" t="s">
        <v>612</v>
      </c>
      <c r="DM8" s="29">
        <v>46023</v>
      </c>
      <c r="DN8" s="4" t="s">
        <v>58</v>
      </c>
      <c r="DO8" s="4" t="s">
        <v>120</v>
      </c>
      <c r="DP8" s="4" t="s">
        <v>505</v>
      </c>
      <c r="DQ8" s="4" t="s">
        <v>505</v>
      </c>
      <c r="DR8" s="4" t="s">
        <v>331</v>
      </c>
      <c r="DS8" s="4" t="s">
        <v>302</v>
      </c>
      <c r="DT8" s="4" t="s">
        <v>77</v>
      </c>
      <c r="DU8" s="1" t="s">
        <v>9</v>
      </c>
    </row>
    <row r="9" spans="1:125" x14ac:dyDescent="0.25">
      <c r="B9" s="75"/>
      <c r="C9" s="76"/>
      <c r="D9" s="2"/>
      <c r="E9" s="2"/>
      <c r="F9" s="14" t="s">
        <v>83</v>
      </c>
      <c r="G9" s="14" t="s">
        <v>156</v>
      </c>
      <c r="H9" s="14" t="s">
        <v>85</v>
      </c>
      <c r="I9" s="14" t="s">
        <v>171</v>
      </c>
      <c r="J9" s="14" t="s">
        <v>225</v>
      </c>
      <c r="K9" s="14" t="s">
        <v>266</v>
      </c>
      <c r="L9" s="14" t="s">
        <v>278</v>
      </c>
      <c r="M9" s="14" t="s">
        <v>284</v>
      </c>
      <c r="N9" s="14" t="s">
        <v>290</v>
      </c>
      <c r="O9" s="14" t="s">
        <v>171</v>
      </c>
      <c r="P9" s="14" t="s">
        <v>85</v>
      </c>
      <c r="Q9" s="14" t="s">
        <v>308</v>
      </c>
      <c r="R9" s="14" t="s">
        <v>156</v>
      </c>
      <c r="S9" s="14" t="s">
        <v>314</v>
      </c>
      <c r="T9" s="14" t="s">
        <v>317</v>
      </c>
      <c r="U9" s="14" t="s">
        <v>314</v>
      </c>
      <c r="V9" s="14" t="s">
        <v>335</v>
      </c>
      <c r="W9" s="14" t="s">
        <v>339</v>
      </c>
      <c r="X9" s="2" t="s">
        <v>9</v>
      </c>
      <c r="Y9" s="2"/>
      <c r="Z9" s="5" t="s">
        <v>132</v>
      </c>
      <c r="AA9" s="5" t="s">
        <v>287</v>
      </c>
      <c r="AB9" s="5" t="s">
        <v>314</v>
      </c>
      <c r="AC9" s="5" t="s">
        <v>266</v>
      </c>
      <c r="AD9" s="5" t="s">
        <v>286</v>
      </c>
      <c r="AE9" s="5" t="s">
        <v>289</v>
      </c>
      <c r="AF9" s="5" t="s">
        <v>287</v>
      </c>
      <c r="AG9" s="5" t="s">
        <v>286</v>
      </c>
      <c r="AH9" s="5" t="s">
        <v>420</v>
      </c>
      <c r="AI9" s="5" t="s">
        <v>266</v>
      </c>
      <c r="AJ9" s="5" t="s">
        <v>314</v>
      </c>
      <c r="AK9" s="5" t="s">
        <v>289</v>
      </c>
      <c r="AL9" s="5"/>
      <c r="AM9" s="2"/>
      <c r="AN9" s="5"/>
      <c r="AO9" s="5" t="s">
        <v>266</v>
      </c>
      <c r="AP9" s="5" t="s">
        <v>486</v>
      </c>
      <c r="AQ9" s="5" t="s">
        <v>304</v>
      </c>
      <c r="AR9" s="5" t="s">
        <v>492</v>
      </c>
      <c r="AS9" s="5" t="s">
        <v>420</v>
      </c>
      <c r="AT9" s="5" t="s">
        <v>308</v>
      </c>
      <c r="AU9" s="5" t="s">
        <v>286</v>
      </c>
      <c r="AV9" s="5" t="s">
        <v>434</v>
      </c>
      <c r="AW9" s="5" t="s">
        <v>524</v>
      </c>
      <c r="AX9" s="5" t="s">
        <v>286</v>
      </c>
      <c r="AY9" s="5" t="s">
        <v>287</v>
      </c>
      <c r="AZ9" s="5" t="s">
        <v>289</v>
      </c>
      <c r="BA9" s="5" t="s">
        <v>287</v>
      </c>
      <c r="BB9" s="5" t="s">
        <v>492</v>
      </c>
      <c r="BC9" s="5" t="s">
        <v>420</v>
      </c>
      <c r="BD9" s="5" t="s">
        <v>486</v>
      </c>
      <c r="BE9" s="5" t="s">
        <v>132</v>
      </c>
      <c r="BF9" s="5" t="s">
        <v>308</v>
      </c>
      <c r="BG9" s="5" t="s">
        <v>167</v>
      </c>
      <c r="BH9" s="5" t="s">
        <v>261</v>
      </c>
      <c r="BI9" s="5" t="s">
        <v>289</v>
      </c>
      <c r="BJ9" s="5" t="s">
        <v>606</v>
      </c>
      <c r="BK9" s="5"/>
      <c r="BL9" s="5"/>
      <c r="BM9" s="14" t="s">
        <v>82</v>
      </c>
      <c r="BN9" s="14" t="s">
        <v>387</v>
      </c>
      <c r="BO9" s="77" t="s">
        <v>608</v>
      </c>
      <c r="BP9" s="78"/>
      <c r="BQ9" s="78"/>
      <c r="BR9" s="79"/>
      <c r="BS9" s="5"/>
      <c r="BT9" s="5"/>
      <c r="BU9" s="14" t="s">
        <v>82</v>
      </c>
      <c r="BV9" s="14" t="s">
        <v>387</v>
      </c>
      <c r="BW9" s="77" t="s">
        <v>608</v>
      </c>
      <c r="BX9" s="78"/>
      <c r="BY9" s="78"/>
      <c r="BZ9" s="79"/>
      <c r="CA9" s="14"/>
      <c r="CB9" s="12"/>
      <c r="CC9" s="2"/>
      <c r="CD9" s="2" t="s">
        <v>60</v>
      </c>
      <c r="CE9" s="2" t="s">
        <v>60</v>
      </c>
      <c r="CF9" s="5"/>
      <c r="CG9" s="5" t="s">
        <v>121</v>
      </c>
      <c r="CH9" s="5" t="s">
        <v>312</v>
      </c>
      <c r="CI9" s="5" t="s">
        <v>121</v>
      </c>
      <c r="CJ9" s="5" t="s">
        <v>292</v>
      </c>
      <c r="CK9" s="5" t="s">
        <v>326</v>
      </c>
      <c r="CL9" s="5" t="s">
        <v>332</v>
      </c>
      <c r="CM9" s="5" t="s">
        <v>332</v>
      </c>
      <c r="CN9" s="2"/>
      <c r="CO9" s="2"/>
      <c r="CP9" s="2"/>
      <c r="CQ9" s="33"/>
      <c r="CR9" s="33"/>
      <c r="CS9" s="5" t="s">
        <v>326</v>
      </c>
      <c r="CT9" s="5" t="s">
        <v>444</v>
      </c>
      <c r="CU9" s="5" t="s">
        <v>444</v>
      </c>
      <c r="CV9" s="2"/>
      <c r="CW9" s="12"/>
      <c r="CX9" s="5" t="s">
        <v>60</v>
      </c>
      <c r="CY9" s="5" t="s">
        <v>456</v>
      </c>
      <c r="CZ9" s="5"/>
      <c r="DA9" s="5" t="s">
        <v>501</v>
      </c>
      <c r="DB9" s="5" t="s">
        <v>444</v>
      </c>
      <c r="DC9" s="5" t="s">
        <v>292</v>
      </c>
      <c r="DD9" s="5" t="s">
        <v>171</v>
      </c>
      <c r="DE9" s="5"/>
      <c r="DF9" s="2"/>
      <c r="DG9" s="5"/>
      <c r="DH9" s="5" t="s">
        <v>444</v>
      </c>
      <c r="DI9" s="5" t="s">
        <v>584</v>
      </c>
      <c r="DJ9" s="5" t="s">
        <v>326</v>
      </c>
      <c r="DK9" s="5" t="s">
        <v>171</v>
      </c>
      <c r="DL9" s="2"/>
      <c r="DM9" s="5"/>
      <c r="DN9" s="5"/>
      <c r="DO9" s="5" t="s">
        <v>225</v>
      </c>
      <c r="DP9" s="5" t="s">
        <v>332</v>
      </c>
      <c r="DQ9" s="5" t="s">
        <v>444</v>
      </c>
      <c r="DR9" s="5" t="s">
        <v>444</v>
      </c>
      <c r="DS9" s="5" t="s">
        <v>544</v>
      </c>
      <c r="DT9" s="5" t="s">
        <v>900</v>
      </c>
      <c r="DU9" s="2"/>
    </row>
    <row r="10" spans="1:125" x14ac:dyDescent="0.25">
      <c r="B10" s="83"/>
      <c r="C10" s="84"/>
      <c r="D10" s="2" t="s">
        <v>4</v>
      </c>
      <c r="E10" s="2" t="s">
        <v>5</v>
      </c>
      <c r="F10" s="15">
        <v>44653</v>
      </c>
      <c r="G10" s="15">
        <v>44654</v>
      </c>
      <c r="H10" s="15">
        <v>44660</v>
      </c>
      <c r="I10" s="5" t="s">
        <v>172</v>
      </c>
      <c r="J10" s="15">
        <v>44695</v>
      </c>
      <c r="K10" s="15">
        <v>44709</v>
      </c>
      <c r="L10" s="15">
        <v>44730</v>
      </c>
      <c r="M10" s="15">
        <v>44730</v>
      </c>
      <c r="N10" s="15">
        <v>44737</v>
      </c>
      <c r="O10" s="15">
        <v>44758</v>
      </c>
      <c r="P10" s="15">
        <v>44793</v>
      </c>
      <c r="Q10" s="15">
        <v>44800</v>
      </c>
      <c r="R10" s="15">
        <v>44807</v>
      </c>
      <c r="S10" s="15">
        <v>44814</v>
      </c>
      <c r="T10" s="15">
        <v>44828</v>
      </c>
      <c r="U10" s="15">
        <v>44856</v>
      </c>
      <c r="V10" s="15">
        <v>44891</v>
      </c>
      <c r="W10" s="15">
        <v>44905</v>
      </c>
      <c r="X10" s="2">
        <v>2022</v>
      </c>
      <c r="Y10" s="2"/>
      <c r="Z10" s="5" t="s">
        <v>353</v>
      </c>
      <c r="AA10" s="5" t="s">
        <v>172</v>
      </c>
      <c r="AB10" s="5" t="s">
        <v>379</v>
      </c>
      <c r="AC10" s="5" t="s">
        <v>382</v>
      </c>
      <c r="AD10" s="5" t="s">
        <v>388</v>
      </c>
      <c r="AE10" s="5" t="s">
        <v>396</v>
      </c>
      <c r="AF10" s="5" t="s">
        <v>400</v>
      </c>
      <c r="AG10" s="5" t="s">
        <v>412</v>
      </c>
      <c r="AH10" s="5" t="s">
        <v>421</v>
      </c>
      <c r="AI10" s="5" t="s">
        <v>424</v>
      </c>
      <c r="AJ10" s="5" t="s">
        <v>424</v>
      </c>
      <c r="AK10" s="5" t="s">
        <v>432</v>
      </c>
      <c r="AL10" s="5" t="s">
        <v>453</v>
      </c>
      <c r="AM10" s="2">
        <v>2023</v>
      </c>
      <c r="AN10" s="35"/>
      <c r="AO10" s="35" t="s">
        <v>479</v>
      </c>
      <c r="AP10" s="35" t="s">
        <v>479</v>
      </c>
      <c r="AQ10" s="35" t="s">
        <v>479</v>
      </c>
      <c r="AR10" s="35" t="s">
        <v>479</v>
      </c>
      <c r="AS10" s="35" t="s">
        <v>479</v>
      </c>
      <c r="AT10" s="35" t="s">
        <v>479</v>
      </c>
      <c r="AU10" s="35" t="s">
        <v>513</v>
      </c>
      <c r="AV10" s="35" t="s">
        <v>530</v>
      </c>
      <c r="AW10" s="35" t="s">
        <v>525</v>
      </c>
      <c r="AX10" s="35" t="s">
        <v>534</v>
      </c>
      <c r="AY10" s="35" t="s">
        <v>534</v>
      </c>
      <c r="AZ10" s="35" t="s">
        <v>546</v>
      </c>
      <c r="BA10" s="35" t="s">
        <v>550</v>
      </c>
      <c r="BB10" s="35" t="s">
        <v>564</v>
      </c>
      <c r="BC10" s="35" t="s">
        <v>559</v>
      </c>
      <c r="BD10" s="35" t="s">
        <v>567</v>
      </c>
      <c r="BE10" s="35" t="s">
        <v>567</v>
      </c>
      <c r="BF10" s="35" t="s">
        <v>567</v>
      </c>
      <c r="BG10" s="35" t="s">
        <v>573</v>
      </c>
      <c r="BH10" s="35" t="s">
        <v>573</v>
      </c>
      <c r="BI10" s="35" t="s">
        <v>587</v>
      </c>
      <c r="BJ10" s="35" t="s">
        <v>607</v>
      </c>
      <c r="BK10" s="35">
        <v>2024</v>
      </c>
      <c r="BL10" s="5"/>
      <c r="BM10" s="5"/>
      <c r="BN10" s="5"/>
      <c r="BO10" s="5">
        <v>1</v>
      </c>
      <c r="BP10" s="5">
        <v>2</v>
      </c>
      <c r="BQ10" s="5">
        <v>3</v>
      </c>
      <c r="BR10" s="5">
        <v>4</v>
      </c>
      <c r="BS10" s="5">
        <v>2025</v>
      </c>
      <c r="BT10" s="5"/>
      <c r="BU10" s="5"/>
      <c r="BV10" s="5"/>
      <c r="BW10" s="5">
        <v>1</v>
      </c>
      <c r="BX10" s="5">
        <v>2</v>
      </c>
      <c r="BY10" s="5">
        <v>3</v>
      </c>
      <c r="BZ10" s="5">
        <v>4</v>
      </c>
      <c r="CA10" s="5">
        <v>2026</v>
      </c>
      <c r="CB10" s="12"/>
      <c r="CC10" s="2"/>
      <c r="CD10" s="2"/>
      <c r="CE10" s="2"/>
      <c r="CF10" s="14">
        <v>44562</v>
      </c>
      <c r="CG10" s="14">
        <v>44652</v>
      </c>
      <c r="CH10" s="14">
        <v>44805</v>
      </c>
      <c r="CI10" s="14">
        <v>44821</v>
      </c>
      <c r="CJ10" s="14">
        <v>44805</v>
      </c>
      <c r="CK10" s="14">
        <v>44835</v>
      </c>
      <c r="CL10" s="14">
        <v>44868</v>
      </c>
      <c r="CM10" s="14">
        <v>44866</v>
      </c>
      <c r="CN10" s="2">
        <v>2022</v>
      </c>
      <c r="CO10" s="7">
        <v>44927</v>
      </c>
      <c r="CP10" s="7">
        <v>44986</v>
      </c>
      <c r="CQ10" s="34">
        <v>45080</v>
      </c>
      <c r="CR10" s="34">
        <v>45087</v>
      </c>
      <c r="CS10" s="14">
        <v>45139</v>
      </c>
      <c r="CT10" s="14">
        <v>45227</v>
      </c>
      <c r="CU10" s="14">
        <v>45255</v>
      </c>
      <c r="CV10" s="2">
        <v>2023</v>
      </c>
      <c r="CW10" s="12"/>
      <c r="CX10" s="5"/>
      <c r="CY10" s="5" t="s">
        <v>457</v>
      </c>
      <c r="CZ10" s="5" t="s">
        <v>465</v>
      </c>
      <c r="DA10" s="5" t="s">
        <v>502</v>
      </c>
      <c r="DB10" s="5" t="s">
        <v>506</v>
      </c>
      <c r="DC10" s="5" t="s">
        <v>572</v>
      </c>
      <c r="DD10" s="5" t="s">
        <v>600</v>
      </c>
      <c r="DE10" s="5">
        <v>2024</v>
      </c>
      <c r="DF10" s="2"/>
      <c r="DG10" s="5" t="s">
        <v>610</v>
      </c>
      <c r="DH10" s="5" t="s">
        <v>649</v>
      </c>
      <c r="DI10" s="5" t="s">
        <v>729</v>
      </c>
      <c r="DJ10" s="5" t="s">
        <v>769</v>
      </c>
      <c r="DK10" s="5" t="s">
        <v>600</v>
      </c>
      <c r="DL10" s="2">
        <v>2025</v>
      </c>
      <c r="DM10" s="5"/>
      <c r="DN10" s="5" t="s">
        <v>849</v>
      </c>
      <c r="DO10" s="5" t="s">
        <v>850</v>
      </c>
      <c r="DP10" s="5" t="s">
        <v>879</v>
      </c>
      <c r="DQ10" s="5" t="s">
        <v>880</v>
      </c>
      <c r="DR10" s="5" t="s">
        <v>729</v>
      </c>
      <c r="DS10" s="5" t="s">
        <v>887</v>
      </c>
      <c r="DT10" s="5" t="s">
        <v>901</v>
      </c>
      <c r="DU10" s="2">
        <v>2026</v>
      </c>
    </row>
    <row r="11" spans="1:125" x14ac:dyDescent="0.25">
      <c r="A11">
        <v>1</v>
      </c>
      <c r="B11" s="17" t="s">
        <v>89</v>
      </c>
      <c r="C11" s="17" t="s">
        <v>90</v>
      </c>
      <c r="D11" s="26" t="s">
        <v>25</v>
      </c>
      <c r="E11" s="26" t="s">
        <v>648</v>
      </c>
      <c r="F11" s="8"/>
      <c r="G11" s="8"/>
      <c r="H11" s="8"/>
      <c r="I11" s="8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8"/>
      <c r="Y11" s="8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10">
        <v>70</v>
      </c>
      <c r="AX11" s="10"/>
      <c r="AY11" s="10">
        <v>56</v>
      </c>
      <c r="AZ11" s="10"/>
      <c r="BA11" s="10"/>
      <c r="BB11" s="10">
        <v>60</v>
      </c>
      <c r="BC11" s="10"/>
      <c r="BD11" s="10"/>
      <c r="BE11" s="10"/>
      <c r="BF11" s="10"/>
      <c r="BG11" s="10"/>
      <c r="BH11" s="10"/>
      <c r="BI11" s="10"/>
      <c r="BJ11" s="10"/>
      <c r="BK11" s="11">
        <f>SUM(AN11:BJ11)</f>
        <v>186</v>
      </c>
      <c r="BL11" s="11">
        <f>(BK11-AN11)/2</f>
        <v>93</v>
      </c>
      <c r="BM11" s="11"/>
      <c r="BN11" s="11"/>
      <c r="BO11" s="11">
        <v>150</v>
      </c>
      <c r="BP11" s="11">
        <v>100</v>
      </c>
      <c r="BQ11" s="11">
        <v>150</v>
      </c>
      <c r="BR11" s="11">
        <v>200</v>
      </c>
      <c r="BS11" s="11">
        <f t="shared" ref="BS11:BS16" si="0">SUM(BL11:BR11)</f>
        <v>693</v>
      </c>
      <c r="BT11" s="11">
        <f t="shared" ref="BT11:BT16" si="1">(BS11-BL11)/2</f>
        <v>300</v>
      </c>
      <c r="BU11" s="11">
        <v>60</v>
      </c>
      <c r="BV11" s="11">
        <v>80</v>
      </c>
      <c r="BW11" s="11">
        <v>150</v>
      </c>
      <c r="BX11" s="11"/>
      <c r="BY11" s="11"/>
      <c r="BZ11" s="11"/>
      <c r="CA11" s="11">
        <f t="shared" ref="CA11:CA46" si="2">SUM(BT11:BZ11)</f>
        <v>590</v>
      </c>
      <c r="CB11" s="56"/>
      <c r="CC11" s="8"/>
      <c r="CD11" s="8"/>
      <c r="CE11" s="8"/>
      <c r="CF11" s="8"/>
      <c r="CG11" s="8"/>
      <c r="CH11" s="8"/>
      <c r="CI11" s="10"/>
      <c r="CJ11" s="10"/>
      <c r="CK11" s="10"/>
      <c r="CL11" s="10"/>
      <c r="CM11" s="10"/>
      <c r="CN11" s="8"/>
      <c r="CO11" s="8"/>
      <c r="CP11" s="8"/>
      <c r="CQ11" s="38"/>
      <c r="CR11" s="38"/>
      <c r="CS11" s="38"/>
      <c r="CT11" s="38"/>
      <c r="CU11" s="38"/>
      <c r="CV11" s="10">
        <f>CC11+CD11+SUM(CO11:CU11)</f>
        <v>0</v>
      </c>
      <c r="CW11" s="8">
        <f>(CV11-CC11)/2</f>
        <v>0</v>
      </c>
      <c r="CX11" s="8">
        <f>BK11/4</f>
        <v>46.5</v>
      </c>
      <c r="CY11" s="8"/>
      <c r="CZ11" s="8"/>
      <c r="DA11" s="8"/>
      <c r="DB11" s="8"/>
      <c r="DC11" s="8"/>
      <c r="DD11" s="8">
        <v>50</v>
      </c>
      <c r="DE11" s="8">
        <f>SUM(CW11:DD11)</f>
        <v>96.5</v>
      </c>
      <c r="DF11" s="8">
        <f>(DE11-CW11)/2</f>
        <v>48.25</v>
      </c>
      <c r="DG11" s="10">
        <v>35</v>
      </c>
      <c r="DH11" s="10">
        <v>15</v>
      </c>
      <c r="DI11" s="10">
        <v>24</v>
      </c>
      <c r="DJ11" s="10">
        <v>100</v>
      </c>
      <c r="DK11" s="10">
        <v>50</v>
      </c>
      <c r="DL11" s="8">
        <f>SUM(DF11:DK11)</f>
        <v>272.25</v>
      </c>
      <c r="DM11" s="8">
        <f t="shared" ref="DM11:DM46" si="3">(DL11-DF11)/2</f>
        <v>112</v>
      </c>
      <c r="DN11" s="10">
        <v>30</v>
      </c>
      <c r="DO11" s="10">
        <v>78</v>
      </c>
      <c r="DP11" s="10">
        <v>54</v>
      </c>
      <c r="DQ11" s="10">
        <v>7.5</v>
      </c>
      <c r="DR11" s="10">
        <v>50</v>
      </c>
      <c r="DS11" s="10">
        <v>15</v>
      </c>
      <c r="DT11" s="10">
        <v>80</v>
      </c>
      <c r="DU11" s="26">
        <f>SUM(DM11:DT11)</f>
        <v>426.5</v>
      </c>
    </row>
    <row r="12" spans="1:125" x14ac:dyDescent="0.25">
      <c r="A12">
        <v>2</v>
      </c>
      <c r="B12" s="58" t="s">
        <v>145</v>
      </c>
      <c r="C12" s="28"/>
      <c r="D12" s="28" t="s">
        <v>27</v>
      </c>
      <c r="E12" s="28" t="s">
        <v>470</v>
      </c>
      <c r="F12" s="8"/>
      <c r="G12" s="8"/>
      <c r="H12" s="8"/>
      <c r="I12" s="8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>
        <v>5</v>
      </c>
      <c r="W12" s="10"/>
      <c r="X12" s="11">
        <f>SUM(F12:W12)</f>
        <v>5</v>
      </c>
      <c r="Y12" s="11">
        <f>X12/2</f>
        <v>2.5</v>
      </c>
      <c r="Z12" s="11"/>
      <c r="AA12" s="11">
        <v>5</v>
      </c>
      <c r="AB12" s="11">
        <v>33.6</v>
      </c>
      <c r="AC12" s="11"/>
      <c r="AD12" s="11"/>
      <c r="AE12" s="11"/>
      <c r="AF12" s="11">
        <v>44.8</v>
      </c>
      <c r="AG12" s="11"/>
      <c r="AH12" s="11"/>
      <c r="AI12" s="11"/>
      <c r="AJ12" s="11"/>
      <c r="AK12" s="11"/>
      <c r="AL12" s="11"/>
      <c r="AM12" s="11">
        <f>SUM(Y12:AL12)</f>
        <v>85.9</v>
      </c>
      <c r="AN12" s="11">
        <f>(AM12-Y12)/2</f>
        <v>41.7</v>
      </c>
      <c r="AO12" s="11"/>
      <c r="AP12" s="11"/>
      <c r="AQ12" s="11"/>
      <c r="AR12" s="11"/>
      <c r="AS12" s="11"/>
      <c r="AT12" s="11"/>
      <c r="AU12" s="11"/>
      <c r="AV12" s="11"/>
      <c r="AW12" s="11">
        <v>5</v>
      </c>
      <c r="AX12" s="11"/>
      <c r="AY12" s="11"/>
      <c r="AZ12" s="11"/>
      <c r="BA12" s="11">
        <v>29</v>
      </c>
      <c r="BB12" s="11">
        <v>30</v>
      </c>
      <c r="BC12" s="11"/>
      <c r="BD12" s="11"/>
      <c r="BE12" s="11"/>
      <c r="BF12" s="11"/>
      <c r="BG12" s="11"/>
      <c r="BH12" s="11"/>
      <c r="BI12" s="11"/>
      <c r="BJ12" s="11"/>
      <c r="BK12" s="11">
        <f>SUM(AN12:BJ12)</f>
        <v>105.7</v>
      </c>
      <c r="BL12" s="11">
        <f>(BK12-AN12)/2</f>
        <v>32</v>
      </c>
      <c r="BM12" s="11">
        <v>48</v>
      </c>
      <c r="BN12" s="11">
        <v>48</v>
      </c>
      <c r="BO12" s="11">
        <v>7.5</v>
      </c>
      <c r="BP12" s="11">
        <v>80</v>
      </c>
      <c r="BQ12" s="11">
        <v>44.8</v>
      </c>
      <c r="BR12" s="11">
        <v>72</v>
      </c>
      <c r="BS12" s="11">
        <f t="shared" si="0"/>
        <v>332.3</v>
      </c>
      <c r="BT12" s="11">
        <f t="shared" si="1"/>
        <v>150.15</v>
      </c>
      <c r="BU12" s="11">
        <v>48</v>
      </c>
      <c r="BV12" s="11">
        <v>4</v>
      </c>
      <c r="BW12" s="11">
        <v>54</v>
      </c>
      <c r="BX12" s="11">
        <v>42</v>
      </c>
      <c r="BY12" s="11"/>
      <c r="BZ12" s="11"/>
      <c r="CA12" s="11">
        <f t="shared" si="2"/>
        <v>298.14999999999998</v>
      </c>
      <c r="CB12" s="56"/>
      <c r="CC12" s="10">
        <f>SUM(CG12:CM12)/2</f>
        <v>0</v>
      </c>
      <c r="CD12" s="10">
        <f>AM12/4</f>
        <v>21.475000000000001</v>
      </c>
      <c r="CE12" s="10">
        <f>X12/2</f>
        <v>2.5</v>
      </c>
      <c r="CF12" s="10"/>
      <c r="CG12" s="10"/>
      <c r="CH12" s="10"/>
      <c r="CI12" s="10"/>
      <c r="CJ12" s="10"/>
      <c r="CK12" s="10"/>
      <c r="CL12" s="10"/>
      <c r="CM12" s="10"/>
      <c r="CN12" s="10">
        <f>SUM(CE12:CG12)</f>
        <v>2.5</v>
      </c>
      <c r="CO12" s="10"/>
      <c r="CP12" s="10"/>
      <c r="CQ12" s="10"/>
      <c r="CR12" s="10"/>
      <c r="CS12" s="10"/>
      <c r="CT12" s="10"/>
      <c r="CU12" s="10"/>
      <c r="CV12" s="10">
        <f>CC12+CD12+SUM(CO12:CU12)</f>
        <v>21.475000000000001</v>
      </c>
      <c r="CW12" s="8">
        <f>(CV12-CC12)/2</f>
        <v>10.737500000000001</v>
      </c>
      <c r="CX12" s="8">
        <f>BK12/4</f>
        <v>26.425000000000001</v>
      </c>
      <c r="CY12" s="8"/>
      <c r="CZ12" s="8">
        <v>18</v>
      </c>
      <c r="DA12" s="8"/>
      <c r="DB12" s="8">
        <v>7.5</v>
      </c>
      <c r="DC12" s="8"/>
      <c r="DD12" s="8">
        <v>35</v>
      </c>
      <c r="DE12" s="8">
        <f>SUM(CW12:DD12)</f>
        <v>97.662499999999994</v>
      </c>
      <c r="DF12" s="8">
        <f>(DE12-CW12)/2</f>
        <v>43.462499999999999</v>
      </c>
      <c r="DG12" s="10">
        <f>15+(15*3/4)</f>
        <v>26.25</v>
      </c>
      <c r="DH12" s="10"/>
      <c r="DI12" s="10"/>
      <c r="DJ12" s="10"/>
      <c r="DK12" s="10">
        <v>25</v>
      </c>
      <c r="DL12" s="8">
        <f>SUM(DF12:DK12)</f>
        <v>94.712500000000006</v>
      </c>
      <c r="DM12" s="8">
        <f t="shared" si="3"/>
        <v>25.625000000000004</v>
      </c>
      <c r="DN12" s="10"/>
      <c r="DO12" s="10"/>
      <c r="DP12" s="10"/>
      <c r="DQ12" s="10"/>
      <c r="DR12" s="10"/>
      <c r="DS12" s="10"/>
      <c r="DT12" s="10"/>
      <c r="DU12" s="28">
        <f>SUM(DM12:DN12)</f>
        <v>25.625000000000004</v>
      </c>
    </row>
    <row r="13" spans="1:125" x14ac:dyDescent="0.25">
      <c r="A13">
        <v>3</v>
      </c>
      <c r="B13" s="10" t="s">
        <v>135</v>
      </c>
      <c r="C13" s="8"/>
      <c r="D13" s="8" t="s">
        <v>203</v>
      </c>
      <c r="E13" s="8" t="s">
        <v>7</v>
      </c>
      <c r="F13" s="8"/>
      <c r="G13" s="8"/>
      <c r="H13" s="8"/>
      <c r="I13" s="8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8"/>
      <c r="Y13" s="8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8"/>
      <c r="BL13" s="8"/>
      <c r="BM13" s="8">
        <v>48</v>
      </c>
      <c r="BN13" s="10">
        <v>48</v>
      </c>
      <c r="BO13" s="10">
        <v>54</v>
      </c>
      <c r="BP13" s="10">
        <v>7.5</v>
      </c>
      <c r="BQ13" s="8">
        <v>100</v>
      </c>
      <c r="BR13" s="8"/>
      <c r="BS13" s="11">
        <f t="shared" si="0"/>
        <v>257.5</v>
      </c>
      <c r="BT13" s="11">
        <f t="shared" si="1"/>
        <v>128.75</v>
      </c>
      <c r="BU13" s="11"/>
      <c r="BV13" s="11"/>
      <c r="BW13" s="11">
        <v>105</v>
      </c>
      <c r="BX13" s="11"/>
      <c r="BY13" s="11"/>
      <c r="BZ13" s="11"/>
      <c r="CA13" s="11">
        <f t="shared" si="2"/>
        <v>233.75</v>
      </c>
      <c r="CB13" s="56"/>
      <c r="CC13" s="8"/>
      <c r="CD13" s="8"/>
      <c r="CE13" s="8"/>
      <c r="CF13" s="8"/>
      <c r="CG13" s="8"/>
      <c r="CH13" s="8"/>
      <c r="CI13" s="10"/>
      <c r="CJ13" s="10"/>
      <c r="CK13" s="10"/>
      <c r="CL13" s="10"/>
      <c r="CM13" s="10"/>
      <c r="CN13" s="8"/>
      <c r="CO13" s="8"/>
      <c r="CP13" s="8"/>
      <c r="CQ13" s="38"/>
      <c r="CR13" s="38"/>
      <c r="CS13" s="38"/>
      <c r="CT13" s="38"/>
      <c r="CU13" s="3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10"/>
      <c r="DH13" s="10"/>
      <c r="DI13" s="10"/>
      <c r="DJ13" s="10"/>
      <c r="DK13" s="10"/>
      <c r="DL13" s="8">
        <f>SUM(DF13:DK13)</f>
        <v>0</v>
      </c>
      <c r="DM13" s="8">
        <f t="shared" si="3"/>
        <v>0</v>
      </c>
      <c r="DN13" s="10">
        <v>22.5</v>
      </c>
      <c r="DO13" s="10"/>
      <c r="DP13" s="10"/>
      <c r="DQ13" s="10"/>
      <c r="DR13" s="10"/>
      <c r="DS13" s="10"/>
      <c r="DT13" s="10"/>
      <c r="DU13" s="8">
        <f>SUM(DM13:DN13)</f>
        <v>22.5</v>
      </c>
    </row>
    <row r="14" spans="1:125" x14ac:dyDescent="0.25">
      <c r="A14">
        <v>4</v>
      </c>
      <c r="B14" s="19" t="s">
        <v>187</v>
      </c>
      <c r="C14" s="19" t="s">
        <v>219</v>
      </c>
      <c r="D14" s="18" t="s">
        <v>188</v>
      </c>
      <c r="E14" s="18" t="s">
        <v>31</v>
      </c>
      <c r="F14" s="8"/>
      <c r="G14" s="8"/>
      <c r="H14" s="8"/>
      <c r="I14" s="10">
        <v>100</v>
      </c>
      <c r="J14" s="10">
        <v>50</v>
      </c>
      <c r="K14" s="10"/>
      <c r="L14" s="10"/>
      <c r="M14" s="10"/>
      <c r="N14" s="10"/>
      <c r="O14" s="10">
        <v>50</v>
      </c>
      <c r="P14" s="10"/>
      <c r="Q14" s="10"/>
      <c r="R14" s="10"/>
      <c r="S14" s="10">
        <v>2.4</v>
      </c>
      <c r="T14" s="10"/>
      <c r="U14" s="10">
        <v>33.6</v>
      </c>
      <c r="V14" s="10">
        <v>50</v>
      </c>
      <c r="W14" s="10"/>
      <c r="X14" s="11">
        <f>SUM(F14:W14)</f>
        <v>286</v>
      </c>
      <c r="Y14" s="11">
        <f>X14/2</f>
        <v>143</v>
      </c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>
        <v>70</v>
      </c>
      <c r="AL14" s="11"/>
      <c r="AM14" s="11">
        <f>SUM(Y14:AL14)</f>
        <v>213</v>
      </c>
      <c r="AN14" s="11">
        <f>(AM14-Y14)/2</f>
        <v>35</v>
      </c>
      <c r="AO14" s="11"/>
      <c r="AP14" s="11"/>
      <c r="AQ14" s="11"/>
      <c r="AR14" s="11">
        <v>30</v>
      </c>
      <c r="AS14" s="11"/>
      <c r="AT14" s="11"/>
      <c r="AU14" s="11"/>
      <c r="AV14" s="11"/>
      <c r="AW14" s="11">
        <v>100</v>
      </c>
      <c r="AX14" s="11"/>
      <c r="AY14" s="11">
        <v>80</v>
      </c>
      <c r="AZ14" s="11"/>
      <c r="BA14" s="11">
        <v>75</v>
      </c>
      <c r="BB14" s="11"/>
      <c r="BC14" s="11"/>
      <c r="BD14" s="11"/>
      <c r="BE14" s="11"/>
      <c r="BF14" s="11"/>
      <c r="BG14" s="11"/>
      <c r="BH14" s="11"/>
      <c r="BI14" s="11">
        <v>54</v>
      </c>
      <c r="BJ14" s="11">
        <v>200</v>
      </c>
      <c r="BK14" s="11">
        <f>SUM(AN14:BJ14)</f>
        <v>574</v>
      </c>
      <c r="BL14" s="11">
        <f>(BK14-AN14)/2</f>
        <v>269.5</v>
      </c>
      <c r="BM14" s="11"/>
      <c r="BN14" s="11">
        <v>64</v>
      </c>
      <c r="BO14" s="11">
        <v>75</v>
      </c>
      <c r="BP14" s="11">
        <v>70</v>
      </c>
      <c r="BQ14" s="11">
        <v>105</v>
      </c>
      <c r="BR14" s="11">
        <v>140</v>
      </c>
      <c r="BS14" s="11">
        <f t="shared" si="0"/>
        <v>723.5</v>
      </c>
      <c r="BT14" s="11">
        <f t="shared" si="1"/>
        <v>227</v>
      </c>
      <c r="BU14" s="11"/>
      <c r="BV14" s="11"/>
      <c r="BW14" s="11"/>
      <c r="BX14" s="11"/>
      <c r="BY14" s="11"/>
      <c r="BZ14" s="11"/>
      <c r="CA14" s="11">
        <f t="shared" si="2"/>
        <v>227</v>
      </c>
      <c r="CB14" s="56"/>
      <c r="CC14" s="10">
        <f>SUM(CG14:CM14)/2</f>
        <v>0</v>
      </c>
      <c r="CD14" s="10">
        <f>AM14/4</f>
        <v>53.25</v>
      </c>
      <c r="CE14" s="10">
        <f>X14/2</f>
        <v>143</v>
      </c>
      <c r="CF14" s="10"/>
      <c r="CG14" s="10"/>
      <c r="CH14" s="10"/>
      <c r="CI14" s="10"/>
      <c r="CJ14" s="10"/>
      <c r="CK14" s="10"/>
      <c r="CL14" s="10"/>
      <c r="CM14" s="10"/>
      <c r="CN14" s="10">
        <f>SUM(CE14:CG14)</f>
        <v>143</v>
      </c>
      <c r="CO14" s="10"/>
      <c r="CP14" s="10"/>
      <c r="CQ14" s="10"/>
      <c r="CR14" s="10"/>
      <c r="CS14" s="10"/>
      <c r="CT14" s="10"/>
      <c r="CU14" s="10"/>
      <c r="CV14" s="10">
        <f>CC14+CD14+SUM(CO14:CQ14)</f>
        <v>53.25</v>
      </c>
      <c r="CW14" s="8">
        <f>(CV14-CC14)/2</f>
        <v>26.625</v>
      </c>
      <c r="CX14" s="8">
        <f>BK14/4</f>
        <v>143.5</v>
      </c>
      <c r="CY14" s="8"/>
      <c r="CZ14" s="8"/>
      <c r="DA14" s="8"/>
      <c r="DB14" s="8"/>
      <c r="DC14" s="8"/>
      <c r="DD14" s="8"/>
      <c r="DE14" s="8">
        <f>SUM(CW14:CZ14)</f>
        <v>170.125</v>
      </c>
      <c r="DF14" s="8">
        <f>(DE14-CW14)/2</f>
        <v>71.75</v>
      </c>
      <c r="DG14" s="10">
        <f>12+(12*3/4)</f>
        <v>21</v>
      </c>
      <c r="DH14" s="10"/>
      <c r="DI14" s="10"/>
      <c r="DJ14" s="10"/>
      <c r="DK14" s="10"/>
      <c r="DL14" s="8">
        <f>SUM(DF14:DH14)</f>
        <v>92.75</v>
      </c>
      <c r="DM14" s="8">
        <f t="shared" si="3"/>
        <v>10.5</v>
      </c>
      <c r="DN14" s="10"/>
      <c r="DO14" s="10"/>
      <c r="DP14" s="10"/>
      <c r="DQ14" s="10"/>
      <c r="DR14" s="10"/>
      <c r="DS14" s="10"/>
      <c r="DT14" s="10"/>
      <c r="DU14" s="8">
        <f>SUM(DM14:DN14)</f>
        <v>10.5</v>
      </c>
    </row>
    <row r="15" spans="1:125" x14ac:dyDescent="0.25">
      <c r="A15">
        <v>5</v>
      </c>
      <c r="B15" s="10" t="s">
        <v>133</v>
      </c>
      <c r="C15" s="8"/>
      <c r="D15" s="8" t="s">
        <v>155</v>
      </c>
      <c r="E15" s="8" t="s">
        <v>427</v>
      </c>
      <c r="F15" s="8"/>
      <c r="G15" s="8"/>
      <c r="H15" s="8"/>
      <c r="I15" s="8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8"/>
      <c r="Y15" s="8"/>
      <c r="Z15" s="10"/>
      <c r="AA15" s="10"/>
      <c r="AB15" s="10"/>
      <c r="AC15" s="10"/>
      <c r="AD15" s="10"/>
      <c r="AE15" s="10"/>
      <c r="AF15" s="10">
        <v>3.2</v>
      </c>
      <c r="AG15" s="10">
        <v>5</v>
      </c>
      <c r="AH15" s="10"/>
      <c r="AI15" s="10"/>
      <c r="AJ15" s="10">
        <v>42</v>
      </c>
      <c r="AK15" s="10"/>
      <c r="AL15" s="10"/>
      <c r="AM15" s="11">
        <f>SUM(Y15:AL15)</f>
        <v>50.2</v>
      </c>
      <c r="AN15" s="11">
        <f>(AM15-Y15)/2</f>
        <v>25.1</v>
      </c>
      <c r="AO15" s="11"/>
      <c r="AP15" s="11"/>
      <c r="AQ15" s="11"/>
      <c r="AR15" s="11">
        <v>42</v>
      </c>
      <c r="AS15" s="11"/>
      <c r="AT15" s="11"/>
      <c r="AU15" s="11">
        <v>54</v>
      </c>
      <c r="AV15" s="11"/>
      <c r="AW15" s="11">
        <v>50</v>
      </c>
      <c r="AX15" s="11"/>
      <c r="AY15" s="11"/>
      <c r="AZ15" s="11"/>
      <c r="BA15" s="11">
        <v>54</v>
      </c>
      <c r="BB15" s="11">
        <v>3</v>
      </c>
      <c r="BC15" s="11"/>
      <c r="BD15" s="11"/>
      <c r="BE15" s="11"/>
      <c r="BF15" s="11"/>
      <c r="BG15" s="11"/>
      <c r="BH15" s="11"/>
      <c r="BI15" s="11">
        <v>75</v>
      </c>
      <c r="BJ15" s="11">
        <v>72</v>
      </c>
      <c r="BK15" s="11">
        <f>SUM(AN15:BJ15)</f>
        <v>375.1</v>
      </c>
      <c r="BL15" s="11">
        <f>(BK15-AN15)/2</f>
        <v>175</v>
      </c>
      <c r="BM15" s="11">
        <v>48</v>
      </c>
      <c r="BN15" s="11"/>
      <c r="BO15" s="11">
        <v>75</v>
      </c>
      <c r="BP15" s="11">
        <v>50</v>
      </c>
      <c r="BQ15" s="11">
        <v>54</v>
      </c>
      <c r="BR15" s="11">
        <v>33.6</v>
      </c>
      <c r="BS15" s="11">
        <f t="shared" si="0"/>
        <v>435.6</v>
      </c>
      <c r="BT15" s="11">
        <f t="shared" si="1"/>
        <v>130.30000000000001</v>
      </c>
      <c r="BU15" s="11">
        <v>30</v>
      </c>
      <c r="BV15" s="11"/>
      <c r="BW15" s="11">
        <v>54</v>
      </c>
      <c r="BX15" s="11"/>
      <c r="BY15" s="11"/>
      <c r="BZ15" s="11"/>
      <c r="CA15" s="11">
        <f t="shared" si="2"/>
        <v>214.3</v>
      </c>
      <c r="CB15" s="56"/>
      <c r="CC15" s="10">
        <f>SUM(CG15:CM15)/2</f>
        <v>0</v>
      </c>
      <c r="CD15" s="10">
        <f>AM15/4</f>
        <v>12.55</v>
      </c>
      <c r="CE15" s="8"/>
      <c r="CF15" s="8"/>
      <c r="CG15" s="8"/>
      <c r="CH15" s="8"/>
      <c r="CI15" s="10"/>
      <c r="CJ15" s="10"/>
      <c r="CK15" s="10"/>
      <c r="CL15" s="10"/>
      <c r="CM15" s="10"/>
      <c r="CN15" s="8"/>
      <c r="CO15" s="10"/>
      <c r="CP15" s="10"/>
      <c r="CQ15" s="10"/>
      <c r="CR15" s="10"/>
      <c r="CS15" s="10"/>
      <c r="CT15" s="10"/>
      <c r="CU15" s="10">
        <v>50</v>
      </c>
      <c r="CV15" s="10">
        <f>CC15+CD15+SUM(CO15:CU15)</f>
        <v>62.55</v>
      </c>
      <c r="CW15" s="8">
        <f>(CV15-CC15)/2</f>
        <v>31.274999999999999</v>
      </c>
      <c r="CX15" s="8">
        <f>BK15/4</f>
        <v>93.775000000000006</v>
      </c>
      <c r="CY15" s="8"/>
      <c r="CZ15" s="8"/>
      <c r="DA15" s="8"/>
      <c r="DB15" s="8"/>
      <c r="DC15" s="8"/>
      <c r="DD15" s="8">
        <v>25</v>
      </c>
      <c r="DE15" s="8">
        <f>SUM(CW15:DD15)</f>
        <v>150.05000000000001</v>
      </c>
      <c r="DF15" s="8">
        <f>(DE15-CW15)/2</f>
        <v>59.387500000000003</v>
      </c>
      <c r="DG15" s="10">
        <f>8+(8*3/4)</f>
        <v>14</v>
      </c>
      <c r="DH15" s="10"/>
      <c r="DI15" s="10"/>
      <c r="DJ15" s="10"/>
      <c r="DK15" s="10"/>
      <c r="DL15" s="8">
        <f>SUM(DF15:DH15)</f>
        <v>73.387500000000003</v>
      </c>
      <c r="DM15" s="8">
        <f t="shared" si="3"/>
        <v>7</v>
      </c>
      <c r="DN15" s="10"/>
      <c r="DO15" s="10"/>
      <c r="DP15" s="10"/>
      <c r="DQ15" s="10"/>
      <c r="DR15" s="10"/>
      <c r="DS15" s="10"/>
      <c r="DT15" s="10"/>
      <c r="DU15" s="8">
        <f>SUM(DM15:DN15)</f>
        <v>7</v>
      </c>
    </row>
    <row r="16" spans="1:125" x14ac:dyDescent="0.25">
      <c r="A16">
        <v>6</v>
      </c>
      <c r="B16" s="10" t="s">
        <v>488</v>
      </c>
      <c r="C16" s="8"/>
      <c r="D16" s="8" t="s">
        <v>489</v>
      </c>
      <c r="E16" s="8" t="s">
        <v>392</v>
      </c>
      <c r="F16" s="8"/>
      <c r="G16" s="8"/>
      <c r="H16" s="8"/>
      <c r="I16" s="8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8"/>
      <c r="Y16" s="8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8"/>
      <c r="AN16" s="8"/>
      <c r="AO16" s="8"/>
      <c r="AP16" s="8">
        <v>48</v>
      </c>
      <c r="AQ16" s="8"/>
      <c r="AR16" s="8"/>
      <c r="AS16" s="8"/>
      <c r="AT16" s="8"/>
      <c r="AU16" s="8"/>
      <c r="AV16" s="8"/>
      <c r="AW16" s="10"/>
      <c r="AX16" s="10">
        <v>28.8</v>
      </c>
      <c r="AY16" s="10"/>
      <c r="AZ16" s="10"/>
      <c r="BA16" s="10"/>
      <c r="BB16" s="10"/>
      <c r="BC16" s="10"/>
      <c r="BD16" s="10">
        <v>36</v>
      </c>
      <c r="BE16" s="10"/>
      <c r="BF16" s="10"/>
      <c r="BG16" s="10"/>
      <c r="BH16" s="10"/>
      <c r="BI16" s="10"/>
      <c r="BJ16" s="10"/>
      <c r="BK16" s="11">
        <f>SUM(AN16:BJ16)</f>
        <v>112.8</v>
      </c>
      <c r="BL16" s="11">
        <f>(BK16-AN16)/2</f>
        <v>56.4</v>
      </c>
      <c r="BM16" s="11">
        <v>36</v>
      </c>
      <c r="BN16" s="11">
        <v>64</v>
      </c>
      <c r="BO16" s="11">
        <v>105</v>
      </c>
      <c r="BP16" s="11">
        <v>5</v>
      </c>
      <c r="BQ16" s="11">
        <v>75</v>
      </c>
      <c r="BR16" s="11">
        <v>72</v>
      </c>
      <c r="BS16" s="11">
        <f t="shared" si="0"/>
        <v>413.4</v>
      </c>
      <c r="BT16" s="11">
        <f t="shared" si="1"/>
        <v>178.5</v>
      </c>
      <c r="BU16" s="11"/>
      <c r="BV16" s="11"/>
      <c r="BW16" s="11"/>
      <c r="BX16" s="11"/>
      <c r="BY16" s="11"/>
      <c r="BZ16" s="11"/>
      <c r="CA16" s="11">
        <f t="shared" si="2"/>
        <v>178.5</v>
      </c>
      <c r="CB16" s="56"/>
      <c r="CC16" s="8"/>
      <c r="CD16" s="8"/>
      <c r="CE16" s="8"/>
      <c r="CF16" s="8"/>
      <c r="CG16" s="8"/>
      <c r="CH16" s="8"/>
      <c r="CI16" s="10"/>
      <c r="CJ16" s="10"/>
      <c r="CK16" s="10"/>
      <c r="CL16" s="10"/>
      <c r="CM16" s="10"/>
      <c r="CN16" s="8"/>
      <c r="CO16" s="8"/>
      <c r="CP16" s="8"/>
      <c r="CQ16" s="38"/>
      <c r="CR16" s="38"/>
      <c r="CS16" s="38"/>
      <c r="CT16" s="38"/>
      <c r="CU16" s="38"/>
      <c r="CV16" s="10">
        <f>CC16+CD16+SUM(CO16:CU16)</f>
        <v>0</v>
      </c>
      <c r="CW16" s="8">
        <f>(CV16-CC16)/2</f>
        <v>0</v>
      </c>
      <c r="CX16" s="8">
        <f>BK16/4</f>
        <v>28.2</v>
      </c>
      <c r="CY16" s="8"/>
      <c r="CZ16" s="8"/>
      <c r="DA16" s="8"/>
      <c r="DB16" s="8"/>
      <c r="DC16" s="8"/>
      <c r="DD16" s="8"/>
      <c r="DE16" s="8">
        <f>SUM(CW16:CZ16)</f>
        <v>28.2</v>
      </c>
      <c r="DF16" s="8">
        <f>(DE16-CW16)/2</f>
        <v>14.1</v>
      </c>
      <c r="DG16" s="10"/>
      <c r="DH16" s="10"/>
      <c r="DI16" s="10"/>
      <c r="DJ16" s="10"/>
      <c r="DK16" s="10">
        <v>35</v>
      </c>
      <c r="DL16" s="8">
        <f>SUM(DF16:DK16)</f>
        <v>49.1</v>
      </c>
      <c r="DM16" s="8">
        <f t="shared" si="3"/>
        <v>17.5</v>
      </c>
      <c r="DN16" s="10"/>
      <c r="DO16" s="10"/>
      <c r="DP16" s="10"/>
      <c r="DQ16" s="10"/>
      <c r="DR16" s="10"/>
      <c r="DS16" s="10"/>
      <c r="DT16" s="10"/>
      <c r="DU16" s="8">
        <f>SUM(DM16:DN16)</f>
        <v>17.5</v>
      </c>
    </row>
    <row r="17" spans="1:125" x14ac:dyDescent="0.25">
      <c r="A17">
        <v>7</v>
      </c>
      <c r="B17" s="10" t="s">
        <v>808</v>
      </c>
      <c r="C17" s="8"/>
      <c r="D17" s="8" t="s">
        <v>807</v>
      </c>
      <c r="E17" s="8" t="s">
        <v>19</v>
      </c>
      <c r="F17" s="8"/>
      <c r="G17" s="8"/>
      <c r="H17" s="8"/>
      <c r="I17" s="8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8"/>
      <c r="Y17" s="8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8"/>
      <c r="BL17" s="8"/>
      <c r="BM17" s="8"/>
      <c r="BN17" s="10"/>
      <c r="BO17" s="10"/>
      <c r="BP17" s="10"/>
      <c r="BQ17" s="8"/>
      <c r="BR17" s="8"/>
      <c r="BS17" s="8"/>
      <c r="BT17" s="8"/>
      <c r="BU17" s="10">
        <v>33.6</v>
      </c>
      <c r="BV17" s="10">
        <v>56</v>
      </c>
      <c r="BW17" s="10">
        <v>75</v>
      </c>
      <c r="BX17" s="8">
        <v>3</v>
      </c>
      <c r="BY17" s="8"/>
      <c r="BZ17" s="8"/>
      <c r="CA17" s="11">
        <f t="shared" si="2"/>
        <v>167.6</v>
      </c>
      <c r="CB17" s="66"/>
      <c r="CC17" s="8"/>
      <c r="CD17" s="8"/>
      <c r="CE17" s="8"/>
      <c r="CF17" s="8"/>
      <c r="CG17" s="8"/>
      <c r="CH17" s="8"/>
      <c r="CI17" s="10"/>
      <c r="CJ17" s="10"/>
      <c r="CK17" s="10"/>
      <c r="CL17" s="10"/>
      <c r="CM17" s="10"/>
      <c r="CN17" s="8"/>
      <c r="CO17" s="8"/>
      <c r="CP17" s="8"/>
      <c r="CQ17" s="38"/>
      <c r="CR17" s="38"/>
      <c r="CS17" s="38"/>
      <c r="CT17" s="38"/>
      <c r="CU17" s="3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10"/>
      <c r="DH17" s="10"/>
      <c r="DI17" s="10"/>
      <c r="DJ17" s="10"/>
      <c r="DK17" s="10"/>
      <c r="DL17" s="8">
        <f>SUM(DF17:DK17)</f>
        <v>0</v>
      </c>
      <c r="DM17" s="8">
        <f t="shared" si="3"/>
        <v>0</v>
      </c>
      <c r="DN17" s="10"/>
      <c r="DO17" s="10"/>
      <c r="DP17" s="10"/>
      <c r="DQ17" s="10"/>
      <c r="DR17" s="10">
        <v>5</v>
      </c>
      <c r="DS17" s="10"/>
      <c r="DT17" s="10"/>
      <c r="DU17" s="8">
        <f>SUM(DM17:DR17)</f>
        <v>5</v>
      </c>
    </row>
    <row r="18" spans="1:125" x14ac:dyDescent="0.25">
      <c r="A18" s="68">
        <v>8</v>
      </c>
      <c r="B18" s="10" t="s">
        <v>491</v>
      </c>
      <c r="C18" s="8"/>
      <c r="D18" s="8" t="s">
        <v>35</v>
      </c>
      <c r="E18" s="8" t="s">
        <v>248</v>
      </c>
      <c r="F18" s="8"/>
      <c r="G18" s="8"/>
      <c r="H18" s="8"/>
      <c r="I18" s="8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8"/>
      <c r="Y18" s="8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10"/>
      <c r="AX18" s="10">
        <v>80</v>
      </c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1">
        <f>SUM(AN18:BJ18)</f>
        <v>80</v>
      </c>
      <c r="BL18" s="11">
        <f>(BK18-AN18)/2</f>
        <v>40</v>
      </c>
      <c r="BM18" s="11"/>
      <c r="BN18" s="11">
        <v>64</v>
      </c>
      <c r="BO18" s="11">
        <v>54</v>
      </c>
      <c r="BP18" s="11">
        <v>10</v>
      </c>
      <c r="BQ18" s="11"/>
      <c r="BR18" s="11"/>
      <c r="BS18" s="11">
        <f>SUM(BL18:BR18)</f>
        <v>168</v>
      </c>
      <c r="BT18" s="11">
        <f>(BS18-BL18)/2</f>
        <v>64</v>
      </c>
      <c r="BU18" s="11">
        <v>36</v>
      </c>
      <c r="BV18" s="11">
        <v>64</v>
      </c>
      <c r="BW18" s="11"/>
      <c r="BX18" s="11"/>
      <c r="BY18" s="11"/>
      <c r="BZ18" s="11"/>
      <c r="CA18" s="11">
        <f t="shared" si="2"/>
        <v>164</v>
      </c>
      <c r="CB18" s="56"/>
      <c r="CC18" s="8"/>
      <c r="CD18" s="8"/>
      <c r="CE18" s="8"/>
      <c r="CF18" s="8"/>
      <c r="CG18" s="8"/>
      <c r="CH18" s="8"/>
      <c r="CI18" s="10"/>
      <c r="CJ18" s="10"/>
      <c r="CK18" s="10"/>
      <c r="CL18" s="10"/>
      <c r="CM18" s="10"/>
      <c r="CN18" s="8"/>
      <c r="CO18" s="8"/>
      <c r="CP18" s="8"/>
      <c r="CQ18" s="38"/>
      <c r="CR18" s="38"/>
      <c r="CS18" s="38"/>
      <c r="CT18" s="38"/>
      <c r="CU18" s="38"/>
      <c r="CV18" s="10">
        <f>CC18+CD18+SUM(CO18:CU18)</f>
        <v>0</v>
      </c>
      <c r="CW18" s="8">
        <f>(CV18-CC18)/2</f>
        <v>0</v>
      </c>
      <c r="CX18" s="8">
        <f>BK18/4</f>
        <v>20</v>
      </c>
      <c r="CY18" s="8"/>
      <c r="CZ18" s="8"/>
      <c r="DA18" s="8"/>
      <c r="DB18" s="8"/>
      <c r="DC18" s="8"/>
      <c r="DD18" s="8">
        <v>18</v>
      </c>
      <c r="DE18" s="8">
        <f>SUM(CW18:DD18)</f>
        <v>38</v>
      </c>
      <c r="DF18" s="8">
        <f>(DE18-CW18)/2</f>
        <v>19</v>
      </c>
      <c r="DG18" s="10"/>
      <c r="DH18" s="10"/>
      <c r="DI18" s="10"/>
      <c r="DJ18" s="10"/>
      <c r="DK18" s="10"/>
      <c r="DL18" s="8">
        <f>SUM(DF18:DK18)</f>
        <v>19</v>
      </c>
      <c r="DM18" s="8">
        <f t="shared" si="3"/>
        <v>0</v>
      </c>
      <c r="DN18" s="10"/>
      <c r="DO18" s="10"/>
      <c r="DP18" s="10"/>
      <c r="DQ18" s="10"/>
      <c r="DR18" s="10"/>
      <c r="DS18" s="10"/>
      <c r="DT18" s="10"/>
      <c r="DU18" s="8">
        <f t="shared" ref="DU18:DU46" si="4">SUM(DM18:DN18)</f>
        <v>0</v>
      </c>
    </row>
    <row r="19" spans="1:125" x14ac:dyDescent="0.25">
      <c r="A19">
        <v>9</v>
      </c>
      <c r="B19" s="10" t="s">
        <v>134</v>
      </c>
      <c r="C19" s="8"/>
      <c r="D19" s="8" t="s">
        <v>49</v>
      </c>
      <c r="E19" s="8" t="s">
        <v>152</v>
      </c>
      <c r="F19" s="8"/>
      <c r="G19" s="8"/>
      <c r="H19" s="8"/>
      <c r="I19" s="8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8"/>
      <c r="Y19" s="8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8"/>
      <c r="AN19" s="8"/>
      <c r="AO19" s="8"/>
      <c r="AP19" s="8"/>
      <c r="AQ19" s="8"/>
      <c r="AR19" s="8"/>
      <c r="AS19" s="8"/>
      <c r="AT19" s="8">
        <v>36</v>
      </c>
      <c r="AU19" s="8"/>
      <c r="AV19" s="8"/>
      <c r="AW19" s="10"/>
      <c r="AX19" s="10"/>
      <c r="AY19" s="10"/>
      <c r="AZ19" s="10"/>
      <c r="BA19" s="10"/>
      <c r="BB19" s="10"/>
      <c r="BC19" s="10"/>
      <c r="BD19" s="10"/>
      <c r="BE19" s="10"/>
      <c r="BF19" s="10">
        <v>36</v>
      </c>
      <c r="BG19" s="10"/>
      <c r="BH19" s="10"/>
      <c r="BI19" s="10"/>
      <c r="BJ19" s="10"/>
      <c r="BK19" s="11">
        <f>SUM(AN19:BJ19)</f>
        <v>72</v>
      </c>
      <c r="BL19" s="11">
        <f>(BK19-AN19)/2</f>
        <v>36</v>
      </c>
      <c r="BM19" s="11"/>
      <c r="BN19" s="11"/>
      <c r="BO19" s="11">
        <v>75</v>
      </c>
      <c r="BP19" s="11">
        <v>75</v>
      </c>
      <c r="BQ19" s="11">
        <v>150</v>
      </c>
      <c r="BR19" s="11"/>
      <c r="BS19" s="11">
        <f>SUM(BL19:BR19)</f>
        <v>336</v>
      </c>
      <c r="BT19" s="11">
        <f>(BS19-BL19)/2</f>
        <v>150</v>
      </c>
      <c r="BU19" s="11"/>
      <c r="BV19" s="11"/>
      <c r="BW19" s="11"/>
      <c r="BX19" s="11"/>
      <c r="BY19" s="11"/>
      <c r="BZ19" s="11"/>
      <c r="CA19" s="11">
        <f t="shared" si="2"/>
        <v>150</v>
      </c>
      <c r="CB19" s="56"/>
      <c r="CC19" s="8"/>
      <c r="CD19" s="8"/>
      <c r="CE19" s="8"/>
      <c r="CF19" s="8"/>
      <c r="CG19" s="8"/>
      <c r="CH19" s="8"/>
      <c r="CI19" s="10"/>
      <c r="CJ19" s="10"/>
      <c r="CK19" s="10"/>
      <c r="CL19" s="10"/>
      <c r="CM19" s="10"/>
      <c r="CN19" s="8"/>
      <c r="CO19" s="8"/>
      <c r="CP19" s="8"/>
      <c r="CQ19" s="38"/>
      <c r="CR19" s="38"/>
      <c r="CS19" s="38"/>
      <c r="CT19" s="38"/>
      <c r="CU19" s="38"/>
      <c r="CV19" s="10">
        <f>CC19+CD19+SUM(CO19:CU19)</f>
        <v>0</v>
      </c>
      <c r="CW19" s="8">
        <f>(CV19-CC19)/2</f>
        <v>0</v>
      </c>
      <c r="CX19" s="8">
        <f>BK19/4</f>
        <v>18</v>
      </c>
      <c r="CY19" s="8"/>
      <c r="CZ19" s="8"/>
      <c r="DA19" s="8"/>
      <c r="DB19" s="8"/>
      <c r="DC19" s="8"/>
      <c r="DD19" s="8">
        <v>18</v>
      </c>
      <c r="DE19" s="8">
        <f>SUM(CW19:DD19)</f>
        <v>36</v>
      </c>
      <c r="DF19" s="8">
        <f>(DE19-CW19)/2</f>
        <v>18</v>
      </c>
      <c r="DG19" s="10"/>
      <c r="DH19" s="10"/>
      <c r="DI19" s="10"/>
      <c r="DJ19" s="10"/>
      <c r="DK19" s="10"/>
      <c r="DL19" s="8">
        <f>SUM(DF19:DH19)</f>
        <v>18</v>
      </c>
      <c r="DM19" s="8">
        <f t="shared" si="3"/>
        <v>0</v>
      </c>
      <c r="DN19" s="10"/>
      <c r="DO19" s="10"/>
      <c r="DP19" s="10"/>
      <c r="DQ19" s="10"/>
      <c r="DR19" s="10"/>
      <c r="DS19" s="10"/>
      <c r="DT19" s="10"/>
      <c r="DU19" s="8">
        <f t="shared" si="4"/>
        <v>0</v>
      </c>
    </row>
    <row r="20" spans="1:125" x14ac:dyDescent="0.25">
      <c r="A20">
        <v>10</v>
      </c>
      <c r="B20" s="10" t="s">
        <v>133</v>
      </c>
      <c r="C20" s="8"/>
      <c r="D20" s="8" t="s">
        <v>735</v>
      </c>
      <c r="E20" s="8" t="s">
        <v>68</v>
      </c>
      <c r="F20" s="8"/>
      <c r="G20" s="8"/>
      <c r="H20" s="8"/>
      <c r="I20" s="8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8"/>
      <c r="Y20" s="8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8"/>
      <c r="BL20" s="8"/>
      <c r="BM20" s="8"/>
      <c r="BN20" s="10"/>
      <c r="BO20" s="10"/>
      <c r="BP20" s="10"/>
      <c r="BQ20" s="8"/>
      <c r="BR20" s="8"/>
      <c r="BS20" s="8"/>
      <c r="BT20" s="8"/>
      <c r="BU20" s="10"/>
      <c r="BV20" s="10">
        <v>64</v>
      </c>
      <c r="BW20" s="10">
        <v>75</v>
      </c>
      <c r="BX20" s="8"/>
      <c r="BY20" s="8"/>
      <c r="BZ20" s="8"/>
      <c r="CA20" s="11">
        <f t="shared" si="2"/>
        <v>139</v>
      </c>
      <c r="CB20" s="66"/>
      <c r="CC20" s="8"/>
      <c r="CD20" s="8"/>
      <c r="CE20" s="8"/>
      <c r="CF20" s="8"/>
      <c r="CG20" s="8"/>
      <c r="CH20" s="8"/>
      <c r="CI20" s="10"/>
      <c r="CJ20" s="10"/>
      <c r="CK20" s="10"/>
      <c r="CL20" s="10"/>
      <c r="CM20" s="10"/>
      <c r="CN20" s="8"/>
      <c r="CO20" s="8"/>
      <c r="CP20" s="8"/>
      <c r="CQ20" s="38"/>
      <c r="CR20" s="38"/>
      <c r="CS20" s="38"/>
      <c r="CT20" s="38"/>
      <c r="CU20" s="3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10"/>
      <c r="DH20" s="10"/>
      <c r="DI20" s="10"/>
      <c r="DJ20" s="10"/>
      <c r="DK20" s="10"/>
      <c r="DL20" s="8">
        <f>SUM(DF20:DK20)</f>
        <v>0</v>
      </c>
      <c r="DM20" s="8">
        <f t="shared" si="3"/>
        <v>0</v>
      </c>
      <c r="DN20" s="10"/>
      <c r="DO20" s="10"/>
      <c r="DP20" s="10"/>
      <c r="DQ20" s="10"/>
      <c r="DR20" s="10"/>
      <c r="DS20" s="10"/>
      <c r="DT20" s="10"/>
      <c r="DU20" s="8">
        <f t="shared" si="4"/>
        <v>0</v>
      </c>
    </row>
    <row r="21" spans="1:125" x14ac:dyDescent="0.25">
      <c r="A21">
        <v>11</v>
      </c>
      <c r="B21" s="16" t="s">
        <v>129</v>
      </c>
      <c r="C21" s="27"/>
      <c r="D21" s="27" t="s">
        <v>471</v>
      </c>
      <c r="E21" s="27" t="s">
        <v>17</v>
      </c>
      <c r="F21" s="8"/>
      <c r="G21" s="8"/>
      <c r="H21" s="8"/>
      <c r="I21" s="8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8"/>
      <c r="Y21" s="8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8"/>
      <c r="AN21" s="8"/>
      <c r="AO21" s="8"/>
      <c r="AP21" s="8"/>
      <c r="AQ21" s="8">
        <v>33.6</v>
      </c>
      <c r="AR21" s="8"/>
      <c r="AS21" s="8"/>
      <c r="AT21" s="8"/>
      <c r="AU21" s="8">
        <v>105</v>
      </c>
      <c r="AV21" s="8"/>
      <c r="AW21" s="10"/>
      <c r="AX21" s="10">
        <v>32</v>
      </c>
      <c r="AY21" s="10"/>
      <c r="AZ21" s="10"/>
      <c r="BA21" s="10">
        <v>75</v>
      </c>
      <c r="BB21" s="10"/>
      <c r="BC21" s="10"/>
      <c r="BD21" s="10"/>
      <c r="BE21" s="10"/>
      <c r="BF21" s="10"/>
      <c r="BG21" s="10"/>
      <c r="BH21" s="10"/>
      <c r="BI21" s="10"/>
      <c r="BJ21" s="10"/>
      <c r="BK21" s="11">
        <f>SUM(AN21:BJ21)</f>
        <v>245.6</v>
      </c>
      <c r="BL21" s="11">
        <f>(BK21-AN21)/2</f>
        <v>122.8</v>
      </c>
      <c r="BM21" s="11">
        <v>36</v>
      </c>
      <c r="BN21" s="11">
        <v>44.8</v>
      </c>
      <c r="BO21" s="11">
        <v>7.5</v>
      </c>
      <c r="BP21" s="11">
        <v>54</v>
      </c>
      <c r="BQ21" s="11">
        <v>100</v>
      </c>
      <c r="BR21" s="11"/>
      <c r="BS21" s="11">
        <f>SUM(BL21:BR21)</f>
        <v>365.1</v>
      </c>
      <c r="BT21" s="11">
        <f>(BS21-BL21)/2</f>
        <v>121.15</v>
      </c>
      <c r="BU21" s="11"/>
      <c r="BV21" s="11"/>
      <c r="BW21" s="11"/>
      <c r="BX21" s="11"/>
      <c r="BY21" s="11"/>
      <c r="BZ21" s="11"/>
      <c r="CA21" s="11">
        <f t="shared" si="2"/>
        <v>121.15</v>
      </c>
      <c r="CB21" s="56"/>
      <c r="CC21" s="8"/>
      <c r="CD21" s="8"/>
      <c r="CE21" s="8"/>
      <c r="CF21" s="8"/>
      <c r="CG21" s="8"/>
      <c r="CH21" s="8"/>
      <c r="CI21" s="10"/>
      <c r="CJ21" s="10"/>
      <c r="CK21" s="10"/>
      <c r="CL21" s="10"/>
      <c r="CM21" s="10"/>
      <c r="CN21" s="8"/>
      <c r="CO21" s="8"/>
      <c r="CP21" s="8"/>
      <c r="CQ21" s="38"/>
      <c r="CR21" s="38"/>
      <c r="CS21" s="38"/>
      <c r="CT21" s="38"/>
      <c r="CU21" s="38"/>
      <c r="CV21" s="10">
        <f>CC21+CD21+SUM(CO21:CU21)</f>
        <v>0</v>
      </c>
      <c r="CW21" s="8">
        <f>(CV21-CC21)/2</f>
        <v>0</v>
      </c>
      <c r="CX21" s="8">
        <f>BK21/4</f>
        <v>61.4</v>
      </c>
      <c r="CY21" s="8"/>
      <c r="CZ21" s="8"/>
      <c r="DA21" s="8"/>
      <c r="DB21" s="8"/>
      <c r="DC21" s="8"/>
      <c r="DD21" s="8"/>
      <c r="DE21" s="8">
        <f>SUM(CW21:DD21)</f>
        <v>61.4</v>
      </c>
      <c r="DF21" s="8">
        <f>(DE21-CW21)/2</f>
        <v>30.7</v>
      </c>
      <c r="DG21" s="10">
        <v>21</v>
      </c>
      <c r="DH21" s="10"/>
      <c r="DI21" s="10"/>
      <c r="DJ21" s="10">
        <v>50</v>
      </c>
      <c r="DK21" s="10"/>
      <c r="DL21" s="8">
        <f>SUM(DF21:DJ21)</f>
        <v>101.7</v>
      </c>
      <c r="DM21" s="8">
        <f t="shared" si="3"/>
        <v>35.5</v>
      </c>
      <c r="DN21" s="10">
        <v>18</v>
      </c>
      <c r="DO21" s="10"/>
      <c r="DP21" s="10"/>
      <c r="DQ21" s="10"/>
      <c r="DR21" s="10"/>
      <c r="DS21" s="10"/>
      <c r="DT21" s="10"/>
      <c r="DU21" s="27">
        <f t="shared" si="4"/>
        <v>53.5</v>
      </c>
    </row>
    <row r="22" spans="1:125" x14ac:dyDescent="0.25">
      <c r="A22">
        <v>12</v>
      </c>
      <c r="B22" s="10" t="s">
        <v>354</v>
      </c>
      <c r="C22" s="8"/>
      <c r="D22" s="8" t="s">
        <v>355</v>
      </c>
      <c r="E22" s="8" t="s">
        <v>7</v>
      </c>
      <c r="F22" s="8"/>
      <c r="G22" s="8"/>
      <c r="H22" s="8"/>
      <c r="I22" s="8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8"/>
      <c r="Y22" s="8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8"/>
      <c r="AN22" s="8"/>
      <c r="AO22" s="8"/>
      <c r="AP22" s="8"/>
      <c r="AQ22" s="8"/>
      <c r="AR22" s="8"/>
      <c r="AS22" s="8"/>
      <c r="AT22" s="8"/>
      <c r="AU22" s="8">
        <v>75</v>
      </c>
      <c r="AV22" s="8"/>
      <c r="AW22" s="10"/>
      <c r="AX22" s="10"/>
      <c r="AY22" s="10"/>
      <c r="AZ22" s="10">
        <v>3.2</v>
      </c>
      <c r="BA22" s="10">
        <v>54</v>
      </c>
      <c r="BB22" s="10"/>
      <c r="BC22" s="10"/>
      <c r="BD22" s="10"/>
      <c r="BE22" s="10">
        <v>36</v>
      </c>
      <c r="BF22" s="10"/>
      <c r="BG22" s="10"/>
      <c r="BH22" s="10"/>
      <c r="BI22" s="10">
        <v>54</v>
      </c>
      <c r="BJ22" s="10">
        <v>100</v>
      </c>
      <c r="BK22" s="11">
        <f>SUM(AN22:BJ22)</f>
        <v>322.2</v>
      </c>
      <c r="BL22" s="11">
        <f>(BK22-AN22)/2</f>
        <v>161.1</v>
      </c>
      <c r="BM22" s="11">
        <v>36</v>
      </c>
      <c r="BN22" s="11">
        <v>3.2</v>
      </c>
      <c r="BO22" s="11">
        <v>39</v>
      </c>
      <c r="BP22" s="11">
        <v>39</v>
      </c>
      <c r="BQ22" s="11">
        <v>10</v>
      </c>
      <c r="BR22" s="11">
        <v>18</v>
      </c>
      <c r="BS22" s="11">
        <f>SUM(BL22:BR22)</f>
        <v>306.29999999999995</v>
      </c>
      <c r="BT22" s="11">
        <f>(BS22-BL22)/2</f>
        <v>72.59999999999998</v>
      </c>
      <c r="BU22" s="11"/>
      <c r="BV22" s="11"/>
      <c r="BW22" s="11">
        <v>7.5</v>
      </c>
      <c r="BX22" s="11"/>
      <c r="BY22" s="11"/>
      <c r="BZ22" s="11"/>
      <c r="CA22" s="11">
        <f t="shared" si="2"/>
        <v>80.09999999999998</v>
      </c>
      <c r="CB22" s="56"/>
      <c r="CC22" s="8"/>
      <c r="CD22" s="8"/>
      <c r="CE22" s="8"/>
      <c r="CF22" s="8"/>
      <c r="CG22" s="8"/>
      <c r="CH22" s="8"/>
      <c r="CI22" s="10"/>
      <c r="CJ22" s="10"/>
      <c r="CK22" s="10"/>
      <c r="CL22" s="10"/>
      <c r="CM22" s="10"/>
      <c r="CN22" s="8"/>
      <c r="CO22" s="8"/>
      <c r="CP22" s="8"/>
      <c r="CQ22" s="38"/>
      <c r="CR22" s="38"/>
      <c r="CS22" s="38"/>
      <c r="CT22" s="38"/>
      <c r="CU22" s="38"/>
      <c r="CV22" s="10">
        <f>CC22+CD22+SUM(CO22:CU22)</f>
        <v>0</v>
      </c>
      <c r="CW22" s="8">
        <f>(CV22-CC22)/2</f>
        <v>0</v>
      </c>
      <c r="CX22" s="8">
        <f>BK22/4</f>
        <v>80.55</v>
      </c>
      <c r="CY22" s="8"/>
      <c r="CZ22" s="8"/>
      <c r="DA22" s="8"/>
      <c r="DB22" s="8"/>
      <c r="DC22" s="8"/>
      <c r="DD22" s="8"/>
      <c r="DE22" s="8">
        <f>SUM(CW22:DD22)</f>
        <v>80.55</v>
      </c>
      <c r="DF22" s="8">
        <f>(DE22-CW22)/2</f>
        <v>40.274999999999999</v>
      </c>
      <c r="DG22" s="10">
        <v>1.75</v>
      </c>
      <c r="DH22" s="10"/>
      <c r="DI22" s="10"/>
      <c r="DJ22" s="10"/>
      <c r="DK22" s="10"/>
      <c r="DL22" s="8">
        <f t="shared" ref="DL22:DL46" si="5">SUM(DF22:DK22)</f>
        <v>42.024999999999999</v>
      </c>
      <c r="DM22" s="8">
        <f t="shared" si="3"/>
        <v>0.875</v>
      </c>
      <c r="DN22" s="10"/>
      <c r="DO22" s="10"/>
      <c r="DP22" s="10"/>
      <c r="DQ22" s="10"/>
      <c r="DR22" s="10"/>
      <c r="DS22" s="10"/>
      <c r="DT22" s="10"/>
      <c r="DU22" s="8">
        <f t="shared" si="4"/>
        <v>0.875</v>
      </c>
    </row>
    <row r="23" spans="1:125" x14ac:dyDescent="0.25">
      <c r="A23">
        <v>13</v>
      </c>
      <c r="B23" s="10" t="s">
        <v>195</v>
      </c>
      <c r="C23" s="8"/>
      <c r="D23" s="8" t="s">
        <v>203</v>
      </c>
      <c r="E23" s="8" t="s">
        <v>364</v>
      </c>
      <c r="F23" s="8"/>
      <c r="G23" s="8"/>
      <c r="H23" s="8"/>
      <c r="I23" s="8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8"/>
      <c r="Y23" s="8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8"/>
      <c r="AN23" s="8"/>
      <c r="AO23" s="8"/>
      <c r="AP23" s="8"/>
      <c r="AQ23" s="8"/>
      <c r="AR23" s="8"/>
      <c r="AS23" s="8"/>
      <c r="AT23" s="8"/>
      <c r="AU23" s="8">
        <v>7.5</v>
      </c>
      <c r="AV23" s="8"/>
      <c r="AW23" s="10">
        <v>36</v>
      </c>
      <c r="AX23" s="10"/>
      <c r="AY23" s="10"/>
      <c r="AZ23" s="10"/>
      <c r="BA23" s="10">
        <v>7.5</v>
      </c>
      <c r="BB23" s="10"/>
      <c r="BC23" s="10">
        <v>33.6</v>
      </c>
      <c r="BD23" s="10"/>
      <c r="BE23" s="10"/>
      <c r="BF23" s="10"/>
      <c r="BG23" s="10"/>
      <c r="BH23" s="10"/>
      <c r="BI23" s="10">
        <v>7.5</v>
      </c>
      <c r="BJ23" s="10">
        <v>100</v>
      </c>
      <c r="BK23" s="11">
        <f>SUM(AN23:BJ23)</f>
        <v>192.1</v>
      </c>
      <c r="BL23" s="11">
        <f>(BK23-AN23)/2</f>
        <v>96.05</v>
      </c>
      <c r="BM23" s="11">
        <v>48</v>
      </c>
      <c r="BN23" s="11"/>
      <c r="BO23" s="11">
        <v>7.5</v>
      </c>
      <c r="BP23" s="11">
        <v>5</v>
      </c>
      <c r="BQ23" s="11"/>
      <c r="BR23" s="11"/>
      <c r="BS23" s="11">
        <f>SUM(BL23:BR23)</f>
        <v>156.55000000000001</v>
      </c>
      <c r="BT23" s="11">
        <f>(BS23-BL23)/2</f>
        <v>30.250000000000007</v>
      </c>
      <c r="BU23" s="11">
        <v>36</v>
      </c>
      <c r="BV23" s="11"/>
      <c r="BW23" s="11"/>
      <c r="BX23" s="11"/>
      <c r="BY23" s="11"/>
      <c r="BZ23" s="11"/>
      <c r="CA23" s="11">
        <f t="shared" si="2"/>
        <v>66.25</v>
      </c>
      <c r="CB23" s="56"/>
      <c r="CC23" s="8"/>
      <c r="CD23" s="8"/>
      <c r="CE23" s="8"/>
      <c r="CF23" s="8"/>
      <c r="CG23" s="8"/>
      <c r="CH23" s="8"/>
      <c r="CI23" s="10"/>
      <c r="CJ23" s="10"/>
      <c r="CK23" s="10"/>
      <c r="CL23" s="10"/>
      <c r="CM23" s="10"/>
      <c r="CN23" s="8"/>
      <c r="CO23" s="8"/>
      <c r="CP23" s="8"/>
      <c r="CQ23" s="38"/>
      <c r="CR23" s="38"/>
      <c r="CS23" s="38"/>
      <c r="CT23" s="38"/>
      <c r="CU23" s="38"/>
      <c r="CV23" s="10">
        <f>CC23+CD23+SUM(CO23:CU23)</f>
        <v>0</v>
      </c>
      <c r="CW23" s="8">
        <f>(CV23-CC23)/2</f>
        <v>0</v>
      </c>
      <c r="CX23" s="8">
        <f>BK23/4</f>
        <v>48.024999999999999</v>
      </c>
      <c r="CY23" s="8"/>
      <c r="CZ23" s="8"/>
      <c r="DA23" s="8"/>
      <c r="DB23" s="8"/>
      <c r="DC23" s="8"/>
      <c r="DD23" s="8"/>
      <c r="DE23" s="8">
        <f>SUM(CW23:DD23)</f>
        <v>48.024999999999999</v>
      </c>
      <c r="DF23" s="8">
        <f>(DE23-CW23)/2</f>
        <v>24.012499999999999</v>
      </c>
      <c r="DG23" s="10">
        <v>1.75</v>
      </c>
      <c r="DH23" s="10"/>
      <c r="DI23" s="10"/>
      <c r="DJ23" s="10"/>
      <c r="DK23" s="10"/>
      <c r="DL23" s="8">
        <f t="shared" si="5"/>
        <v>25.762499999999999</v>
      </c>
      <c r="DM23" s="8">
        <f t="shared" si="3"/>
        <v>0.875</v>
      </c>
      <c r="DN23" s="10"/>
      <c r="DO23" s="10"/>
      <c r="DP23" s="10"/>
      <c r="DQ23" s="10"/>
      <c r="DR23" s="10"/>
      <c r="DS23" s="10"/>
      <c r="DT23" s="10"/>
      <c r="DU23" s="8">
        <f t="shared" si="4"/>
        <v>0.875</v>
      </c>
    </row>
    <row r="24" spans="1:125" x14ac:dyDescent="0.25">
      <c r="A24">
        <v>14</v>
      </c>
      <c r="B24" s="10" t="s">
        <v>716</v>
      </c>
      <c r="C24" s="8"/>
      <c r="D24" s="8" t="s">
        <v>717</v>
      </c>
      <c r="E24" s="8" t="s">
        <v>76</v>
      </c>
      <c r="F24" s="8"/>
      <c r="G24" s="8"/>
      <c r="H24" s="8"/>
      <c r="I24" s="8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8"/>
      <c r="Y24" s="8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8"/>
      <c r="BL24" s="8"/>
      <c r="BM24" s="8">
        <v>2.4</v>
      </c>
      <c r="BN24" s="10">
        <v>64</v>
      </c>
      <c r="BO24" s="10">
        <v>60</v>
      </c>
      <c r="BP24" s="10"/>
      <c r="BQ24" s="8"/>
      <c r="BR24" s="8"/>
      <c r="BS24" s="11">
        <f>SUM(BL24:BR24)</f>
        <v>126.4</v>
      </c>
      <c r="BT24" s="11">
        <f>(BS24-BL24)/2</f>
        <v>63.2</v>
      </c>
      <c r="BU24" s="11"/>
      <c r="BV24" s="11"/>
      <c r="BW24" s="11"/>
      <c r="BX24" s="11"/>
      <c r="BY24" s="11"/>
      <c r="BZ24" s="11"/>
      <c r="CA24" s="11">
        <f t="shared" si="2"/>
        <v>63.2</v>
      </c>
      <c r="CB24" s="56"/>
      <c r="CC24" s="8"/>
      <c r="CD24" s="8"/>
      <c r="CE24" s="8"/>
      <c r="CF24" s="8"/>
      <c r="CG24" s="8"/>
      <c r="CH24" s="8"/>
      <c r="CI24" s="10"/>
      <c r="CJ24" s="10"/>
      <c r="CK24" s="10"/>
      <c r="CL24" s="10"/>
      <c r="CM24" s="10"/>
      <c r="CN24" s="8"/>
      <c r="CO24" s="8"/>
      <c r="CP24" s="8"/>
      <c r="CQ24" s="38"/>
      <c r="CR24" s="38"/>
      <c r="CS24" s="38"/>
      <c r="CT24" s="38"/>
      <c r="CU24" s="38"/>
      <c r="CV24" s="8"/>
      <c r="CW24" s="8"/>
      <c r="CX24" s="8"/>
      <c r="CY24" s="8"/>
      <c r="CZ24" s="8"/>
      <c r="DA24" s="8"/>
      <c r="DB24" s="8"/>
      <c r="DC24" s="8"/>
      <c r="DD24" s="8"/>
      <c r="DE24" s="8">
        <f>SUM(CW24:DD24)</f>
        <v>0</v>
      </c>
      <c r="DF24" s="8">
        <f>(DE24-CW24)/2</f>
        <v>0</v>
      </c>
      <c r="DG24" s="10"/>
      <c r="DH24" s="10"/>
      <c r="DI24" s="10"/>
      <c r="DJ24" s="10"/>
      <c r="DK24" s="10"/>
      <c r="DL24" s="8">
        <f t="shared" si="5"/>
        <v>0</v>
      </c>
      <c r="DM24" s="8">
        <f t="shared" si="3"/>
        <v>0</v>
      </c>
      <c r="DN24" s="10"/>
      <c r="DO24" s="10"/>
      <c r="DP24" s="10"/>
      <c r="DQ24" s="10"/>
      <c r="DR24" s="10"/>
      <c r="DS24" s="10"/>
      <c r="DT24" s="10"/>
      <c r="DU24" s="8">
        <f t="shared" si="4"/>
        <v>0</v>
      </c>
    </row>
    <row r="25" spans="1:125" x14ac:dyDescent="0.25">
      <c r="A25">
        <v>15</v>
      </c>
      <c r="B25" s="10" t="s">
        <v>88</v>
      </c>
      <c r="C25" s="8"/>
      <c r="D25" s="8" t="s">
        <v>671</v>
      </c>
      <c r="E25" s="8" t="s">
        <v>17</v>
      </c>
      <c r="F25" s="8"/>
      <c r="G25" s="8"/>
      <c r="H25" s="8"/>
      <c r="I25" s="8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8"/>
      <c r="Y25" s="8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8"/>
      <c r="BL25" s="8"/>
      <c r="BM25" s="8"/>
      <c r="BN25" s="10"/>
      <c r="BO25" s="10"/>
      <c r="BP25" s="10"/>
      <c r="BQ25" s="8"/>
      <c r="BR25" s="8"/>
      <c r="BS25" s="8"/>
      <c r="BT25" s="8"/>
      <c r="BU25" s="10"/>
      <c r="BV25" s="10"/>
      <c r="BW25" s="10">
        <v>60</v>
      </c>
      <c r="BX25" s="8"/>
      <c r="BY25" s="8"/>
      <c r="BZ25" s="8"/>
      <c r="CA25" s="11">
        <f t="shared" si="2"/>
        <v>60</v>
      </c>
      <c r="CC25" s="8"/>
      <c r="CD25" s="8"/>
      <c r="CO25" s="8"/>
      <c r="CP25" s="8"/>
      <c r="CQ25" s="38"/>
      <c r="CR25" s="38"/>
      <c r="CS25" s="38"/>
      <c r="CT25" s="38"/>
      <c r="CU25" s="3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10"/>
      <c r="DH25" s="10"/>
      <c r="DI25" s="10"/>
      <c r="DJ25" s="10"/>
      <c r="DK25" s="10"/>
      <c r="DL25" s="8">
        <f t="shared" si="5"/>
        <v>0</v>
      </c>
      <c r="DM25" s="8">
        <f t="shared" si="3"/>
        <v>0</v>
      </c>
      <c r="DN25" s="10"/>
      <c r="DO25" s="10"/>
      <c r="DP25" s="10"/>
      <c r="DQ25" s="10"/>
      <c r="DR25" s="10"/>
      <c r="DS25" s="10"/>
      <c r="DT25" s="10"/>
      <c r="DU25" s="8">
        <f t="shared" si="4"/>
        <v>0</v>
      </c>
    </row>
    <row r="26" spans="1:125" x14ac:dyDescent="0.25">
      <c r="A26">
        <v>16</v>
      </c>
      <c r="B26" s="10" t="s">
        <v>88</v>
      </c>
      <c r="C26" s="8"/>
      <c r="D26" s="8" t="s">
        <v>194</v>
      </c>
      <c r="E26" s="8" t="s">
        <v>16</v>
      </c>
      <c r="F26" s="8"/>
      <c r="G26" s="8"/>
      <c r="H26" s="8"/>
      <c r="I26" s="8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8"/>
      <c r="Y26" s="8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8"/>
      <c r="BL26" s="8"/>
      <c r="BM26" s="8"/>
      <c r="BN26" s="10"/>
      <c r="BO26" s="10">
        <v>105</v>
      </c>
      <c r="BP26" s="10"/>
      <c r="BQ26" s="8"/>
      <c r="BR26" s="8"/>
      <c r="BS26" s="11">
        <f>SUM(BL26:BR26)</f>
        <v>105</v>
      </c>
      <c r="BT26" s="11">
        <f>(BS26-BL26)/2</f>
        <v>52.5</v>
      </c>
      <c r="BU26" s="11"/>
      <c r="BV26" s="11"/>
      <c r="BW26" s="11"/>
      <c r="BX26" s="11"/>
      <c r="BY26" s="11"/>
      <c r="BZ26" s="11"/>
      <c r="CA26" s="11">
        <f t="shared" si="2"/>
        <v>52.5</v>
      </c>
      <c r="CB26" s="24"/>
      <c r="CC26" s="8"/>
      <c r="CD26" s="8"/>
      <c r="CO26" s="8"/>
      <c r="CP26" s="8"/>
      <c r="CQ26" s="38"/>
      <c r="CR26" s="38"/>
      <c r="CS26" s="38"/>
      <c r="CT26" s="38"/>
      <c r="CU26" s="38"/>
      <c r="CV26" s="8"/>
      <c r="CW26" s="8"/>
      <c r="CX26" s="8"/>
      <c r="CY26" s="8"/>
      <c r="CZ26" s="8"/>
      <c r="DA26" s="8"/>
      <c r="DB26" s="8"/>
      <c r="DC26" s="8"/>
      <c r="DD26" s="8"/>
      <c r="DE26" s="8">
        <f>SUM(CW26:DD26)</f>
        <v>0</v>
      </c>
      <c r="DF26" s="8">
        <f>(DE26-CW26)/2</f>
        <v>0</v>
      </c>
      <c r="DG26" s="10"/>
      <c r="DH26" s="10"/>
      <c r="DI26" s="10"/>
      <c r="DJ26" s="10"/>
      <c r="DK26" s="10"/>
      <c r="DL26" s="8">
        <f t="shared" si="5"/>
        <v>0</v>
      </c>
      <c r="DM26" s="8">
        <f t="shared" si="3"/>
        <v>0</v>
      </c>
      <c r="DN26" s="10"/>
      <c r="DO26" s="10"/>
      <c r="DP26" s="10"/>
      <c r="DQ26" s="10"/>
      <c r="DR26" s="10"/>
      <c r="DS26" s="10"/>
      <c r="DT26" s="10"/>
      <c r="DU26" s="8">
        <f t="shared" si="4"/>
        <v>0</v>
      </c>
    </row>
    <row r="27" spans="1:125" x14ac:dyDescent="0.25">
      <c r="A27">
        <v>17</v>
      </c>
      <c r="B27" s="10" t="s">
        <v>145</v>
      </c>
      <c r="C27" s="8" t="s">
        <v>532</v>
      </c>
      <c r="D27" s="8" t="s">
        <v>531</v>
      </c>
      <c r="E27" s="8" t="s">
        <v>667</v>
      </c>
      <c r="F27" s="8"/>
      <c r="G27" s="8"/>
      <c r="H27" s="8"/>
      <c r="I27" s="8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8"/>
      <c r="Y27" s="8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8"/>
      <c r="AN27" s="8"/>
      <c r="AO27" s="8"/>
      <c r="AP27" s="8"/>
      <c r="AQ27" s="8"/>
      <c r="AR27" s="8"/>
      <c r="AS27" s="8"/>
      <c r="AT27" s="8"/>
      <c r="AU27" s="8"/>
      <c r="AV27" s="8">
        <v>36</v>
      </c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1">
        <f>SUM(AN27:BJ27)</f>
        <v>36</v>
      </c>
      <c r="BL27" s="11">
        <f>(BK27-AN27)/2</f>
        <v>18</v>
      </c>
      <c r="BM27" s="11"/>
      <c r="BN27" s="11"/>
      <c r="BO27" s="11">
        <v>7.5</v>
      </c>
      <c r="BP27" s="11"/>
      <c r="BQ27" s="11"/>
      <c r="BR27" s="11"/>
      <c r="BS27" s="11">
        <f>SUM(BL27:BR27)</f>
        <v>25.5</v>
      </c>
      <c r="BT27" s="11">
        <f>(BS27-BL27)/2</f>
        <v>3.75</v>
      </c>
      <c r="BU27" s="11">
        <v>36</v>
      </c>
      <c r="BV27" s="11">
        <v>3.2</v>
      </c>
      <c r="BW27" s="11">
        <v>7.5</v>
      </c>
      <c r="BX27" s="11"/>
      <c r="BY27" s="11"/>
      <c r="BZ27" s="11"/>
      <c r="CA27" s="11">
        <f t="shared" si="2"/>
        <v>50.45</v>
      </c>
      <c r="CB27" s="24"/>
      <c r="CV27" s="10">
        <f>CC27+CD27+SUM(CO27:CU27)</f>
        <v>0</v>
      </c>
      <c r="CW27" s="8">
        <f>(CV27-CC27)/2</f>
        <v>0</v>
      </c>
      <c r="CX27" s="8">
        <f>BK27/4</f>
        <v>9</v>
      </c>
      <c r="CY27" s="8"/>
      <c r="CZ27" s="8"/>
      <c r="DA27" s="8"/>
      <c r="DB27" s="8"/>
      <c r="DC27" s="8"/>
      <c r="DD27" s="8"/>
      <c r="DE27" s="8">
        <f>SUM(CW27:DD27)</f>
        <v>9</v>
      </c>
      <c r="DF27" s="8">
        <f>(DE27-CW27)/2</f>
        <v>4.5</v>
      </c>
      <c r="DG27" s="10"/>
      <c r="DH27" s="10"/>
      <c r="DI27" s="10"/>
      <c r="DJ27" s="10"/>
      <c r="DK27" s="10"/>
      <c r="DL27" s="8">
        <f t="shared" si="5"/>
        <v>4.5</v>
      </c>
      <c r="DM27" s="8">
        <f t="shared" si="3"/>
        <v>0</v>
      </c>
      <c r="DN27" s="10"/>
      <c r="DO27" s="10"/>
      <c r="DP27" s="10"/>
      <c r="DQ27" s="10"/>
      <c r="DR27" s="10"/>
      <c r="DS27" s="10"/>
      <c r="DT27" s="10"/>
      <c r="DU27" s="8">
        <f t="shared" si="4"/>
        <v>0</v>
      </c>
    </row>
    <row r="28" spans="1:125" x14ac:dyDescent="0.25">
      <c r="A28">
        <v>18</v>
      </c>
      <c r="B28" s="10" t="s">
        <v>616</v>
      </c>
      <c r="C28" s="8"/>
      <c r="D28" s="8" t="s">
        <v>263</v>
      </c>
      <c r="E28" s="8" t="s">
        <v>19</v>
      </c>
      <c r="F28" s="8"/>
      <c r="G28" s="8"/>
      <c r="H28" s="8"/>
      <c r="I28" s="8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8"/>
      <c r="Y28" s="8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1">
        <f>SUM(AN28:BJ28)</f>
        <v>0</v>
      </c>
      <c r="BL28" s="11">
        <f>(BK28-AN28)/2</f>
        <v>0</v>
      </c>
      <c r="BM28" s="11"/>
      <c r="BN28" s="11">
        <v>3.2</v>
      </c>
      <c r="BO28" s="11">
        <v>7.5</v>
      </c>
      <c r="BP28" s="11"/>
      <c r="BQ28" s="11"/>
      <c r="BR28" s="11"/>
      <c r="BS28" s="11">
        <f>SUM(BL28:BR28)</f>
        <v>10.7</v>
      </c>
      <c r="BT28" s="11">
        <f>(BS28-BL28)/2</f>
        <v>5.35</v>
      </c>
      <c r="BU28" s="11">
        <v>3</v>
      </c>
      <c r="BV28" s="11">
        <v>40</v>
      </c>
      <c r="BW28" s="11"/>
      <c r="BX28" s="11"/>
      <c r="BY28" s="11"/>
      <c r="BZ28" s="11"/>
      <c r="CA28" s="11">
        <f t="shared" si="2"/>
        <v>48.35</v>
      </c>
      <c r="CB28" s="24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10">
        <v>1.75</v>
      </c>
      <c r="DH28" s="10"/>
      <c r="DI28" s="10"/>
      <c r="DJ28" s="10"/>
      <c r="DK28" s="10"/>
      <c r="DL28" s="8">
        <f t="shared" si="5"/>
        <v>1.75</v>
      </c>
      <c r="DM28" s="8">
        <f t="shared" si="3"/>
        <v>0.875</v>
      </c>
      <c r="DN28" s="10"/>
      <c r="DO28" s="10"/>
      <c r="DP28" s="10"/>
      <c r="DQ28" s="10"/>
      <c r="DR28" s="10"/>
      <c r="DS28" s="10"/>
      <c r="DT28" s="10"/>
      <c r="DU28" s="8">
        <f t="shared" si="4"/>
        <v>0.875</v>
      </c>
    </row>
    <row r="29" spans="1:125" x14ac:dyDescent="0.25">
      <c r="A29">
        <v>19</v>
      </c>
      <c r="B29" s="10" t="s">
        <v>861</v>
      </c>
      <c r="C29" s="8"/>
      <c r="D29" s="8" t="s">
        <v>862</v>
      </c>
      <c r="E29" s="8" t="s">
        <v>15</v>
      </c>
      <c r="F29" s="8"/>
      <c r="G29" s="8"/>
      <c r="H29" s="8"/>
      <c r="I29" s="8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8"/>
      <c r="Y29" s="8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8"/>
      <c r="BL29" s="8"/>
      <c r="BM29" s="8"/>
      <c r="BN29" s="10"/>
      <c r="BO29" s="10"/>
      <c r="BP29" s="10"/>
      <c r="BQ29" s="8"/>
      <c r="BR29" s="8"/>
      <c r="BS29" s="8"/>
      <c r="BT29" s="8"/>
      <c r="BU29" s="10"/>
      <c r="BV29" s="10">
        <v>44.8</v>
      </c>
      <c r="BW29" s="10"/>
      <c r="BX29" s="8"/>
      <c r="BY29" s="8"/>
      <c r="BZ29" s="8"/>
      <c r="CA29" s="11">
        <f t="shared" si="2"/>
        <v>44.8</v>
      </c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10"/>
      <c r="DH29" s="10"/>
      <c r="DI29" s="10"/>
      <c r="DJ29" s="10"/>
      <c r="DK29" s="10"/>
      <c r="DL29" s="8">
        <f t="shared" si="5"/>
        <v>0</v>
      </c>
      <c r="DM29" s="8">
        <f t="shared" si="3"/>
        <v>0</v>
      </c>
      <c r="DN29" s="10"/>
      <c r="DO29" s="10"/>
      <c r="DP29" s="10"/>
      <c r="DQ29" s="10"/>
      <c r="DR29" s="10"/>
      <c r="DS29" s="10"/>
      <c r="DT29" s="10"/>
      <c r="DU29" s="8">
        <f t="shared" si="4"/>
        <v>0</v>
      </c>
    </row>
    <row r="30" spans="1:125" x14ac:dyDescent="0.25">
      <c r="A30">
        <v>20</v>
      </c>
      <c r="B30" s="10" t="s">
        <v>148</v>
      </c>
      <c r="C30" s="8"/>
      <c r="D30" s="8" t="s">
        <v>870</v>
      </c>
      <c r="E30" s="8" t="s">
        <v>871</v>
      </c>
      <c r="F30" s="8"/>
      <c r="G30" s="8"/>
      <c r="H30" s="8"/>
      <c r="I30" s="8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8"/>
      <c r="Y30" s="8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8"/>
      <c r="BL30" s="8"/>
      <c r="BM30" s="8"/>
      <c r="BN30" s="10"/>
      <c r="BO30" s="10"/>
      <c r="BP30" s="10"/>
      <c r="BQ30" s="8"/>
      <c r="BR30" s="8"/>
      <c r="BS30" s="8"/>
      <c r="BT30" s="8"/>
      <c r="BU30" s="10"/>
      <c r="BV30" s="10">
        <v>44.8</v>
      </c>
      <c r="BW30" s="10"/>
      <c r="BX30" s="8"/>
      <c r="BY30" s="8"/>
      <c r="BZ30" s="8"/>
      <c r="CA30" s="11">
        <f t="shared" si="2"/>
        <v>44.8</v>
      </c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10"/>
      <c r="DH30" s="10"/>
      <c r="DI30" s="10"/>
      <c r="DJ30" s="10"/>
      <c r="DK30" s="10"/>
      <c r="DL30" s="8">
        <f t="shared" si="5"/>
        <v>0</v>
      </c>
      <c r="DM30" s="8">
        <f t="shared" si="3"/>
        <v>0</v>
      </c>
      <c r="DN30" s="10"/>
      <c r="DO30" s="10"/>
      <c r="DP30" s="10"/>
      <c r="DQ30" s="10"/>
      <c r="DR30" s="10"/>
      <c r="DS30" s="10"/>
      <c r="DT30" s="10"/>
      <c r="DU30" s="8">
        <f t="shared" si="4"/>
        <v>0</v>
      </c>
    </row>
    <row r="31" spans="1:125" x14ac:dyDescent="0.25">
      <c r="A31">
        <v>21</v>
      </c>
      <c r="B31" s="40" t="s">
        <v>87</v>
      </c>
      <c r="C31" s="39"/>
      <c r="D31" s="39" t="s">
        <v>833</v>
      </c>
      <c r="E31" s="39" t="s">
        <v>834</v>
      </c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8"/>
      <c r="BL31" s="8"/>
      <c r="BM31" s="8"/>
      <c r="BN31" s="10"/>
      <c r="BO31" s="10"/>
      <c r="BP31" s="10"/>
      <c r="BQ31" s="8"/>
      <c r="BR31" s="8"/>
      <c r="BS31" s="8"/>
      <c r="BT31" s="8"/>
      <c r="BU31" s="10">
        <v>36</v>
      </c>
      <c r="BV31" s="10">
        <v>4</v>
      </c>
      <c r="BW31" s="10"/>
      <c r="BX31" s="8"/>
      <c r="BY31" s="8"/>
      <c r="BZ31" s="8"/>
      <c r="CA31" s="11">
        <f t="shared" si="2"/>
        <v>40</v>
      </c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10"/>
      <c r="DH31" s="10"/>
      <c r="DI31" s="10"/>
      <c r="DJ31" s="10"/>
      <c r="DK31" s="10"/>
      <c r="DL31" s="8">
        <f t="shared" si="5"/>
        <v>0</v>
      </c>
      <c r="DM31" s="8">
        <f t="shared" si="3"/>
        <v>0</v>
      </c>
      <c r="DN31" s="10"/>
      <c r="DO31" s="10"/>
      <c r="DP31" s="10"/>
      <c r="DQ31" s="10"/>
      <c r="DR31" s="10"/>
      <c r="DS31" s="10"/>
      <c r="DT31" s="10"/>
      <c r="DU31" s="8">
        <f t="shared" si="4"/>
        <v>0</v>
      </c>
    </row>
    <row r="32" spans="1:125" x14ac:dyDescent="0.25">
      <c r="A32">
        <v>22</v>
      </c>
      <c r="B32" s="10" t="s">
        <v>716</v>
      </c>
      <c r="C32" s="8"/>
      <c r="D32" s="8" t="s">
        <v>26</v>
      </c>
      <c r="E32" s="8" t="s">
        <v>71</v>
      </c>
      <c r="BK32" s="8"/>
      <c r="BL32" s="8"/>
      <c r="BM32" s="8"/>
      <c r="BN32" s="10"/>
      <c r="BO32" s="10"/>
      <c r="BP32" s="10"/>
      <c r="BQ32" s="8"/>
      <c r="BR32" s="8"/>
      <c r="BS32" s="8"/>
      <c r="BT32" s="8"/>
      <c r="BU32" s="10">
        <v>36</v>
      </c>
      <c r="BV32" s="10"/>
      <c r="BW32" s="10"/>
      <c r="BX32" s="8"/>
      <c r="BY32" s="8"/>
      <c r="BZ32" s="8"/>
      <c r="CA32" s="11">
        <f t="shared" si="2"/>
        <v>36</v>
      </c>
      <c r="DE32" s="8"/>
      <c r="DF32" s="8"/>
      <c r="DG32" s="10"/>
      <c r="DH32" s="10"/>
      <c r="DI32" s="10"/>
      <c r="DJ32" s="10"/>
      <c r="DK32" s="10"/>
      <c r="DL32" s="8">
        <f t="shared" si="5"/>
        <v>0</v>
      </c>
      <c r="DM32" s="8">
        <f t="shared" si="3"/>
        <v>0</v>
      </c>
      <c r="DN32" s="10"/>
      <c r="DO32" s="10"/>
      <c r="DP32" s="10"/>
      <c r="DQ32" s="10"/>
      <c r="DR32" s="10"/>
      <c r="DS32" s="10"/>
      <c r="DT32" s="10"/>
      <c r="DU32" s="8">
        <f t="shared" si="4"/>
        <v>0</v>
      </c>
    </row>
    <row r="33" spans="1:125" x14ac:dyDescent="0.25">
      <c r="A33">
        <v>23</v>
      </c>
      <c r="B33" s="10" t="s">
        <v>893</v>
      </c>
      <c r="C33" s="8"/>
      <c r="D33" s="8" t="s">
        <v>194</v>
      </c>
      <c r="E33" s="8" t="s">
        <v>43</v>
      </c>
      <c r="F33" s="8"/>
      <c r="G33" s="8"/>
      <c r="H33" s="8"/>
      <c r="I33" s="8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8"/>
      <c r="Y33" s="8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8"/>
      <c r="BL33" s="8"/>
      <c r="BM33" s="8"/>
      <c r="BN33" s="10"/>
      <c r="BO33" s="10"/>
      <c r="BP33" s="10"/>
      <c r="BQ33" s="8"/>
      <c r="BR33" s="8"/>
      <c r="BS33" s="8"/>
      <c r="BT33" s="8"/>
      <c r="BU33" s="10">
        <v>36</v>
      </c>
      <c r="BV33" s="10"/>
      <c r="BW33" s="10"/>
      <c r="BX33" s="8"/>
      <c r="BY33" s="8"/>
      <c r="BZ33" s="8"/>
      <c r="CA33" s="11">
        <f t="shared" si="2"/>
        <v>36</v>
      </c>
      <c r="DE33" s="8"/>
      <c r="DF33" s="8"/>
      <c r="DG33" s="10"/>
      <c r="DH33" s="10"/>
      <c r="DI33" s="10"/>
      <c r="DJ33" s="10"/>
      <c r="DK33" s="10"/>
      <c r="DL33" s="8">
        <f t="shared" si="5"/>
        <v>0</v>
      </c>
      <c r="DM33" s="8">
        <f t="shared" si="3"/>
        <v>0</v>
      </c>
      <c r="DN33" s="10"/>
      <c r="DO33" s="10"/>
      <c r="DP33" s="10"/>
      <c r="DQ33" s="10"/>
      <c r="DR33" s="10"/>
      <c r="DS33" s="10"/>
      <c r="DT33" s="10"/>
      <c r="DU33" s="8">
        <f t="shared" si="4"/>
        <v>0</v>
      </c>
    </row>
    <row r="34" spans="1:125" x14ac:dyDescent="0.25">
      <c r="A34">
        <v>24</v>
      </c>
      <c r="B34" s="10" t="s">
        <v>884</v>
      </c>
      <c r="C34" s="8"/>
      <c r="D34" s="8" t="s">
        <v>911</v>
      </c>
      <c r="E34" s="8" t="s">
        <v>449</v>
      </c>
      <c r="F34" s="8"/>
      <c r="G34" s="8"/>
      <c r="H34" s="8"/>
      <c r="I34" s="8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8"/>
      <c r="Y34" s="8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8"/>
      <c r="BL34" s="8"/>
      <c r="BM34" s="8"/>
      <c r="BN34" s="10"/>
      <c r="BO34" s="10"/>
      <c r="BP34" s="10"/>
      <c r="BQ34" s="8"/>
      <c r="BR34" s="8"/>
      <c r="BS34" s="8"/>
      <c r="BT34" s="8"/>
      <c r="BU34" s="10">
        <v>36</v>
      </c>
      <c r="BV34" s="10"/>
      <c r="BW34" s="10"/>
      <c r="BX34" s="8"/>
      <c r="BY34" s="8"/>
      <c r="BZ34" s="8"/>
      <c r="CA34" s="11">
        <f t="shared" si="2"/>
        <v>36</v>
      </c>
      <c r="DE34" s="8"/>
      <c r="DF34" s="8"/>
      <c r="DG34" s="10"/>
      <c r="DH34" s="10"/>
      <c r="DI34" s="10"/>
      <c r="DJ34" s="10"/>
      <c r="DK34" s="10"/>
      <c r="DL34" s="8">
        <f t="shared" si="5"/>
        <v>0</v>
      </c>
      <c r="DM34" s="8">
        <f t="shared" si="3"/>
        <v>0</v>
      </c>
      <c r="DN34" s="10"/>
      <c r="DO34" s="10"/>
      <c r="DP34" s="10"/>
      <c r="DQ34" s="10"/>
      <c r="DR34" s="10"/>
      <c r="DS34" s="10"/>
      <c r="DT34" s="10"/>
      <c r="DU34" s="8">
        <f t="shared" si="4"/>
        <v>0</v>
      </c>
    </row>
    <row r="35" spans="1:125" x14ac:dyDescent="0.25">
      <c r="A35">
        <v>25</v>
      </c>
      <c r="B35" s="10" t="s">
        <v>88</v>
      </c>
      <c r="C35" s="8"/>
      <c r="D35" s="8" t="s">
        <v>263</v>
      </c>
      <c r="E35" s="8" t="s">
        <v>538</v>
      </c>
      <c r="F35" s="8"/>
      <c r="G35" s="8"/>
      <c r="H35" s="8"/>
      <c r="I35" s="8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8"/>
      <c r="Y35" s="8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8"/>
      <c r="BL35" s="8"/>
      <c r="BM35" s="8">
        <v>36</v>
      </c>
      <c r="BN35" s="10">
        <v>3.2</v>
      </c>
      <c r="BO35" s="10">
        <v>7.5</v>
      </c>
      <c r="BP35" s="10">
        <v>7.5</v>
      </c>
      <c r="BQ35" s="8"/>
      <c r="BR35" s="8"/>
      <c r="BS35" s="11">
        <f t="shared" ref="BS35:BS46" si="6">SUM(BL35:BR35)</f>
        <v>54.2</v>
      </c>
      <c r="BT35" s="11">
        <f t="shared" ref="BT35:BT46" si="7">(BS35-BL35)/2</f>
        <v>27.1</v>
      </c>
      <c r="BU35" s="11"/>
      <c r="BV35" s="11"/>
      <c r="BW35" s="11"/>
      <c r="BX35" s="11"/>
      <c r="BY35" s="11"/>
      <c r="BZ35" s="11"/>
      <c r="CA35" s="11">
        <f t="shared" si="2"/>
        <v>27.1</v>
      </c>
      <c r="CB35" s="24"/>
      <c r="DE35" s="8"/>
      <c r="DF35" s="8"/>
      <c r="DG35" s="10"/>
      <c r="DH35" s="10"/>
      <c r="DI35" s="10"/>
      <c r="DJ35" s="10"/>
      <c r="DK35" s="10"/>
      <c r="DL35" s="8">
        <f t="shared" si="5"/>
        <v>0</v>
      </c>
      <c r="DM35" s="8">
        <f t="shared" si="3"/>
        <v>0</v>
      </c>
      <c r="DN35" s="10"/>
      <c r="DO35" s="10"/>
      <c r="DP35" s="10"/>
      <c r="DQ35" s="10"/>
      <c r="DR35" s="10"/>
      <c r="DS35" s="10"/>
      <c r="DT35" s="10"/>
      <c r="DU35" s="8">
        <f t="shared" si="4"/>
        <v>0</v>
      </c>
    </row>
    <row r="36" spans="1:125" x14ac:dyDescent="0.25">
      <c r="A36">
        <v>26</v>
      </c>
      <c r="B36" s="10" t="s">
        <v>480</v>
      </c>
      <c r="C36" s="8" t="s">
        <v>481</v>
      </c>
      <c r="D36" s="8" t="s">
        <v>482</v>
      </c>
      <c r="E36" s="8" t="s">
        <v>193</v>
      </c>
      <c r="F36" s="8"/>
      <c r="G36" s="8"/>
      <c r="H36" s="8"/>
      <c r="I36" s="8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8"/>
      <c r="Y36" s="8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8"/>
      <c r="AN36" s="8"/>
      <c r="AO36" s="8"/>
      <c r="AP36" s="8"/>
      <c r="AQ36" s="8"/>
      <c r="AR36" s="8"/>
      <c r="AS36" s="8">
        <v>2.4</v>
      </c>
      <c r="AT36" s="8"/>
      <c r="AU36" s="8">
        <v>54</v>
      </c>
      <c r="AV36" s="8"/>
      <c r="AW36" s="10">
        <v>36</v>
      </c>
      <c r="AX36" s="10"/>
      <c r="AY36" s="10">
        <v>40</v>
      </c>
      <c r="AZ36" s="10"/>
      <c r="BA36" s="10">
        <v>7.5</v>
      </c>
      <c r="BB36" s="10"/>
      <c r="BC36" s="10">
        <v>2.4</v>
      </c>
      <c r="BD36" s="10"/>
      <c r="BE36" s="10"/>
      <c r="BF36" s="10"/>
      <c r="BG36" s="10"/>
      <c r="BH36" s="10"/>
      <c r="BI36" s="10">
        <v>75</v>
      </c>
      <c r="BJ36" s="10">
        <v>72</v>
      </c>
      <c r="BK36" s="11">
        <f>SUM(AN36:BJ36)</f>
        <v>289.3</v>
      </c>
      <c r="BL36" s="11">
        <f>(BK36-AN36)/2</f>
        <v>144.65</v>
      </c>
      <c r="BM36" s="11">
        <v>33.6</v>
      </c>
      <c r="BN36" s="11"/>
      <c r="BO36" s="11">
        <v>7.5</v>
      </c>
      <c r="BP36" s="11">
        <v>4</v>
      </c>
      <c r="BQ36" s="11">
        <v>7.5</v>
      </c>
      <c r="BR36" s="11"/>
      <c r="BS36" s="11">
        <f t="shared" si="6"/>
        <v>197.25</v>
      </c>
      <c r="BT36" s="11">
        <f t="shared" si="7"/>
        <v>26.299999999999997</v>
      </c>
      <c r="BU36" s="11"/>
      <c r="BV36" s="11"/>
      <c r="BW36" s="11"/>
      <c r="BX36" s="11"/>
      <c r="BY36" s="11"/>
      <c r="BZ36" s="11"/>
      <c r="CA36" s="11">
        <f t="shared" si="2"/>
        <v>26.299999999999997</v>
      </c>
      <c r="CB36" s="24"/>
      <c r="CV36" s="12">
        <f>CC36+CD36+SUM(CO36:CU36)</f>
        <v>0</v>
      </c>
      <c r="CW36">
        <f>(CV36-CC36)/2</f>
        <v>0</v>
      </c>
      <c r="CX36">
        <f>BK36/4</f>
        <v>72.325000000000003</v>
      </c>
      <c r="DD36">
        <v>25</v>
      </c>
      <c r="DE36" s="8">
        <f>SUM(CW36:DD36)</f>
        <v>97.325000000000003</v>
      </c>
      <c r="DF36" s="8">
        <f>(DE36-CW36)/2</f>
        <v>48.662500000000001</v>
      </c>
      <c r="DG36" s="10"/>
      <c r="DH36" s="10"/>
      <c r="DI36" s="10"/>
      <c r="DJ36" s="10"/>
      <c r="DK36" s="10"/>
      <c r="DL36" s="8">
        <f t="shared" si="5"/>
        <v>48.662500000000001</v>
      </c>
      <c r="DM36" s="8">
        <f t="shared" si="3"/>
        <v>0</v>
      </c>
      <c r="DN36" s="10"/>
      <c r="DO36" s="10"/>
      <c r="DP36" s="10"/>
      <c r="DQ36" s="10"/>
      <c r="DR36" s="10"/>
      <c r="DS36" s="10"/>
      <c r="DT36" s="10"/>
      <c r="DU36" s="8">
        <f t="shared" si="4"/>
        <v>0</v>
      </c>
    </row>
    <row r="37" spans="1:125" x14ac:dyDescent="0.25">
      <c r="A37">
        <v>27</v>
      </c>
      <c r="B37" s="10" t="s">
        <v>255</v>
      </c>
      <c r="C37" s="8"/>
      <c r="D37" s="8" t="s">
        <v>394</v>
      </c>
      <c r="E37" s="8" t="s">
        <v>395</v>
      </c>
      <c r="F37" s="8"/>
      <c r="G37" s="8"/>
      <c r="H37" s="8"/>
      <c r="I37" s="8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8"/>
      <c r="Y37" s="8"/>
      <c r="Z37" s="10"/>
      <c r="AA37" s="10"/>
      <c r="AB37" s="10"/>
      <c r="AC37" s="10"/>
      <c r="AD37" s="10">
        <v>3.2</v>
      </c>
      <c r="AE37" s="10"/>
      <c r="AF37" s="10"/>
      <c r="AG37" s="10">
        <v>36</v>
      </c>
      <c r="AH37" s="10"/>
      <c r="AI37" s="10"/>
      <c r="AJ37" s="10"/>
      <c r="AK37" s="10"/>
      <c r="AL37" s="10"/>
      <c r="AM37" s="11">
        <f>SUM(Y37:AL37)</f>
        <v>39.200000000000003</v>
      </c>
      <c r="AN37" s="11">
        <f>(AM37-Y37)/2</f>
        <v>19.600000000000001</v>
      </c>
      <c r="AO37" s="11"/>
      <c r="AP37" s="11"/>
      <c r="AQ37" s="11"/>
      <c r="AR37" s="11"/>
      <c r="AS37" s="11"/>
      <c r="AT37" s="11"/>
      <c r="AU37" s="11"/>
      <c r="AV37" s="11"/>
      <c r="AW37" s="11"/>
      <c r="AX37" s="11">
        <v>56</v>
      </c>
      <c r="AY37" s="11"/>
      <c r="AZ37" s="11"/>
      <c r="BA37" s="11">
        <v>7.5</v>
      </c>
      <c r="BB37" s="11"/>
      <c r="BC37" s="11"/>
      <c r="BD37" s="11"/>
      <c r="BE37" s="11"/>
      <c r="BF37" s="11"/>
      <c r="BG37" s="11">
        <v>36</v>
      </c>
      <c r="BH37" s="11"/>
      <c r="BI37" s="11"/>
      <c r="BJ37" s="11"/>
      <c r="BK37" s="11">
        <f>SUM(AN37:BJ37)</f>
        <v>119.1</v>
      </c>
      <c r="BL37" s="11">
        <f>(BK37-AN37)/2</f>
        <v>49.75</v>
      </c>
      <c r="BM37" s="11"/>
      <c r="BN37" s="11"/>
      <c r="BO37" s="11">
        <v>39</v>
      </c>
      <c r="BP37" s="11"/>
      <c r="BQ37" s="11"/>
      <c r="BR37" s="11"/>
      <c r="BS37" s="11">
        <f t="shared" si="6"/>
        <v>88.75</v>
      </c>
      <c r="BT37" s="11">
        <f t="shared" si="7"/>
        <v>19.5</v>
      </c>
      <c r="BU37" s="11"/>
      <c r="BV37" s="11"/>
      <c r="BW37" s="11"/>
      <c r="BX37" s="11"/>
      <c r="BY37" s="11"/>
      <c r="BZ37" s="11"/>
      <c r="CA37" s="11">
        <f t="shared" si="2"/>
        <v>19.5</v>
      </c>
      <c r="CB37" s="24"/>
      <c r="CC37" s="12">
        <f>SUM(CG37:CM37)/2</f>
        <v>0</v>
      </c>
      <c r="CD37" s="12">
        <f>AM37/4</f>
        <v>9.8000000000000007</v>
      </c>
      <c r="CO37" s="12"/>
      <c r="CP37" s="12"/>
      <c r="CQ37" s="12"/>
      <c r="CR37" s="12"/>
      <c r="CS37" s="12"/>
      <c r="CT37" s="12"/>
      <c r="CU37" s="12"/>
      <c r="CV37" s="12">
        <f>CC37+CD37+SUM(CO37:CU37)</f>
        <v>9.8000000000000007</v>
      </c>
      <c r="CW37">
        <f>(CV37-CC37)/2</f>
        <v>4.9000000000000004</v>
      </c>
      <c r="CX37">
        <f>BK37/4</f>
        <v>29.774999999999999</v>
      </c>
      <c r="DE37" s="8">
        <f>SUM(CW37:CZ37)</f>
        <v>34.674999999999997</v>
      </c>
      <c r="DF37" s="8">
        <f>(DE37-CW37)/2</f>
        <v>14.887499999999999</v>
      </c>
      <c r="DG37" s="10"/>
      <c r="DH37" s="10"/>
      <c r="DI37" s="10"/>
      <c r="DJ37" s="10"/>
      <c r="DK37" s="10"/>
      <c r="DL37" s="8">
        <f t="shared" si="5"/>
        <v>14.887499999999999</v>
      </c>
      <c r="DM37" s="8">
        <f t="shared" si="3"/>
        <v>0</v>
      </c>
      <c r="DN37" s="10"/>
      <c r="DO37" s="10"/>
      <c r="DP37" s="10"/>
      <c r="DQ37" s="10"/>
      <c r="DR37" s="10"/>
      <c r="DS37" s="10"/>
      <c r="DT37" s="10"/>
      <c r="DU37" s="8">
        <f t="shared" si="4"/>
        <v>0</v>
      </c>
    </row>
    <row r="38" spans="1:125" x14ac:dyDescent="0.25">
      <c r="A38">
        <v>28</v>
      </c>
      <c r="B38" s="10" t="s">
        <v>653</v>
      </c>
      <c r="C38" s="8"/>
      <c r="D38" s="8" t="s">
        <v>35</v>
      </c>
      <c r="E38" s="8" t="s">
        <v>189</v>
      </c>
      <c r="F38" s="8"/>
      <c r="G38" s="8"/>
      <c r="H38" s="8"/>
      <c r="I38" s="8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8"/>
      <c r="Y38" s="8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8"/>
      <c r="BL38" s="8"/>
      <c r="BM38" s="8">
        <v>36</v>
      </c>
      <c r="BN38" s="10"/>
      <c r="BO38" s="10"/>
      <c r="BP38" s="10"/>
      <c r="BQ38" s="8"/>
      <c r="BR38" s="8"/>
      <c r="BS38" s="11">
        <f t="shared" si="6"/>
        <v>36</v>
      </c>
      <c r="BT38" s="11">
        <f t="shared" si="7"/>
        <v>18</v>
      </c>
      <c r="BU38" s="11"/>
      <c r="BV38" s="11"/>
      <c r="BW38" s="11"/>
      <c r="BX38" s="11"/>
      <c r="BY38" s="11"/>
      <c r="BZ38" s="11"/>
      <c r="CA38" s="11">
        <f t="shared" si="2"/>
        <v>18</v>
      </c>
      <c r="CB38" s="24"/>
      <c r="DL38" s="8">
        <f t="shared" si="5"/>
        <v>0</v>
      </c>
      <c r="DM38" s="8">
        <f t="shared" si="3"/>
        <v>0</v>
      </c>
      <c r="DN38" s="10"/>
      <c r="DO38" s="10"/>
      <c r="DP38" s="10"/>
      <c r="DQ38" s="10"/>
      <c r="DR38" s="10"/>
      <c r="DS38" s="10"/>
      <c r="DT38" s="10"/>
      <c r="DU38" s="8">
        <f t="shared" si="4"/>
        <v>0</v>
      </c>
    </row>
    <row r="39" spans="1:125" x14ac:dyDescent="0.25">
      <c r="A39">
        <v>29</v>
      </c>
      <c r="B39" s="10" t="s">
        <v>642</v>
      </c>
      <c r="C39" s="8"/>
      <c r="D39" s="8" t="s">
        <v>643</v>
      </c>
      <c r="E39" s="8" t="s">
        <v>771</v>
      </c>
      <c r="F39" s="8"/>
      <c r="G39" s="8"/>
      <c r="H39" s="8"/>
      <c r="I39" s="8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8"/>
      <c r="Y39" s="8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8"/>
      <c r="BL39" s="8"/>
      <c r="BM39" s="8">
        <v>36</v>
      </c>
      <c r="BN39" s="10"/>
      <c r="BO39" s="10"/>
      <c r="BP39" s="10"/>
      <c r="BQ39" s="8"/>
      <c r="BR39" s="8"/>
      <c r="BS39" s="11">
        <f t="shared" si="6"/>
        <v>36</v>
      </c>
      <c r="BT39" s="11">
        <f t="shared" si="7"/>
        <v>18</v>
      </c>
      <c r="BU39" s="11"/>
      <c r="BV39" s="11"/>
      <c r="BW39" s="11"/>
      <c r="BX39" s="11"/>
      <c r="BY39" s="11"/>
      <c r="BZ39" s="11"/>
      <c r="CA39" s="11">
        <f t="shared" si="2"/>
        <v>18</v>
      </c>
      <c r="CB39" s="24"/>
      <c r="DL39" s="8">
        <f t="shared" si="5"/>
        <v>0</v>
      </c>
      <c r="DM39" s="8">
        <f t="shared" si="3"/>
        <v>0</v>
      </c>
      <c r="DN39" s="10"/>
      <c r="DO39" s="10"/>
      <c r="DP39" s="10"/>
      <c r="DQ39" s="10"/>
      <c r="DR39" s="10"/>
      <c r="DS39" s="10"/>
      <c r="DT39" s="10"/>
      <c r="DU39" s="8">
        <f t="shared" si="4"/>
        <v>0</v>
      </c>
    </row>
    <row r="40" spans="1:125" x14ac:dyDescent="0.25">
      <c r="A40">
        <v>30</v>
      </c>
      <c r="B40" s="10" t="s">
        <v>777</v>
      </c>
      <c r="C40" s="8"/>
      <c r="D40" s="8" t="s">
        <v>590</v>
      </c>
      <c r="E40" s="8" t="s">
        <v>907</v>
      </c>
      <c r="F40" s="8"/>
      <c r="G40" s="8"/>
      <c r="H40" s="8"/>
      <c r="I40" s="8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8"/>
      <c r="Y40" s="8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8"/>
      <c r="BL40" s="8"/>
      <c r="BM40" s="8"/>
      <c r="BN40" s="10"/>
      <c r="BO40" s="10"/>
      <c r="BP40" s="10"/>
      <c r="BQ40" s="8"/>
      <c r="BR40" s="8"/>
      <c r="BS40" s="11">
        <f t="shared" si="6"/>
        <v>0</v>
      </c>
      <c r="BT40" s="11">
        <f t="shared" si="7"/>
        <v>0</v>
      </c>
      <c r="BU40" s="11">
        <v>3</v>
      </c>
      <c r="BV40" s="11"/>
      <c r="BW40" s="11"/>
      <c r="BX40" s="11"/>
      <c r="BY40" s="11"/>
      <c r="BZ40" s="11"/>
      <c r="CA40" s="11">
        <f t="shared" si="2"/>
        <v>3</v>
      </c>
      <c r="CB40" s="24"/>
      <c r="DK40" s="12">
        <v>2.5</v>
      </c>
      <c r="DL40" s="8">
        <f t="shared" si="5"/>
        <v>2.5</v>
      </c>
      <c r="DM40" s="8">
        <f t="shared" si="3"/>
        <v>1.25</v>
      </c>
      <c r="DN40" s="10"/>
      <c r="DO40" s="10"/>
      <c r="DP40" s="10"/>
      <c r="DQ40" s="10"/>
      <c r="DR40" s="10"/>
      <c r="DS40" s="10"/>
      <c r="DT40" s="10"/>
      <c r="DU40" s="8">
        <f t="shared" si="4"/>
        <v>1.25</v>
      </c>
    </row>
    <row r="41" spans="1:125" x14ac:dyDescent="0.25">
      <c r="A41">
        <v>31</v>
      </c>
      <c r="B41" s="10" t="s">
        <v>527</v>
      </c>
      <c r="C41" s="8"/>
      <c r="D41" s="8" t="s">
        <v>482</v>
      </c>
      <c r="E41" s="8" t="s">
        <v>16</v>
      </c>
      <c r="F41" s="8"/>
      <c r="G41" s="8"/>
      <c r="H41" s="8"/>
      <c r="I41" s="8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8"/>
      <c r="Y41" s="8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8"/>
      <c r="BL41" s="8"/>
      <c r="BM41" s="8">
        <v>2.4</v>
      </c>
      <c r="BN41" s="10"/>
      <c r="BO41" s="10"/>
      <c r="BP41" s="10"/>
      <c r="BQ41" s="8"/>
      <c r="BR41" s="8"/>
      <c r="BS41" s="11">
        <f t="shared" si="6"/>
        <v>2.4</v>
      </c>
      <c r="BT41" s="11">
        <f t="shared" si="7"/>
        <v>1.2</v>
      </c>
      <c r="BU41" s="11"/>
      <c r="BV41" s="11"/>
      <c r="BW41" s="11"/>
      <c r="BX41" s="11"/>
      <c r="BY41" s="11"/>
      <c r="BZ41" s="11"/>
      <c r="CA41" s="11">
        <f t="shared" si="2"/>
        <v>1.2</v>
      </c>
      <c r="CB41" s="24"/>
      <c r="DL41" s="8">
        <f t="shared" si="5"/>
        <v>0</v>
      </c>
      <c r="DM41" s="8">
        <f t="shared" si="3"/>
        <v>0</v>
      </c>
      <c r="DN41" s="10"/>
      <c r="DO41" s="10"/>
      <c r="DP41" s="10"/>
      <c r="DQ41" s="10"/>
      <c r="DR41" s="10"/>
      <c r="DS41" s="10"/>
      <c r="DT41" s="10"/>
      <c r="DU41" s="8">
        <f t="shared" si="4"/>
        <v>0</v>
      </c>
    </row>
    <row r="42" spans="1:125" x14ac:dyDescent="0.25">
      <c r="A42">
        <v>32</v>
      </c>
      <c r="B42" s="10" t="s">
        <v>218</v>
      </c>
      <c r="C42" s="8"/>
      <c r="D42" s="8" t="s">
        <v>441</v>
      </c>
      <c r="E42" s="8" t="s">
        <v>662</v>
      </c>
      <c r="F42" s="8"/>
      <c r="G42" s="8"/>
      <c r="H42" s="8"/>
      <c r="I42" s="8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8"/>
      <c r="Y42" s="8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8"/>
      <c r="BL42" s="8"/>
      <c r="BM42" s="8">
        <v>2.4</v>
      </c>
      <c r="BN42" s="10"/>
      <c r="BO42" s="10"/>
      <c r="BP42" s="10"/>
      <c r="BQ42" s="8"/>
      <c r="BR42" s="8"/>
      <c r="BS42" s="11">
        <f t="shared" si="6"/>
        <v>2.4</v>
      </c>
      <c r="BT42" s="11">
        <f t="shared" si="7"/>
        <v>1.2</v>
      </c>
      <c r="BU42" s="11"/>
      <c r="BV42" s="11"/>
      <c r="BW42" s="11"/>
      <c r="BX42" s="11"/>
      <c r="BY42" s="11"/>
      <c r="BZ42" s="11"/>
      <c r="CA42" s="11">
        <f t="shared" si="2"/>
        <v>1.2</v>
      </c>
      <c r="CB42" s="24"/>
      <c r="DL42" s="8">
        <f t="shared" si="5"/>
        <v>0</v>
      </c>
      <c r="DM42" s="8">
        <f t="shared" si="3"/>
        <v>0</v>
      </c>
      <c r="DN42" s="10"/>
      <c r="DO42" s="10"/>
      <c r="DP42" s="10"/>
      <c r="DQ42" s="10"/>
      <c r="DR42" s="10"/>
      <c r="DS42" s="10"/>
      <c r="DT42" s="10"/>
      <c r="DU42" s="8">
        <f t="shared" si="4"/>
        <v>0</v>
      </c>
    </row>
    <row r="43" spans="1:125" x14ac:dyDescent="0.25">
      <c r="A43">
        <v>33</v>
      </c>
      <c r="B43" s="10" t="s">
        <v>425</v>
      </c>
      <c r="C43" s="8"/>
      <c r="D43" s="8" t="s">
        <v>203</v>
      </c>
      <c r="E43" s="8" t="s">
        <v>16</v>
      </c>
      <c r="F43" s="8"/>
      <c r="G43" s="8"/>
      <c r="H43" s="8"/>
      <c r="I43" s="8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8"/>
      <c r="Y43" s="8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>
        <v>60</v>
      </c>
      <c r="AK43" s="10"/>
      <c r="AL43" s="10">
        <v>75</v>
      </c>
      <c r="AM43" s="11">
        <f>SUM(Y43:AL43)</f>
        <v>135</v>
      </c>
      <c r="AN43" s="11">
        <f>(AM43-Y43)/2</f>
        <v>67.5</v>
      </c>
      <c r="AO43" s="11"/>
      <c r="AP43" s="11"/>
      <c r="AQ43" s="11"/>
      <c r="AR43" s="11">
        <v>30</v>
      </c>
      <c r="AS43" s="11"/>
      <c r="AT43" s="11"/>
      <c r="AU43" s="11">
        <v>75</v>
      </c>
      <c r="AV43" s="11"/>
      <c r="AW43" s="11">
        <v>50</v>
      </c>
      <c r="AX43" s="11"/>
      <c r="AY43" s="11">
        <v>4</v>
      </c>
      <c r="AZ43" s="11"/>
      <c r="BA43" s="11"/>
      <c r="BB43" s="11">
        <v>42</v>
      </c>
      <c r="BC43" s="11"/>
      <c r="BD43" s="11"/>
      <c r="BE43" s="11"/>
      <c r="BF43" s="11"/>
      <c r="BG43" s="11"/>
      <c r="BH43" s="11"/>
      <c r="BI43" s="11"/>
      <c r="BJ43" s="11"/>
      <c r="BK43" s="11">
        <f>SUM(AN43:BJ43)</f>
        <v>268.5</v>
      </c>
      <c r="BL43" s="11">
        <f>(BK43-AN43)/2</f>
        <v>100.5</v>
      </c>
      <c r="BM43" s="11"/>
      <c r="BN43" s="11"/>
      <c r="BO43" s="11"/>
      <c r="BP43" s="11"/>
      <c r="BQ43" s="11"/>
      <c r="BR43" s="11"/>
      <c r="BS43" s="11">
        <f t="shared" si="6"/>
        <v>100.5</v>
      </c>
      <c r="BT43" s="11">
        <f t="shared" si="7"/>
        <v>0</v>
      </c>
      <c r="BU43" s="11"/>
      <c r="BV43" s="11"/>
      <c r="BW43" s="11"/>
      <c r="BX43" s="11"/>
      <c r="BY43" s="11"/>
      <c r="BZ43" s="11"/>
      <c r="CA43" s="11">
        <f t="shared" si="2"/>
        <v>0</v>
      </c>
      <c r="CB43" s="24"/>
      <c r="CC43" s="12">
        <f>SUM(CG43:CM43)/2</f>
        <v>0</v>
      </c>
      <c r="CD43" s="12">
        <f>AM43/4</f>
        <v>33.75</v>
      </c>
      <c r="CO43" s="12"/>
      <c r="CP43" s="12"/>
      <c r="CQ43" s="12"/>
      <c r="CR43" s="12"/>
      <c r="CS43" s="12"/>
      <c r="CT43" s="12"/>
      <c r="CU43" s="12"/>
      <c r="CV43" s="12">
        <f>CC43+CD43+SUM(CO43:CU43)</f>
        <v>33.75</v>
      </c>
      <c r="CW43">
        <f>(CV43-CC43)/2</f>
        <v>16.875</v>
      </c>
      <c r="CX43">
        <f>BK43/4</f>
        <v>67.125</v>
      </c>
      <c r="DE43">
        <f>SUM(CW43:DD43)</f>
        <v>84</v>
      </c>
      <c r="DF43">
        <f>(DE43-CW43)/2</f>
        <v>33.5625</v>
      </c>
      <c r="DL43" s="8">
        <f t="shared" si="5"/>
        <v>33.5625</v>
      </c>
      <c r="DM43" s="8">
        <f t="shared" si="3"/>
        <v>0</v>
      </c>
      <c r="DN43" s="10"/>
      <c r="DO43" s="10"/>
      <c r="DP43" s="10"/>
      <c r="DQ43" s="10"/>
      <c r="DR43" s="10"/>
      <c r="DS43" s="10"/>
      <c r="DT43" s="10"/>
      <c r="DU43" s="8">
        <f t="shared" si="4"/>
        <v>0</v>
      </c>
    </row>
    <row r="44" spans="1:125" x14ac:dyDescent="0.25">
      <c r="A44">
        <v>34</v>
      </c>
      <c r="B44" s="10" t="s">
        <v>238</v>
      </c>
      <c r="C44" s="8" t="s">
        <v>257</v>
      </c>
      <c r="D44" s="8" t="s">
        <v>239</v>
      </c>
      <c r="E44" s="8" t="s">
        <v>76</v>
      </c>
      <c r="F44" s="8"/>
      <c r="G44" s="8"/>
      <c r="H44" s="8"/>
      <c r="I44" s="8"/>
      <c r="J44" s="10">
        <v>50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1">
        <f>SUM(F44:W44)</f>
        <v>50</v>
      </c>
      <c r="Y44" s="11">
        <f>X44/2</f>
        <v>25</v>
      </c>
      <c r="Z44" s="11"/>
      <c r="AA44" s="11"/>
      <c r="AB44" s="11"/>
      <c r="AC44" s="11"/>
      <c r="AD44" s="11"/>
      <c r="AE44" s="11">
        <v>44.8</v>
      </c>
      <c r="AF44" s="11"/>
      <c r="AG44" s="11">
        <v>50</v>
      </c>
      <c r="AH44" s="11"/>
      <c r="AI44" s="11"/>
      <c r="AJ44" s="11"/>
      <c r="AK44" s="11">
        <v>100</v>
      </c>
      <c r="AL44" s="11"/>
      <c r="AM44" s="11">
        <f>SUM(Y44:AL44)</f>
        <v>219.8</v>
      </c>
      <c r="AN44" s="11">
        <f>(AM44-Y44)/2</f>
        <v>97.4</v>
      </c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>
        <v>105</v>
      </c>
      <c r="BJ44" s="11"/>
      <c r="BK44" s="11">
        <f>SUM(AN44:BJ44)</f>
        <v>202.4</v>
      </c>
      <c r="BL44" s="11">
        <f>(BK44-AN44)/2</f>
        <v>52.5</v>
      </c>
      <c r="BM44" s="11"/>
      <c r="BN44" s="11"/>
      <c r="BO44" s="11"/>
      <c r="BP44" s="11"/>
      <c r="BQ44" s="11"/>
      <c r="BR44" s="11"/>
      <c r="BS44" s="11">
        <f t="shared" si="6"/>
        <v>52.5</v>
      </c>
      <c r="BT44" s="11">
        <f t="shared" si="7"/>
        <v>0</v>
      </c>
      <c r="BU44" s="11"/>
      <c r="BV44" s="11"/>
      <c r="BW44" s="11"/>
      <c r="BX44" s="11"/>
      <c r="BY44" s="11"/>
      <c r="BZ44" s="11"/>
      <c r="CA44" s="11">
        <f t="shared" si="2"/>
        <v>0</v>
      </c>
      <c r="CB44" s="24"/>
      <c r="CC44" s="12">
        <f>SUM(CG44:CM44)/2</f>
        <v>0</v>
      </c>
      <c r="CD44" s="12">
        <f>AM44/4</f>
        <v>54.95</v>
      </c>
      <c r="CE44" s="12">
        <f>X44/2</f>
        <v>25</v>
      </c>
      <c r="CF44" s="12"/>
      <c r="CG44" s="12"/>
      <c r="CH44" s="12"/>
      <c r="CN44" s="12">
        <f>SUM(CE44:CG44)</f>
        <v>25</v>
      </c>
      <c r="CO44" s="12"/>
      <c r="CP44" s="12"/>
      <c r="CQ44" s="12"/>
      <c r="CR44" s="12"/>
      <c r="CS44" s="12"/>
      <c r="CT44" s="12"/>
      <c r="CU44" s="12"/>
      <c r="CV44" s="12">
        <f>CC44+CD44+SUM(CO44:CQ44)</f>
        <v>54.95</v>
      </c>
      <c r="CW44">
        <f>(CV44-CC44)/2</f>
        <v>27.475000000000001</v>
      </c>
      <c r="CX44">
        <f>BK44/4</f>
        <v>50.6</v>
      </c>
      <c r="DE44">
        <f>SUM(CW44:DD44)</f>
        <v>78.075000000000003</v>
      </c>
      <c r="DF44">
        <f>(DE44-CW44)/2</f>
        <v>25.3</v>
      </c>
      <c r="DL44" s="8">
        <f t="shared" si="5"/>
        <v>25.3</v>
      </c>
      <c r="DM44" s="8">
        <f t="shared" si="3"/>
        <v>0</v>
      </c>
      <c r="DN44" s="10"/>
      <c r="DO44" s="10"/>
      <c r="DP44" s="10"/>
      <c r="DQ44" s="10"/>
      <c r="DR44" s="10"/>
      <c r="DS44" s="10"/>
      <c r="DT44" s="10"/>
      <c r="DU44" s="8">
        <f t="shared" si="4"/>
        <v>0</v>
      </c>
    </row>
    <row r="45" spans="1:125" x14ac:dyDescent="0.25">
      <c r="A45">
        <v>35</v>
      </c>
      <c r="B45" s="10" t="s">
        <v>125</v>
      </c>
      <c r="C45" s="8"/>
      <c r="D45" s="8" t="s">
        <v>22</v>
      </c>
      <c r="E45" s="8" t="s">
        <v>24</v>
      </c>
      <c r="F45" s="8"/>
      <c r="G45" s="8"/>
      <c r="H45" s="8"/>
      <c r="I45" s="8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8"/>
      <c r="Y45" s="8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8"/>
      <c r="AN45" s="8"/>
      <c r="AO45" s="8"/>
      <c r="AP45" s="8"/>
      <c r="AQ45" s="8"/>
      <c r="AR45" s="8">
        <v>3</v>
      </c>
      <c r="AS45" s="8"/>
      <c r="AT45" s="8"/>
      <c r="AU45" s="8">
        <v>54</v>
      </c>
      <c r="AV45" s="8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1">
        <f>SUM(AN45:BJ45)</f>
        <v>57</v>
      </c>
      <c r="BL45" s="11">
        <f>(BK45-AN45)/2</f>
        <v>28.5</v>
      </c>
      <c r="BM45" s="11"/>
      <c r="BN45" s="11"/>
      <c r="BO45" s="11"/>
      <c r="BP45" s="11"/>
      <c r="BQ45" s="11"/>
      <c r="BR45" s="11"/>
      <c r="BS45" s="11">
        <f t="shared" si="6"/>
        <v>28.5</v>
      </c>
      <c r="BT45" s="11">
        <f t="shared" si="7"/>
        <v>0</v>
      </c>
      <c r="BU45" s="11"/>
      <c r="BV45" s="11"/>
      <c r="BW45" s="11"/>
      <c r="BX45" s="11"/>
      <c r="BY45" s="11"/>
      <c r="BZ45" s="11"/>
      <c r="CA45" s="11">
        <f t="shared" si="2"/>
        <v>0</v>
      </c>
      <c r="CB45" s="24"/>
      <c r="CV45" s="12">
        <f>CC45+CD45+SUM(CO45:CU45)</f>
        <v>0</v>
      </c>
      <c r="CW45">
        <f>(CV45-CC45)/2</f>
        <v>0</v>
      </c>
      <c r="CX45">
        <f>BK45/4</f>
        <v>14.25</v>
      </c>
      <c r="DE45">
        <f>SUM(CW45:DD45)</f>
        <v>14.25</v>
      </c>
      <c r="DF45">
        <f>(DE45-CW45)/2</f>
        <v>7.125</v>
      </c>
      <c r="DL45" s="8">
        <f t="shared" si="5"/>
        <v>7.125</v>
      </c>
      <c r="DM45" s="8">
        <f t="shared" si="3"/>
        <v>0</v>
      </c>
      <c r="DN45" s="10"/>
      <c r="DO45" s="10"/>
      <c r="DP45" s="10"/>
      <c r="DQ45" s="10"/>
      <c r="DR45" s="10"/>
      <c r="DS45" s="10"/>
      <c r="DT45" s="10"/>
      <c r="DU45" s="8">
        <f t="shared" si="4"/>
        <v>0</v>
      </c>
    </row>
    <row r="46" spans="1:125" x14ac:dyDescent="0.25">
      <c r="A46">
        <v>36</v>
      </c>
      <c r="B46" s="10" t="s">
        <v>775</v>
      </c>
      <c r="C46" s="8"/>
      <c r="D46" s="8" t="s">
        <v>776</v>
      </c>
      <c r="E46" s="8" t="s">
        <v>455</v>
      </c>
      <c r="F46" s="8"/>
      <c r="G46" s="8"/>
      <c r="H46" s="8"/>
      <c r="I46" s="8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8"/>
      <c r="Y46" s="8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8"/>
      <c r="BL46" s="8"/>
      <c r="BM46" s="8"/>
      <c r="BN46" s="10"/>
      <c r="BO46" s="10"/>
      <c r="BP46" s="10"/>
      <c r="BQ46" s="8"/>
      <c r="BR46" s="8"/>
      <c r="BS46" s="11">
        <f t="shared" si="6"/>
        <v>0</v>
      </c>
      <c r="BT46" s="11">
        <f t="shared" si="7"/>
        <v>0</v>
      </c>
      <c r="BU46" s="11"/>
      <c r="BV46" s="11"/>
      <c r="BW46" s="11"/>
      <c r="BX46" s="11"/>
      <c r="BY46" s="11"/>
      <c r="BZ46" s="11"/>
      <c r="CA46" s="11">
        <f t="shared" si="2"/>
        <v>0</v>
      </c>
      <c r="CB46" s="24"/>
      <c r="DK46" s="12">
        <v>25</v>
      </c>
      <c r="DL46" s="8">
        <f t="shared" si="5"/>
        <v>25</v>
      </c>
      <c r="DM46" s="8">
        <f t="shared" si="3"/>
        <v>12.5</v>
      </c>
      <c r="DN46" s="10"/>
      <c r="DO46" s="10"/>
      <c r="DP46" s="10"/>
      <c r="DQ46" s="10"/>
      <c r="DR46" s="10"/>
      <c r="DS46" s="10"/>
      <c r="DT46" s="10"/>
      <c r="DU46" s="8">
        <f t="shared" si="4"/>
        <v>12.5</v>
      </c>
    </row>
  </sheetData>
  <sortState xmlns:xlrd2="http://schemas.microsoft.com/office/spreadsheetml/2017/richdata2" ref="B11:DU46">
    <sortCondition descending="1" ref="CA11:CA46"/>
  </sortState>
  <mergeCells count="7">
    <mergeCell ref="CV4:DU5"/>
    <mergeCell ref="B1:DU1"/>
    <mergeCell ref="CE4:CN5"/>
    <mergeCell ref="B8:C10"/>
    <mergeCell ref="BO9:BR9"/>
    <mergeCell ref="BW9:BZ9"/>
    <mergeCell ref="D4:CA5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N52"/>
  <sheetViews>
    <sheetView topLeftCell="A7" zoomScale="80" zoomScaleNormal="80" workbookViewId="0">
      <selection activeCell="B11" sqref="B11:EN52"/>
    </sheetView>
  </sheetViews>
  <sheetFormatPr baseColWidth="10" defaultRowHeight="15" x14ac:dyDescent="0.25"/>
  <cols>
    <col min="1" max="1" width="3.28515625" bestFit="1" customWidth="1"/>
    <col min="2" max="2" width="20" bestFit="1" customWidth="1"/>
    <col min="3" max="3" width="12.28515625" bestFit="1" customWidth="1"/>
    <col min="4" max="4" width="14.28515625" bestFit="1" customWidth="1"/>
    <col min="5" max="5" width="25.140625" bestFit="1" customWidth="1"/>
    <col min="6" max="9" width="6.42578125" hidden="1" customWidth="1"/>
    <col min="10" max="12" width="7.28515625" style="12" hidden="1" customWidth="1"/>
    <col min="13" max="20" width="6.42578125" style="12" hidden="1" customWidth="1"/>
    <col min="21" max="24" width="7.28515625" style="12" hidden="1" customWidth="1"/>
    <col min="25" max="26" width="6.28515625" style="12" hidden="1" customWidth="1"/>
    <col min="27" max="28" width="6.7109375" style="12" hidden="1" customWidth="1"/>
    <col min="29" max="30" width="0" hidden="1" customWidth="1"/>
    <col min="31" max="47" width="6" hidden="1" customWidth="1"/>
    <col min="48" max="49" width="0" hidden="1" customWidth="1"/>
    <col min="50" max="71" width="6" hidden="1" customWidth="1"/>
    <col min="72" max="72" width="6.85546875" style="12" hidden="1" customWidth="1"/>
    <col min="73" max="73" width="0" hidden="1" customWidth="1"/>
    <col min="74" max="74" width="8" hidden="1" customWidth="1"/>
    <col min="75" max="75" width="5.7109375" style="12" hidden="1" customWidth="1"/>
    <col min="76" max="76" width="6.42578125" style="12" hidden="1" customWidth="1"/>
    <col min="77" max="77" width="8.28515625" style="12" hidden="1" customWidth="1"/>
    <col min="78" max="78" width="7.5703125" style="12" hidden="1" customWidth="1"/>
    <col min="79" max="79" width="8.28515625" style="12" hidden="1" customWidth="1"/>
    <col min="80" max="80" width="8.42578125" style="12" hidden="1" customWidth="1"/>
    <col min="83" max="83" width="9.28515625" style="12" customWidth="1"/>
    <col min="84" max="84" width="9.140625" style="12" customWidth="1"/>
    <col min="85" max="85" width="7.7109375" style="12" customWidth="1"/>
    <col min="86" max="86" width="7" customWidth="1"/>
    <col min="87" max="87" width="8.140625" customWidth="1"/>
    <col min="91" max="93" width="0" hidden="1" customWidth="1"/>
    <col min="94" max="94" width="10.140625" hidden="1" customWidth="1"/>
    <col min="95" max="96" width="6.42578125" hidden="1" customWidth="1"/>
    <col min="97" max="97" width="8.7109375" hidden="1" customWidth="1"/>
    <col min="98" max="98" width="7.28515625" style="12" hidden="1" customWidth="1"/>
    <col min="99" max="99" width="6.28515625" style="12" hidden="1" customWidth="1"/>
    <col min="100" max="101" width="6.7109375" style="12" hidden="1" customWidth="1"/>
    <col min="102" max="102" width="0" hidden="1" customWidth="1"/>
    <col min="103" max="103" width="10" hidden="1" customWidth="1"/>
    <col min="104" max="104" width="9.7109375" hidden="1" customWidth="1"/>
    <col min="105" max="105" width="9.28515625" hidden="1" customWidth="1"/>
    <col min="106" max="108" width="9.7109375" hidden="1" customWidth="1"/>
    <col min="109" max="109" width="10.7109375" hidden="1" customWidth="1"/>
    <col min="110" max="111" width="7.140625" hidden="1" customWidth="1"/>
    <col min="112" max="112" width="7.140625" style="12" hidden="1" customWidth="1"/>
    <col min="113" max="115" width="0" hidden="1" customWidth="1"/>
    <col min="116" max="122" width="6" style="12" hidden="1" customWidth="1"/>
    <col min="123" max="124" width="0" hidden="1" customWidth="1"/>
    <col min="125" max="125" width="6.7109375" style="12" hidden="1" customWidth="1"/>
    <col min="126" max="134" width="6" style="12" hidden="1" customWidth="1"/>
    <col min="135" max="135" width="11.42578125" style="12"/>
    <col min="137" max="137" width="11.42578125" style="12"/>
    <col min="138" max="138" width="6" style="12" bestFit="1" customWidth="1"/>
    <col min="139" max="143" width="6" style="12" customWidth="1"/>
  </cols>
  <sheetData>
    <row r="1" spans="1:144" ht="26.25" x14ac:dyDescent="0.4">
      <c r="B1" s="80" t="s">
        <v>3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  <c r="CG1" s="80"/>
      <c r="CH1" s="80"/>
      <c r="CI1" s="80"/>
      <c r="CJ1" s="80"/>
      <c r="CK1" s="80"/>
      <c r="CL1" s="80"/>
      <c r="CM1" s="80"/>
      <c r="CN1" s="80"/>
      <c r="CO1" s="80"/>
      <c r="CP1" s="80"/>
      <c r="CQ1" s="80"/>
      <c r="CR1" s="80"/>
      <c r="CS1" s="80"/>
      <c r="CT1" s="80"/>
      <c r="CU1" s="80"/>
      <c r="CV1" s="80"/>
      <c r="CW1" s="80"/>
      <c r="CX1" s="80"/>
      <c r="CY1" s="80"/>
      <c r="CZ1" s="80"/>
      <c r="DA1" s="80"/>
      <c r="DB1" s="80"/>
      <c r="DC1" s="80"/>
      <c r="DD1" s="80"/>
      <c r="DE1" s="80"/>
      <c r="DF1" s="80"/>
      <c r="DG1" s="80"/>
      <c r="DH1" s="80"/>
      <c r="DI1" s="80"/>
      <c r="DJ1" s="80"/>
      <c r="DK1" s="80"/>
      <c r="DL1" s="80"/>
      <c r="DM1" s="80"/>
      <c r="DN1" s="80"/>
      <c r="DO1" s="80"/>
      <c r="DP1" s="80"/>
      <c r="DQ1" s="80"/>
      <c r="DR1" s="80"/>
      <c r="DS1" s="80"/>
      <c r="DT1" s="80"/>
      <c r="DU1" s="80"/>
      <c r="DV1" s="80"/>
      <c r="DW1" s="80"/>
      <c r="DX1" s="80"/>
      <c r="DY1" s="80"/>
      <c r="DZ1" s="80"/>
      <c r="EA1" s="80"/>
      <c r="EB1" s="80"/>
      <c r="EC1" s="80"/>
      <c r="ED1" s="80"/>
      <c r="EE1" s="80"/>
      <c r="EF1" s="80"/>
      <c r="EG1" s="80"/>
      <c r="EH1" s="80"/>
      <c r="EI1" s="80"/>
      <c r="EJ1" s="80"/>
      <c r="EK1" s="80"/>
      <c r="EL1" s="80"/>
      <c r="EM1" s="80"/>
      <c r="EN1" s="80"/>
    </row>
    <row r="2" spans="1:144" ht="15.75" thickBot="1" x14ac:dyDescent="0.3">
      <c r="C2" s="12"/>
      <c r="D2" s="12"/>
      <c r="E2" s="12"/>
    </row>
    <row r="3" spans="1:144" ht="15.75" thickTop="1" x14ac:dyDescent="0.25">
      <c r="B3" s="1" t="s">
        <v>0</v>
      </c>
      <c r="C3" s="4" t="s">
        <v>10</v>
      </c>
    </row>
    <row r="4" spans="1:144" ht="15.6" customHeight="1" x14ac:dyDescent="0.25">
      <c r="B4" s="2" t="s">
        <v>1</v>
      </c>
      <c r="C4" s="5" t="s">
        <v>84</v>
      </c>
      <c r="D4" s="81" t="s">
        <v>791</v>
      </c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2"/>
      <c r="BK4" s="82"/>
      <c r="BL4" s="82"/>
      <c r="BM4" s="82"/>
      <c r="BN4" s="82"/>
      <c r="BO4" s="82"/>
      <c r="BP4" s="82"/>
      <c r="BQ4" s="82"/>
      <c r="BR4" s="82"/>
      <c r="BS4" s="82"/>
      <c r="BT4" s="82"/>
      <c r="BU4" s="82"/>
      <c r="BV4" s="82"/>
      <c r="BW4" s="82"/>
      <c r="BX4" s="82"/>
      <c r="BY4" s="82"/>
      <c r="BZ4" s="82"/>
      <c r="CA4" s="82"/>
      <c r="CB4" s="82"/>
      <c r="CC4" s="82"/>
      <c r="CD4" s="82"/>
      <c r="CE4" s="82"/>
      <c r="CF4" s="82"/>
      <c r="CG4" s="82"/>
      <c r="CH4" s="82"/>
      <c r="CI4" s="82"/>
      <c r="CJ4" s="82"/>
      <c r="CK4" s="82"/>
      <c r="CL4" s="23"/>
      <c r="CM4" s="82" t="s">
        <v>792</v>
      </c>
      <c r="CN4" s="82"/>
      <c r="CO4" s="82"/>
      <c r="CP4" s="82"/>
      <c r="CQ4" s="82"/>
      <c r="CR4" s="82"/>
      <c r="CS4" s="82"/>
      <c r="CT4" s="82"/>
      <c r="CU4" s="82"/>
      <c r="CV4" s="82"/>
      <c r="CW4" s="82"/>
      <c r="CX4" s="82"/>
      <c r="CY4" s="82"/>
      <c r="CZ4" s="82"/>
      <c r="DA4" s="82"/>
      <c r="DB4" s="82"/>
      <c r="DC4" s="82"/>
      <c r="DD4" s="82"/>
      <c r="DE4" s="82"/>
      <c r="DF4" s="82"/>
      <c r="DG4" s="82"/>
      <c r="DH4" s="82"/>
      <c r="DI4" s="82"/>
      <c r="DJ4" s="82"/>
      <c r="DK4" s="82"/>
      <c r="DL4" s="82"/>
      <c r="DM4" s="82"/>
      <c r="DN4" s="82"/>
      <c r="DO4" s="82"/>
      <c r="DP4" s="82"/>
      <c r="DQ4" s="82"/>
      <c r="DR4" s="82"/>
      <c r="DS4" s="82"/>
      <c r="DT4" s="82"/>
      <c r="DU4" s="82"/>
      <c r="DV4" s="82"/>
      <c r="DW4" s="82"/>
      <c r="DX4" s="82"/>
      <c r="DY4" s="82"/>
      <c r="DZ4" s="82"/>
      <c r="EA4" s="82"/>
      <c r="EB4" s="82"/>
      <c r="EC4" s="82"/>
      <c r="ED4" s="82"/>
      <c r="EE4" s="82"/>
      <c r="EF4" s="82"/>
      <c r="EG4" s="82"/>
      <c r="EH4" s="82"/>
      <c r="EI4" s="82"/>
      <c r="EJ4" s="82"/>
      <c r="EK4" s="82"/>
      <c r="EL4" s="82"/>
      <c r="EM4" s="82"/>
      <c r="EN4" s="82"/>
    </row>
    <row r="5" spans="1:144" ht="16.149999999999999" customHeight="1" thickBot="1" x14ac:dyDescent="0.3">
      <c r="B5" s="3" t="s">
        <v>2</v>
      </c>
      <c r="C5" s="53">
        <v>-66</v>
      </c>
      <c r="D5" s="81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2"/>
      <c r="BI5" s="82"/>
      <c r="BJ5" s="82"/>
      <c r="BK5" s="82"/>
      <c r="BL5" s="82"/>
      <c r="BM5" s="82"/>
      <c r="BN5" s="82"/>
      <c r="BO5" s="82"/>
      <c r="BP5" s="82"/>
      <c r="BQ5" s="82"/>
      <c r="BR5" s="82"/>
      <c r="BS5" s="82"/>
      <c r="BT5" s="82"/>
      <c r="BU5" s="82"/>
      <c r="BV5" s="82"/>
      <c r="BW5" s="82"/>
      <c r="BX5" s="82"/>
      <c r="BY5" s="82"/>
      <c r="BZ5" s="82"/>
      <c r="CA5" s="82"/>
      <c r="CB5" s="82"/>
      <c r="CC5" s="82"/>
      <c r="CD5" s="82"/>
      <c r="CE5" s="82"/>
      <c r="CF5" s="82"/>
      <c r="CG5" s="82"/>
      <c r="CH5" s="82"/>
      <c r="CI5" s="82"/>
      <c r="CJ5" s="82"/>
      <c r="CK5" s="82"/>
      <c r="CL5" s="23"/>
      <c r="CM5" s="82"/>
      <c r="CN5" s="82"/>
      <c r="CO5" s="82"/>
      <c r="CP5" s="82"/>
      <c r="CQ5" s="82"/>
      <c r="CR5" s="82"/>
      <c r="CS5" s="82"/>
      <c r="CT5" s="82"/>
      <c r="CU5" s="82"/>
      <c r="CV5" s="82"/>
      <c r="CW5" s="82"/>
      <c r="CX5" s="82"/>
      <c r="CY5" s="82"/>
      <c r="CZ5" s="82"/>
      <c r="DA5" s="82"/>
      <c r="DB5" s="82"/>
      <c r="DC5" s="82"/>
      <c r="DD5" s="82"/>
      <c r="DE5" s="82"/>
      <c r="DF5" s="82"/>
      <c r="DG5" s="82"/>
      <c r="DH5" s="82"/>
      <c r="DI5" s="82"/>
      <c r="DJ5" s="82"/>
      <c r="DK5" s="82"/>
      <c r="DL5" s="82"/>
      <c r="DM5" s="82"/>
      <c r="DN5" s="82"/>
      <c r="DO5" s="82"/>
      <c r="DP5" s="82"/>
      <c r="DQ5" s="82"/>
      <c r="DR5" s="82"/>
      <c r="DS5" s="82"/>
      <c r="DT5" s="82"/>
      <c r="DU5" s="82"/>
      <c r="DV5" s="82"/>
      <c r="DW5" s="82"/>
      <c r="DX5" s="82"/>
      <c r="DY5" s="82"/>
      <c r="DZ5" s="82"/>
      <c r="EA5" s="82"/>
      <c r="EB5" s="82"/>
      <c r="EC5" s="82"/>
      <c r="ED5" s="82"/>
      <c r="EE5" s="82"/>
      <c r="EF5" s="82"/>
      <c r="EG5" s="82"/>
      <c r="EH5" s="82"/>
      <c r="EI5" s="82"/>
      <c r="EJ5" s="82"/>
      <c r="EK5" s="82"/>
      <c r="EL5" s="82"/>
      <c r="EM5" s="82"/>
      <c r="EN5" s="82"/>
    </row>
    <row r="6" spans="1:144" ht="15.75" thickTop="1" x14ac:dyDescent="0.25"/>
    <row r="7" spans="1:144" ht="15.75" thickBot="1" x14ac:dyDescent="0.3"/>
    <row r="8" spans="1:144" ht="15.75" thickTop="1" x14ac:dyDescent="0.25">
      <c r="B8" s="73" t="s">
        <v>61</v>
      </c>
      <c r="C8" s="74"/>
      <c r="D8" s="1"/>
      <c r="E8" s="1"/>
      <c r="F8" s="4" t="s">
        <v>82</v>
      </c>
      <c r="G8" s="4" t="s">
        <v>82</v>
      </c>
      <c r="H8" s="4" t="s">
        <v>82</v>
      </c>
      <c r="I8" s="4" t="s">
        <v>170</v>
      </c>
      <c r="J8" s="4" t="s">
        <v>224</v>
      </c>
      <c r="K8" s="4" t="s">
        <v>82</v>
      </c>
      <c r="L8" s="4" t="s">
        <v>82</v>
      </c>
      <c r="M8" s="4" t="s">
        <v>287</v>
      </c>
      <c r="N8" s="4" t="s">
        <v>286</v>
      </c>
      <c r="O8" s="4" t="s">
        <v>289</v>
      </c>
      <c r="P8" s="4" t="s">
        <v>296</v>
      </c>
      <c r="Q8" s="4" t="s">
        <v>82</v>
      </c>
      <c r="R8" s="4" t="s">
        <v>82</v>
      </c>
      <c r="S8" s="4" t="s">
        <v>82</v>
      </c>
      <c r="T8" s="4" t="s">
        <v>82</v>
      </c>
      <c r="U8" s="4" t="s">
        <v>82</v>
      </c>
      <c r="V8" s="4" t="s">
        <v>82</v>
      </c>
      <c r="W8" s="4" t="s">
        <v>82</v>
      </c>
      <c r="X8" s="4" t="s">
        <v>316</v>
      </c>
      <c r="Y8" s="4" t="s">
        <v>82</v>
      </c>
      <c r="Z8" s="4" t="s">
        <v>82</v>
      </c>
      <c r="AA8" s="4" t="s">
        <v>334</v>
      </c>
      <c r="AB8" s="4" t="s">
        <v>334</v>
      </c>
      <c r="AC8" s="1"/>
      <c r="AD8" s="25">
        <v>44927</v>
      </c>
      <c r="AE8" s="29" t="s">
        <v>82</v>
      </c>
      <c r="AF8" s="29" t="s">
        <v>82</v>
      </c>
      <c r="AG8" s="29" t="s">
        <v>82</v>
      </c>
      <c r="AH8" s="29" t="s">
        <v>334</v>
      </c>
      <c r="AI8" s="29" t="s">
        <v>82</v>
      </c>
      <c r="AJ8" s="29" t="s">
        <v>82</v>
      </c>
      <c r="AK8" s="29" t="s">
        <v>387</v>
      </c>
      <c r="AL8" s="29" t="s">
        <v>387</v>
      </c>
      <c r="AM8" s="29" t="s">
        <v>387</v>
      </c>
      <c r="AN8" s="29" t="s">
        <v>82</v>
      </c>
      <c r="AO8" s="29" t="s">
        <v>334</v>
      </c>
      <c r="AP8" s="29" t="s">
        <v>82</v>
      </c>
      <c r="AQ8" s="29" t="s">
        <v>82</v>
      </c>
      <c r="AR8" s="29" t="s">
        <v>334</v>
      </c>
      <c r="AS8" s="29" t="s">
        <v>82</v>
      </c>
      <c r="AT8" s="29" t="s">
        <v>82</v>
      </c>
      <c r="AU8" s="29" t="s">
        <v>339</v>
      </c>
      <c r="AV8" s="1" t="s">
        <v>9</v>
      </c>
      <c r="AW8" s="29">
        <v>45292</v>
      </c>
      <c r="AX8" s="29" t="s">
        <v>82</v>
      </c>
      <c r="AY8" s="29" t="s">
        <v>82</v>
      </c>
      <c r="AZ8" s="29" t="s">
        <v>82</v>
      </c>
      <c r="BA8" s="29" t="s">
        <v>82</v>
      </c>
      <c r="BB8" s="29" t="s">
        <v>82</v>
      </c>
      <c r="BC8" s="29" t="s">
        <v>82</v>
      </c>
      <c r="BD8" s="29" t="s">
        <v>82</v>
      </c>
      <c r="BE8" s="29" t="s">
        <v>82</v>
      </c>
      <c r="BF8" s="29" t="s">
        <v>82</v>
      </c>
      <c r="BG8" s="29" t="s">
        <v>334</v>
      </c>
      <c r="BH8" s="29" t="s">
        <v>334</v>
      </c>
      <c r="BI8" s="29" t="s">
        <v>387</v>
      </c>
      <c r="BJ8" s="29" t="s">
        <v>387</v>
      </c>
      <c r="BK8" s="29" t="s">
        <v>387</v>
      </c>
      <c r="BL8" s="29" t="s">
        <v>334</v>
      </c>
      <c r="BM8" s="29" t="s">
        <v>82</v>
      </c>
      <c r="BN8" s="29" t="s">
        <v>82</v>
      </c>
      <c r="BO8" s="29" t="s">
        <v>82</v>
      </c>
      <c r="BP8" s="29" t="s">
        <v>82</v>
      </c>
      <c r="BQ8" s="29" t="s">
        <v>82</v>
      </c>
      <c r="BR8" s="29" t="s">
        <v>82</v>
      </c>
      <c r="BS8" s="29" t="s">
        <v>334</v>
      </c>
      <c r="BT8" s="29" t="s">
        <v>339</v>
      </c>
      <c r="BU8" s="29" t="s">
        <v>9</v>
      </c>
      <c r="BV8" s="29">
        <v>45658</v>
      </c>
      <c r="BW8" s="29"/>
      <c r="BX8" s="29"/>
      <c r="BY8" s="59"/>
      <c r="BZ8" s="60"/>
      <c r="CA8" s="60"/>
      <c r="CB8" s="61"/>
      <c r="CC8" s="29" t="s">
        <v>9</v>
      </c>
      <c r="CD8" s="29">
        <v>46023</v>
      </c>
      <c r="CE8" s="29"/>
      <c r="CF8" s="29"/>
      <c r="CG8" s="59"/>
      <c r="CH8" s="60"/>
      <c r="CI8" s="60"/>
      <c r="CJ8" s="61"/>
      <c r="CK8" s="29" t="s">
        <v>612</v>
      </c>
      <c r="CL8" s="42"/>
      <c r="CM8" s="25">
        <v>44927</v>
      </c>
      <c r="CN8" s="1" t="s">
        <v>59</v>
      </c>
      <c r="CO8" s="1" t="s">
        <v>59</v>
      </c>
      <c r="CP8" s="4" t="s">
        <v>58</v>
      </c>
      <c r="CQ8" s="4" t="s">
        <v>120</v>
      </c>
      <c r="CR8" s="4" t="s">
        <v>291</v>
      </c>
      <c r="CS8" s="4" t="s">
        <v>79</v>
      </c>
      <c r="CT8" s="4" t="s">
        <v>79</v>
      </c>
      <c r="CU8" s="4" t="s">
        <v>325</v>
      </c>
      <c r="CV8" s="4" t="s">
        <v>331</v>
      </c>
      <c r="CW8" s="4" t="s">
        <v>79</v>
      </c>
      <c r="CX8" s="1" t="s">
        <v>9</v>
      </c>
      <c r="CY8" s="1" t="s">
        <v>58</v>
      </c>
      <c r="CZ8" s="1" t="s">
        <v>349</v>
      </c>
      <c r="DA8" s="32" t="s">
        <v>381</v>
      </c>
      <c r="DB8" s="32" t="s">
        <v>385</v>
      </c>
      <c r="DC8" s="32" t="s">
        <v>399</v>
      </c>
      <c r="DD8" s="32" t="s">
        <v>405</v>
      </c>
      <c r="DE8" s="32" t="s">
        <v>411</v>
      </c>
      <c r="DF8" s="4" t="s">
        <v>331</v>
      </c>
      <c r="DG8" s="4" t="s">
        <v>443</v>
      </c>
      <c r="DH8" s="4" t="s">
        <v>335</v>
      </c>
      <c r="DI8" s="1" t="s">
        <v>9</v>
      </c>
      <c r="DJ8" s="29">
        <v>45292</v>
      </c>
      <c r="DK8" s="4" t="s">
        <v>59</v>
      </c>
      <c r="DL8" s="4" t="s">
        <v>464</v>
      </c>
      <c r="DM8" s="4" t="s">
        <v>120</v>
      </c>
      <c r="DN8" s="4" t="s">
        <v>505</v>
      </c>
      <c r="DO8" s="4" t="s">
        <v>505</v>
      </c>
      <c r="DP8" s="4" t="s">
        <v>505</v>
      </c>
      <c r="DQ8" s="4" t="s">
        <v>331</v>
      </c>
      <c r="DR8" s="4" t="s">
        <v>335</v>
      </c>
      <c r="DS8" s="4" t="s">
        <v>9</v>
      </c>
      <c r="DT8" s="25">
        <v>45658</v>
      </c>
      <c r="DU8" s="4" t="s">
        <v>464</v>
      </c>
      <c r="DV8" s="4" t="s">
        <v>302</v>
      </c>
      <c r="DW8" s="4" t="s">
        <v>120</v>
      </c>
      <c r="DX8" s="4" t="s">
        <v>505</v>
      </c>
      <c r="DY8" s="4" t="s">
        <v>302</v>
      </c>
      <c r="DZ8" s="4" t="s">
        <v>505</v>
      </c>
      <c r="EA8" s="4" t="s">
        <v>302</v>
      </c>
      <c r="EB8" s="4" t="s">
        <v>331</v>
      </c>
      <c r="EC8" s="4" t="s">
        <v>335</v>
      </c>
      <c r="ED8" s="4" t="s">
        <v>443</v>
      </c>
      <c r="EE8" s="4" t="s">
        <v>612</v>
      </c>
      <c r="EF8" s="29">
        <v>46023</v>
      </c>
      <c r="EG8" s="4" t="s">
        <v>58</v>
      </c>
      <c r="EH8" s="4" t="s">
        <v>120</v>
      </c>
      <c r="EI8" s="4" t="s">
        <v>505</v>
      </c>
      <c r="EJ8" s="4" t="s">
        <v>505</v>
      </c>
      <c r="EK8" s="4" t="s">
        <v>331</v>
      </c>
      <c r="EL8" s="4" t="s">
        <v>302</v>
      </c>
      <c r="EM8" s="4" t="s">
        <v>505</v>
      </c>
      <c r="EN8" s="1" t="s">
        <v>9</v>
      </c>
    </row>
    <row r="9" spans="1:144" x14ac:dyDescent="0.25">
      <c r="B9" s="75"/>
      <c r="C9" s="76"/>
      <c r="D9" s="2"/>
      <c r="E9" s="2"/>
      <c r="F9" s="14" t="s">
        <v>83</v>
      </c>
      <c r="G9" s="14" t="s">
        <v>85</v>
      </c>
      <c r="H9" s="14" t="s">
        <v>167</v>
      </c>
      <c r="I9" s="14" t="s">
        <v>171</v>
      </c>
      <c r="J9" s="14" t="s">
        <v>225</v>
      </c>
      <c r="K9" s="14" t="s">
        <v>266</v>
      </c>
      <c r="L9" s="14" t="s">
        <v>259</v>
      </c>
      <c r="M9" s="14" t="s">
        <v>278</v>
      </c>
      <c r="N9" s="14" t="s">
        <v>284</v>
      </c>
      <c r="O9" s="14" t="s">
        <v>290</v>
      </c>
      <c r="P9" s="14" t="s">
        <v>171</v>
      </c>
      <c r="Q9" s="14" t="s">
        <v>304</v>
      </c>
      <c r="R9" s="14" t="s">
        <v>132</v>
      </c>
      <c r="S9" s="14" t="s">
        <v>85</v>
      </c>
      <c r="T9" s="14" t="s">
        <v>308</v>
      </c>
      <c r="U9" s="14" t="s">
        <v>304</v>
      </c>
      <c r="V9" s="14" t="s">
        <v>83</v>
      </c>
      <c r="W9" s="14" t="s">
        <v>314</v>
      </c>
      <c r="X9" s="14" t="s">
        <v>317</v>
      </c>
      <c r="Y9" s="14" t="s">
        <v>259</v>
      </c>
      <c r="Z9" s="14" t="s">
        <v>314</v>
      </c>
      <c r="AA9" s="14" t="s">
        <v>335</v>
      </c>
      <c r="AB9" s="14" t="s">
        <v>339</v>
      </c>
      <c r="AC9" s="2" t="s">
        <v>9</v>
      </c>
      <c r="AD9" s="2"/>
      <c r="AE9" s="5" t="s">
        <v>132</v>
      </c>
      <c r="AF9" s="5" t="s">
        <v>304</v>
      </c>
      <c r="AG9" s="5" t="s">
        <v>85</v>
      </c>
      <c r="AH9" s="5" t="s">
        <v>287</v>
      </c>
      <c r="AI9" s="5" t="s">
        <v>266</v>
      </c>
      <c r="AJ9" s="5" t="s">
        <v>314</v>
      </c>
      <c r="AK9" s="5" t="s">
        <v>286</v>
      </c>
      <c r="AL9" s="5" t="s">
        <v>289</v>
      </c>
      <c r="AM9" s="5" t="s">
        <v>287</v>
      </c>
      <c r="AN9" s="5" t="s">
        <v>261</v>
      </c>
      <c r="AO9" s="5" t="s">
        <v>286</v>
      </c>
      <c r="AP9" s="5" t="s">
        <v>266</v>
      </c>
      <c r="AQ9" s="5" t="s">
        <v>314</v>
      </c>
      <c r="AR9" s="5" t="s">
        <v>289</v>
      </c>
      <c r="AS9" s="5" t="s">
        <v>261</v>
      </c>
      <c r="AT9" s="5" t="s">
        <v>308</v>
      </c>
      <c r="AU9" s="5"/>
      <c r="AV9" s="2"/>
      <c r="AW9" s="5"/>
      <c r="AX9" s="5" t="s">
        <v>266</v>
      </c>
      <c r="AY9" s="5" t="s">
        <v>304</v>
      </c>
      <c r="AZ9" s="5" t="s">
        <v>420</v>
      </c>
      <c r="BA9" s="5" t="s">
        <v>492</v>
      </c>
      <c r="BB9" s="5" t="s">
        <v>261</v>
      </c>
      <c r="BC9" s="5" t="s">
        <v>308</v>
      </c>
      <c r="BD9" s="5" t="s">
        <v>85</v>
      </c>
      <c r="BE9" s="5" t="s">
        <v>132</v>
      </c>
      <c r="BF9" s="5" t="s">
        <v>167</v>
      </c>
      <c r="BG9" s="5" t="s">
        <v>286</v>
      </c>
      <c r="BH9" s="5" t="s">
        <v>524</v>
      </c>
      <c r="BI9" s="5" t="s">
        <v>286</v>
      </c>
      <c r="BJ9" s="5" t="s">
        <v>287</v>
      </c>
      <c r="BK9" s="5" t="s">
        <v>289</v>
      </c>
      <c r="BL9" s="5" t="s">
        <v>287</v>
      </c>
      <c r="BM9" s="5" t="s">
        <v>266</v>
      </c>
      <c r="BN9" s="5" t="s">
        <v>492</v>
      </c>
      <c r="BO9" s="5" t="s">
        <v>420</v>
      </c>
      <c r="BP9" s="5" t="s">
        <v>308</v>
      </c>
      <c r="BQ9" s="5" t="s">
        <v>261</v>
      </c>
      <c r="BR9" s="5" t="s">
        <v>578</v>
      </c>
      <c r="BS9" s="5" t="s">
        <v>289</v>
      </c>
      <c r="BT9" s="5" t="s">
        <v>606</v>
      </c>
      <c r="BU9" s="5"/>
      <c r="BV9" s="5"/>
      <c r="BW9" s="14" t="s">
        <v>82</v>
      </c>
      <c r="BX9" s="14" t="s">
        <v>387</v>
      </c>
      <c r="BY9" s="77" t="s">
        <v>608</v>
      </c>
      <c r="BZ9" s="78"/>
      <c r="CA9" s="78"/>
      <c r="CB9" s="79"/>
      <c r="CC9" s="5"/>
      <c r="CD9" s="5"/>
      <c r="CE9" s="14" t="s">
        <v>82</v>
      </c>
      <c r="CF9" s="14" t="s">
        <v>387</v>
      </c>
      <c r="CG9" s="77" t="s">
        <v>608</v>
      </c>
      <c r="CH9" s="78"/>
      <c r="CI9" s="78"/>
      <c r="CJ9" s="79"/>
      <c r="CK9" s="14"/>
      <c r="CL9" s="12"/>
      <c r="CM9" s="2"/>
      <c r="CN9" s="2" t="s">
        <v>60</v>
      </c>
      <c r="CO9" s="2" t="s">
        <v>60</v>
      </c>
      <c r="CP9" s="5"/>
      <c r="CQ9" s="5" t="s">
        <v>121</v>
      </c>
      <c r="CR9" s="5" t="s">
        <v>292</v>
      </c>
      <c r="CS9" s="5" t="s">
        <v>312</v>
      </c>
      <c r="CT9" s="5" t="s">
        <v>121</v>
      </c>
      <c r="CU9" s="5" t="s">
        <v>326</v>
      </c>
      <c r="CV9" s="5" t="s">
        <v>332</v>
      </c>
      <c r="CW9" s="5" t="s">
        <v>332</v>
      </c>
      <c r="CX9" s="2"/>
      <c r="CY9" s="2"/>
      <c r="CZ9" s="2"/>
      <c r="DA9" s="33"/>
      <c r="DB9" s="33"/>
      <c r="DC9" s="33"/>
      <c r="DD9" s="33"/>
      <c r="DE9" s="33"/>
      <c r="DF9" s="5" t="s">
        <v>326</v>
      </c>
      <c r="DG9" s="5" t="s">
        <v>444</v>
      </c>
      <c r="DH9" s="5" t="s">
        <v>444</v>
      </c>
      <c r="DI9" s="2"/>
      <c r="DJ9" s="12"/>
      <c r="DK9" s="5" t="s">
        <v>60</v>
      </c>
      <c r="DL9" s="5"/>
      <c r="DM9" s="5" t="s">
        <v>501</v>
      </c>
      <c r="DN9" s="5" t="s">
        <v>444</v>
      </c>
      <c r="DO9" s="5" t="s">
        <v>544</v>
      </c>
      <c r="DP9" s="5" t="s">
        <v>292</v>
      </c>
      <c r="DQ9" s="5" t="s">
        <v>292</v>
      </c>
      <c r="DR9" s="5" t="s">
        <v>171</v>
      </c>
      <c r="DS9" s="5"/>
      <c r="DT9" s="2"/>
      <c r="DU9" s="5"/>
      <c r="DV9" s="5" t="s">
        <v>311</v>
      </c>
      <c r="DW9" s="5" t="s">
        <v>444</v>
      </c>
      <c r="DX9" s="5" t="s">
        <v>584</v>
      </c>
      <c r="DY9" s="5" t="s">
        <v>544</v>
      </c>
      <c r="DZ9" s="5" t="s">
        <v>544</v>
      </c>
      <c r="EA9" s="5" t="s">
        <v>758</v>
      </c>
      <c r="EB9" s="5" t="s">
        <v>326</v>
      </c>
      <c r="EC9" s="5" t="s">
        <v>171</v>
      </c>
      <c r="ED9" s="5" t="s">
        <v>544</v>
      </c>
      <c r="EE9" s="5"/>
      <c r="EF9" s="5"/>
      <c r="EG9" s="5"/>
      <c r="EH9" s="5" t="s">
        <v>225</v>
      </c>
      <c r="EI9" s="5" t="s">
        <v>332</v>
      </c>
      <c r="EJ9" s="5" t="s">
        <v>444</v>
      </c>
      <c r="EK9" s="5" t="s">
        <v>444</v>
      </c>
      <c r="EL9" s="5" t="s">
        <v>544</v>
      </c>
      <c r="EM9" s="5" t="s">
        <v>544</v>
      </c>
      <c r="EN9" s="2"/>
    </row>
    <row r="10" spans="1:144" x14ac:dyDescent="0.25">
      <c r="B10" s="75"/>
      <c r="C10" s="76"/>
      <c r="D10" s="2" t="s">
        <v>4</v>
      </c>
      <c r="E10" s="2" t="s">
        <v>5</v>
      </c>
      <c r="F10" s="15">
        <v>44653</v>
      </c>
      <c r="G10" s="15">
        <v>44660</v>
      </c>
      <c r="H10" s="15">
        <v>44674</v>
      </c>
      <c r="I10" s="5" t="s">
        <v>172</v>
      </c>
      <c r="J10" s="15">
        <v>44695</v>
      </c>
      <c r="K10" s="15">
        <v>44709</v>
      </c>
      <c r="L10" s="15">
        <v>44709</v>
      </c>
      <c r="M10" s="15">
        <v>44730</v>
      </c>
      <c r="N10" s="15">
        <v>44730</v>
      </c>
      <c r="O10" s="15">
        <v>44737</v>
      </c>
      <c r="P10" s="15">
        <v>44758</v>
      </c>
      <c r="Q10" s="15">
        <v>44765</v>
      </c>
      <c r="R10" s="15">
        <v>44779</v>
      </c>
      <c r="S10" s="15">
        <v>44793</v>
      </c>
      <c r="T10" s="15">
        <v>44800</v>
      </c>
      <c r="U10" s="15">
        <v>44814</v>
      </c>
      <c r="V10" s="15">
        <v>44814</v>
      </c>
      <c r="W10" s="15">
        <v>44814</v>
      </c>
      <c r="X10" s="15">
        <v>44828</v>
      </c>
      <c r="Y10" s="15">
        <v>44849</v>
      </c>
      <c r="Z10" s="15">
        <v>44856</v>
      </c>
      <c r="AA10" s="15">
        <v>44891</v>
      </c>
      <c r="AB10" s="15">
        <v>44905</v>
      </c>
      <c r="AC10" s="2">
        <v>2022</v>
      </c>
      <c r="AD10" s="2"/>
      <c r="AE10" s="5" t="s">
        <v>353</v>
      </c>
      <c r="AF10" s="5" t="s">
        <v>357</v>
      </c>
      <c r="AG10" s="5" t="s">
        <v>359</v>
      </c>
      <c r="AH10" s="5" t="s">
        <v>172</v>
      </c>
      <c r="AI10" s="5" t="s">
        <v>382</v>
      </c>
      <c r="AJ10" s="5" t="s">
        <v>379</v>
      </c>
      <c r="AK10" s="5" t="s">
        <v>388</v>
      </c>
      <c r="AL10" s="5" t="s">
        <v>396</v>
      </c>
      <c r="AM10" s="5" t="s">
        <v>400</v>
      </c>
      <c r="AN10" s="5" t="s">
        <v>408</v>
      </c>
      <c r="AO10" s="5" t="s">
        <v>412</v>
      </c>
      <c r="AP10" s="5" t="s">
        <v>424</v>
      </c>
      <c r="AQ10" s="5" t="s">
        <v>424</v>
      </c>
      <c r="AR10" s="5" t="s">
        <v>432</v>
      </c>
      <c r="AS10" s="5" t="s">
        <v>433</v>
      </c>
      <c r="AT10" s="5" t="s">
        <v>439</v>
      </c>
      <c r="AU10" s="5" t="s">
        <v>453</v>
      </c>
      <c r="AV10" s="2">
        <v>2023</v>
      </c>
      <c r="AW10" s="35"/>
      <c r="AX10" s="35" t="s">
        <v>479</v>
      </c>
      <c r="AY10" s="35" t="s">
        <v>479</v>
      </c>
      <c r="AZ10" s="35" t="s">
        <v>479</v>
      </c>
      <c r="BA10" s="35" t="s">
        <v>479</v>
      </c>
      <c r="BB10" s="35" t="s">
        <v>479</v>
      </c>
      <c r="BC10" s="35" t="s">
        <v>479</v>
      </c>
      <c r="BD10" s="35" t="s">
        <v>499</v>
      </c>
      <c r="BE10" s="35" t="s">
        <v>503</v>
      </c>
      <c r="BF10" s="35" t="s">
        <v>503</v>
      </c>
      <c r="BG10" s="35" t="s">
        <v>513</v>
      </c>
      <c r="BH10" s="35" t="s">
        <v>525</v>
      </c>
      <c r="BI10" s="35" t="s">
        <v>534</v>
      </c>
      <c r="BJ10" s="35" t="s">
        <v>534</v>
      </c>
      <c r="BK10" s="35" t="s">
        <v>546</v>
      </c>
      <c r="BL10" s="35" t="s">
        <v>550</v>
      </c>
      <c r="BM10" s="35" t="s">
        <v>558</v>
      </c>
      <c r="BN10" s="35" t="s">
        <v>564</v>
      </c>
      <c r="BO10" s="35" t="s">
        <v>559</v>
      </c>
      <c r="BP10" s="35" t="s">
        <v>567</v>
      </c>
      <c r="BQ10" s="35" t="s">
        <v>573</v>
      </c>
      <c r="BR10" s="35" t="s">
        <v>579</v>
      </c>
      <c r="BS10" s="35" t="s">
        <v>587</v>
      </c>
      <c r="BT10" s="35" t="s">
        <v>607</v>
      </c>
      <c r="BU10" s="35">
        <v>2024</v>
      </c>
      <c r="BV10" s="5"/>
      <c r="BW10" s="5"/>
      <c r="BX10" s="5"/>
      <c r="BY10" s="5">
        <v>1</v>
      </c>
      <c r="BZ10" s="5">
        <v>2</v>
      </c>
      <c r="CA10" s="5">
        <v>3</v>
      </c>
      <c r="CB10" s="5">
        <v>4</v>
      </c>
      <c r="CC10" s="5">
        <v>2025</v>
      </c>
      <c r="CD10" s="5"/>
      <c r="CE10" s="5"/>
      <c r="CF10" s="5"/>
      <c r="CG10" s="5">
        <v>1</v>
      </c>
      <c r="CH10" s="5">
        <v>2</v>
      </c>
      <c r="CI10" s="5">
        <v>3</v>
      </c>
      <c r="CJ10" s="5">
        <v>4</v>
      </c>
      <c r="CK10" s="5">
        <v>2026</v>
      </c>
      <c r="CL10" s="12"/>
      <c r="CM10" s="2"/>
      <c r="CN10" s="2"/>
      <c r="CO10" s="2"/>
      <c r="CP10" s="14">
        <v>44562</v>
      </c>
      <c r="CQ10" s="14">
        <v>44652</v>
      </c>
      <c r="CR10" s="14">
        <v>44737</v>
      </c>
      <c r="CS10" s="14">
        <v>44805</v>
      </c>
      <c r="CT10" s="14">
        <v>44821</v>
      </c>
      <c r="CU10" s="14">
        <v>44835</v>
      </c>
      <c r="CV10" s="14">
        <v>44868</v>
      </c>
      <c r="CW10" s="14">
        <v>44866</v>
      </c>
      <c r="CX10" s="2">
        <v>2022</v>
      </c>
      <c r="CY10" s="7">
        <v>44927</v>
      </c>
      <c r="CZ10" s="7">
        <v>44986</v>
      </c>
      <c r="DA10" s="34">
        <v>45078</v>
      </c>
      <c r="DB10" s="34">
        <v>45087</v>
      </c>
      <c r="DC10" s="34">
        <v>45108</v>
      </c>
      <c r="DD10" s="34" t="s">
        <v>406</v>
      </c>
      <c r="DE10" s="34">
        <v>45129</v>
      </c>
      <c r="DF10" s="14">
        <v>45139</v>
      </c>
      <c r="DG10" s="14">
        <v>45227</v>
      </c>
      <c r="DH10" s="14">
        <v>45255</v>
      </c>
      <c r="DI10" s="2">
        <v>2023</v>
      </c>
      <c r="DJ10" s="12"/>
      <c r="DK10" s="5"/>
      <c r="DL10" s="5" t="s">
        <v>465</v>
      </c>
      <c r="DM10" s="5" t="s">
        <v>502</v>
      </c>
      <c r="DN10" s="5" t="s">
        <v>506</v>
      </c>
      <c r="DO10" s="5" t="s">
        <v>545</v>
      </c>
      <c r="DP10" s="5" t="s">
        <v>572</v>
      </c>
      <c r="DQ10" s="5" t="s">
        <v>587</v>
      </c>
      <c r="DR10" s="5" t="s">
        <v>600</v>
      </c>
      <c r="DS10" s="5">
        <v>2024</v>
      </c>
      <c r="DT10" s="2"/>
      <c r="DU10" s="5" t="s">
        <v>610</v>
      </c>
      <c r="DV10" s="5" t="s">
        <v>622</v>
      </c>
      <c r="DW10" s="5" t="s">
        <v>649</v>
      </c>
      <c r="DX10" s="5" t="s">
        <v>729</v>
      </c>
      <c r="DY10" s="5" t="s">
        <v>756</v>
      </c>
      <c r="DZ10" s="5" t="s">
        <v>439</v>
      </c>
      <c r="EA10" s="5" t="s">
        <v>759</v>
      </c>
      <c r="EB10" s="5" t="s">
        <v>769</v>
      </c>
      <c r="EC10" s="5" t="s">
        <v>600</v>
      </c>
      <c r="ED10" s="5" t="s">
        <v>788</v>
      </c>
      <c r="EE10" s="5">
        <v>2025</v>
      </c>
      <c r="EF10" s="5"/>
      <c r="EG10" s="5" t="s">
        <v>849</v>
      </c>
      <c r="EH10" s="5" t="s">
        <v>850</v>
      </c>
      <c r="EI10" s="5" t="s">
        <v>879</v>
      </c>
      <c r="EJ10" s="5" t="s">
        <v>880</v>
      </c>
      <c r="EK10" s="5" t="s">
        <v>729</v>
      </c>
      <c r="EL10" s="5" t="s">
        <v>887</v>
      </c>
      <c r="EM10" s="5" t="s">
        <v>891</v>
      </c>
      <c r="EN10" s="2">
        <v>2026</v>
      </c>
    </row>
    <row r="11" spans="1:144" x14ac:dyDescent="0.25">
      <c r="A11">
        <v>1</v>
      </c>
      <c r="B11" s="67" t="s">
        <v>94</v>
      </c>
      <c r="C11" s="67" t="s">
        <v>95</v>
      </c>
      <c r="D11" s="20" t="s">
        <v>55</v>
      </c>
      <c r="E11" s="20" t="s">
        <v>19</v>
      </c>
      <c r="F11" s="10"/>
      <c r="G11" s="10"/>
      <c r="H11" s="10"/>
      <c r="I11" s="10">
        <v>36</v>
      </c>
      <c r="J11" s="10">
        <v>50</v>
      </c>
      <c r="K11" s="10"/>
      <c r="L11" s="10"/>
      <c r="M11" s="10">
        <v>80</v>
      </c>
      <c r="N11" s="10"/>
      <c r="O11" s="10"/>
      <c r="P11" s="10">
        <v>70</v>
      </c>
      <c r="Q11" s="10"/>
      <c r="R11" s="10"/>
      <c r="S11" s="10"/>
      <c r="T11" s="10"/>
      <c r="U11" s="10"/>
      <c r="V11" s="10"/>
      <c r="W11" s="10"/>
      <c r="X11" s="10">
        <v>70</v>
      </c>
      <c r="Y11" s="10"/>
      <c r="Z11" s="10"/>
      <c r="AA11" s="10">
        <v>100</v>
      </c>
      <c r="AB11" s="10">
        <v>105</v>
      </c>
      <c r="AC11" s="11">
        <f>SUM(F11:AB11)</f>
        <v>511</v>
      </c>
      <c r="AD11" s="11">
        <f>AC11/2</f>
        <v>255.5</v>
      </c>
      <c r="AE11" s="11"/>
      <c r="AF11" s="11"/>
      <c r="AG11" s="11"/>
      <c r="AH11" s="11">
        <v>70</v>
      </c>
      <c r="AI11" s="11"/>
      <c r="AJ11" s="11"/>
      <c r="AK11" s="11"/>
      <c r="AL11" s="11"/>
      <c r="AM11" s="11">
        <v>80</v>
      </c>
      <c r="AN11" s="11"/>
      <c r="AO11" s="11">
        <v>70</v>
      </c>
      <c r="AP11" s="11"/>
      <c r="AQ11" s="11"/>
      <c r="AR11" s="11">
        <v>50</v>
      </c>
      <c r="AS11" s="11"/>
      <c r="AT11" s="11"/>
      <c r="AU11" s="11">
        <v>54</v>
      </c>
      <c r="AV11" s="11">
        <f>SUM(AD11:AU11)</f>
        <v>579.5</v>
      </c>
      <c r="AW11" s="11">
        <f>(AV11-AD11)/2</f>
        <v>162</v>
      </c>
      <c r="AX11" s="11"/>
      <c r="AY11" s="11"/>
      <c r="AZ11" s="11"/>
      <c r="BA11" s="11" t="s">
        <v>132</v>
      </c>
      <c r="BB11" s="11"/>
      <c r="BC11" s="11"/>
      <c r="BD11" s="11"/>
      <c r="BE11" s="11"/>
      <c r="BF11" s="11"/>
      <c r="BG11" s="11">
        <v>75</v>
      </c>
      <c r="BH11" s="11">
        <v>100</v>
      </c>
      <c r="BI11" s="11"/>
      <c r="BJ11" s="11">
        <v>80</v>
      </c>
      <c r="BK11" s="11"/>
      <c r="BL11" s="11">
        <v>75</v>
      </c>
      <c r="BM11" s="11"/>
      <c r="BN11" s="11">
        <v>48</v>
      </c>
      <c r="BO11" s="11"/>
      <c r="BP11" s="11"/>
      <c r="BQ11" s="11"/>
      <c r="BR11" s="11"/>
      <c r="BS11" s="11">
        <v>105</v>
      </c>
      <c r="BT11" s="11">
        <v>140</v>
      </c>
      <c r="BU11" s="11">
        <f>SUM(AW11:BT11)</f>
        <v>785</v>
      </c>
      <c r="BV11" s="11">
        <f>(BU11-AW11)/2</f>
        <v>311.5</v>
      </c>
      <c r="BW11" s="11">
        <v>60</v>
      </c>
      <c r="BX11" s="11">
        <v>80</v>
      </c>
      <c r="BY11" s="11">
        <v>3</v>
      </c>
      <c r="BZ11" s="11">
        <v>80</v>
      </c>
      <c r="CA11" s="11">
        <v>200</v>
      </c>
      <c r="CB11" s="11"/>
      <c r="CC11" s="11">
        <f t="shared" ref="CC11:CC19" si="0">SUM(BV11:CB11)</f>
        <v>734.5</v>
      </c>
      <c r="CD11" s="11">
        <f t="shared" ref="CD11:CD19" si="1">(CC11-BV11)/2</f>
        <v>211.5</v>
      </c>
      <c r="CE11" s="11">
        <v>60</v>
      </c>
      <c r="CF11" s="11">
        <v>80</v>
      </c>
      <c r="CG11" s="11">
        <v>150</v>
      </c>
      <c r="CH11" s="11">
        <v>48</v>
      </c>
      <c r="CI11" s="11"/>
      <c r="CJ11" s="11"/>
      <c r="CK11" s="11">
        <f t="shared" ref="CK11:CK52" si="2">SUM(CD11:CJ11)</f>
        <v>549.5</v>
      </c>
      <c r="CL11" s="24"/>
      <c r="CM11" s="10">
        <f>SUM(CP11:CW11)/2</f>
        <v>31.75</v>
      </c>
      <c r="CN11" s="10">
        <f>AV11/4</f>
        <v>144.875</v>
      </c>
      <c r="CO11" s="10">
        <f>AC11/2</f>
        <v>255.5</v>
      </c>
      <c r="CP11" s="10">
        <f>10+10*3/4</f>
        <v>17.5</v>
      </c>
      <c r="CQ11" s="10"/>
      <c r="CR11" s="10"/>
      <c r="CS11" s="10"/>
      <c r="CT11" s="10">
        <v>5</v>
      </c>
      <c r="CU11" s="10"/>
      <c r="CV11" s="10">
        <v>36</v>
      </c>
      <c r="CW11" s="10">
        <v>5</v>
      </c>
      <c r="CX11" s="10">
        <f>SUM(CO11:CW11)</f>
        <v>319</v>
      </c>
      <c r="CY11" s="10">
        <v>18</v>
      </c>
      <c r="CZ11" s="10">
        <v>16</v>
      </c>
      <c r="DA11" s="10">
        <v>16</v>
      </c>
      <c r="DB11" s="10"/>
      <c r="DC11" s="10"/>
      <c r="DD11" s="10"/>
      <c r="DE11" s="10">
        <v>5</v>
      </c>
      <c r="DF11" s="10">
        <v>100</v>
      </c>
      <c r="DG11" s="10"/>
      <c r="DH11" s="10">
        <v>50</v>
      </c>
      <c r="DI11" s="10">
        <f>SUM(CM11:CN11)+SUM(CY11:DH11)</f>
        <v>381.625</v>
      </c>
      <c r="DJ11" s="8">
        <f>(DI11-CM11)/2</f>
        <v>174.9375</v>
      </c>
      <c r="DK11" s="8">
        <f>BU11/4</f>
        <v>196.25</v>
      </c>
      <c r="DL11" s="10">
        <v>35</v>
      </c>
      <c r="DM11" s="10">
        <v>15</v>
      </c>
      <c r="DN11" s="10">
        <v>75</v>
      </c>
      <c r="DO11" s="10">
        <v>7.5</v>
      </c>
      <c r="DP11" s="10"/>
      <c r="DQ11" s="10"/>
      <c r="DR11" s="10">
        <v>2.5</v>
      </c>
      <c r="DS11" s="8">
        <f>SUM(DJ11:DR11)</f>
        <v>506.1875</v>
      </c>
      <c r="DT11" s="8">
        <f>(DS11-DJ11)/2</f>
        <v>165.625</v>
      </c>
      <c r="DU11" s="10">
        <v>21</v>
      </c>
      <c r="DV11" s="10"/>
      <c r="DW11" s="10"/>
      <c r="DX11" s="10"/>
      <c r="DY11" s="10"/>
      <c r="DZ11" s="10">
        <v>7.5</v>
      </c>
      <c r="EA11" s="10"/>
      <c r="EB11" s="10">
        <v>100</v>
      </c>
      <c r="EC11" s="10">
        <v>25</v>
      </c>
      <c r="ED11" s="10"/>
      <c r="EE11" s="10">
        <f>SUM(DT11:EB11)</f>
        <v>294.125</v>
      </c>
      <c r="EF11" s="8">
        <f t="shared" ref="EF11:EF52" si="3">(EE11-DT11)/2</f>
        <v>64.25</v>
      </c>
      <c r="EG11" s="10">
        <v>30</v>
      </c>
      <c r="EH11" s="10">
        <v>15</v>
      </c>
      <c r="EI11" s="10">
        <v>7.5</v>
      </c>
      <c r="EJ11" s="10">
        <v>18</v>
      </c>
      <c r="EK11" s="10">
        <v>36</v>
      </c>
      <c r="EL11" s="10"/>
      <c r="EM11" s="10">
        <v>54</v>
      </c>
      <c r="EN11" s="26">
        <f>SUM(EF11:EM11)</f>
        <v>224.75</v>
      </c>
    </row>
    <row r="12" spans="1:144" x14ac:dyDescent="0.25">
      <c r="A12">
        <v>2</v>
      </c>
      <c r="B12" s="10" t="s">
        <v>89</v>
      </c>
      <c r="C12" s="8"/>
      <c r="D12" s="8" t="s">
        <v>40</v>
      </c>
      <c r="E12" s="8" t="s">
        <v>625</v>
      </c>
      <c r="F12" s="8"/>
      <c r="G12" s="8"/>
      <c r="H12" s="8"/>
      <c r="I12" s="8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8"/>
      <c r="AD12" s="8"/>
      <c r="AE12" s="8"/>
      <c r="AF12" s="8"/>
      <c r="AG12" s="8"/>
      <c r="AH12" s="8">
        <v>50</v>
      </c>
      <c r="AI12" s="8"/>
      <c r="AJ12" s="8"/>
      <c r="AK12" s="8"/>
      <c r="AL12" s="8"/>
      <c r="AM12" s="8"/>
      <c r="AN12" s="8"/>
      <c r="AO12" s="8">
        <v>16</v>
      </c>
      <c r="AP12" s="8"/>
      <c r="AQ12" s="8"/>
      <c r="AR12" s="8"/>
      <c r="AS12" s="8"/>
      <c r="AT12" s="8"/>
      <c r="AU12" s="8"/>
      <c r="AV12" s="11">
        <f>SUM(AD12:AU12)</f>
        <v>66</v>
      </c>
      <c r="AW12" s="11">
        <f>(AV12-AD12)/2</f>
        <v>33</v>
      </c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>
        <v>40</v>
      </c>
      <c r="BK12" s="11"/>
      <c r="BL12" s="11">
        <v>7.5</v>
      </c>
      <c r="BM12" s="11"/>
      <c r="BN12" s="11"/>
      <c r="BO12" s="11"/>
      <c r="BP12" s="11"/>
      <c r="BQ12" s="11"/>
      <c r="BR12" s="11"/>
      <c r="BS12" s="11"/>
      <c r="BT12" s="11"/>
      <c r="BU12" s="11">
        <f>SUM(AW12:BT12)</f>
        <v>80.5</v>
      </c>
      <c r="BV12" s="11">
        <f>(BU12-AW12)/2</f>
        <v>23.75</v>
      </c>
      <c r="BW12" s="11">
        <v>60</v>
      </c>
      <c r="BX12" s="11"/>
      <c r="BY12" s="11">
        <v>75</v>
      </c>
      <c r="BZ12" s="11">
        <v>150</v>
      </c>
      <c r="CA12" s="11">
        <v>70</v>
      </c>
      <c r="CB12" s="11">
        <v>105</v>
      </c>
      <c r="CC12" s="11">
        <f t="shared" si="0"/>
        <v>483.75</v>
      </c>
      <c r="CD12" s="11">
        <f t="shared" si="1"/>
        <v>230</v>
      </c>
      <c r="CE12" s="11">
        <v>30</v>
      </c>
      <c r="CF12" s="11">
        <v>56</v>
      </c>
      <c r="CG12" s="11">
        <v>105</v>
      </c>
      <c r="CH12" s="11"/>
      <c r="CI12" s="11"/>
      <c r="CJ12" s="11"/>
      <c r="CK12" s="11">
        <f t="shared" si="2"/>
        <v>421</v>
      </c>
      <c r="CL12" s="24"/>
      <c r="CM12" s="10">
        <f>SUM(CP12:CW12)/2</f>
        <v>0</v>
      </c>
      <c r="CN12" s="10">
        <f>AV12/4</f>
        <v>16.5</v>
      </c>
      <c r="CO12" s="8"/>
      <c r="CP12" s="8"/>
      <c r="CQ12" s="8"/>
      <c r="CR12" s="8"/>
      <c r="CS12" s="8"/>
      <c r="CT12" s="10"/>
      <c r="CU12" s="10"/>
      <c r="CV12" s="10"/>
      <c r="CW12" s="10"/>
      <c r="CX12" s="8"/>
      <c r="CY12" s="8"/>
      <c r="CZ12" s="8"/>
      <c r="DA12" s="10">
        <v>5</v>
      </c>
      <c r="DB12" s="10"/>
      <c r="DC12" s="10"/>
      <c r="DD12" s="10"/>
      <c r="DE12" s="10"/>
      <c r="DF12" s="10"/>
      <c r="DG12" s="10"/>
      <c r="DH12" s="10"/>
      <c r="DI12" s="10">
        <f>SUM(CM12:CN12)+SUM(CY12:DH12)</f>
        <v>21.5</v>
      </c>
      <c r="DJ12" s="8">
        <f>(DI12-CM12)/2</f>
        <v>10.75</v>
      </c>
      <c r="DK12" s="8">
        <f>BU12/4</f>
        <v>20.125</v>
      </c>
      <c r="DL12" s="10"/>
      <c r="DM12" s="10"/>
      <c r="DN12" s="10"/>
      <c r="DO12" s="10"/>
      <c r="DP12" s="10"/>
      <c r="DQ12" s="10"/>
      <c r="DR12" s="10"/>
      <c r="DS12" s="8">
        <f>SUM(DJ12:DR12)</f>
        <v>30.875</v>
      </c>
      <c r="DT12" s="8">
        <f>(DS12-DJ12)/2</f>
        <v>10.0625</v>
      </c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>
        <f>SUM(DT12:DV12)</f>
        <v>10.0625</v>
      </c>
      <c r="EF12" s="8">
        <f t="shared" si="3"/>
        <v>0</v>
      </c>
      <c r="EG12" s="10">
        <v>18</v>
      </c>
      <c r="EH12" s="10"/>
      <c r="EI12" s="10"/>
      <c r="EJ12" s="10"/>
      <c r="EK12" s="10"/>
      <c r="EL12" s="10"/>
      <c r="EM12" s="10"/>
      <c r="EN12" s="8">
        <f>SUM(EF12:EG12)</f>
        <v>18</v>
      </c>
    </row>
    <row r="13" spans="1:144" x14ac:dyDescent="0.25">
      <c r="A13">
        <v>3</v>
      </c>
      <c r="B13" s="10" t="s">
        <v>102</v>
      </c>
      <c r="C13" s="8"/>
      <c r="D13" s="8" t="s">
        <v>383</v>
      </c>
      <c r="E13" s="8" t="s">
        <v>384</v>
      </c>
      <c r="F13" s="8"/>
      <c r="G13" s="8"/>
      <c r="H13" s="8"/>
      <c r="I13" s="8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8"/>
      <c r="AD13" s="8"/>
      <c r="AE13" s="8"/>
      <c r="AF13" s="8"/>
      <c r="AG13" s="8"/>
      <c r="AH13" s="8"/>
      <c r="AI13" s="8">
        <v>48</v>
      </c>
      <c r="AJ13" s="8"/>
      <c r="AK13" s="8"/>
      <c r="AL13" s="8"/>
      <c r="AM13" s="8"/>
      <c r="AN13" s="8"/>
      <c r="AO13" s="8"/>
      <c r="AP13" s="8">
        <v>48</v>
      </c>
      <c r="AQ13" s="8"/>
      <c r="AR13" s="8">
        <v>50</v>
      </c>
      <c r="AS13" s="8"/>
      <c r="AT13" s="8"/>
      <c r="AU13" s="8">
        <v>105</v>
      </c>
      <c r="AV13" s="11">
        <f>SUM(AD13:AU13)</f>
        <v>251</v>
      </c>
      <c r="AW13" s="11">
        <f>(AV13-AD13)/2</f>
        <v>125.5</v>
      </c>
      <c r="AX13" s="11">
        <v>48</v>
      </c>
      <c r="AY13" s="11"/>
      <c r="AZ13" s="11"/>
      <c r="BA13" s="11"/>
      <c r="BB13" s="11"/>
      <c r="BC13" s="11"/>
      <c r="BD13" s="11"/>
      <c r="BE13" s="11"/>
      <c r="BF13" s="11"/>
      <c r="BG13" s="11">
        <v>75</v>
      </c>
      <c r="BH13" s="11"/>
      <c r="BI13" s="11"/>
      <c r="BJ13" s="11"/>
      <c r="BK13" s="11">
        <v>80</v>
      </c>
      <c r="BL13" s="11">
        <v>54</v>
      </c>
      <c r="BM13" s="11">
        <v>48</v>
      </c>
      <c r="BN13" s="11"/>
      <c r="BO13" s="11"/>
      <c r="BP13" s="11"/>
      <c r="BQ13" s="11"/>
      <c r="BR13" s="11"/>
      <c r="BS13" s="11">
        <v>75</v>
      </c>
      <c r="BT13" s="11">
        <v>100</v>
      </c>
      <c r="BU13" s="11">
        <f>SUM(AW13:BT13)</f>
        <v>605.5</v>
      </c>
      <c r="BV13" s="11">
        <f>(BU13-AW13)/2</f>
        <v>240</v>
      </c>
      <c r="BW13" s="11">
        <v>36</v>
      </c>
      <c r="BX13" s="11">
        <v>80</v>
      </c>
      <c r="BY13" s="11">
        <v>105</v>
      </c>
      <c r="BZ13" s="11">
        <v>105</v>
      </c>
      <c r="CA13" s="11">
        <v>140</v>
      </c>
      <c r="CB13" s="11">
        <v>72</v>
      </c>
      <c r="CC13" s="11">
        <f t="shared" si="0"/>
        <v>778</v>
      </c>
      <c r="CD13" s="11">
        <f t="shared" si="1"/>
        <v>269</v>
      </c>
      <c r="CE13" s="11">
        <v>48</v>
      </c>
      <c r="CF13" s="11">
        <v>64</v>
      </c>
      <c r="CG13" s="11">
        <v>36</v>
      </c>
      <c r="CH13" s="11"/>
      <c r="CI13" s="11"/>
      <c r="CJ13" s="11"/>
      <c r="CK13" s="11">
        <f t="shared" si="2"/>
        <v>417</v>
      </c>
      <c r="CL13" s="24"/>
      <c r="CM13" s="10">
        <f>SUM(CP13:CW13)/2</f>
        <v>0</v>
      </c>
      <c r="CN13" s="10">
        <f>AV13/4</f>
        <v>62.75</v>
      </c>
      <c r="CO13" s="8"/>
      <c r="CP13" s="8"/>
      <c r="CQ13" s="8"/>
      <c r="CR13" s="8"/>
      <c r="CS13" s="8"/>
      <c r="CT13" s="10"/>
      <c r="CU13" s="10"/>
      <c r="CV13" s="10"/>
      <c r="CW13" s="10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10"/>
      <c r="DI13" s="10">
        <f>SUM(CM13:CN13)+SUM(CY13:DH13)</f>
        <v>62.75</v>
      </c>
      <c r="DJ13" s="8">
        <f>(DI13-CM13)/2</f>
        <v>31.375</v>
      </c>
      <c r="DK13" s="8">
        <f>BU13/4</f>
        <v>151.375</v>
      </c>
      <c r="DL13" s="10"/>
      <c r="DM13" s="10"/>
      <c r="DN13" s="10"/>
      <c r="DO13" s="10"/>
      <c r="DP13" s="10"/>
      <c r="DQ13" s="10"/>
      <c r="DR13" s="10"/>
      <c r="DS13" s="8">
        <f>SUM(DJ13:DN13)</f>
        <v>182.75</v>
      </c>
      <c r="DT13" s="8">
        <f>(DS13-DJ13)/2</f>
        <v>75.6875</v>
      </c>
      <c r="DU13" s="10">
        <f>6+(6*3/4)</f>
        <v>10.5</v>
      </c>
      <c r="DV13" s="10"/>
      <c r="DW13" s="10"/>
      <c r="DX13" s="10"/>
      <c r="DY13" s="10"/>
      <c r="DZ13" s="10"/>
      <c r="EA13" s="10"/>
      <c r="EB13" s="10"/>
      <c r="EC13" s="10">
        <v>50</v>
      </c>
      <c r="ED13" s="10"/>
      <c r="EE13" s="10">
        <f>SUM(DT13:DV13)</f>
        <v>86.1875</v>
      </c>
      <c r="EF13" s="8">
        <f t="shared" si="3"/>
        <v>5.25</v>
      </c>
      <c r="EG13" s="10"/>
      <c r="EH13" s="10"/>
      <c r="EI13" s="10"/>
      <c r="EJ13" s="10"/>
      <c r="EK13" s="10"/>
      <c r="EL13" s="10"/>
      <c r="EM13" s="10"/>
      <c r="EN13" s="8">
        <f>SUM(EF13:EG13)</f>
        <v>5.25</v>
      </c>
    </row>
    <row r="14" spans="1:144" x14ac:dyDescent="0.25">
      <c r="A14">
        <v>4</v>
      </c>
      <c r="B14" s="69" t="s">
        <v>92</v>
      </c>
      <c r="C14" s="69" t="s">
        <v>93</v>
      </c>
      <c r="D14" s="70" t="s">
        <v>70</v>
      </c>
      <c r="E14" s="70" t="s">
        <v>57</v>
      </c>
      <c r="F14" s="11"/>
      <c r="G14" s="11"/>
      <c r="H14" s="11"/>
      <c r="I14" s="11"/>
      <c r="J14" s="11">
        <v>5</v>
      </c>
      <c r="K14" s="11"/>
      <c r="L14" s="11"/>
      <c r="M14" s="11"/>
      <c r="N14" s="11"/>
      <c r="O14" s="11"/>
      <c r="P14" s="11">
        <v>26</v>
      </c>
      <c r="Q14" s="11"/>
      <c r="R14" s="11"/>
      <c r="S14" s="11"/>
      <c r="T14" s="11"/>
      <c r="U14" s="11"/>
      <c r="V14" s="11"/>
      <c r="W14" s="11"/>
      <c r="X14" s="11">
        <v>50</v>
      </c>
      <c r="Y14" s="11"/>
      <c r="Z14" s="11"/>
      <c r="AA14" s="11">
        <v>70</v>
      </c>
      <c r="AB14" s="11">
        <v>7.5</v>
      </c>
      <c r="AC14" s="11">
        <f>SUM(F14:AB14)</f>
        <v>158.5</v>
      </c>
      <c r="AD14" s="11">
        <f>AC14/2</f>
        <v>79.25</v>
      </c>
      <c r="AE14" s="11"/>
      <c r="AF14" s="11"/>
      <c r="AG14" s="11"/>
      <c r="AH14" s="11">
        <v>36</v>
      </c>
      <c r="AI14" s="11"/>
      <c r="AJ14" s="11"/>
      <c r="AK14" s="11"/>
      <c r="AL14" s="11"/>
      <c r="AM14" s="11"/>
      <c r="AN14" s="11"/>
      <c r="AO14" s="11">
        <v>26</v>
      </c>
      <c r="AP14" s="11"/>
      <c r="AQ14" s="11"/>
      <c r="AR14" s="11">
        <v>70</v>
      </c>
      <c r="AS14" s="11"/>
      <c r="AT14" s="11"/>
      <c r="AU14" s="11">
        <v>150</v>
      </c>
      <c r="AV14" s="11">
        <f>SUM(AD14:AU14)</f>
        <v>361.25</v>
      </c>
      <c r="AW14" s="11">
        <f>(AV14-AD14)/2</f>
        <v>141</v>
      </c>
      <c r="AX14" s="11"/>
      <c r="AY14" s="11"/>
      <c r="AZ14" s="11"/>
      <c r="BA14" s="11" t="s">
        <v>132</v>
      </c>
      <c r="BB14" s="11"/>
      <c r="BC14" s="11"/>
      <c r="BD14" s="11"/>
      <c r="BE14" s="11"/>
      <c r="BF14" s="11"/>
      <c r="BG14" s="11">
        <v>105</v>
      </c>
      <c r="BH14" s="11">
        <v>70</v>
      </c>
      <c r="BI14" s="11"/>
      <c r="BJ14" s="11"/>
      <c r="BK14" s="11"/>
      <c r="BL14" s="11">
        <v>150</v>
      </c>
      <c r="BM14" s="11"/>
      <c r="BN14" s="11"/>
      <c r="BO14" s="11"/>
      <c r="BP14" s="11"/>
      <c r="BQ14" s="11"/>
      <c r="BR14" s="11"/>
      <c r="BS14" s="11"/>
      <c r="BT14" s="11">
        <v>200</v>
      </c>
      <c r="BU14" s="11">
        <f>SUM(AW14:BT14)</f>
        <v>666</v>
      </c>
      <c r="BV14" s="11">
        <f>(BU14-AW14)/2</f>
        <v>262.5</v>
      </c>
      <c r="BW14" s="11"/>
      <c r="BX14" s="11"/>
      <c r="BY14" s="11">
        <v>150</v>
      </c>
      <c r="BZ14" s="11">
        <v>75</v>
      </c>
      <c r="CA14" s="11">
        <v>100</v>
      </c>
      <c r="CB14" s="11"/>
      <c r="CC14" s="11">
        <f t="shared" si="0"/>
        <v>587.5</v>
      </c>
      <c r="CD14" s="11">
        <f t="shared" si="1"/>
        <v>162.5</v>
      </c>
      <c r="CE14" s="11">
        <v>30</v>
      </c>
      <c r="CF14" s="11">
        <v>40</v>
      </c>
      <c r="CG14" s="11">
        <v>100</v>
      </c>
      <c r="CH14" s="11">
        <v>2.4</v>
      </c>
      <c r="CI14" s="11"/>
      <c r="CJ14" s="11"/>
      <c r="CK14" s="11">
        <f t="shared" si="2"/>
        <v>334.9</v>
      </c>
      <c r="CL14" s="24"/>
      <c r="CM14" s="10">
        <f>SUM(CP14:CW14)/2</f>
        <v>17.5</v>
      </c>
      <c r="CN14" s="10">
        <f>AV14/4</f>
        <v>90.3125</v>
      </c>
      <c r="CO14" s="10">
        <f>AC14/2</f>
        <v>79.25</v>
      </c>
      <c r="CP14" s="10">
        <f>20+20*3/4</f>
        <v>35</v>
      </c>
      <c r="CQ14" s="10"/>
      <c r="CR14" s="10"/>
      <c r="CS14" s="10"/>
      <c r="CT14" s="10"/>
      <c r="CU14" s="10"/>
      <c r="CV14" s="10"/>
      <c r="CW14" s="10"/>
      <c r="CX14" s="10">
        <f>SUM(CO14:CQ14)</f>
        <v>114.25</v>
      </c>
      <c r="CY14" s="10"/>
      <c r="CZ14" s="10"/>
      <c r="DA14" s="10">
        <v>5</v>
      </c>
      <c r="DB14" s="10"/>
      <c r="DC14" s="10"/>
      <c r="DD14" s="10"/>
      <c r="DE14" s="10"/>
      <c r="DF14" s="10">
        <v>26</v>
      </c>
      <c r="DG14" s="10"/>
      <c r="DH14" s="10">
        <v>100</v>
      </c>
      <c r="DI14" s="10">
        <f>SUM(CM14:CN14)+SUM(CY14:DH14)</f>
        <v>238.8125</v>
      </c>
      <c r="DJ14" s="8">
        <f>(DI14-CM14)/2</f>
        <v>110.65625</v>
      </c>
      <c r="DK14" s="8">
        <f>BU14/4</f>
        <v>166.5</v>
      </c>
      <c r="DL14" s="10">
        <v>21</v>
      </c>
      <c r="DM14" s="10">
        <v>15</v>
      </c>
      <c r="DN14" s="10">
        <v>39</v>
      </c>
      <c r="DO14" s="10"/>
      <c r="DP14" s="10">
        <v>54</v>
      </c>
      <c r="DQ14" s="10">
        <v>70</v>
      </c>
      <c r="DR14" s="10"/>
      <c r="DS14" s="8">
        <f>SUM(DJ14:DQ14)</f>
        <v>476.15625</v>
      </c>
      <c r="DT14" s="8">
        <f>(DS14-DJ14)/2</f>
        <v>182.75</v>
      </c>
      <c r="DU14" s="10">
        <v>21</v>
      </c>
      <c r="DV14" s="10">
        <v>15</v>
      </c>
      <c r="DW14" s="10"/>
      <c r="DX14" s="10"/>
      <c r="DY14" s="10">
        <v>15</v>
      </c>
      <c r="DZ14" s="10">
        <v>7.5</v>
      </c>
      <c r="EA14" s="10"/>
      <c r="EB14" s="10">
        <v>50</v>
      </c>
      <c r="EC14" s="10">
        <v>35</v>
      </c>
      <c r="ED14" s="10"/>
      <c r="EE14" s="10">
        <f>SUM(DT14:EC14)</f>
        <v>326.25</v>
      </c>
      <c r="EF14" s="8">
        <f t="shared" si="3"/>
        <v>71.75</v>
      </c>
      <c r="EG14" s="10"/>
      <c r="EH14" s="10"/>
      <c r="EI14" s="10"/>
      <c r="EJ14" s="10">
        <v>39</v>
      </c>
      <c r="EK14" s="10">
        <v>70</v>
      </c>
      <c r="EL14" s="10">
        <v>15</v>
      </c>
      <c r="EM14" s="10">
        <v>7.5</v>
      </c>
      <c r="EN14" s="71">
        <f>SUM(EF14:EM14)</f>
        <v>203.25</v>
      </c>
    </row>
    <row r="15" spans="1:144" x14ac:dyDescent="0.25">
      <c r="A15">
        <v>5</v>
      </c>
      <c r="B15" s="10" t="s">
        <v>315</v>
      </c>
      <c r="C15" s="8" t="s">
        <v>148</v>
      </c>
      <c r="D15" s="8" t="s">
        <v>207</v>
      </c>
      <c r="E15" s="8" t="s">
        <v>229</v>
      </c>
      <c r="F15" s="8"/>
      <c r="G15" s="8"/>
      <c r="H15" s="8"/>
      <c r="I15" s="8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>
        <v>28.8</v>
      </c>
      <c r="AN15" s="8"/>
      <c r="AO15" s="8">
        <v>5</v>
      </c>
      <c r="AP15" s="8"/>
      <c r="AQ15" s="8"/>
      <c r="AR15" s="8">
        <v>5</v>
      </c>
      <c r="AS15" s="8"/>
      <c r="AT15" s="8"/>
      <c r="AU15" s="8"/>
      <c r="AV15" s="11">
        <f>SUM(AD15:AU15)</f>
        <v>38.799999999999997</v>
      </c>
      <c r="AW15" s="11">
        <f>(AV15-AD15)/2</f>
        <v>19.399999999999999</v>
      </c>
      <c r="AX15" s="11"/>
      <c r="AY15" s="11"/>
      <c r="AZ15" s="11">
        <v>36</v>
      </c>
      <c r="BA15" s="11"/>
      <c r="BB15" s="11"/>
      <c r="BC15" s="11"/>
      <c r="BD15" s="11"/>
      <c r="BE15" s="11"/>
      <c r="BF15" s="11"/>
      <c r="BG15" s="11">
        <v>39</v>
      </c>
      <c r="BH15" s="11"/>
      <c r="BI15" s="11"/>
      <c r="BJ15" s="11">
        <v>4</v>
      </c>
      <c r="BK15" s="11"/>
      <c r="BL15" s="11">
        <v>7.5</v>
      </c>
      <c r="BM15" s="11"/>
      <c r="BN15" s="11"/>
      <c r="BO15" s="11">
        <v>33.6</v>
      </c>
      <c r="BP15" s="11"/>
      <c r="BQ15" s="11"/>
      <c r="BR15" s="11"/>
      <c r="BS15" s="11">
        <v>7.5</v>
      </c>
      <c r="BT15" s="11">
        <v>10</v>
      </c>
      <c r="BU15" s="11">
        <f>SUM(AW15:BT15)</f>
        <v>157</v>
      </c>
      <c r="BV15" s="11">
        <f>(BU15-AW15)/2</f>
        <v>68.8</v>
      </c>
      <c r="BW15" s="11">
        <v>36</v>
      </c>
      <c r="BX15" s="11"/>
      <c r="BY15" s="11">
        <v>54</v>
      </c>
      <c r="BZ15" s="11">
        <v>7.5</v>
      </c>
      <c r="CA15" s="11">
        <v>7.5</v>
      </c>
      <c r="CB15" s="11">
        <v>100</v>
      </c>
      <c r="CC15" s="11">
        <f t="shared" si="0"/>
        <v>273.8</v>
      </c>
      <c r="CD15" s="11">
        <f t="shared" si="1"/>
        <v>102.5</v>
      </c>
      <c r="CE15" s="11">
        <v>36</v>
      </c>
      <c r="CF15" s="11">
        <v>28.8</v>
      </c>
      <c r="CG15" s="11">
        <v>75</v>
      </c>
      <c r="CH15" s="11">
        <v>5</v>
      </c>
      <c r="CI15" s="11">
        <v>36</v>
      </c>
      <c r="CJ15" s="11"/>
      <c r="CK15" s="11">
        <f t="shared" si="2"/>
        <v>283.3</v>
      </c>
      <c r="CL15" s="24"/>
      <c r="CM15" s="10">
        <f>SUM(CP15:CW15)/2</f>
        <v>0</v>
      </c>
      <c r="CN15" s="10">
        <f>AV15/4</f>
        <v>9.6999999999999993</v>
      </c>
      <c r="CO15" s="8"/>
      <c r="CP15" s="8"/>
      <c r="CQ15" s="8"/>
      <c r="CR15" s="8"/>
      <c r="CS15" s="8"/>
      <c r="CT15" s="10"/>
      <c r="CU15" s="10"/>
      <c r="CV15" s="10"/>
      <c r="CW15" s="10"/>
      <c r="CX15" s="8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>
        <f>SUM(CM15:CN15)+SUM(CY15:DH15)</f>
        <v>9.6999999999999993</v>
      </c>
      <c r="DJ15" s="8">
        <f>(DI15-CM15)/2</f>
        <v>4.8499999999999996</v>
      </c>
      <c r="DK15" s="8">
        <f>BU15/4</f>
        <v>39.25</v>
      </c>
      <c r="DL15" s="10"/>
      <c r="DM15" s="10"/>
      <c r="DN15" s="10"/>
      <c r="DO15" s="10"/>
      <c r="DP15" s="10"/>
      <c r="DQ15" s="10"/>
      <c r="DR15" s="10"/>
      <c r="DS15" s="8">
        <f>SUM(DJ15:DR15)</f>
        <v>44.1</v>
      </c>
      <c r="DT15" s="8">
        <f>(DS15-DJ15)/2</f>
        <v>19.625</v>
      </c>
      <c r="DU15" s="10">
        <v>10.5</v>
      </c>
      <c r="DV15" s="10"/>
      <c r="DW15" s="10"/>
      <c r="DX15" s="10"/>
      <c r="DY15" s="10"/>
      <c r="DZ15" s="10"/>
      <c r="EA15" s="10"/>
      <c r="EB15" s="10"/>
      <c r="EC15" s="10"/>
      <c r="ED15" s="10"/>
      <c r="EE15" s="10">
        <f>SUM(DT15:DV15)</f>
        <v>30.125</v>
      </c>
      <c r="EF15" s="8">
        <f t="shared" si="3"/>
        <v>5.25</v>
      </c>
      <c r="EG15" s="10"/>
      <c r="EH15" s="10"/>
      <c r="EI15" s="10"/>
      <c r="EJ15" s="10"/>
      <c r="EK15" s="10">
        <v>5</v>
      </c>
      <c r="EL15" s="10"/>
      <c r="EM15" s="10"/>
      <c r="EN15" s="8">
        <f>SUM(EF15:EK15)</f>
        <v>10.25</v>
      </c>
    </row>
    <row r="16" spans="1:144" x14ac:dyDescent="0.25">
      <c r="A16">
        <v>6</v>
      </c>
      <c r="B16" s="10" t="s">
        <v>689</v>
      </c>
      <c r="C16" s="8"/>
      <c r="D16" s="8" t="s">
        <v>690</v>
      </c>
      <c r="E16" s="8" t="s">
        <v>24</v>
      </c>
      <c r="F16" s="8"/>
      <c r="G16" s="8"/>
      <c r="H16" s="8"/>
      <c r="I16" s="8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10"/>
      <c r="BU16" s="8"/>
      <c r="BV16" s="8"/>
      <c r="BW16" s="10"/>
      <c r="BX16" s="10"/>
      <c r="BY16" s="10">
        <v>50</v>
      </c>
      <c r="BZ16" s="10">
        <v>39</v>
      </c>
      <c r="CA16" s="10">
        <v>50</v>
      </c>
      <c r="CB16" s="10"/>
      <c r="CC16" s="11">
        <f t="shared" si="0"/>
        <v>139</v>
      </c>
      <c r="CD16" s="11">
        <f t="shared" si="1"/>
        <v>69.5</v>
      </c>
      <c r="CE16" s="11">
        <v>42</v>
      </c>
      <c r="CF16" s="11">
        <v>4</v>
      </c>
      <c r="CG16" s="11">
        <v>7.5</v>
      </c>
      <c r="CH16" s="11">
        <v>70</v>
      </c>
      <c r="CI16" s="11"/>
      <c r="CJ16" s="11"/>
      <c r="CK16" s="11">
        <f t="shared" si="2"/>
        <v>193</v>
      </c>
      <c r="CL16" s="24"/>
      <c r="CM16" s="8"/>
      <c r="CN16" s="8"/>
      <c r="CO16" s="8"/>
      <c r="CP16" s="8"/>
      <c r="CQ16" s="8"/>
      <c r="CR16" s="8"/>
      <c r="CS16" s="8"/>
      <c r="CT16" s="10"/>
      <c r="CU16" s="10"/>
      <c r="CV16" s="10"/>
      <c r="CW16" s="10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10"/>
      <c r="DI16" s="8"/>
      <c r="DJ16" s="8"/>
      <c r="DK16" s="8"/>
      <c r="DL16" s="10"/>
      <c r="DM16" s="10"/>
      <c r="DN16" s="10"/>
      <c r="DO16" s="10"/>
      <c r="DP16" s="10"/>
      <c r="DQ16" s="10"/>
      <c r="DR16" s="10"/>
      <c r="DS16" s="8"/>
      <c r="DT16" s="8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>
        <f>SUM(DT16:DV16)</f>
        <v>0</v>
      </c>
      <c r="EF16" s="8">
        <f t="shared" si="3"/>
        <v>0</v>
      </c>
      <c r="EG16" s="10"/>
      <c r="EH16" s="10"/>
      <c r="EI16" s="10"/>
      <c r="EJ16" s="10"/>
      <c r="EK16" s="10"/>
      <c r="EL16" s="10"/>
      <c r="EM16" s="10"/>
      <c r="EN16" s="8">
        <f t="shared" ref="EN16:EN52" si="4">SUM(EF16:EG16)</f>
        <v>0</v>
      </c>
    </row>
    <row r="17" spans="1:144" x14ac:dyDescent="0.25">
      <c r="A17">
        <v>7</v>
      </c>
      <c r="B17" s="10" t="s">
        <v>191</v>
      </c>
      <c r="C17" s="8"/>
      <c r="D17" s="8" t="s">
        <v>49</v>
      </c>
      <c r="E17" s="8" t="s">
        <v>76</v>
      </c>
      <c r="F17" s="8"/>
      <c r="G17" s="8"/>
      <c r="H17" s="8"/>
      <c r="I17" s="8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>
        <v>75</v>
      </c>
      <c r="BM17" s="8"/>
      <c r="BN17" s="8"/>
      <c r="BO17" s="8"/>
      <c r="BP17" s="8"/>
      <c r="BQ17" s="8"/>
      <c r="BR17" s="8"/>
      <c r="BS17" s="8"/>
      <c r="BT17" s="10"/>
      <c r="BU17" s="11">
        <f>SUM(AW17:BT17)</f>
        <v>75</v>
      </c>
      <c r="BV17" s="11">
        <f>(BU17-AW17)/2</f>
        <v>37.5</v>
      </c>
      <c r="BW17" s="11"/>
      <c r="BX17" s="11"/>
      <c r="BY17" s="11">
        <v>100</v>
      </c>
      <c r="BZ17" s="11">
        <v>150</v>
      </c>
      <c r="CA17" s="11"/>
      <c r="CB17" s="11"/>
      <c r="CC17" s="11">
        <f t="shared" si="0"/>
        <v>287.5</v>
      </c>
      <c r="CD17" s="11">
        <f t="shared" si="1"/>
        <v>125</v>
      </c>
      <c r="CE17" s="11"/>
      <c r="CF17" s="11"/>
      <c r="CG17" s="11"/>
      <c r="CH17" s="11"/>
      <c r="CI17" s="11"/>
      <c r="CJ17" s="11"/>
      <c r="CK17" s="11">
        <f t="shared" si="2"/>
        <v>125</v>
      </c>
      <c r="CL17" s="24"/>
      <c r="CM17" s="8"/>
      <c r="CN17" s="8"/>
      <c r="CO17" s="8"/>
      <c r="CP17" s="8"/>
      <c r="CQ17" s="8"/>
      <c r="CR17" s="8"/>
      <c r="CS17" s="8"/>
      <c r="CT17" s="10"/>
      <c r="CU17" s="10"/>
      <c r="CV17" s="10"/>
      <c r="CW17" s="10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10"/>
      <c r="DI17" s="10">
        <f>SUM(CM17:CN17)+SUM(CY17:DH17)</f>
        <v>0</v>
      </c>
      <c r="DJ17" s="8">
        <f>(DI17-CM17)/2</f>
        <v>0</v>
      </c>
      <c r="DK17" s="8">
        <f>BU17/4</f>
        <v>18.75</v>
      </c>
      <c r="DL17" s="10"/>
      <c r="DM17" s="10"/>
      <c r="DN17" s="10"/>
      <c r="DO17" s="10"/>
      <c r="DP17" s="10"/>
      <c r="DQ17" s="10">
        <v>50</v>
      </c>
      <c r="DR17" s="10">
        <v>50</v>
      </c>
      <c r="DS17" s="8">
        <f>SUM(DJ17:DR17)</f>
        <v>118.75</v>
      </c>
      <c r="DT17" s="8">
        <f>(DS17-DJ17)/2</f>
        <v>59.375</v>
      </c>
      <c r="DU17" s="10">
        <v>35</v>
      </c>
      <c r="DV17" s="10"/>
      <c r="DW17" s="10">
        <v>15</v>
      </c>
      <c r="DX17" s="10">
        <v>24</v>
      </c>
      <c r="DY17" s="10">
        <v>15</v>
      </c>
      <c r="DZ17" s="10">
        <v>7.5</v>
      </c>
      <c r="EA17" s="10">
        <v>15</v>
      </c>
      <c r="EB17" s="10"/>
      <c r="EC17" s="10"/>
      <c r="ED17" s="10">
        <v>72</v>
      </c>
      <c r="EE17" s="10">
        <f>SUM(DT17:ED17)</f>
        <v>242.875</v>
      </c>
      <c r="EF17" s="8">
        <f t="shared" si="3"/>
        <v>91.75</v>
      </c>
      <c r="EG17" s="10">
        <v>22.5</v>
      </c>
      <c r="EH17" s="10"/>
      <c r="EI17" s="10"/>
      <c r="EJ17" s="10"/>
      <c r="EK17" s="10"/>
      <c r="EL17" s="10"/>
      <c r="EM17" s="10"/>
      <c r="EN17" s="8">
        <f t="shared" si="4"/>
        <v>114.25</v>
      </c>
    </row>
    <row r="18" spans="1:144" x14ac:dyDescent="0.25">
      <c r="A18" s="68">
        <v>8</v>
      </c>
      <c r="B18" s="19" t="s">
        <v>318</v>
      </c>
      <c r="C18" s="18"/>
      <c r="D18" s="18" t="s">
        <v>319</v>
      </c>
      <c r="E18" s="18" t="s">
        <v>113</v>
      </c>
      <c r="F18" s="8"/>
      <c r="G18" s="8"/>
      <c r="H18" s="8"/>
      <c r="I18" s="8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>
        <v>50</v>
      </c>
      <c r="Y18" s="10"/>
      <c r="Z18" s="10"/>
      <c r="AA18" s="10">
        <v>50</v>
      </c>
      <c r="AB18" s="10">
        <v>75</v>
      </c>
      <c r="AC18" s="11">
        <f>SUM(F18:AB18)</f>
        <v>175</v>
      </c>
      <c r="AD18" s="11">
        <f>AC18/2</f>
        <v>87.5</v>
      </c>
      <c r="AE18" s="11"/>
      <c r="AF18" s="11"/>
      <c r="AG18" s="11">
        <v>48</v>
      </c>
      <c r="AH18" s="11">
        <v>5</v>
      </c>
      <c r="AI18" s="11"/>
      <c r="AJ18" s="11"/>
      <c r="AK18" s="11"/>
      <c r="AL18" s="11">
        <v>64</v>
      </c>
      <c r="AM18" s="11"/>
      <c r="AN18" s="11"/>
      <c r="AO18" s="11">
        <v>50</v>
      </c>
      <c r="AP18" s="11"/>
      <c r="AQ18" s="11"/>
      <c r="AR18" s="11">
        <v>100</v>
      </c>
      <c r="AS18" s="11"/>
      <c r="AT18" s="11"/>
      <c r="AU18" s="11">
        <v>75</v>
      </c>
      <c r="AV18" s="11">
        <f>SUM(AD18:AU18)</f>
        <v>429.5</v>
      </c>
      <c r="AW18" s="11">
        <f>(AV18-AD18)/2</f>
        <v>171</v>
      </c>
      <c r="AX18" s="11"/>
      <c r="AY18" s="11"/>
      <c r="AZ18" s="11"/>
      <c r="BA18" s="11" t="s">
        <v>132</v>
      </c>
      <c r="BB18" s="11"/>
      <c r="BC18" s="11"/>
      <c r="BD18" s="11"/>
      <c r="BE18" s="11"/>
      <c r="BF18" s="11"/>
      <c r="BG18" s="11">
        <v>150</v>
      </c>
      <c r="BH18" s="11"/>
      <c r="BI18" s="11"/>
      <c r="BJ18" s="11"/>
      <c r="BK18" s="11"/>
      <c r="BL18" s="11">
        <v>105</v>
      </c>
      <c r="BM18" s="11"/>
      <c r="BN18" s="11"/>
      <c r="BO18" s="11"/>
      <c r="BP18" s="11"/>
      <c r="BQ18" s="11"/>
      <c r="BR18" s="11"/>
      <c r="BS18" s="11">
        <v>150</v>
      </c>
      <c r="BT18" s="11"/>
      <c r="BU18" s="11">
        <f>SUM(AW18:BT18)</f>
        <v>576</v>
      </c>
      <c r="BV18" s="11">
        <f>(BU18-AW18)/2</f>
        <v>202.5</v>
      </c>
      <c r="BW18" s="11"/>
      <c r="BX18" s="11"/>
      <c r="BY18" s="11">
        <v>75</v>
      </c>
      <c r="BZ18" s="11">
        <v>70</v>
      </c>
      <c r="CA18" s="11">
        <v>75</v>
      </c>
      <c r="CB18" s="11"/>
      <c r="CC18" s="11">
        <f t="shared" si="0"/>
        <v>422.5</v>
      </c>
      <c r="CD18" s="11">
        <f t="shared" si="1"/>
        <v>110</v>
      </c>
      <c r="CE18" s="11"/>
      <c r="CF18" s="11"/>
      <c r="CG18" s="11"/>
      <c r="CH18" s="11"/>
      <c r="CI18" s="11"/>
      <c r="CJ18" s="11"/>
      <c r="CK18" s="11">
        <f t="shared" si="2"/>
        <v>110</v>
      </c>
      <c r="CL18" s="24"/>
      <c r="CM18" s="10">
        <f>SUM(CP18:CW18)/2</f>
        <v>0</v>
      </c>
      <c r="CN18" s="10">
        <f>AV18/4</f>
        <v>107.375</v>
      </c>
      <c r="CO18" s="10">
        <f>AC18/2</f>
        <v>87.5</v>
      </c>
      <c r="CP18" s="10"/>
      <c r="CQ18" s="10"/>
      <c r="CR18" s="10"/>
      <c r="CS18" s="10"/>
      <c r="CT18" s="10"/>
      <c r="CU18" s="10"/>
      <c r="CV18" s="10"/>
      <c r="CW18" s="10"/>
      <c r="CX18" s="10">
        <f>SUM(CO18:CQ18)</f>
        <v>87.5</v>
      </c>
      <c r="CY18" s="10"/>
      <c r="CZ18" s="10"/>
      <c r="DA18" s="10">
        <v>5</v>
      </c>
      <c r="DB18" s="10"/>
      <c r="DC18" s="10"/>
      <c r="DD18" s="10"/>
      <c r="DE18" s="10"/>
      <c r="DF18" s="10">
        <v>50</v>
      </c>
      <c r="DG18" s="10"/>
      <c r="DH18" s="10"/>
      <c r="DI18" s="10">
        <f>SUM(CM18:CN18)+SUM(CY18:DF18)</f>
        <v>162.375</v>
      </c>
      <c r="DJ18" s="8">
        <f>(DI18-CM18)/2</f>
        <v>81.1875</v>
      </c>
      <c r="DK18" s="8">
        <f>BU18/4</f>
        <v>144</v>
      </c>
      <c r="DL18" s="10">
        <v>26.25</v>
      </c>
      <c r="DM18" s="10"/>
      <c r="DN18" s="10">
        <v>7.5</v>
      </c>
      <c r="DO18" s="10"/>
      <c r="DP18" s="10"/>
      <c r="DQ18" s="10"/>
      <c r="DR18" s="10"/>
      <c r="DS18" s="8">
        <f>SUM(DJ18:DN18)</f>
        <v>258.9375</v>
      </c>
      <c r="DT18" s="8">
        <f>(DS18-DJ18)/2</f>
        <v>88.875</v>
      </c>
      <c r="DU18" s="10">
        <v>26.25</v>
      </c>
      <c r="DV18" s="10"/>
      <c r="DW18" s="10"/>
      <c r="DX18" s="10"/>
      <c r="DY18" s="10"/>
      <c r="DZ18" s="10"/>
      <c r="EA18" s="10"/>
      <c r="EB18" s="10"/>
      <c r="EC18" s="10"/>
      <c r="ED18" s="10"/>
      <c r="EE18" s="10">
        <f>SUM(DT18:DV18)</f>
        <v>115.125</v>
      </c>
      <c r="EF18" s="8">
        <f t="shared" si="3"/>
        <v>13.125</v>
      </c>
      <c r="EG18" s="10"/>
      <c r="EH18" s="10"/>
      <c r="EI18" s="10"/>
      <c r="EJ18" s="10"/>
      <c r="EK18" s="10"/>
      <c r="EL18" s="10"/>
      <c r="EM18" s="10"/>
      <c r="EN18" s="8">
        <f t="shared" si="4"/>
        <v>13.125</v>
      </c>
    </row>
    <row r="19" spans="1:144" x14ac:dyDescent="0.25">
      <c r="A19">
        <v>9</v>
      </c>
      <c r="B19" s="19" t="s">
        <v>98</v>
      </c>
      <c r="C19" s="19" t="s">
        <v>99</v>
      </c>
      <c r="D19" s="18" t="s">
        <v>52</v>
      </c>
      <c r="E19" s="18" t="s">
        <v>17</v>
      </c>
      <c r="F19" s="10"/>
      <c r="G19" s="10"/>
      <c r="H19" s="10"/>
      <c r="I19" s="10">
        <v>5</v>
      </c>
      <c r="J19" s="10">
        <v>50</v>
      </c>
      <c r="K19" s="10"/>
      <c r="L19" s="10"/>
      <c r="M19" s="10"/>
      <c r="N19" s="10">
        <v>44.8</v>
      </c>
      <c r="O19" s="10"/>
      <c r="P19" s="10">
        <v>5</v>
      </c>
      <c r="Q19" s="10">
        <v>48</v>
      </c>
      <c r="R19" s="10"/>
      <c r="S19" s="10"/>
      <c r="T19" s="10"/>
      <c r="U19" s="10">
        <v>48</v>
      </c>
      <c r="V19" s="10"/>
      <c r="W19" s="10"/>
      <c r="X19" s="10"/>
      <c r="Y19" s="10"/>
      <c r="Z19" s="10"/>
      <c r="AA19" s="10">
        <v>26</v>
      </c>
      <c r="AB19" s="10">
        <v>54</v>
      </c>
      <c r="AC19" s="11">
        <f>SUM(F19:AB19)</f>
        <v>280.8</v>
      </c>
      <c r="AD19" s="11">
        <f>AC19/2</f>
        <v>140.4</v>
      </c>
      <c r="AE19" s="11"/>
      <c r="AF19" s="11">
        <v>48</v>
      </c>
      <c r="AG19" s="11"/>
      <c r="AH19" s="11"/>
      <c r="AI19" s="11"/>
      <c r="AJ19" s="11"/>
      <c r="AK19" s="11"/>
      <c r="AL19" s="11"/>
      <c r="AM19" s="11"/>
      <c r="AN19" s="11"/>
      <c r="AO19" s="11">
        <v>16</v>
      </c>
      <c r="AP19" s="11"/>
      <c r="AQ19" s="11"/>
      <c r="AR19" s="11"/>
      <c r="AS19" s="11"/>
      <c r="AT19" s="11"/>
      <c r="AU19" s="11"/>
      <c r="AV19" s="11">
        <f>SUM(AD19:AU19)</f>
        <v>204.4</v>
      </c>
      <c r="AW19" s="11">
        <f>(AV19-AD19)/2</f>
        <v>32</v>
      </c>
      <c r="AX19" s="11"/>
      <c r="AY19" s="11">
        <v>48</v>
      </c>
      <c r="AZ19" s="11"/>
      <c r="BA19" s="11"/>
      <c r="BB19" s="11"/>
      <c r="BC19" s="11"/>
      <c r="BD19" s="11"/>
      <c r="BE19" s="11"/>
      <c r="BF19" s="11"/>
      <c r="BG19" s="11">
        <v>39</v>
      </c>
      <c r="BH19" s="11">
        <v>50</v>
      </c>
      <c r="BI19" s="11">
        <v>80</v>
      </c>
      <c r="BJ19" s="11"/>
      <c r="BK19" s="11"/>
      <c r="BL19" s="11" t="s">
        <v>327</v>
      </c>
      <c r="BM19" s="11"/>
      <c r="BN19" s="11"/>
      <c r="BO19" s="11"/>
      <c r="BP19" s="11"/>
      <c r="BQ19" s="11"/>
      <c r="BR19" s="11"/>
      <c r="BS19" s="11">
        <v>54</v>
      </c>
      <c r="BT19" s="11">
        <v>100</v>
      </c>
      <c r="BU19" s="11">
        <f>SUM(AW19:BT19)</f>
        <v>403</v>
      </c>
      <c r="BV19" s="11">
        <f>(BU19-AW19)/2</f>
        <v>185.5</v>
      </c>
      <c r="BW19" s="11">
        <v>36</v>
      </c>
      <c r="BX19" s="11">
        <v>44.8</v>
      </c>
      <c r="BY19" s="11">
        <v>36</v>
      </c>
      <c r="BZ19" s="11">
        <v>54</v>
      </c>
      <c r="CA19" s="11">
        <v>36</v>
      </c>
      <c r="CB19" s="11"/>
      <c r="CC19" s="11">
        <f t="shared" si="0"/>
        <v>392.3</v>
      </c>
      <c r="CD19" s="11">
        <f t="shared" si="1"/>
        <v>103.4</v>
      </c>
      <c r="CE19" s="11"/>
      <c r="CF19" s="11"/>
      <c r="CG19" s="11"/>
      <c r="CH19" s="11"/>
      <c r="CI19" s="11"/>
      <c r="CJ19" s="11"/>
      <c r="CK19" s="11">
        <f t="shared" si="2"/>
        <v>103.4</v>
      </c>
      <c r="CL19" s="24"/>
      <c r="CM19" s="10">
        <f>SUM(CP19:CW19)/2</f>
        <v>6.125</v>
      </c>
      <c r="CN19" s="10">
        <f>AV19/4</f>
        <v>51.1</v>
      </c>
      <c r="CO19" s="10">
        <f>AC19/2</f>
        <v>140.4</v>
      </c>
      <c r="CP19" s="10">
        <f>7+7*3/4</f>
        <v>12.25</v>
      </c>
      <c r="CQ19" s="10"/>
      <c r="CR19" s="10"/>
      <c r="CS19" s="10"/>
      <c r="CT19" s="10"/>
      <c r="CU19" s="10"/>
      <c r="CV19" s="10"/>
      <c r="CW19" s="10"/>
      <c r="CX19" s="10">
        <f>SUM(CO19:CQ19)</f>
        <v>152.65</v>
      </c>
      <c r="CY19" s="10">
        <v>10.5</v>
      </c>
      <c r="CZ19" s="10">
        <v>16</v>
      </c>
      <c r="DA19" s="10">
        <v>26</v>
      </c>
      <c r="DB19" s="10"/>
      <c r="DC19" s="10"/>
      <c r="DD19" s="10"/>
      <c r="DE19" s="10"/>
      <c r="DF19" s="10"/>
      <c r="DG19" s="10"/>
      <c r="DH19" s="10"/>
      <c r="DI19" s="10">
        <f>SUM(CM19:CN19)+SUM(CY19:DH19)</f>
        <v>109.72499999999999</v>
      </c>
      <c r="DJ19" s="8">
        <f>(DI19-CM19)/2</f>
        <v>51.8</v>
      </c>
      <c r="DK19" s="8">
        <f>BU19/4</f>
        <v>100.75</v>
      </c>
      <c r="DL19" s="10"/>
      <c r="DM19" s="10"/>
      <c r="DN19" s="10"/>
      <c r="DO19" s="10"/>
      <c r="DP19" s="10"/>
      <c r="DQ19" s="10"/>
      <c r="DR19" s="10">
        <v>35</v>
      </c>
      <c r="DS19" s="8">
        <f>SUM(DJ19:DR19)</f>
        <v>187.55</v>
      </c>
      <c r="DT19" s="8">
        <f>(DS19-DJ19)/2</f>
        <v>67.875</v>
      </c>
      <c r="DU19" s="10">
        <v>14</v>
      </c>
      <c r="DV19" s="10"/>
      <c r="DW19" s="10"/>
      <c r="DX19" s="10"/>
      <c r="DY19" s="10"/>
      <c r="DZ19" s="10"/>
      <c r="EA19" s="10"/>
      <c r="EB19" s="10">
        <v>26</v>
      </c>
      <c r="EC19" s="10"/>
      <c r="ED19" s="10"/>
      <c r="EE19" s="10">
        <f>SUM(DT19:EB19)</f>
        <v>107.875</v>
      </c>
      <c r="EF19" s="8">
        <f t="shared" si="3"/>
        <v>20</v>
      </c>
      <c r="EG19" s="10"/>
      <c r="EH19" s="10"/>
      <c r="EI19" s="10"/>
      <c r="EJ19" s="10"/>
      <c r="EK19" s="10"/>
      <c r="EL19" s="10"/>
      <c r="EM19" s="10"/>
      <c r="EN19" s="8">
        <f t="shared" si="4"/>
        <v>20</v>
      </c>
    </row>
    <row r="20" spans="1:144" x14ac:dyDescent="0.25">
      <c r="A20">
        <v>10</v>
      </c>
      <c r="B20" s="10" t="s">
        <v>810</v>
      </c>
      <c r="C20" s="8"/>
      <c r="D20" s="8" t="s">
        <v>29</v>
      </c>
      <c r="E20" s="8" t="s">
        <v>537</v>
      </c>
      <c r="F20" s="8"/>
      <c r="G20" s="8"/>
      <c r="H20" s="8"/>
      <c r="I20" s="8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10"/>
      <c r="BU20" s="8"/>
      <c r="BV20" s="8"/>
      <c r="BW20" s="10"/>
      <c r="BX20" s="10"/>
      <c r="BY20" s="10"/>
      <c r="BZ20" s="10"/>
      <c r="CA20" s="10"/>
      <c r="CB20" s="10"/>
      <c r="CC20" s="8"/>
      <c r="CD20" s="8"/>
      <c r="CE20" s="10">
        <v>21.6</v>
      </c>
      <c r="CF20" s="10"/>
      <c r="CG20" s="10">
        <v>75</v>
      </c>
      <c r="CH20" s="8"/>
      <c r="CI20" s="8"/>
      <c r="CJ20" s="8"/>
      <c r="CK20" s="11">
        <f t="shared" si="2"/>
        <v>96.6</v>
      </c>
      <c r="CM20" s="8"/>
      <c r="CN20" s="8"/>
      <c r="CO20" s="8"/>
      <c r="CP20" s="8"/>
      <c r="CQ20" s="8"/>
      <c r="CR20" s="8"/>
      <c r="CS20" s="8"/>
      <c r="CT20" s="10"/>
      <c r="CU20" s="10"/>
      <c r="CV20" s="10"/>
      <c r="CW20" s="10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10"/>
      <c r="DI20" s="8"/>
      <c r="DJ20" s="8"/>
      <c r="DK20" s="8"/>
      <c r="DL20" s="10"/>
      <c r="DM20" s="10"/>
      <c r="DN20" s="10"/>
      <c r="DO20" s="10"/>
      <c r="DP20" s="10"/>
      <c r="DQ20" s="10"/>
      <c r="DR20" s="10"/>
      <c r="DS20" s="8"/>
      <c r="DT20" s="8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>
        <f t="shared" ref="EE20:EE52" si="5">SUM(DT20:DV20)</f>
        <v>0</v>
      </c>
      <c r="EF20" s="8">
        <f t="shared" si="3"/>
        <v>0</v>
      </c>
      <c r="EG20" s="10"/>
      <c r="EH20" s="10"/>
      <c r="EI20" s="10"/>
      <c r="EJ20" s="10"/>
      <c r="EK20" s="10"/>
      <c r="EL20" s="10"/>
      <c r="EM20" s="10"/>
      <c r="EN20" s="8">
        <f t="shared" si="4"/>
        <v>0</v>
      </c>
    </row>
    <row r="21" spans="1:144" x14ac:dyDescent="0.25">
      <c r="A21">
        <v>11</v>
      </c>
      <c r="B21" s="10" t="s">
        <v>88</v>
      </c>
      <c r="C21" s="8"/>
      <c r="D21" s="8" t="s">
        <v>671</v>
      </c>
      <c r="E21" s="8" t="s">
        <v>17</v>
      </c>
      <c r="F21" s="8"/>
      <c r="G21" s="8"/>
      <c r="H21" s="8"/>
      <c r="I21" s="8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10"/>
      <c r="BU21" s="8"/>
      <c r="BV21" s="8"/>
      <c r="BW21" s="10"/>
      <c r="BX21" s="10"/>
      <c r="BY21" s="10"/>
      <c r="BZ21" s="10"/>
      <c r="CA21" s="10"/>
      <c r="CB21" s="10"/>
      <c r="CC21" s="8"/>
      <c r="CD21" s="8"/>
      <c r="CE21" s="10">
        <v>36</v>
      </c>
      <c r="CF21" s="10">
        <v>56</v>
      </c>
      <c r="CG21" s="10"/>
      <c r="CH21" s="8"/>
      <c r="CI21" s="8"/>
      <c r="CJ21" s="8"/>
      <c r="CK21" s="11">
        <f t="shared" si="2"/>
        <v>92</v>
      </c>
      <c r="CM21" s="8"/>
      <c r="CN21" s="8"/>
      <c r="CO21" s="8"/>
      <c r="CP21" s="8"/>
      <c r="CQ21" s="8"/>
      <c r="CR21" s="8"/>
      <c r="CS21" s="8"/>
      <c r="CT21" s="10"/>
      <c r="CU21" s="10"/>
      <c r="CV21" s="10"/>
      <c r="CW21" s="10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10"/>
      <c r="DI21" s="8"/>
      <c r="DJ21" s="8"/>
      <c r="DK21" s="8"/>
      <c r="DL21" s="10"/>
      <c r="DM21" s="10"/>
      <c r="DN21" s="10"/>
      <c r="DO21" s="10"/>
      <c r="DP21" s="10"/>
      <c r="DQ21" s="10"/>
      <c r="DR21" s="10"/>
      <c r="DS21" s="8"/>
      <c r="DT21" s="8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>
        <f t="shared" si="5"/>
        <v>0</v>
      </c>
      <c r="EF21" s="8">
        <f t="shared" si="3"/>
        <v>0</v>
      </c>
      <c r="EG21" s="10"/>
      <c r="EH21" s="10"/>
      <c r="EI21" s="10"/>
      <c r="EJ21" s="10"/>
      <c r="EK21" s="10"/>
      <c r="EL21" s="10"/>
      <c r="EM21" s="10"/>
      <c r="EN21" s="8">
        <f t="shared" si="4"/>
        <v>0</v>
      </c>
    </row>
    <row r="22" spans="1:144" x14ac:dyDescent="0.25">
      <c r="A22">
        <v>12</v>
      </c>
      <c r="B22" s="19" t="s">
        <v>96</v>
      </c>
      <c r="C22" s="19" t="s">
        <v>97</v>
      </c>
      <c r="D22" s="18" t="s">
        <v>26</v>
      </c>
      <c r="E22" s="18" t="s">
        <v>71</v>
      </c>
      <c r="F22" s="10"/>
      <c r="G22" s="10">
        <v>36</v>
      </c>
      <c r="H22" s="10"/>
      <c r="I22" s="10"/>
      <c r="J22" s="10"/>
      <c r="K22" s="10"/>
      <c r="L22" s="10"/>
      <c r="M22" s="10"/>
      <c r="N22" s="10"/>
      <c r="O22" s="10">
        <v>80</v>
      </c>
      <c r="P22" s="10">
        <v>50</v>
      </c>
      <c r="Q22" s="10"/>
      <c r="R22" s="10"/>
      <c r="S22" s="10">
        <v>2.4</v>
      </c>
      <c r="T22" s="10"/>
      <c r="U22" s="10"/>
      <c r="V22" s="10"/>
      <c r="W22" s="10"/>
      <c r="X22" s="10"/>
      <c r="Y22" s="10"/>
      <c r="Z22" s="10"/>
      <c r="AA22" s="10"/>
      <c r="AB22" s="10">
        <v>54</v>
      </c>
      <c r="AC22" s="11">
        <f>SUM(F22:AB22)</f>
        <v>222.4</v>
      </c>
      <c r="AD22" s="11">
        <f>AC22/2</f>
        <v>111.2</v>
      </c>
      <c r="AE22" s="11"/>
      <c r="AF22" s="11"/>
      <c r="AG22" s="11"/>
      <c r="AH22" s="11"/>
      <c r="AI22" s="11"/>
      <c r="AJ22" s="11"/>
      <c r="AK22" s="11"/>
      <c r="AL22" s="11" t="s">
        <v>397</v>
      </c>
      <c r="AM22" s="11"/>
      <c r="AN22" s="11"/>
      <c r="AO22" s="11" t="s">
        <v>327</v>
      </c>
      <c r="AP22" s="11"/>
      <c r="AQ22" s="11"/>
      <c r="AR22" s="11">
        <v>5</v>
      </c>
      <c r="AS22" s="11"/>
      <c r="AT22" s="11"/>
      <c r="AU22" s="11"/>
      <c r="AV22" s="11">
        <f>SUM(AD22:AU22)</f>
        <v>116.2</v>
      </c>
      <c r="AW22" s="11">
        <f>(AV22-AD22)/2</f>
        <v>2.5</v>
      </c>
      <c r="AX22" s="11"/>
      <c r="AY22" s="11"/>
      <c r="AZ22" s="11"/>
      <c r="BA22" s="11"/>
      <c r="BB22" s="11"/>
      <c r="BC22" s="11"/>
      <c r="BD22" s="11">
        <v>48</v>
      </c>
      <c r="BE22" s="11"/>
      <c r="BF22" s="11"/>
      <c r="BG22" s="11"/>
      <c r="BH22" s="11">
        <v>5</v>
      </c>
      <c r="BI22" s="11"/>
      <c r="BJ22" s="11"/>
      <c r="BK22" s="11">
        <v>56</v>
      </c>
      <c r="BL22" s="11"/>
      <c r="BM22" s="11"/>
      <c r="BN22" s="11"/>
      <c r="BO22" s="11"/>
      <c r="BP22" s="11"/>
      <c r="BQ22" s="11"/>
      <c r="BR22" s="11"/>
      <c r="BS22" s="11"/>
      <c r="BT22" s="11">
        <v>52</v>
      </c>
      <c r="BU22" s="11">
        <f>SUM(AW22:BT22)</f>
        <v>163.5</v>
      </c>
      <c r="BV22" s="11">
        <f>(BU22-AW22)/2</f>
        <v>80.5</v>
      </c>
      <c r="BW22" s="11">
        <v>48</v>
      </c>
      <c r="BX22" s="11">
        <v>64</v>
      </c>
      <c r="BY22" s="11">
        <v>7.5</v>
      </c>
      <c r="BZ22" s="11">
        <v>50</v>
      </c>
      <c r="CA22" s="11"/>
      <c r="CB22" s="11"/>
      <c r="CC22" s="11">
        <f>SUM(BV22:CB22)</f>
        <v>250</v>
      </c>
      <c r="CD22" s="11">
        <f>(CC22-BV22)/2</f>
        <v>84.75</v>
      </c>
      <c r="CE22" s="11"/>
      <c r="CF22" s="11"/>
      <c r="CG22" s="11"/>
      <c r="CH22" s="11"/>
      <c r="CI22" s="11"/>
      <c r="CJ22" s="11"/>
      <c r="CK22" s="11">
        <f t="shared" si="2"/>
        <v>84.75</v>
      </c>
      <c r="CL22" s="24"/>
      <c r="CM22" s="10">
        <f>SUM(CP22:CW22)/2</f>
        <v>0</v>
      </c>
      <c r="CN22" s="10">
        <f>AV22/4</f>
        <v>29.05</v>
      </c>
      <c r="CO22" s="10">
        <f>AC22/2</f>
        <v>111.2</v>
      </c>
      <c r="CP22" s="10"/>
      <c r="CQ22" s="10"/>
      <c r="CR22" s="10"/>
      <c r="CS22" s="10"/>
      <c r="CT22" s="10"/>
      <c r="CU22" s="10"/>
      <c r="CV22" s="10"/>
      <c r="CW22" s="10"/>
      <c r="CX22" s="10">
        <f>SUM(CO22:CQ22)</f>
        <v>111.2</v>
      </c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>
        <f>SUM(CM22:CN22)+SUM(CY22:DH22)</f>
        <v>29.05</v>
      </c>
      <c r="DJ22" s="8">
        <f>(DI22-CM22)/2</f>
        <v>14.525</v>
      </c>
      <c r="DK22" s="8">
        <f>BU22/4</f>
        <v>40.875</v>
      </c>
      <c r="DL22" s="10">
        <v>21</v>
      </c>
      <c r="DM22" s="10"/>
      <c r="DN22" s="10">
        <v>7.5</v>
      </c>
      <c r="DO22" s="10"/>
      <c r="DP22" s="10"/>
      <c r="DQ22" s="10"/>
      <c r="DR22" s="10"/>
      <c r="DS22" s="8">
        <f>SUM(DJ22:DR22)</f>
        <v>83.9</v>
      </c>
      <c r="DT22" s="8">
        <f>(DS22-DJ22)/2</f>
        <v>34.6875</v>
      </c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>
        <f t="shared" si="5"/>
        <v>34.6875</v>
      </c>
      <c r="EF22" s="8">
        <f t="shared" si="3"/>
        <v>0</v>
      </c>
      <c r="EG22" s="10"/>
      <c r="EH22" s="10"/>
      <c r="EI22" s="10"/>
      <c r="EJ22" s="10"/>
      <c r="EK22" s="10"/>
      <c r="EL22" s="10"/>
      <c r="EM22" s="10"/>
      <c r="EN22" s="8">
        <f t="shared" si="4"/>
        <v>0</v>
      </c>
    </row>
    <row r="23" spans="1:144" x14ac:dyDescent="0.25">
      <c r="A23">
        <v>13</v>
      </c>
      <c r="B23" s="10" t="s">
        <v>129</v>
      </c>
      <c r="C23" s="8"/>
      <c r="D23" s="8" t="s">
        <v>471</v>
      </c>
      <c r="E23" s="8" t="s">
        <v>17</v>
      </c>
      <c r="F23" s="8"/>
      <c r="G23" s="8"/>
      <c r="H23" s="8"/>
      <c r="I23" s="8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10"/>
      <c r="BU23" s="8"/>
      <c r="BV23" s="8"/>
      <c r="BW23" s="10"/>
      <c r="BX23" s="10"/>
      <c r="BY23" s="10"/>
      <c r="BZ23" s="10"/>
      <c r="CA23" s="10"/>
      <c r="CB23" s="10"/>
      <c r="CC23" s="8"/>
      <c r="CD23" s="8"/>
      <c r="CE23" s="10"/>
      <c r="CF23" s="10">
        <v>80</v>
      </c>
      <c r="CG23" s="10"/>
      <c r="CH23" s="8"/>
      <c r="CI23" s="8"/>
      <c r="CJ23" s="8"/>
      <c r="CK23" s="11">
        <f t="shared" si="2"/>
        <v>80</v>
      </c>
      <c r="CM23" s="8"/>
      <c r="CN23" s="8"/>
      <c r="CO23" s="8"/>
      <c r="CP23" s="8"/>
      <c r="CQ23" s="8"/>
      <c r="CR23" s="8"/>
      <c r="CS23" s="8"/>
      <c r="CT23" s="10"/>
      <c r="CU23" s="10"/>
      <c r="CV23" s="10"/>
      <c r="CW23" s="10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10"/>
      <c r="DI23" s="8"/>
      <c r="DJ23" s="8"/>
      <c r="DK23" s="8"/>
      <c r="DL23" s="10"/>
      <c r="DM23" s="10"/>
      <c r="DN23" s="10"/>
      <c r="DO23" s="10"/>
      <c r="DP23" s="10"/>
      <c r="DQ23" s="10"/>
      <c r="DR23" s="10"/>
      <c r="DS23" s="8"/>
      <c r="DT23" s="8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>
        <f t="shared" si="5"/>
        <v>0</v>
      </c>
      <c r="EF23" s="8">
        <f t="shared" si="3"/>
        <v>0</v>
      </c>
      <c r="EG23" s="10"/>
      <c r="EH23" s="10"/>
      <c r="EI23" s="10"/>
      <c r="EJ23" s="10"/>
      <c r="EK23" s="10"/>
      <c r="EL23" s="10"/>
      <c r="EM23" s="10"/>
      <c r="EN23" s="8">
        <f t="shared" si="4"/>
        <v>0</v>
      </c>
    </row>
    <row r="24" spans="1:144" x14ac:dyDescent="0.25">
      <c r="A24">
        <v>14</v>
      </c>
      <c r="B24" s="10" t="s">
        <v>133</v>
      </c>
      <c r="C24" s="8"/>
      <c r="D24" s="8" t="s">
        <v>155</v>
      </c>
      <c r="E24" s="8" t="s">
        <v>442</v>
      </c>
      <c r="F24" s="8"/>
      <c r="G24" s="8"/>
      <c r="H24" s="8"/>
      <c r="I24" s="8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10"/>
      <c r="BU24" s="8"/>
      <c r="BV24" s="8"/>
      <c r="BW24" s="10"/>
      <c r="BX24" s="10"/>
      <c r="BY24" s="10"/>
      <c r="BZ24" s="10"/>
      <c r="CA24" s="10"/>
      <c r="CB24" s="10"/>
      <c r="CC24" s="8"/>
      <c r="CD24" s="8"/>
      <c r="CE24" s="10"/>
      <c r="CF24" s="10">
        <v>28.8</v>
      </c>
      <c r="CG24" s="10">
        <v>50</v>
      </c>
      <c r="CH24" s="8"/>
      <c r="CI24" s="8"/>
      <c r="CJ24" s="8"/>
      <c r="CK24" s="11">
        <f t="shared" si="2"/>
        <v>78.8</v>
      </c>
      <c r="CM24" s="8"/>
      <c r="CN24" s="8"/>
      <c r="CO24" s="8"/>
      <c r="CP24" s="8"/>
      <c r="CQ24" s="8"/>
      <c r="CR24" s="8"/>
      <c r="CS24" s="8"/>
      <c r="CT24" s="10"/>
      <c r="CU24" s="10"/>
      <c r="CV24" s="10"/>
      <c r="CW24" s="10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10"/>
      <c r="DI24" s="8"/>
      <c r="DJ24" s="8"/>
      <c r="DK24" s="8"/>
      <c r="DL24" s="10"/>
      <c r="DM24" s="10"/>
      <c r="DN24" s="10"/>
      <c r="DO24" s="10"/>
      <c r="DP24" s="10"/>
      <c r="DQ24" s="10"/>
      <c r="DR24" s="10"/>
      <c r="DS24" s="8"/>
      <c r="DT24" s="8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>
        <f t="shared" si="5"/>
        <v>0</v>
      </c>
      <c r="EF24" s="8">
        <f t="shared" si="3"/>
        <v>0</v>
      </c>
      <c r="EG24" s="10"/>
      <c r="EH24" s="10"/>
      <c r="EI24" s="10"/>
      <c r="EJ24" s="10"/>
      <c r="EK24" s="10"/>
      <c r="EL24" s="10"/>
      <c r="EM24" s="10"/>
      <c r="EN24" s="8">
        <f t="shared" si="4"/>
        <v>0</v>
      </c>
    </row>
    <row r="25" spans="1:144" x14ac:dyDescent="0.25">
      <c r="A25">
        <v>15</v>
      </c>
      <c r="B25" s="10" t="s">
        <v>238</v>
      </c>
      <c r="C25" s="8" t="s">
        <v>257</v>
      </c>
      <c r="D25" s="8" t="s">
        <v>239</v>
      </c>
      <c r="E25" s="8" t="s">
        <v>76</v>
      </c>
      <c r="F25" s="8"/>
      <c r="G25" s="8"/>
      <c r="H25" s="8"/>
      <c r="I25" s="8"/>
      <c r="J25" s="10"/>
      <c r="K25" s="10"/>
      <c r="L25" s="10"/>
      <c r="M25" s="10"/>
      <c r="N25" s="10"/>
      <c r="O25" s="10">
        <v>4</v>
      </c>
      <c r="P25" s="10"/>
      <c r="Q25" s="10"/>
      <c r="R25" s="10">
        <v>48</v>
      </c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1">
        <f>SUM(F25:AB25)</f>
        <v>52</v>
      </c>
      <c r="AD25" s="11">
        <f>AC25/2</f>
        <v>26</v>
      </c>
      <c r="AE25" s="11">
        <v>48</v>
      </c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>
        <f>SUM(AD25:AU25)</f>
        <v>74</v>
      </c>
      <c r="AW25" s="11">
        <f>(AV25-AD25)/2</f>
        <v>24</v>
      </c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>
        <v>40</v>
      </c>
      <c r="BL25" s="11"/>
      <c r="BM25" s="11"/>
      <c r="BN25" s="11"/>
      <c r="BO25" s="11"/>
      <c r="BP25" s="11"/>
      <c r="BQ25" s="11"/>
      <c r="BR25" s="11"/>
      <c r="BS25" s="11"/>
      <c r="BT25" s="11"/>
      <c r="BU25" s="11">
        <f>SUM(AW25:BT25)</f>
        <v>64</v>
      </c>
      <c r="BV25" s="11">
        <f>(BU25-AW25)/2</f>
        <v>20</v>
      </c>
      <c r="BW25" s="11"/>
      <c r="BX25" s="11">
        <v>4</v>
      </c>
      <c r="BY25" s="11">
        <v>50</v>
      </c>
      <c r="BZ25" s="11">
        <v>75</v>
      </c>
      <c r="CA25" s="11"/>
      <c r="CB25" s="11"/>
      <c r="CC25" s="11">
        <f>SUM(BV25:CB25)</f>
        <v>149</v>
      </c>
      <c r="CD25" s="11">
        <f>(CC25-BV25)/2</f>
        <v>64.5</v>
      </c>
      <c r="CE25" s="11"/>
      <c r="CF25" s="11"/>
      <c r="CG25" s="11"/>
      <c r="CH25" s="11"/>
      <c r="CI25" s="11"/>
      <c r="CJ25" s="11"/>
      <c r="CK25" s="11">
        <f t="shared" si="2"/>
        <v>64.5</v>
      </c>
      <c r="CL25" s="24"/>
      <c r="CM25" s="10">
        <f>SUM(CP25:CW25)/2</f>
        <v>0</v>
      </c>
      <c r="CN25" s="10">
        <f>AV25/4</f>
        <v>18.5</v>
      </c>
      <c r="CO25" s="10">
        <f>AC25/2</f>
        <v>26</v>
      </c>
      <c r="CP25" s="10"/>
      <c r="CQ25" s="10"/>
      <c r="CR25" s="10"/>
      <c r="CS25" s="10"/>
      <c r="CT25" s="10"/>
      <c r="CU25" s="10"/>
      <c r="CV25" s="10"/>
      <c r="CW25" s="10"/>
      <c r="CX25" s="10">
        <f>SUM(CO25:CQ25)</f>
        <v>26</v>
      </c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>
        <f>SUM(CM25:CN25)+SUM(CY25:DH25)</f>
        <v>18.5</v>
      </c>
      <c r="DJ25" s="8">
        <f>(DI25-CM25)/2</f>
        <v>9.25</v>
      </c>
      <c r="DK25" s="8">
        <f>BU25/4</f>
        <v>16</v>
      </c>
      <c r="DL25" s="10"/>
      <c r="DM25" s="10"/>
      <c r="DN25" s="10"/>
      <c r="DO25" s="10"/>
      <c r="DP25" s="10"/>
      <c r="DQ25" s="10"/>
      <c r="DR25" s="10"/>
      <c r="DS25" s="8">
        <f>SUM(DJ25:DR25)</f>
        <v>25.25</v>
      </c>
      <c r="DT25" s="8">
        <f>(DS25-DJ25)/2</f>
        <v>8</v>
      </c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>
        <f t="shared" si="5"/>
        <v>8</v>
      </c>
      <c r="EF25" s="8">
        <f t="shared" si="3"/>
        <v>0</v>
      </c>
      <c r="EG25" s="10"/>
      <c r="EH25" s="10"/>
      <c r="EI25" s="10"/>
      <c r="EJ25" s="10"/>
      <c r="EK25" s="10"/>
      <c r="EL25" s="10"/>
      <c r="EM25" s="10"/>
      <c r="EN25" s="8">
        <f t="shared" si="4"/>
        <v>0</v>
      </c>
    </row>
    <row r="26" spans="1:144" x14ac:dyDescent="0.25">
      <c r="A26">
        <v>16</v>
      </c>
      <c r="B26" s="10" t="s">
        <v>88</v>
      </c>
      <c r="C26" s="8"/>
      <c r="D26" s="8" t="s">
        <v>263</v>
      </c>
      <c r="E26" s="8" t="s">
        <v>248</v>
      </c>
      <c r="F26" s="8"/>
      <c r="G26" s="8"/>
      <c r="H26" s="8"/>
      <c r="I26" s="8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10"/>
      <c r="BU26" s="8"/>
      <c r="BV26" s="8"/>
      <c r="BW26" s="10"/>
      <c r="BX26" s="10">
        <v>48</v>
      </c>
      <c r="BY26" s="10"/>
      <c r="BZ26" s="10"/>
      <c r="CA26" s="10"/>
      <c r="CB26" s="10"/>
      <c r="CC26" s="11">
        <f>SUM(BV26:CB26)</f>
        <v>48</v>
      </c>
      <c r="CD26" s="11">
        <f>(CC26-BV26)/2</f>
        <v>24</v>
      </c>
      <c r="CE26" s="11"/>
      <c r="CF26" s="11">
        <v>40</v>
      </c>
      <c r="CG26" s="11"/>
      <c r="CH26" s="11"/>
      <c r="CI26" s="11"/>
      <c r="CJ26" s="11"/>
      <c r="CK26" s="11">
        <f t="shared" si="2"/>
        <v>64</v>
      </c>
      <c r="CL26" s="24"/>
      <c r="CM26" s="8"/>
      <c r="CN26" s="8"/>
      <c r="CO26" s="8"/>
      <c r="CP26" s="8"/>
      <c r="CQ26" s="8"/>
      <c r="CR26" s="8"/>
      <c r="CS26" s="8"/>
      <c r="CT26" s="10"/>
      <c r="CU26" s="10"/>
      <c r="CV26" s="10"/>
      <c r="CW26" s="10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10"/>
      <c r="DI26" s="8"/>
      <c r="DJ26" s="8"/>
      <c r="DK26" s="8"/>
      <c r="DL26" s="10"/>
      <c r="DM26" s="10"/>
      <c r="DN26" s="10"/>
      <c r="DO26" s="10"/>
      <c r="DP26" s="10"/>
      <c r="DQ26" s="10"/>
      <c r="DR26" s="10"/>
      <c r="DS26" s="8"/>
      <c r="DT26" s="8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>
        <f t="shared" si="5"/>
        <v>0</v>
      </c>
      <c r="EF26" s="8">
        <f t="shared" si="3"/>
        <v>0</v>
      </c>
      <c r="EG26" s="10"/>
      <c r="EH26" s="10"/>
      <c r="EI26" s="10"/>
      <c r="EJ26" s="10"/>
      <c r="EK26" s="10"/>
      <c r="EL26" s="10"/>
      <c r="EM26" s="10"/>
      <c r="EN26" s="8">
        <f t="shared" si="4"/>
        <v>0</v>
      </c>
    </row>
    <row r="27" spans="1:144" x14ac:dyDescent="0.25">
      <c r="A27">
        <v>17</v>
      </c>
      <c r="B27" s="10" t="s">
        <v>451</v>
      </c>
      <c r="C27" s="8"/>
      <c r="D27" s="8" t="s">
        <v>398</v>
      </c>
      <c r="E27" s="8" t="s">
        <v>582</v>
      </c>
      <c r="F27" s="8"/>
      <c r="G27" s="8"/>
      <c r="H27" s="8"/>
      <c r="I27" s="8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>
        <v>36</v>
      </c>
      <c r="BS27" s="8"/>
      <c r="BT27" s="10"/>
      <c r="BU27" s="11">
        <f>SUM(AW27:BT27)</f>
        <v>36</v>
      </c>
      <c r="BV27" s="11">
        <f>(BU27-AW27)/2</f>
        <v>18</v>
      </c>
      <c r="BW27" s="11"/>
      <c r="BX27" s="11">
        <v>64</v>
      </c>
      <c r="BY27" s="11">
        <v>54</v>
      </c>
      <c r="BZ27" s="11">
        <v>7.5</v>
      </c>
      <c r="CA27" s="11"/>
      <c r="CB27" s="11"/>
      <c r="CC27" s="11">
        <f>SUM(BV27:CB27)</f>
        <v>143.5</v>
      </c>
      <c r="CD27" s="11">
        <f>(CC27-BV27)/2</f>
        <v>62.75</v>
      </c>
      <c r="CE27" s="11"/>
      <c r="CF27" s="11"/>
      <c r="CG27" s="11"/>
      <c r="CH27" s="11"/>
      <c r="CI27" s="11"/>
      <c r="CJ27" s="11"/>
      <c r="CK27" s="11">
        <f t="shared" si="2"/>
        <v>62.75</v>
      </c>
      <c r="CL27" s="24"/>
      <c r="CM27" s="8"/>
      <c r="CN27" s="8"/>
      <c r="CO27" s="8"/>
      <c r="CP27" s="8"/>
      <c r="CQ27" s="8"/>
      <c r="CR27" s="8"/>
      <c r="CS27" s="8"/>
      <c r="CT27" s="10"/>
      <c r="CU27" s="10"/>
      <c r="CV27" s="10"/>
      <c r="CW27" s="10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10"/>
      <c r="DI27" s="10">
        <f>SUM(CM27:CN27)+SUM(CY27:DH27)</f>
        <v>0</v>
      </c>
      <c r="DJ27" s="8">
        <f>(DI27-CM27)/2</f>
        <v>0</v>
      </c>
      <c r="DK27" s="8">
        <f>BU27/4</f>
        <v>9</v>
      </c>
      <c r="DL27" s="10"/>
      <c r="DM27" s="10"/>
      <c r="DN27" s="10"/>
      <c r="DO27" s="10"/>
      <c r="DP27" s="10"/>
      <c r="DQ27" s="10"/>
      <c r="DR27" s="10"/>
      <c r="DS27" s="8">
        <f>SUM(DJ27:DR27)</f>
        <v>9</v>
      </c>
      <c r="DT27" s="8">
        <f>(DS27-DJ27)/2</f>
        <v>4.5</v>
      </c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>
        <f t="shared" si="5"/>
        <v>4.5</v>
      </c>
      <c r="EF27" s="8">
        <f t="shared" si="3"/>
        <v>0</v>
      </c>
      <c r="EG27" s="10"/>
      <c r="EH27" s="10"/>
      <c r="EI27" s="10"/>
      <c r="EJ27" s="10"/>
      <c r="EK27" s="10"/>
      <c r="EL27" s="10"/>
      <c r="EM27" s="10"/>
      <c r="EN27" s="8">
        <f t="shared" si="4"/>
        <v>0</v>
      </c>
    </row>
    <row r="28" spans="1:144" x14ac:dyDescent="0.25">
      <c r="A28">
        <v>18</v>
      </c>
      <c r="B28" s="10" t="s">
        <v>691</v>
      </c>
      <c r="C28" s="8"/>
      <c r="D28" s="8" t="s">
        <v>692</v>
      </c>
      <c r="E28" s="8" t="s">
        <v>618</v>
      </c>
      <c r="F28" s="8"/>
      <c r="G28" s="8"/>
      <c r="H28" s="8"/>
      <c r="I28" s="8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10"/>
      <c r="BU28" s="8"/>
      <c r="BV28" s="8"/>
      <c r="BW28" s="10">
        <v>42</v>
      </c>
      <c r="BX28" s="10">
        <v>40</v>
      </c>
      <c r="BY28" s="10">
        <v>36</v>
      </c>
      <c r="BZ28" s="10"/>
      <c r="CA28" s="10"/>
      <c r="CB28" s="10"/>
      <c r="CC28" s="11">
        <f>SUM(BV28:CB28)</f>
        <v>118</v>
      </c>
      <c r="CD28" s="11">
        <f>(CC28-BV28)/2</f>
        <v>59</v>
      </c>
      <c r="CE28" s="11"/>
      <c r="CF28" s="11"/>
      <c r="CG28" s="11"/>
      <c r="CH28" s="11"/>
      <c r="CI28" s="11"/>
      <c r="CJ28" s="11"/>
      <c r="CK28" s="11">
        <f t="shared" si="2"/>
        <v>59</v>
      </c>
      <c r="CL28" s="24"/>
      <c r="CM28" s="8"/>
      <c r="CN28" s="8"/>
      <c r="CO28" s="8"/>
      <c r="CP28" s="8"/>
      <c r="CQ28" s="8"/>
      <c r="CR28" s="8"/>
      <c r="CS28" s="8"/>
      <c r="CT28" s="10"/>
      <c r="CU28" s="10"/>
      <c r="CV28" s="10"/>
      <c r="CW28" s="10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10"/>
      <c r="DI28" s="8"/>
      <c r="DJ28" s="8"/>
      <c r="DK28" s="8"/>
      <c r="DL28" s="10"/>
      <c r="DM28" s="10"/>
      <c r="DN28" s="10"/>
      <c r="DO28" s="10"/>
      <c r="DP28" s="10"/>
      <c r="DQ28" s="10"/>
      <c r="DR28" s="10"/>
      <c r="DS28" s="8"/>
      <c r="DT28" s="8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>
        <f t="shared" si="5"/>
        <v>0</v>
      </c>
      <c r="EF28" s="8">
        <f t="shared" si="3"/>
        <v>0</v>
      </c>
      <c r="EG28" s="10"/>
      <c r="EH28" s="10"/>
      <c r="EI28" s="10"/>
      <c r="EJ28" s="10"/>
      <c r="EK28" s="10"/>
      <c r="EL28" s="10"/>
      <c r="EM28" s="10"/>
      <c r="EN28" s="8">
        <f t="shared" si="4"/>
        <v>0</v>
      </c>
    </row>
    <row r="29" spans="1:144" x14ac:dyDescent="0.25">
      <c r="A29">
        <v>19</v>
      </c>
      <c r="B29" s="10" t="s">
        <v>226</v>
      </c>
      <c r="C29" s="8"/>
      <c r="D29" s="8" t="s">
        <v>894</v>
      </c>
      <c r="E29" s="8" t="s">
        <v>368</v>
      </c>
      <c r="F29" s="8"/>
      <c r="G29" s="8"/>
      <c r="H29" s="8"/>
      <c r="I29" s="8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10"/>
      <c r="BU29" s="8"/>
      <c r="BV29" s="8"/>
      <c r="BW29" s="10"/>
      <c r="BX29" s="10"/>
      <c r="BY29" s="10"/>
      <c r="BZ29" s="10"/>
      <c r="CA29" s="10"/>
      <c r="CB29" s="10"/>
      <c r="CC29" s="8"/>
      <c r="CD29" s="8"/>
      <c r="CE29" s="10">
        <v>48</v>
      </c>
      <c r="CF29" s="10"/>
      <c r="CG29" s="10"/>
      <c r="CH29" s="8"/>
      <c r="CI29" s="8"/>
      <c r="CJ29" s="8"/>
      <c r="CK29" s="11">
        <f t="shared" si="2"/>
        <v>48</v>
      </c>
      <c r="CM29" s="8"/>
      <c r="CN29" s="8"/>
      <c r="CO29" s="8"/>
      <c r="CP29" s="8"/>
      <c r="CQ29" s="8"/>
      <c r="CR29" s="8"/>
      <c r="CS29" s="8"/>
      <c r="CT29" s="10"/>
      <c r="CU29" s="10"/>
      <c r="CV29" s="10"/>
      <c r="CW29" s="10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10"/>
      <c r="DI29" s="8"/>
      <c r="DJ29" s="8"/>
      <c r="DK29" s="8"/>
      <c r="DL29" s="10"/>
      <c r="DM29" s="10"/>
      <c r="DN29" s="10"/>
      <c r="DO29" s="10"/>
      <c r="DP29" s="10"/>
      <c r="DQ29" s="10"/>
      <c r="DR29" s="10"/>
      <c r="DS29" s="8"/>
      <c r="DT29" s="8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>
        <f t="shared" si="5"/>
        <v>0</v>
      </c>
      <c r="EF29" s="8">
        <f t="shared" si="3"/>
        <v>0</v>
      </c>
      <c r="EG29" s="10"/>
      <c r="EH29" s="10"/>
      <c r="EI29" s="10"/>
      <c r="EJ29" s="10"/>
      <c r="EK29" s="10"/>
      <c r="EL29" s="10"/>
      <c r="EM29" s="10"/>
      <c r="EN29" s="8">
        <f t="shared" si="4"/>
        <v>0</v>
      </c>
    </row>
    <row r="30" spans="1:144" x14ac:dyDescent="0.25">
      <c r="A30">
        <v>20</v>
      </c>
      <c r="B30" s="10" t="s">
        <v>568</v>
      </c>
      <c r="C30" s="8"/>
      <c r="D30" s="8" t="s">
        <v>748</v>
      </c>
      <c r="E30" s="8" t="s">
        <v>178</v>
      </c>
      <c r="F30" s="8"/>
      <c r="G30" s="8"/>
      <c r="H30" s="8"/>
      <c r="I30" s="8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>
        <v>2.4</v>
      </c>
      <c r="BO30" s="8"/>
      <c r="BP30" s="8"/>
      <c r="BQ30" s="8"/>
      <c r="BR30" s="8"/>
      <c r="BS30" s="8"/>
      <c r="BT30" s="10"/>
      <c r="BU30" s="11">
        <f>SUM(AW30:BT30)</f>
        <v>2.4</v>
      </c>
      <c r="BV30" s="11">
        <f>(BU30-AW30)/2</f>
        <v>1.2</v>
      </c>
      <c r="BW30" s="11">
        <v>42</v>
      </c>
      <c r="BX30" s="11">
        <v>40</v>
      </c>
      <c r="BY30" s="11">
        <v>3</v>
      </c>
      <c r="BZ30" s="11">
        <v>4</v>
      </c>
      <c r="CA30" s="11"/>
      <c r="CB30" s="11"/>
      <c r="CC30" s="11">
        <f>SUM(BV30:CB30)</f>
        <v>90.2</v>
      </c>
      <c r="CD30" s="11">
        <f>(CC30-BV30)/2</f>
        <v>44.5</v>
      </c>
      <c r="CE30" s="11">
        <v>3</v>
      </c>
      <c r="CF30" s="11"/>
      <c r="CG30" s="11"/>
      <c r="CH30" s="11"/>
      <c r="CI30" s="11"/>
      <c r="CJ30" s="11"/>
      <c r="CK30" s="11">
        <f t="shared" si="2"/>
        <v>47.5</v>
      </c>
      <c r="CL30" s="24"/>
      <c r="CM30" s="8"/>
      <c r="CN30" s="8"/>
      <c r="CO30" s="8"/>
      <c r="CP30" s="8"/>
      <c r="CQ30" s="8"/>
      <c r="CR30" s="8"/>
      <c r="CS30" s="8"/>
      <c r="CT30" s="10"/>
      <c r="CU30" s="10"/>
      <c r="CV30" s="10"/>
      <c r="CW30" s="10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10"/>
      <c r="DI30" s="10">
        <f>SUM(CM30:CN30)+SUM(CY30:DH30)</f>
        <v>0</v>
      </c>
      <c r="DJ30" s="8">
        <f>(DI30-CM30)/2</f>
        <v>0</v>
      </c>
      <c r="DK30" s="8">
        <f>BU30/4</f>
        <v>0.6</v>
      </c>
      <c r="DL30" s="10"/>
      <c r="DM30" s="10"/>
      <c r="DN30" s="10"/>
      <c r="DO30" s="10"/>
      <c r="DP30" s="10"/>
      <c r="DQ30" s="10"/>
      <c r="DR30" s="10">
        <v>2.5</v>
      </c>
      <c r="DS30" s="8">
        <f>SUM(DJ30:DR30)</f>
        <v>3.1</v>
      </c>
      <c r="DT30" s="8">
        <f>(DS30-DJ30)/2</f>
        <v>1.55</v>
      </c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>
        <f t="shared" si="5"/>
        <v>1.55</v>
      </c>
      <c r="EF30" s="8">
        <f t="shared" si="3"/>
        <v>0</v>
      </c>
      <c r="EG30" s="10"/>
      <c r="EH30" s="10"/>
      <c r="EI30" s="10"/>
      <c r="EJ30" s="10"/>
      <c r="EK30" s="10"/>
      <c r="EL30" s="10"/>
      <c r="EM30" s="10"/>
      <c r="EN30" s="8">
        <f t="shared" si="4"/>
        <v>0</v>
      </c>
    </row>
    <row r="31" spans="1:144" x14ac:dyDescent="0.25">
      <c r="A31">
        <v>21</v>
      </c>
      <c r="B31" s="10" t="s">
        <v>668</v>
      </c>
      <c r="C31" s="8"/>
      <c r="D31" s="8" t="s">
        <v>489</v>
      </c>
      <c r="E31" s="8" t="s">
        <v>631</v>
      </c>
      <c r="F31" s="8"/>
      <c r="G31" s="8"/>
      <c r="H31" s="8"/>
      <c r="I31" s="8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10"/>
      <c r="BU31" s="8"/>
      <c r="BV31" s="8"/>
      <c r="BW31" s="10">
        <v>36</v>
      </c>
      <c r="BX31" s="10">
        <v>40</v>
      </c>
      <c r="BY31" s="10">
        <v>7.5</v>
      </c>
      <c r="BZ31" s="10">
        <v>7.5</v>
      </c>
      <c r="CA31" s="10">
        <v>3.2</v>
      </c>
      <c r="CB31" s="10"/>
      <c r="CC31" s="11">
        <f>SUM(BV31:CB31)</f>
        <v>94.2</v>
      </c>
      <c r="CD31" s="11">
        <f>(CC31-BV31)/2</f>
        <v>47.1</v>
      </c>
      <c r="CE31" s="11"/>
      <c r="CF31" s="11"/>
      <c r="CG31" s="11"/>
      <c r="CH31" s="11"/>
      <c r="CI31" s="11"/>
      <c r="CJ31" s="11"/>
      <c r="CK31" s="11">
        <f t="shared" si="2"/>
        <v>47.1</v>
      </c>
      <c r="CL31" s="24"/>
      <c r="CM31" s="8"/>
      <c r="CN31" s="8"/>
      <c r="CO31" s="8"/>
      <c r="CP31" s="8"/>
      <c r="CQ31" s="8"/>
      <c r="CR31" s="8"/>
      <c r="CS31" s="8"/>
      <c r="CT31" s="10"/>
      <c r="CU31" s="10"/>
      <c r="CV31" s="10"/>
      <c r="CW31" s="10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10"/>
      <c r="DI31" s="8"/>
      <c r="DJ31" s="8"/>
      <c r="DK31" s="8"/>
      <c r="DL31" s="10"/>
      <c r="DM31" s="10"/>
      <c r="DN31" s="10"/>
      <c r="DO31" s="10"/>
      <c r="DP31" s="10"/>
      <c r="DQ31" s="10"/>
      <c r="DR31" s="10"/>
      <c r="DS31" s="8"/>
      <c r="DT31" s="8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>
        <f t="shared" si="5"/>
        <v>0</v>
      </c>
      <c r="EF31" s="8">
        <f t="shared" si="3"/>
        <v>0</v>
      </c>
      <c r="EG31" s="10"/>
      <c r="EH31" s="10"/>
      <c r="EI31" s="10"/>
      <c r="EJ31" s="10"/>
      <c r="EK31" s="10"/>
      <c r="EL31" s="10"/>
      <c r="EM31" s="10"/>
      <c r="EN31" s="8">
        <f t="shared" si="4"/>
        <v>0</v>
      </c>
    </row>
    <row r="32" spans="1:144" x14ac:dyDescent="0.25">
      <c r="A32">
        <v>22</v>
      </c>
      <c r="B32" s="10" t="s">
        <v>872</v>
      </c>
      <c r="C32" s="8"/>
      <c r="D32" s="8" t="s">
        <v>207</v>
      </c>
      <c r="E32" s="8" t="s">
        <v>873</v>
      </c>
      <c r="F32" s="8"/>
      <c r="G32" s="8"/>
      <c r="H32" s="8"/>
      <c r="I32" s="8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10"/>
      <c r="BU32" s="8"/>
      <c r="BV32" s="8"/>
      <c r="BW32" s="10"/>
      <c r="BX32" s="10"/>
      <c r="BY32" s="10"/>
      <c r="BZ32" s="10"/>
      <c r="CA32" s="10"/>
      <c r="CB32" s="10"/>
      <c r="CC32" s="8"/>
      <c r="CD32" s="8"/>
      <c r="CE32" s="10"/>
      <c r="CF32" s="10">
        <v>44.8</v>
      </c>
      <c r="CG32" s="10"/>
      <c r="CH32" s="8"/>
      <c r="CI32" s="8"/>
      <c r="CJ32" s="8"/>
      <c r="CK32" s="11">
        <f t="shared" si="2"/>
        <v>44.8</v>
      </c>
      <c r="CM32" s="8"/>
      <c r="CN32" s="8"/>
      <c r="CY32" s="8"/>
      <c r="CZ32" s="8"/>
      <c r="DA32" s="8"/>
      <c r="DB32" s="8"/>
      <c r="DC32" s="8"/>
      <c r="DD32" s="8"/>
      <c r="DE32" s="8"/>
      <c r="DF32" s="8"/>
      <c r="DG32" s="8"/>
      <c r="DH32" s="10"/>
      <c r="DI32" s="8"/>
      <c r="DJ32" s="8"/>
      <c r="DK32" s="8"/>
      <c r="DL32" s="10"/>
      <c r="DM32" s="10"/>
      <c r="DN32" s="10"/>
      <c r="DO32" s="10"/>
      <c r="DP32" s="10"/>
      <c r="DQ32" s="10"/>
      <c r="DR32" s="10"/>
      <c r="DS32" s="8"/>
      <c r="DT32" s="8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>
        <f t="shared" si="5"/>
        <v>0</v>
      </c>
      <c r="EF32" s="8">
        <f t="shared" si="3"/>
        <v>0</v>
      </c>
      <c r="EG32" s="10"/>
      <c r="EH32" s="10"/>
      <c r="EI32" s="10"/>
      <c r="EJ32" s="10"/>
      <c r="EK32" s="10"/>
      <c r="EL32" s="10"/>
      <c r="EM32" s="10"/>
      <c r="EN32" s="8">
        <f t="shared" si="4"/>
        <v>0</v>
      </c>
    </row>
    <row r="33" spans="1:144" x14ac:dyDescent="0.25">
      <c r="A33">
        <v>23</v>
      </c>
      <c r="B33" s="10" t="s">
        <v>134</v>
      </c>
      <c r="C33" s="8"/>
      <c r="D33" s="8" t="s">
        <v>49</v>
      </c>
      <c r="E33" s="8" t="s">
        <v>853</v>
      </c>
      <c r="F33" s="8"/>
      <c r="G33" s="8"/>
      <c r="H33" s="8"/>
      <c r="I33" s="8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10"/>
      <c r="BU33" s="8"/>
      <c r="BV33" s="8"/>
      <c r="BW33" s="10"/>
      <c r="BX33" s="10"/>
      <c r="BY33" s="10"/>
      <c r="BZ33" s="10"/>
      <c r="CA33" s="10"/>
      <c r="CB33" s="10"/>
      <c r="CC33" s="8"/>
      <c r="CD33" s="8"/>
      <c r="CE33" s="10"/>
      <c r="CF33" s="10">
        <v>40</v>
      </c>
      <c r="CG33" s="10"/>
      <c r="CH33" s="8"/>
      <c r="CI33" s="8"/>
      <c r="CJ33" s="8"/>
      <c r="CK33" s="11">
        <f t="shared" si="2"/>
        <v>40</v>
      </c>
      <c r="CM33" s="8"/>
      <c r="CN33" s="8"/>
      <c r="CY33" s="8"/>
      <c r="CZ33" s="8"/>
      <c r="DA33" s="8"/>
      <c r="DB33" s="8"/>
      <c r="DC33" s="8"/>
      <c r="DD33" s="8"/>
      <c r="DE33" s="8"/>
      <c r="DF33" s="8"/>
      <c r="DG33" s="8"/>
      <c r="DH33" s="10"/>
      <c r="DI33" s="8"/>
      <c r="DJ33" s="8"/>
      <c r="DK33" s="8"/>
      <c r="DL33" s="10"/>
      <c r="DM33" s="10"/>
      <c r="DN33" s="10"/>
      <c r="DO33" s="10"/>
      <c r="DP33" s="10"/>
      <c r="DQ33" s="10"/>
      <c r="DR33" s="10"/>
      <c r="DS33" s="8"/>
      <c r="DT33" s="8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>
        <f t="shared" si="5"/>
        <v>0</v>
      </c>
      <c r="EF33" s="8">
        <f t="shared" si="3"/>
        <v>0</v>
      </c>
      <c r="EG33" s="10"/>
      <c r="EH33" s="10"/>
      <c r="EI33" s="10"/>
      <c r="EJ33" s="10"/>
      <c r="EK33" s="10"/>
      <c r="EL33" s="10"/>
      <c r="EM33" s="10"/>
      <c r="EN33" s="8">
        <f t="shared" si="4"/>
        <v>0</v>
      </c>
    </row>
    <row r="34" spans="1:144" x14ac:dyDescent="0.25">
      <c r="A34">
        <v>24</v>
      </c>
      <c r="B34" s="10" t="s">
        <v>88</v>
      </c>
      <c r="C34" s="8"/>
      <c r="D34" s="8" t="s">
        <v>194</v>
      </c>
      <c r="E34" s="8" t="s">
        <v>16</v>
      </c>
      <c r="F34" s="8"/>
      <c r="G34" s="8"/>
      <c r="H34" s="8"/>
      <c r="I34" s="8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10"/>
      <c r="BU34" s="8"/>
      <c r="BV34" s="8"/>
      <c r="BW34" s="10"/>
      <c r="BX34" s="10"/>
      <c r="BY34" s="10"/>
      <c r="BZ34" s="10"/>
      <c r="CA34" s="10"/>
      <c r="CB34" s="10"/>
      <c r="CC34" s="8"/>
      <c r="CD34" s="8"/>
      <c r="CE34" s="10">
        <v>33.6</v>
      </c>
      <c r="CF34" s="10"/>
      <c r="CG34" s="10"/>
      <c r="CH34" s="8"/>
      <c r="CI34" s="8"/>
      <c r="CJ34" s="8"/>
      <c r="CK34" s="11">
        <f t="shared" si="2"/>
        <v>33.6</v>
      </c>
      <c r="CM34" s="8"/>
      <c r="CN34" s="8"/>
      <c r="CY34" s="8"/>
      <c r="CZ34" s="8"/>
      <c r="DA34" s="8"/>
      <c r="DB34" s="8"/>
      <c r="DC34" s="8"/>
      <c r="DD34" s="8"/>
      <c r="DE34" s="8"/>
      <c r="DF34" s="8"/>
      <c r="DG34" s="8"/>
      <c r="DH34" s="10"/>
      <c r="DI34" s="8"/>
      <c r="DJ34" s="8"/>
      <c r="DK34" s="8"/>
      <c r="DL34" s="10"/>
      <c r="DM34" s="10"/>
      <c r="DN34" s="10"/>
      <c r="DO34" s="10"/>
      <c r="DP34" s="10"/>
      <c r="DQ34" s="10"/>
      <c r="DR34" s="10"/>
      <c r="DS34" s="8"/>
      <c r="DT34" s="8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>
        <f t="shared" si="5"/>
        <v>0</v>
      </c>
      <c r="EF34" s="8">
        <f t="shared" si="3"/>
        <v>0</v>
      </c>
      <c r="EG34" s="10"/>
      <c r="EH34" s="10"/>
      <c r="EI34" s="10"/>
      <c r="EJ34" s="10"/>
      <c r="EK34" s="10"/>
      <c r="EL34" s="10"/>
      <c r="EM34" s="10"/>
      <c r="EN34" s="8">
        <f t="shared" si="4"/>
        <v>0</v>
      </c>
    </row>
    <row r="35" spans="1:144" x14ac:dyDescent="0.25">
      <c r="A35">
        <v>25</v>
      </c>
      <c r="B35" s="10" t="s">
        <v>246</v>
      </c>
      <c r="C35" s="10" t="s">
        <v>515</v>
      </c>
      <c r="D35" s="8" t="s">
        <v>163</v>
      </c>
      <c r="E35" s="8" t="s">
        <v>113</v>
      </c>
      <c r="F35" s="8"/>
      <c r="G35" s="8"/>
      <c r="H35" s="8"/>
      <c r="I35" s="8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10"/>
      <c r="BU35" s="8"/>
      <c r="BV35" s="8"/>
      <c r="BW35" s="10">
        <v>36</v>
      </c>
      <c r="BX35" s="10"/>
      <c r="BY35" s="10">
        <v>7.5</v>
      </c>
      <c r="BZ35" s="10">
        <v>5</v>
      </c>
      <c r="CA35" s="10">
        <v>7.5</v>
      </c>
      <c r="CB35" s="10">
        <v>10</v>
      </c>
      <c r="CC35" s="11">
        <f t="shared" ref="CC35:CC43" si="6">SUM(BV35:CB35)</f>
        <v>66</v>
      </c>
      <c r="CD35" s="11">
        <f t="shared" ref="CD35:CD43" si="7">(CC35-BV35)/2</f>
        <v>33</v>
      </c>
      <c r="CE35" s="11"/>
      <c r="CF35" s="11"/>
      <c r="CG35" s="11"/>
      <c r="CH35" s="11"/>
      <c r="CI35" s="11"/>
      <c r="CJ35" s="11"/>
      <c r="CK35" s="11">
        <f t="shared" si="2"/>
        <v>33</v>
      </c>
      <c r="CL35" s="24"/>
      <c r="CM35" s="8"/>
      <c r="CN35" s="8"/>
      <c r="CY35" s="8"/>
      <c r="CZ35" s="8"/>
      <c r="DA35" s="8"/>
      <c r="DB35" s="8"/>
      <c r="DC35" s="8"/>
      <c r="DD35" s="8"/>
      <c r="DE35" s="8"/>
      <c r="DF35" s="8"/>
      <c r="DG35" s="8"/>
      <c r="DH35" s="10"/>
      <c r="DI35" s="8"/>
      <c r="DJ35" s="8"/>
      <c r="DK35" s="8"/>
      <c r="DL35" s="10"/>
      <c r="DM35" s="10"/>
      <c r="DN35" s="10"/>
      <c r="DO35" s="10"/>
      <c r="DP35" s="10"/>
      <c r="DQ35" s="10"/>
      <c r="DR35" s="10"/>
      <c r="DS35" s="8"/>
      <c r="DT35" s="8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>
        <f t="shared" si="5"/>
        <v>0</v>
      </c>
      <c r="EF35" s="8">
        <f t="shared" si="3"/>
        <v>0</v>
      </c>
      <c r="EG35" s="10"/>
      <c r="EH35" s="10"/>
      <c r="EI35" s="10"/>
      <c r="EJ35" s="10"/>
      <c r="EK35" s="10"/>
      <c r="EL35" s="10"/>
      <c r="EM35" s="10"/>
      <c r="EN35" s="8">
        <f t="shared" si="4"/>
        <v>0</v>
      </c>
    </row>
    <row r="36" spans="1:144" x14ac:dyDescent="0.25">
      <c r="A36">
        <v>26</v>
      </c>
      <c r="B36" s="10" t="s">
        <v>693</v>
      </c>
      <c r="C36" s="8"/>
      <c r="D36" s="8" t="s">
        <v>49</v>
      </c>
      <c r="E36" s="8" t="s">
        <v>694</v>
      </c>
      <c r="F36" s="8"/>
      <c r="G36" s="8"/>
      <c r="H36" s="8"/>
      <c r="I36" s="8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10"/>
      <c r="BU36" s="8"/>
      <c r="BV36" s="8"/>
      <c r="BW36" s="10"/>
      <c r="BX36" s="10">
        <v>56</v>
      </c>
      <c r="BY36" s="10">
        <v>5</v>
      </c>
      <c r="BZ36" s="10"/>
      <c r="CA36" s="10"/>
      <c r="CB36" s="10"/>
      <c r="CC36" s="11">
        <f t="shared" si="6"/>
        <v>61</v>
      </c>
      <c r="CD36" s="11">
        <f t="shared" si="7"/>
        <v>30.5</v>
      </c>
      <c r="CE36" s="11"/>
      <c r="CF36" s="11"/>
      <c r="CG36" s="11"/>
      <c r="CH36" s="11"/>
      <c r="CI36" s="11"/>
      <c r="CJ36" s="11"/>
      <c r="CK36" s="11">
        <f t="shared" si="2"/>
        <v>30.5</v>
      </c>
      <c r="CL36" s="24"/>
      <c r="DI36" s="8"/>
      <c r="DJ36" s="8"/>
      <c r="DK36" s="8"/>
      <c r="DL36" s="10"/>
      <c r="DM36" s="10"/>
      <c r="DN36" s="10"/>
      <c r="DO36" s="10"/>
      <c r="DP36" s="10"/>
      <c r="DQ36" s="10"/>
      <c r="DR36" s="10"/>
      <c r="DS36" s="8"/>
      <c r="DT36" s="8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>
        <f t="shared" si="5"/>
        <v>0</v>
      </c>
      <c r="EF36" s="8">
        <f t="shared" si="3"/>
        <v>0</v>
      </c>
      <c r="EG36" s="10"/>
      <c r="EH36" s="10"/>
      <c r="EI36" s="10"/>
      <c r="EJ36" s="10"/>
      <c r="EK36" s="10"/>
      <c r="EL36" s="10"/>
      <c r="EM36" s="10"/>
      <c r="EN36" s="8">
        <f t="shared" si="4"/>
        <v>0</v>
      </c>
    </row>
    <row r="37" spans="1:144" x14ac:dyDescent="0.25">
      <c r="A37">
        <v>27</v>
      </c>
      <c r="B37" s="10" t="s">
        <v>164</v>
      </c>
      <c r="C37" s="8"/>
      <c r="D37" s="8" t="s">
        <v>718</v>
      </c>
      <c r="E37" s="8" t="s">
        <v>62</v>
      </c>
      <c r="F37" s="8"/>
      <c r="G37" s="8"/>
      <c r="H37" s="8"/>
      <c r="I37" s="8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10"/>
      <c r="BU37" s="8"/>
      <c r="BV37" s="8"/>
      <c r="BW37" s="10">
        <v>56</v>
      </c>
      <c r="BX37" s="10">
        <v>4</v>
      </c>
      <c r="BY37" s="10"/>
      <c r="BZ37" s="10"/>
      <c r="CA37" s="10"/>
      <c r="CB37" s="10"/>
      <c r="CC37" s="11">
        <f t="shared" si="6"/>
        <v>60</v>
      </c>
      <c r="CD37" s="11">
        <f t="shared" si="7"/>
        <v>30</v>
      </c>
      <c r="CE37" s="11"/>
      <c r="CF37" s="11"/>
      <c r="CG37" s="11"/>
      <c r="CH37" s="11"/>
      <c r="CI37" s="11"/>
      <c r="CJ37" s="11"/>
      <c r="CK37" s="11">
        <f t="shared" si="2"/>
        <v>30</v>
      </c>
      <c r="CL37" s="24"/>
      <c r="DI37" s="8"/>
      <c r="DJ37" s="8"/>
      <c r="DK37" s="8"/>
      <c r="DL37" s="10"/>
      <c r="DM37" s="10"/>
      <c r="DN37" s="10"/>
      <c r="DO37" s="10"/>
      <c r="DP37" s="10"/>
      <c r="DQ37" s="10"/>
      <c r="DR37" s="10"/>
      <c r="DS37" s="8"/>
      <c r="DT37" s="8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>
        <f t="shared" si="5"/>
        <v>0</v>
      </c>
      <c r="EF37" s="8">
        <f t="shared" si="3"/>
        <v>0</v>
      </c>
      <c r="EG37" s="10"/>
      <c r="EH37" s="10"/>
      <c r="EI37" s="10"/>
      <c r="EJ37" s="10"/>
      <c r="EK37" s="10"/>
      <c r="EL37" s="10"/>
      <c r="EM37" s="10"/>
      <c r="EN37" s="8">
        <f t="shared" si="4"/>
        <v>0</v>
      </c>
    </row>
    <row r="38" spans="1:144" x14ac:dyDescent="0.25">
      <c r="A38">
        <v>28</v>
      </c>
      <c r="B38" s="10" t="s">
        <v>190</v>
      </c>
      <c r="C38" s="8" t="s">
        <v>86</v>
      </c>
      <c r="D38" s="8" t="s">
        <v>40</v>
      </c>
      <c r="E38" s="8" t="s">
        <v>374</v>
      </c>
      <c r="F38" s="8"/>
      <c r="G38" s="8"/>
      <c r="H38" s="8"/>
      <c r="I38" s="8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11">
        <f>SUM(AD38:AU38)</f>
        <v>0</v>
      </c>
      <c r="AW38" s="11">
        <f>(AV38-AD38)/2</f>
        <v>0</v>
      </c>
      <c r="AX38" s="11"/>
      <c r="AY38" s="11"/>
      <c r="AZ38" s="11"/>
      <c r="BA38" s="11"/>
      <c r="BB38" s="11"/>
      <c r="BC38" s="11"/>
      <c r="BD38" s="11"/>
      <c r="BE38" s="11"/>
      <c r="BF38" s="11"/>
      <c r="BG38" s="11">
        <v>7.5</v>
      </c>
      <c r="BH38" s="11">
        <v>36</v>
      </c>
      <c r="BI38" s="11"/>
      <c r="BJ38" s="11">
        <v>56</v>
      </c>
      <c r="BK38" s="11"/>
      <c r="BL38" s="11"/>
      <c r="BM38" s="11"/>
      <c r="BN38" s="11"/>
      <c r="BO38" s="11"/>
      <c r="BP38" s="11"/>
      <c r="BQ38" s="11"/>
      <c r="BR38" s="11"/>
      <c r="BS38" s="11">
        <v>75</v>
      </c>
      <c r="BT38" s="11">
        <v>72</v>
      </c>
      <c r="BU38" s="11">
        <f>SUM(AW38:BT38)</f>
        <v>246.5</v>
      </c>
      <c r="BV38" s="11">
        <f>(BU38-AW38)/2</f>
        <v>123.25</v>
      </c>
      <c r="BW38" s="11"/>
      <c r="BX38" s="11">
        <v>56</v>
      </c>
      <c r="BY38" s="11"/>
      <c r="BZ38" s="11"/>
      <c r="CA38" s="11"/>
      <c r="CB38" s="11"/>
      <c r="CC38" s="11">
        <f t="shared" si="6"/>
        <v>179.25</v>
      </c>
      <c r="CD38" s="11">
        <f t="shared" si="7"/>
        <v>28</v>
      </c>
      <c r="CE38" s="11"/>
      <c r="CF38" s="11"/>
      <c r="CG38" s="11"/>
      <c r="CH38" s="11"/>
      <c r="CI38" s="11"/>
      <c r="CJ38" s="11"/>
      <c r="CK38" s="11">
        <f t="shared" si="2"/>
        <v>28</v>
      </c>
      <c r="CL38" s="24"/>
      <c r="CM38" s="12"/>
      <c r="CN38" s="12">
        <f>AV38/4</f>
        <v>0</v>
      </c>
      <c r="DH38" s="12">
        <v>70</v>
      </c>
      <c r="DI38" s="10">
        <f>SUM(CM38:CN38)+SUM(CY38:DH38)</f>
        <v>70</v>
      </c>
      <c r="DJ38" s="8">
        <f>(DI38-CM38)/2</f>
        <v>35</v>
      </c>
      <c r="DK38" s="8">
        <f>BU38/4</f>
        <v>61.625</v>
      </c>
      <c r="DL38" s="10"/>
      <c r="DM38" s="10"/>
      <c r="DN38" s="10"/>
      <c r="DO38" s="10"/>
      <c r="DP38" s="10"/>
      <c r="DQ38" s="10"/>
      <c r="DR38" s="10">
        <v>25</v>
      </c>
      <c r="DS38" s="8">
        <f>SUM(DJ38:DR38)</f>
        <v>121.625</v>
      </c>
      <c r="DT38" s="8">
        <f>(DS38-DJ38)/2</f>
        <v>43.3125</v>
      </c>
      <c r="DU38" s="10">
        <v>14</v>
      </c>
      <c r="DV38" s="10"/>
      <c r="DW38" s="10"/>
      <c r="DX38" s="10"/>
      <c r="DY38" s="10"/>
      <c r="DZ38" s="10"/>
      <c r="EA38" s="10"/>
      <c r="EB38" s="10"/>
      <c r="EC38" s="10"/>
      <c r="ED38" s="10"/>
      <c r="EE38" s="10">
        <f t="shared" si="5"/>
        <v>57.3125</v>
      </c>
      <c r="EF38" s="8">
        <f t="shared" si="3"/>
        <v>7</v>
      </c>
      <c r="EG38" s="10"/>
      <c r="EH38" s="10"/>
      <c r="EI38" s="10"/>
      <c r="EJ38" s="10"/>
      <c r="EK38" s="10"/>
      <c r="EL38" s="10"/>
      <c r="EM38" s="10"/>
      <c r="EN38" s="8">
        <f t="shared" si="4"/>
        <v>7</v>
      </c>
    </row>
    <row r="39" spans="1:144" x14ac:dyDescent="0.25">
      <c r="A39">
        <v>29</v>
      </c>
      <c r="B39" s="10" t="s">
        <v>91</v>
      </c>
      <c r="C39" s="8"/>
      <c r="D39" s="8" t="s">
        <v>365</v>
      </c>
      <c r="E39" s="8" t="s">
        <v>366</v>
      </c>
      <c r="F39" s="8"/>
      <c r="G39" s="8"/>
      <c r="H39" s="8"/>
      <c r="I39" s="8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8"/>
      <c r="AD39" s="8"/>
      <c r="AE39" s="8"/>
      <c r="AF39" s="8"/>
      <c r="AG39" s="8"/>
      <c r="AH39" s="8">
        <v>5</v>
      </c>
      <c r="AI39" s="8"/>
      <c r="AJ39" s="8">
        <v>24</v>
      </c>
      <c r="AK39" s="8"/>
      <c r="AL39" s="8"/>
      <c r="AM39" s="8">
        <v>4</v>
      </c>
      <c r="AN39" s="8"/>
      <c r="AO39" s="8">
        <v>5</v>
      </c>
      <c r="AP39" s="8"/>
      <c r="AQ39" s="8"/>
      <c r="AR39" s="8"/>
      <c r="AS39" s="8"/>
      <c r="AT39" s="8"/>
      <c r="AU39" s="8"/>
      <c r="AV39" s="11">
        <f>SUM(AD39:AU39)</f>
        <v>38</v>
      </c>
      <c r="AW39" s="11">
        <f>(AV39-AD39)/2</f>
        <v>19</v>
      </c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>
        <v>5</v>
      </c>
      <c r="BI39" s="11"/>
      <c r="BJ39" s="11"/>
      <c r="BK39" s="11"/>
      <c r="BL39" s="11">
        <v>7.5</v>
      </c>
      <c r="BM39" s="11"/>
      <c r="BN39" s="11"/>
      <c r="BO39" s="11"/>
      <c r="BP39" s="11"/>
      <c r="BQ39" s="11"/>
      <c r="BR39" s="11"/>
      <c r="BS39" s="11"/>
      <c r="BT39" s="11"/>
      <c r="BU39" s="11">
        <f>SUM(AW39:BT39)</f>
        <v>31.5</v>
      </c>
      <c r="BV39" s="11">
        <f>(BU39-AW39)/2</f>
        <v>6.25</v>
      </c>
      <c r="BW39" s="11">
        <v>30</v>
      </c>
      <c r="BX39" s="11">
        <v>4</v>
      </c>
      <c r="BY39" s="11">
        <v>5</v>
      </c>
      <c r="BZ39" s="11"/>
      <c r="CA39" s="11"/>
      <c r="CB39" s="11"/>
      <c r="CC39" s="11">
        <f t="shared" si="6"/>
        <v>45.25</v>
      </c>
      <c r="CD39" s="11">
        <f t="shared" si="7"/>
        <v>19.5</v>
      </c>
      <c r="CE39" s="11"/>
      <c r="CF39" s="11">
        <v>4</v>
      </c>
      <c r="CG39" s="11"/>
      <c r="CH39" s="11"/>
      <c r="CI39" s="11"/>
      <c r="CJ39" s="11"/>
      <c r="CK39" s="11">
        <f t="shared" si="2"/>
        <v>23.5</v>
      </c>
      <c r="CL39" s="24"/>
      <c r="CM39" s="12">
        <f>SUM(CP39:CW39)/2</f>
        <v>0</v>
      </c>
      <c r="CN39" s="12">
        <f>AV39/4</f>
        <v>9.5</v>
      </c>
      <c r="DA39" s="12"/>
      <c r="DB39" s="12"/>
      <c r="DC39" s="12"/>
      <c r="DD39" s="12"/>
      <c r="DE39" s="12"/>
      <c r="DF39" s="12"/>
      <c r="DG39" s="12"/>
      <c r="DI39" s="12">
        <f>SUM(CM39:CN39)+SUM(CY39:DH39)</f>
        <v>9.5</v>
      </c>
      <c r="DJ39">
        <f>(DI39-CM39)/2</f>
        <v>4.75</v>
      </c>
      <c r="DK39">
        <f>BU39/4</f>
        <v>7.875</v>
      </c>
      <c r="DS39" s="8">
        <f>SUM(DJ39:DR39)</f>
        <v>12.625</v>
      </c>
      <c r="DT39" s="8">
        <f>(DS39-DJ39)/2</f>
        <v>3.9375</v>
      </c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>
        <f t="shared" si="5"/>
        <v>3.9375</v>
      </c>
      <c r="EF39" s="8">
        <f t="shared" si="3"/>
        <v>0</v>
      </c>
      <c r="EG39" s="10"/>
      <c r="EH39" s="10"/>
      <c r="EI39" s="10"/>
      <c r="EJ39" s="10"/>
      <c r="EK39" s="10"/>
      <c r="EL39" s="10"/>
      <c r="EM39" s="10"/>
      <c r="EN39" s="8">
        <f t="shared" si="4"/>
        <v>0</v>
      </c>
    </row>
    <row r="40" spans="1:144" x14ac:dyDescent="0.25">
      <c r="A40">
        <v>30</v>
      </c>
      <c r="B40" s="10" t="s">
        <v>642</v>
      </c>
      <c r="C40" s="8"/>
      <c r="D40" s="8" t="s">
        <v>643</v>
      </c>
      <c r="E40" s="8" t="s">
        <v>644</v>
      </c>
      <c r="F40" s="8"/>
      <c r="G40" s="8"/>
      <c r="H40" s="8"/>
      <c r="I40" s="8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10"/>
      <c r="BU40" s="8"/>
      <c r="BV40" s="8"/>
      <c r="BW40" s="10">
        <v>36</v>
      </c>
      <c r="BX40" s="10"/>
      <c r="BY40" s="10"/>
      <c r="BZ40" s="10"/>
      <c r="CA40" s="10"/>
      <c r="CB40" s="10"/>
      <c r="CC40" s="11">
        <f t="shared" si="6"/>
        <v>36</v>
      </c>
      <c r="CD40" s="11">
        <f t="shared" si="7"/>
        <v>18</v>
      </c>
      <c r="CE40" s="11"/>
      <c r="CF40" s="11">
        <v>4</v>
      </c>
      <c r="CG40" s="11"/>
      <c r="CH40" s="11"/>
      <c r="CI40" s="11"/>
      <c r="CJ40" s="11"/>
      <c r="CK40" s="11">
        <f t="shared" si="2"/>
        <v>22</v>
      </c>
      <c r="CL40" s="24"/>
      <c r="DS40" s="8"/>
      <c r="DT40" s="8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>
        <f t="shared" si="5"/>
        <v>0</v>
      </c>
      <c r="EF40" s="8">
        <f t="shared" si="3"/>
        <v>0</v>
      </c>
      <c r="EG40" s="10"/>
      <c r="EH40" s="10"/>
      <c r="EI40" s="10"/>
      <c r="EJ40" s="10"/>
      <c r="EK40" s="10"/>
      <c r="EL40" s="10"/>
      <c r="EM40" s="10"/>
      <c r="EN40" s="8">
        <f t="shared" si="4"/>
        <v>0</v>
      </c>
    </row>
    <row r="41" spans="1:144" x14ac:dyDescent="0.25">
      <c r="A41">
        <v>31</v>
      </c>
      <c r="B41" s="10" t="s">
        <v>650</v>
      </c>
      <c r="C41" s="8"/>
      <c r="D41" s="8" t="s">
        <v>162</v>
      </c>
      <c r="E41" s="8" t="s">
        <v>651</v>
      </c>
      <c r="F41" s="8"/>
      <c r="G41" s="8"/>
      <c r="H41" s="8"/>
      <c r="I41" s="8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10"/>
      <c r="BU41" s="8"/>
      <c r="BV41" s="8"/>
      <c r="BW41" s="10">
        <v>36</v>
      </c>
      <c r="BX41" s="10">
        <v>3.2</v>
      </c>
      <c r="BY41" s="10"/>
      <c r="BZ41" s="10"/>
      <c r="CA41" s="10"/>
      <c r="CB41" s="10"/>
      <c r="CC41" s="11">
        <f t="shared" si="6"/>
        <v>39.200000000000003</v>
      </c>
      <c r="CD41" s="11">
        <f t="shared" si="7"/>
        <v>19.600000000000001</v>
      </c>
      <c r="CE41" s="11"/>
      <c r="CF41" s="11"/>
      <c r="CG41" s="11"/>
      <c r="CH41" s="11"/>
      <c r="CI41" s="11"/>
      <c r="CJ41" s="11"/>
      <c r="CK41" s="11">
        <f t="shared" si="2"/>
        <v>19.600000000000001</v>
      </c>
      <c r="CL41" s="24"/>
      <c r="EE41" s="10">
        <f t="shared" si="5"/>
        <v>0</v>
      </c>
      <c r="EF41" s="8">
        <f t="shared" si="3"/>
        <v>0</v>
      </c>
      <c r="EG41" s="10"/>
      <c r="EH41" s="10"/>
      <c r="EI41" s="10"/>
      <c r="EJ41" s="10"/>
      <c r="EK41" s="10"/>
      <c r="EL41" s="10"/>
      <c r="EM41" s="10"/>
      <c r="EN41" s="8">
        <f t="shared" si="4"/>
        <v>0</v>
      </c>
    </row>
    <row r="42" spans="1:144" x14ac:dyDescent="0.25">
      <c r="A42">
        <v>32</v>
      </c>
      <c r="B42" s="10" t="s">
        <v>88</v>
      </c>
      <c r="C42" s="8"/>
      <c r="D42" s="8" t="s">
        <v>733</v>
      </c>
      <c r="E42" s="8" t="s">
        <v>734</v>
      </c>
      <c r="F42" s="8"/>
      <c r="G42" s="8"/>
      <c r="H42" s="8"/>
      <c r="I42" s="8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10"/>
      <c r="BU42" s="8"/>
      <c r="BV42" s="8"/>
      <c r="BW42" s="10"/>
      <c r="BX42" s="10"/>
      <c r="BY42" s="10">
        <v>39</v>
      </c>
      <c r="BZ42" s="10"/>
      <c r="CA42" s="10"/>
      <c r="CB42" s="10"/>
      <c r="CC42" s="11">
        <f t="shared" si="6"/>
        <v>39</v>
      </c>
      <c r="CD42" s="11">
        <f t="shared" si="7"/>
        <v>19.5</v>
      </c>
      <c r="CE42" s="11"/>
      <c r="CF42" s="11"/>
      <c r="CG42" s="11"/>
      <c r="CH42" s="11"/>
      <c r="CI42" s="11"/>
      <c r="CJ42" s="11"/>
      <c r="CK42" s="11">
        <f t="shared" si="2"/>
        <v>19.5</v>
      </c>
      <c r="CL42" s="24"/>
      <c r="EE42" s="10">
        <f t="shared" si="5"/>
        <v>0</v>
      </c>
      <c r="EF42" s="8">
        <f t="shared" si="3"/>
        <v>0</v>
      </c>
      <c r="EG42" s="10"/>
      <c r="EH42" s="10"/>
      <c r="EI42" s="10"/>
      <c r="EJ42" s="10"/>
      <c r="EK42" s="10"/>
      <c r="EL42" s="10"/>
      <c r="EM42" s="10"/>
      <c r="EN42" s="8">
        <f t="shared" si="4"/>
        <v>0</v>
      </c>
    </row>
    <row r="43" spans="1:144" x14ac:dyDescent="0.25">
      <c r="A43">
        <v>33</v>
      </c>
      <c r="B43" s="10" t="s">
        <v>617</v>
      </c>
      <c r="C43" s="8"/>
      <c r="D43" s="8" t="s">
        <v>163</v>
      </c>
      <c r="E43" s="8" t="s">
        <v>602</v>
      </c>
      <c r="F43" s="8"/>
      <c r="G43" s="8"/>
      <c r="H43" s="8"/>
      <c r="I43" s="8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10"/>
      <c r="BU43" s="8"/>
      <c r="BV43" s="8"/>
      <c r="BW43" s="10">
        <v>30</v>
      </c>
      <c r="BX43" s="10"/>
      <c r="BY43" s="10">
        <v>5</v>
      </c>
      <c r="BZ43" s="10"/>
      <c r="CA43" s="10"/>
      <c r="CB43" s="10"/>
      <c r="CC43" s="11">
        <f t="shared" si="6"/>
        <v>35</v>
      </c>
      <c r="CD43" s="11">
        <f t="shared" si="7"/>
        <v>17.5</v>
      </c>
      <c r="CE43" s="11"/>
      <c r="CF43" s="11"/>
      <c r="CG43" s="11"/>
      <c r="CH43" s="11"/>
      <c r="CI43" s="11"/>
      <c r="CJ43" s="11"/>
      <c r="CK43" s="11">
        <f t="shared" si="2"/>
        <v>17.5</v>
      </c>
      <c r="CL43" s="24"/>
      <c r="DU43" s="12">
        <v>1.75</v>
      </c>
      <c r="EE43" s="10">
        <f t="shared" si="5"/>
        <v>1.75</v>
      </c>
      <c r="EF43" s="8">
        <f t="shared" si="3"/>
        <v>0.875</v>
      </c>
      <c r="EG43" s="10"/>
      <c r="EH43" s="10"/>
      <c r="EI43" s="10"/>
      <c r="EJ43" s="10"/>
      <c r="EK43" s="10"/>
      <c r="EL43" s="10"/>
      <c r="EM43" s="10"/>
      <c r="EN43" s="8">
        <f t="shared" si="4"/>
        <v>0.875</v>
      </c>
    </row>
    <row r="44" spans="1:144" x14ac:dyDescent="0.25">
      <c r="A44">
        <v>34</v>
      </c>
      <c r="B44" s="10" t="s">
        <v>617</v>
      </c>
      <c r="C44" s="8"/>
      <c r="D44" s="8" t="s">
        <v>207</v>
      </c>
      <c r="E44" s="8" t="s">
        <v>368</v>
      </c>
      <c r="F44" s="8"/>
      <c r="G44" s="8"/>
      <c r="H44" s="8"/>
      <c r="I44" s="8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10"/>
      <c r="BU44" s="8"/>
      <c r="BV44" s="8"/>
      <c r="BW44" s="10"/>
      <c r="BX44" s="10"/>
      <c r="BY44" s="10"/>
      <c r="BZ44" s="10"/>
      <c r="CA44" s="10"/>
      <c r="CB44" s="10"/>
      <c r="CC44" s="8"/>
      <c r="CD44" s="8"/>
      <c r="CE44" s="10"/>
      <c r="CF44" s="10"/>
      <c r="CG44" s="10">
        <v>7.5</v>
      </c>
      <c r="CH44" s="8"/>
      <c r="CI44" s="8"/>
      <c r="CJ44" s="8"/>
      <c r="CK44" s="11">
        <f t="shared" si="2"/>
        <v>7.5</v>
      </c>
      <c r="EE44" s="10">
        <f t="shared" si="5"/>
        <v>0</v>
      </c>
      <c r="EF44" s="8">
        <f t="shared" si="3"/>
        <v>0</v>
      </c>
      <c r="EG44" s="10"/>
      <c r="EH44" s="10"/>
      <c r="EI44" s="10"/>
      <c r="EJ44" s="10"/>
      <c r="EK44" s="10"/>
      <c r="EL44" s="10"/>
      <c r="EM44" s="10"/>
      <c r="EN44" s="8">
        <f t="shared" si="4"/>
        <v>0</v>
      </c>
    </row>
    <row r="45" spans="1:144" x14ac:dyDescent="0.25">
      <c r="A45">
        <v>35</v>
      </c>
      <c r="B45" s="10" t="s">
        <v>874</v>
      </c>
      <c r="C45" s="8"/>
      <c r="D45" s="8" t="s">
        <v>228</v>
      </c>
      <c r="E45" s="8" t="s">
        <v>384</v>
      </c>
      <c r="F45" s="8"/>
      <c r="G45" s="8"/>
      <c r="H45" s="8"/>
      <c r="I45" s="8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10"/>
      <c r="BU45" s="8"/>
      <c r="BV45" s="8"/>
      <c r="BW45" s="10"/>
      <c r="BX45" s="10"/>
      <c r="BY45" s="10"/>
      <c r="BZ45" s="10"/>
      <c r="CA45" s="10"/>
      <c r="CB45" s="10"/>
      <c r="CC45" s="8"/>
      <c r="CD45" s="8"/>
      <c r="CE45" s="10">
        <v>2.4</v>
      </c>
      <c r="CF45" s="10">
        <v>3.2</v>
      </c>
      <c r="CG45" s="10"/>
      <c r="CH45" s="8"/>
      <c r="CI45" s="8"/>
      <c r="CJ45" s="8"/>
      <c r="CK45" s="11">
        <f t="shared" si="2"/>
        <v>5.6</v>
      </c>
      <c r="EE45" s="10">
        <f t="shared" si="5"/>
        <v>0</v>
      </c>
      <c r="EF45" s="8">
        <f t="shared" si="3"/>
        <v>0</v>
      </c>
      <c r="EG45" s="10"/>
      <c r="EH45" s="10"/>
      <c r="EI45" s="10"/>
      <c r="EJ45" s="10"/>
      <c r="EK45" s="10"/>
      <c r="EL45" s="10"/>
      <c r="EM45" s="10"/>
      <c r="EN45" s="8">
        <f t="shared" si="4"/>
        <v>0</v>
      </c>
    </row>
    <row r="46" spans="1:144" x14ac:dyDescent="0.25">
      <c r="A46">
        <v>36</v>
      </c>
      <c r="B46" s="10" t="s">
        <v>230</v>
      </c>
      <c r="C46" s="8"/>
      <c r="D46" s="8" t="s">
        <v>29</v>
      </c>
      <c r="E46" s="8" t="s">
        <v>537</v>
      </c>
      <c r="F46" s="8"/>
      <c r="G46" s="8"/>
      <c r="H46" s="8"/>
      <c r="I46" s="8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10"/>
      <c r="BU46" s="11">
        <f>SUM(AW46:BT46)</f>
        <v>0</v>
      </c>
      <c r="BV46" s="11">
        <f>(BU46-AW46)/2</f>
        <v>0</v>
      </c>
      <c r="BW46" s="11"/>
      <c r="BX46" s="11"/>
      <c r="BY46" s="11">
        <v>7.5</v>
      </c>
      <c r="BZ46" s="11"/>
      <c r="CA46" s="11"/>
      <c r="CB46" s="11"/>
      <c r="CC46" s="11">
        <f>SUM(BV46:CB46)</f>
        <v>7.5</v>
      </c>
      <c r="CD46" s="11">
        <f>(CC46-BV46)/2</f>
        <v>3.75</v>
      </c>
      <c r="CE46" s="11"/>
      <c r="CF46" s="11"/>
      <c r="CG46" s="11"/>
      <c r="CH46" s="11"/>
      <c r="CI46" s="11"/>
      <c r="CJ46" s="11"/>
      <c r="CK46" s="11">
        <f t="shared" si="2"/>
        <v>3.75</v>
      </c>
      <c r="CL46" s="24"/>
      <c r="DR46" s="12">
        <v>2.5</v>
      </c>
      <c r="DS46">
        <f>SUM(DJ46:DR46)</f>
        <v>2.5</v>
      </c>
      <c r="DT46">
        <f>(DS46-DJ46)/2</f>
        <v>1.25</v>
      </c>
      <c r="DU46" s="12">
        <v>1.75</v>
      </c>
      <c r="EC46" s="12">
        <v>25</v>
      </c>
      <c r="EE46" s="10">
        <f t="shared" si="5"/>
        <v>3</v>
      </c>
      <c r="EF46" s="8">
        <f t="shared" si="3"/>
        <v>0.875</v>
      </c>
      <c r="EG46" s="10"/>
      <c r="EH46" s="10"/>
      <c r="EI46" s="10"/>
      <c r="EJ46" s="10"/>
      <c r="EK46" s="10"/>
      <c r="EL46" s="10"/>
      <c r="EM46" s="10"/>
      <c r="EN46" s="8">
        <f t="shared" si="4"/>
        <v>0.875</v>
      </c>
    </row>
    <row r="47" spans="1:144" x14ac:dyDescent="0.25">
      <c r="A47">
        <v>37</v>
      </c>
      <c r="B47" s="10" t="s">
        <v>134</v>
      </c>
      <c r="C47" s="8"/>
      <c r="D47" s="8" t="s">
        <v>613</v>
      </c>
      <c r="E47" s="8" t="s">
        <v>493</v>
      </c>
      <c r="F47" s="8"/>
      <c r="G47" s="8"/>
      <c r="H47" s="8"/>
      <c r="I47" s="8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10"/>
      <c r="BU47" s="8"/>
      <c r="BV47" s="8"/>
      <c r="BW47" s="10"/>
      <c r="BX47" s="10"/>
      <c r="BY47" s="10">
        <v>7.5</v>
      </c>
      <c r="BZ47" s="10"/>
      <c r="CA47" s="10"/>
      <c r="CB47" s="10"/>
      <c r="CC47" s="11">
        <f>SUM(BV47:CB47)</f>
        <v>7.5</v>
      </c>
      <c r="CD47" s="11">
        <f>(CC47-BV47)/2</f>
        <v>3.75</v>
      </c>
      <c r="CE47" s="11"/>
      <c r="CF47" s="11"/>
      <c r="CG47" s="11"/>
      <c r="CH47" s="11"/>
      <c r="CI47" s="11"/>
      <c r="CJ47" s="11"/>
      <c r="CK47" s="11">
        <f t="shared" si="2"/>
        <v>3.75</v>
      </c>
      <c r="CL47" s="24"/>
      <c r="DU47" s="12">
        <v>1.75</v>
      </c>
      <c r="EE47" s="10">
        <f t="shared" si="5"/>
        <v>1.75</v>
      </c>
      <c r="EF47" s="8">
        <f t="shared" si="3"/>
        <v>0.875</v>
      </c>
      <c r="EG47" s="10"/>
      <c r="EH47" s="10"/>
      <c r="EI47" s="10"/>
      <c r="EJ47" s="10"/>
      <c r="EK47" s="10"/>
      <c r="EL47" s="10"/>
      <c r="EM47" s="10"/>
      <c r="EN47" s="8">
        <f t="shared" si="4"/>
        <v>0.875</v>
      </c>
    </row>
    <row r="48" spans="1:144" x14ac:dyDescent="0.25">
      <c r="A48">
        <v>38</v>
      </c>
      <c r="B48" s="10" t="s">
        <v>809</v>
      </c>
      <c r="C48" s="8"/>
      <c r="D48" s="8" t="s">
        <v>280</v>
      </c>
      <c r="E48" s="8" t="s">
        <v>745</v>
      </c>
      <c r="F48" s="8"/>
      <c r="G48" s="8"/>
      <c r="H48" s="8"/>
      <c r="I48" s="8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10"/>
      <c r="BU48" s="8"/>
      <c r="BV48" s="8"/>
      <c r="BW48" s="10"/>
      <c r="BX48" s="10"/>
      <c r="BY48" s="10"/>
      <c r="BZ48" s="10"/>
      <c r="CA48" s="10"/>
      <c r="CB48" s="10"/>
      <c r="CC48" s="8"/>
      <c r="CD48" s="8"/>
      <c r="CE48" s="10">
        <v>3</v>
      </c>
      <c r="CF48" s="10"/>
      <c r="CG48" s="10"/>
      <c r="CH48" s="8"/>
      <c r="CI48" s="8"/>
      <c r="CJ48" s="8"/>
      <c r="CK48" s="11">
        <f t="shared" si="2"/>
        <v>3</v>
      </c>
      <c r="EE48" s="10">
        <f t="shared" si="5"/>
        <v>0</v>
      </c>
      <c r="EF48" s="8">
        <f t="shared" si="3"/>
        <v>0</v>
      </c>
      <c r="EG48" s="10"/>
      <c r="EH48" s="10"/>
      <c r="EI48" s="10"/>
      <c r="EJ48" s="10"/>
      <c r="EK48" s="10"/>
      <c r="EL48" s="10"/>
      <c r="EM48" s="10"/>
      <c r="EN48" s="8">
        <f t="shared" si="4"/>
        <v>0</v>
      </c>
    </row>
    <row r="49" spans="1:144" x14ac:dyDescent="0.25">
      <c r="A49">
        <v>39</v>
      </c>
      <c r="B49" s="10" t="s">
        <v>895</v>
      </c>
      <c r="C49" s="8"/>
      <c r="D49" s="8" t="s">
        <v>27</v>
      </c>
      <c r="E49" s="8" t="s">
        <v>896</v>
      </c>
      <c r="F49" s="8"/>
      <c r="G49" s="8"/>
      <c r="H49" s="8"/>
      <c r="I49" s="8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10"/>
      <c r="BU49" s="8"/>
      <c r="BV49" s="8"/>
      <c r="BW49" s="10"/>
      <c r="BX49" s="10"/>
      <c r="BY49" s="10"/>
      <c r="BZ49" s="10"/>
      <c r="CA49" s="10"/>
      <c r="CB49" s="10"/>
      <c r="CC49" s="8"/>
      <c r="CD49" s="8"/>
      <c r="CE49" s="10">
        <v>2.4</v>
      </c>
      <c r="CF49" s="10"/>
      <c r="CG49" s="10"/>
      <c r="CH49" s="8"/>
      <c r="CI49" s="8"/>
      <c r="CJ49" s="8"/>
      <c r="CK49" s="11">
        <f t="shared" si="2"/>
        <v>2.4</v>
      </c>
      <c r="EE49" s="10">
        <f t="shared" si="5"/>
        <v>0</v>
      </c>
      <c r="EF49" s="8">
        <f t="shared" si="3"/>
        <v>0</v>
      </c>
      <c r="EG49" s="10"/>
      <c r="EH49" s="10"/>
      <c r="EI49" s="10"/>
      <c r="EJ49" s="10"/>
      <c r="EK49" s="10"/>
      <c r="EL49" s="10"/>
      <c r="EM49" s="10"/>
      <c r="EN49" s="8">
        <f t="shared" si="4"/>
        <v>0</v>
      </c>
    </row>
    <row r="50" spans="1:144" x14ac:dyDescent="0.25">
      <c r="A50">
        <v>40</v>
      </c>
      <c r="B50" s="10" t="s">
        <v>409</v>
      </c>
      <c r="C50" s="8"/>
      <c r="D50" s="8" t="s">
        <v>20</v>
      </c>
      <c r="E50" s="8" t="s">
        <v>368</v>
      </c>
      <c r="F50" s="8"/>
      <c r="G50" s="8"/>
      <c r="H50" s="8"/>
      <c r="I50" s="8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>
        <v>36</v>
      </c>
      <c r="AO50" s="8">
        <v>5</v>
      </c>
      <c r="AP50" s="8"/>
      <c r="AQ50" s="8"/>
      <c r="AR50" s="8"/>
      <c r="AS50" s="8">
        <v>36</v>
      </c>
      <c r="AT50" s="8"/>
      <c r="AU50" s="8">
        <v>7.5</v>
      </c>
      <c r="AV50" s="11">
        <f>SUM(AD50:AU50)</f>
        <v>84.5</v>
      </c>
      <c r="AW50" s="11">
        <f>(AV50-AD50)/2</f>
        <v>42.25</v>
      </c>
      <c r="AX50" s="11"/>
      <c r="AY50" s="11"/>
      <c r="AZ50" s="11"/>
      <c r="BA50" s="11"/>
      <c r="BB50" s="11">
        <v>36</v>
      </c>
      <c r="BC50" s="11"/>
      <c r="BD50" s="11"/>
      <c r="BE50" s="11"/>
      <c r="BF50" s="11"/>
      <c r="BG50" s="11">
        <v>54</v>
      </c>
      <c r="BH50" s="11"/>
      <c r="BI50" s="11"/>
      <c r="BJ50" s="11">
        <v>4</v>
      </c>
      <c r="BK50" s="11"/>
      <c r="BL50" s="11">
        <v>7.5</v>
      </c>
      <c r="BM50" s="11"/>
      <c r="BN50" s="11"/>
      <c r="BO50" s="11"/>
      <c r="BP50" s="11"/>
      <c r="BQ50" s="11">
        <v>2.4</v>
      </c>
      <c r="BR50" s="11"/>
      <c r="BS50" s="11"/>
      <c r="BT50" s="11">
        <v>10</v>
      </c>
      <c r="BU50" s="11">
        <f>SUM(AW50:BT50)</f>
        <v>156.15</v>
      </c>
      <c r="BV50" s="11">
        <f>(BU50-AW50)/2</f>
        <v>56.95</v>
      </c>
      <c r="BW50" s="11"/>
      <c r="BX50" s="11"/>
      <c r="BY50" s="11"/>
      <c r="BZ50" s="11"/>
      <c r="CA50" s="11"/>
      <c r="CB50" s="11"/>
      <c r="CC50" s="11">
        <f>SUM(BV50:CB50)</f>
        <v>56.95</v>
      </c>
      <c r="CD50" s="11">
        <f>(CC50-BV50)/2</f>
        <v>0</v>
      </c>
      <c r="CE50" s="11"/>
      <c r="CF50" s="11"/>
      <c r="CG50" s="11"/>
      <c r="CH50" s="11"/>
      <c r="CI50" s="11"/>
      <c r="CJ50" s="11"/>
      <c r="CK50" s="11">
        <f t="shared" si="2"/>
        <v>0</v>
      </c>
      <c r="CL50" s="24"/>
      <c r="CM50" s="12">
        <f>SUM(CP50:CW50)/2</f>
        <v>0</v>
      </c>
      <c r="CN50" s="12">
        <f>AV50/4</f>
        <v>21.125</v>
      </c>
      <c r="CY50" s="12"/>
      <c r="CZ50" s="12"/>
      <c r="DA50" s="12"/>
      <c r="DB50" s="12"/>
      <c r="DC50" s="12"/>
      <c r="DD50" s="12"/>
      <c r="DE50" s="12"/>
      <c r="DF50" s="12"/>
      <c r="DG50" s="12"/>
      <c r="DI50" s="12">
        <f>SUM(CM50:CN50)+SUM(CY50:DH50)</f>
        <v>21.125</v>
      </c>
      <c r="DJ50">
        <f>(DI50-CM50)/2</f>
        <v>10.5625</v>
      </c>
      <c r="DK50">
        <f>BU50/4</f>
        <v>39.037500000000001</v>
      </c>
      <c r="DL50" s="12">
        <v>1.5</v>
      </c>
      <c r="DS50">
        <f>SUM(DJ50:DR50)</f>
        <v>51.1</v>
      </c>
      <c r="DT50">
        <f>(DS50-DJ50)/2</f>
        <v>20.268750000000001</v>
      </c>
      <c r="EE50" s="10">
        <f t="shared" si="5"/>
        <v>20.268750000000001</v>
      </c>
      <c r="EF50" s="8">
        <f t="shared" si="3"/>
        <v>0</v>
      </c>
      <c r="EG50" s="10"/>
      <c r="EH50" s="10"/>
      <c r="EI50" s="10"/>
      <c r="EJ50" s="10"/>
      <c r="EK50" s="10"/>
      <c r="EL50" s="10"/>
      <c r="EM50" s="10"/>
      <c r="EN50" s="8">
        <f t="shared" si="4"/>
        <v>0</v>
      </c>
    </row>
    <row r="51" spans="1:144" x14ac:dyDescent="0.25">
      <c r="A51">
        <v>41</v>
      </c>
      <c r="B51" s="10" t="s">
        <v>91</v>
      </c>
      <c r="C51" s="8"/>
      <c r="D51" s="8" t="s">
        <v>34</v>
      </c>
      <c r="E51" s="8" t="s">
        <v>455</v>
      </c>
      <c r="F51" s="8"/>
      <c r="G51" s="8"/>
      <c r="H51" s="8"/>
      <c r="I51" s="8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>
        <v>48</v>
      </c>
      <c r="BG51" s="8"/>
      <c r="BH51" s="8">
        <v>5</v>
      </c>
      <c r="BI51" s="8">
        <v>56</v>
      </c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10"/>
      <c r="BU51" s="11">
        <f>SUM(AW51:BT51)</f>
        <v>109</v>
      </c>
      <c r="BV51" s="11">
        <f>(BU51-AW51)/2</f>
        <v>54.5</v>
      </c>
      <c r="BW51" s="11"/>
      <c r="BX51" s="11"/>
      <c r="BY51" s="11"/>
      <c r="BZ51" s="11"/>
      <c r="CA51" s="11"/>
      <c r="CB51" s="11"/>
      <c r="CC51" s="11">
        <f>SUM(BV51:CB51)</f>
        <v>54.5</v>
      </c>
      <c r="CD51" s="11">
        <f>(CC51-BV51)/2</f>
        <v>0</v>
      </c>
      <c r="CE51" s="11"/>
      <c r="CF51" s="11"/>
      <c r="CG51" s="11"/>
      <c r="CH51" s="11"/>
      <c r="CI51" s="11"/>
      <c r="CJ51" s="11"/>
      <c r="CK51" s="11">
        <f t="shared" si="2"/>
        <v>0</v>
      </c>
      <c r="CL51" s="24"/>
      <c r="DI51" s="12">
        <f>SUM(CM51:CN51)+SUM(CY51:DH51)</f>
        <v>0</v>
      </c>
      <c r="DJ51">
        <f>(DI51-CM51)/2</f>
        <v>0</v>
      </c>
      <c r="DK51">
        <f>BU51/4</f>
        <v>27.25</v>
      </c>
      <c r="DS51">
        <f>SUM(DJ51:DR51)</f>
        <v>27.25</v>
      </c>
      <c r="DT51">
        <f>(DS51-DJ51)/2</f>
        <v>13.625</v>
      </c>
      <c r="EE51" s="10">
        <f t="shared" si="5"/>
        <v>13.625</v>
      </c>
      <c r="EF51" s="8">
        <f t="shared" si="3"/>
        <v>0</v>
      </c>
      <c r="EG51" s="10"/>
      <c r="EH51" s="10"/>
      <c r="EI51" s="10"/>
      <c r="EJ51" s="10"/>
      <c r="EK51" s="10"/>
      <c r="EL51" s="10"/>
      <c r="EM51" s="10"/>
      <c r="EN51" s="8">
        <f t="shared" si="4"/>
        <v>0</v>
      </c>
    </row>
    <row r="52" spans="1:144" x14ac:dyDescent="0.25">
      <c r="A52">
        <v>42</v>
      </c>
      <c r="B52" s="10" t="s">
        <v>240</v>
      </c>
      <c r="C52" s="10"/>
      <c r="D52" s="10" t="s">
        <v>27</v>
      </c>
      <c r="E52" s="8" t="s">
        <v>152</v>
      </c>
      <c r="F52" s="8"/>
      <c r="G52" s="8"/>
      <c r="H52" s="8"/>
      <c r="I52" s="8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2.4</v>
      </c>
      <c r="U52" s="10"/>
      <c r="V52" s="10"/>
      <c r="W52" s="10"/>
      <c r="X52" s="10"/>
      <c r="Y52" s="10"/>
      <c r="Z52" s="10"/>
      <c r="AA52" s="10"/>
      <c r="AB52" s="10"/>
      <c r="AC52" s="11">
        <f>SUM(F52:AB52)</f>
        <v>2.4</v>
      </c>
      <c r="AD52" s="11">
        <f>AC52/2</f>
        <v>1.2</v>
      </c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>
        <v>48</v>
      </c>
      <c r="AU52" s="11"/>
      <c r="AV52" s="11">
        <f>SUM(AD52:AU52)</f>
        <v>49.2</v>
      </c>
      <c r="AW52" s="11">
        <f>(AV52-AD52)/2</f>
        <v>24</v>
      </c>
      <c r="AX52" s="11"/>
      <c r="AY52" s="11"/>
      <c r="AZ52" s="11"/>
      <c r="BA52" s="11"/>
      <c r="BB52" s="11"/>
      <c r="BC52" s="11">
        <v>36</v>
      </c>
      <c r="BD52" s="11"/>
      <c r="BE52" s="11"/>
      <c r="BF52" s="11"/>
      <c r="BG52" s="11">
        <v>7.5</v>
      </c>
      <c r="BH52" s="11"/>
      <c r="BI52" s="11"/>
      <c r="BJ52" s="11"/>
      <c r="BK52" s="11"/>
      <c r="BL52" s="11"/>
      <c r="BM52" s="11"/>
      <c r="BN52" s="11"/>
      <c r="BO52" s="11"/>
      <c r="BP52" s="11">
        <v>36</v>
      </c>
      <c r="BQ52" s="11"/>
      <c r="BR52" s="11"/>
      <c r="BS52" s="11"/>
      <c r="BT52" s="11"/>
      <c r="BU52" s="11">
        <f>SUM(AW52:BT52)</f>
        <v>103.5</v>
      </c>
      <c r="BV52" s="11">
        <f>(BU52-AW52)/2</f>
        <v>39.75</v>
      </c>
      <c r="BW52" s="11"/>
      <c r="BX52" s="11"/>
      <c r="BY52" s="11"/>
      <c r="BZ52" s="11"/>
      <c r="CA52" s="11"/>
      <c r="CB52" s="11"/>
      <c r="CC52" s="11">
        <f>SUM(BV52:CB52)</f>
        <v>39.75</v>
      </c>
      <c r="CD52" s="11">
        <f>(CC52-BV52)/2</f>
        <v>0</v>
      </c>
      <c r="CE52" s="11"/>
      <c r="CF52" s="11"/>
      <c r="CG52" s="11"/>
      <c r="CH52" s="11"/>
      <c r="CI52" s="11"/>
      <c r="CJ52" s="11"/>
      <c r="CK52" s="11">
        <f t="shared" si="2"/>
        <v>0</v>
      </c>
      <c r="CL52" s="24"/>
      <c r="CM52" s="12">
        <f>SUM(CP52:CW52)/2</f>
        <v>4.375</v>
      </c>
      <c r="CN52" s="12">
        <f>AV52/4</f>
        <v>12.3</v>
      </c>
      <c r="CO52" s="12">
        <f>AC52/2</f>
        <v>1.2</v>
      </c>
      <c r="CP52" s="12">
        <f>5+5*3/4</f>
        <v>8.75</v>
      </c>
      <c r="CQ52" s="12"/>
      <c r="CR52" s="12"/>
      <c r="CS52" s="12"/>
      <c r="CX52" s="12">
        <f>SUM(CO52:CQ52)</f>
        <v>9.9499999999999993</v>
      </c>
      <c r="CY52" s="12"/>
      <c r="CZ52" s="12"/>
      <c r="DA52" s="12"/>
      <c r="DB52" s="12"/>
      <c r="DC52" s="12"/>
      <c r="DD52" s="12"/>
      <c r="DE52" s="12"/>
      <c r="DF52" s="12"/>
      <c r="DG52" s="12"/>
      <c r="DI52" s="12">
        <f>SUM(CM52:CN52)+SUM(CY52:DH52)</f>
        <v>16.675000000000001</v>
      </c>
      <c r="DJ52">
        <f>(DI52-CM52)/2</f>
        <v>6.15</v>
      </c>
      <c r="DK52">
        <f>BU52/4</f>
        <v>25.875</v>
      </c>
      <c r="DS52">
        <f>SUM(DJ52:DR52)</f>
        <v>32.024999999999999</v>
      </c>
      <c r="DT52">
        <f>(DS52-DJ52)/2</f>
        <v>12.9375</v>
      </c>
      <c r="EE52" s="10">
        <f t="shared" si="5"/>
        <v>12.9375</v>
      </c>
      <c r="EF52" s="8">
        <f t="shared" si="3"/>
        <v>0</v>
      </c>
      <c r="EG52" s="10"/>
      <c r="EH52" s="10"/>
      <c r="EI52" s="10"/>
      <c r="EJ52" s="10"/>
      <c r="EK52" s="10"/>
      <c r="EL52" s="10"/>
      <c r="EM52" s="10"/>
      <c r="EN52" s="8">
        <f t="shared" si="4"/>
        <v>0</v>
      </c>
    </row>
  </sheetData>
  <sortState xmlns:xlrd2="http://schemas.microsoft.com/office/spreadsheetml/2017/richdata2" ref="B11:EN52">
    <sortCondition descending="1" ref="CK11:CK52"/>
  </sortState>
  <mergeCells count="6">
    <mergeCell ref="B1:EN1"/>
    <mergeCell ref="B8:C10"/>
    <mergeCell ref="BY9:CB9"/>
    <mergeCell ref="CG9:CJ9"/>
    <mergeCell ref="D4:CK5"/>
    <mergeCell ref="CM4:EN5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K73"/>
  <sheetViews>
    <sheetView zoomScale="80" zoomScaleNormal="80" workbookViewId="0">
      <selection activeCell="EN21" sqref="EN21"/>
    </sheetView>
  </sheetViews>
  <sheetFormatPr baseColWidth="10" defaultRowHeight="15" x14ac:dyDescent="0.25"/>
  <cols>
    <col min="1" max="1" width="3.140625" bestFit="1" customWidth="1"/>
    <col min="2" max="2" width="13.28515625" bestFit="1" customWidth="1"/>
    <col min="3" max="3" width="12.7109375" bestFit="1" customWidth="1"/>
    <col min="4" max="4" width="14" bestFit="1" customWidth="1"/>
    <col min="5" max="5" width="23.42578125" bestFit="1" customWidth="1"/>
    <col min="6" max="8" width="6.7109375" hidden="1" customWidth="1"/>
    <col min="9" max="10" width="6.42578125" hidden="1" customWidth="1"/>
    <col min="11" max="11" width="7.28515625" hidden="1" customWidth="1"/>
    <col min="12" max="12" width="7.28515625" style="12" hidden="1" customWidth="1"/>
    <col min="13" max="16" width="6.28515625" style="12" hidden="1" customWidth="1"/>
    <col min="17" max="19" width="6.7109375" style="12" hidden="1" customWidth="1"/>
    <col min="20" max="29" width="7.28515625" style="12" hidden="1" customWidth="1"/>
    <col min="30" max="30" width="0" hidden="1" customWidth="1"/>
    <col min="31" max="32" width="6.85546875" hidden="1" customWidth="1"/>
    <col min="33" max="53" width="6" style="12" hidden="1" customWidth="1"/>
    <col min="54" max="55" width="0" hidden="1" customWidth="1"/>
    <col min="56" max="56" width="10" hidden="1" customWidth="1"/>
    <col min="57" max="72" width="6" hidden="1" customWidth="1"/>
    <col min="73" max="73" width="10.28515625" hidden="1" customWidth="1"/>
    <col min="74" max="78" width="6.140625" hidden="1" customWidth="1"/>
    <col min="79" max="80" width="0" hidden="1" customWidth="1"/>
    <col min="81" max="81" width="5.5703125" style="12" hidden="1" customWidth="1"/>
    <col min="82" max="82" width="7.85546875" style="12" hidden="1" customWidth="1"/>
    <col min="83" max="83" width="6.7109375" style="12" hidden="1" customWidth="1"/>
    <col min="84" max="84" width="7.85546875" style="12" hidden="1" customWidth="1"/>
    <col min="85" max="85" width="8.140625" style="12" hidden="1" customWidth="1"/>
    <col min="86" max="86" width="8.5703125" style="12" hidden="1" customWidth="1"/>
    <col min="89" max="90" width="8.85546875" style="12" customWidth="1"/>
    <col min="91" max="92" width="11.42578125" style="12"/>
    <col min="97" max="100" width="0" hidden="1" customWidth="1"/>
    <col min="101" max="102" width="6.42578125" hidden="1" customWidth="1"/>
    <col min="103" max="103" width="8.7109375" hidden="1" customWidth="1"/>
    <col min="104" max="105" width="7.28515625" hidden="1" customWidth="1"/>
    <col min="106" max="107" width="7.28515625" style="12" hidden="1" customWidth="1"/>
    <col min="108" max="108" width="0" hidden="1" customWidth="1"/>
    <col min="109" max="109" width="10" hidden="1" customWidth="1"/>
    <col min="110" max="110" width="9.7109375" hidden="1" customWidth="1"/>
    <col min="111" max="111" width="9.28515625" hidden="1" customWidth="1"/>
    <col min="112" max="112" width="9.7109375" hidden="1" customWidth="1"/>
    <col min="113" max="113" width="10.7109375" hidden="1" customWidth="1"/>
    <col min="114" max="116" width="7.140625" hidden="1" customWidth="1"/>
    <col min="117" max="119" width="0" hidden="1" customWidth="1"/>
    <col min="120" max="123" width="6" style="12" hidden="1" customWidth="1"/>
    <col min="124" max="125" width="0" hidden="1" customWidth="1"/>
    <col min="126" max="126" width="8.5703125" style="12" hidden="1" customWidth="1"/>
    <col min="127" max="131" width="6" style="12" hidden="1" customWidth="1"/>
    <col min="134" max="134" width="11.42578125" style="12"/>
    <col min="135" max="135" width="6" style="12" bestFit="1" customWidth="1"/>
    <col min="136" max="140" width="6" style="12" customWidth="1"/>
  </cols>
  <sheetData>
    <row r="1" spans="1:141" ht="26.25" x14ac:dyDescent="0.4">
      <c r="B1" s="80" t="s">
        <v>3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  <c r="CG1" s="80"/>
      <c r="CH1" s="80"/>
      <c r="CI1" s="80"/>
      <c r="CJ1" s="80"/>
      <c r="CK1" s="80"/>
      <c r="CL1" s="80"/>
      <c r="CM1" s="80"/>
      <c r="CN1" s="80"/>
      <c r="CO1" s="80"/>
      <c r="CP1" s="80"/>
      <c r="CQ1" s="80"/>
      <c r="CR1" s="80"/>
      <c r="CS1" s="80"/>
      <c r="CT1" s="80"/>
      <c r="CU1" s="80"/>
      <c r="CV1" s="80"/>
      <c r="CW1" s="80"/>
      <c r="CX1" s="80"/>
      <c r="CY1" s="80"/>
      <c r="CZ1" s="80"/>
      <c r="DA1" s="80"/>
      <c r="DB1" s="80"/>
      <c r="DC1" s="80"/>
      <c r="DD1" s="80"/>
      <c r="DE1" s="80"/>
      <c r="DF1" s="80"/>
      <c r="DG1" s="80"/>
      <c r="DH1" s="80"/>
      <c r="DI1" s="80"/>
      <c r="DJ1" s="80"/>
      <c r="DK1" s="80"/>
      <c r="DL1" s="80"/>
      <c r="DM1" s="80"/>
      <c r="DN1" s="80"/>
      <c r="DO1" s="80"/>
      <c r="DP1" s="80"/>
      <c r="DQ1" s="80"/>
      <c r="DR1" s="80"/>
      <c r="DS1" s="80"/>
      <c r="DT1" s="80"/>
      <c r="DU1" s="80"/>
      <c r="DV1" s="80"/>
      <c r="DW1" s="80"/>
      <c r="DX1" s="80"/>
      <c r="DY1" s="80"/>
      <c r="DZ1" s="80"/>
      <c r="EA1" s="80"/>
      <c r="EB1" s="80"/>
      <c r="EC1" s="80"/>
      <c r="ED1" s="80"/>
      <c r="EE1" s="80"/>
      <c r="EF1" s="80"/>
      <c r="EG1" s="80"/>
      <c r="EH1" s="80"/>
      <c r="EI1" s="80"/>
      <c r="EJ1" s="80"/>
      <c r="EK1" s="80"/>
    </row>
    <row r="2" spans="1:141" ht="15.75" thickBot="1" x14ac:dyDescent="0.3">
      <c r="C2" s="12"/>
      <c r="D2" s="12"/>
      <c r="E2" s="12"/>
    </row>
    <row r="3" spans="1:141" ht="16.5" customHeight="1" thickTop="1" x14ac:dyDescent="0.25">
      <c r="B3" s="1" t="s">
        <v>0</v>
      </c>
      <c r="C3" s="4" t="s">
        <v>10</v>
      </c>
      <c r="D3" s="81" t="s">
        <v>791</v>
      </c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2"/>
      <c r="BK3" s="82"/>
      <c r="BL3" s="82"/>
      <c r="BM3" s="82"/>
      <c r="BN3" s="82"/>
      <c r="BO3" s="82"/>
      <c r="BP3" s="82"/>
      <c r="BQ3" s="82"/>
      <c r="BR3" s="82"/>
      <c r="BS3" s="82"/>
      <c r="BT3" s="82"/>
      <c r="BU3" s="82"/>
      <c r="BV3" s="82"/>
      <c r="BW3" s="82"/>
      <c r="BX3" s="82"/>
      <c r="BY3" s="82"/>
      <c r="BZ3" s="82"/>
      <c r="CA3" s="82"/>
      <c r="CB3" s="82"/>
      <c r="CC3" s="82"/>
      <c r="CD3" s="82"/>
      <c r="CE3" s="82"/>
      <c r="CF3" s="82"/>
      <c r="CG3" s="82"/>
      <c r="CH3" s="82"/>
      <c r="CI3" s="82"/>
      <c r="CJ3" s="82"/>
      <c r="CK3" s="82"/>
      <c r="CL3" s="82"/>
      <c r="CM3" s="82"/>
      <c r="CN3" s="82"/>
      <c r="CO3" s="82"/>
      <c r="CP3" s="82"/>
      <c r="CQ3" s="82"/>
    </row>
    <row r="4" spans="1:141" ht="15.6" customHeight="1" x14ac:dyDescent="0.25">
      <c r="B4" s="2" t="s">
        <v>1</v>
      </c>
      <c r="C4" s="5" t="s">
        <v>84</v>
      </c>
      <c r="D4" s="81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2"/>
      <c r="BK4" s="82"/>
      <c r="BL4" s="82"/>
      <c r="BM4" s="82"/>
      <c r="BN4" s="82"/>
      <c r="BO4" s="82"/>
      <c r="BP4" s="82"/>
      <c r="BQ4" s="82"/>
      <c r="BR4" s="82"/>
      <c r="BS4" s="82"/>
      <c r="BT4" s="82"/>
      <c r="BU4" s="82"/>
      <c r="BV4" s="82"/>
      <c r="BW4" s="82"/>
      <c r="BX4" s="82"/>
      <c r="BY4" s="82"/>
      <c r="BZ4" s="82"/>
      <c r="CA4" s="82"/>
      <c r="CB4" s="82"/>
      <c r="CC4" s="82"/>
      <c r="CD4" s="82"/>
      <c r="CE4" s="82"/>
      <c r="CF4" s="82"/>
      <c r="CG4" s="82"/>
      <c r="CH4" s="82"/>
      <c r="CI4" s="82"/>
      <c r="CJ4" s="82"/>
      <c r="CK4" s="82"/>
      <c r="CL4" s="82"/>
      <c r="CM4" s="82"/>
      <c r="CN4" s="82"/>
      <c r="CO4" s="82"/>
      <c r="CP4" s="82"/>
      <c r="CQ4" s="82"/>
      <c r="CS4" s="82" t="s">
        <v>792</v>
      </c>
      <c r="CT4" s="82"/>
      <c r="CU4" s="82"/>
      <c r="CV4" s="82"/>
      <c r="CW4" s="82"/>
      <c r="CX4" s="82"/>
      <c r="CY4" s="82"/>
      <c r="CZ4" s="82"/>
      <c r="DA4" s="82"/>
      <c r="DB4" s="82"/>
      <c r="DC4" s="82"/>
      <c r="DD4" s="82"/>
      <c r="DE4" s="82"/>
      <c r="DF4" s="82"/>
      <c r="DG4" s="82"/>
      <c r="DH4" s="82"/>
      <c r="DI4" s="82"/>
      <c r="DJ4" s="82"/>
      <c r="DK4" s="82"/>
      <c r="DL4" s="82"/>
      <c r="DM4" s="82"/>
      <c r="DN4" s="82"/>
      <c r="DO4" s="82"/>
      <c r="DP4" s="82"/>
      <c r="DQ4" s="82"/>
      <c r="DR4" s="82"/>
      <c r="DS4" s="82"/>
      <c r="DT4" s="82"/>
      <c r="DU4" s="82"/>
      <c r="DV4" s="82"/>
      <c r="DW4" s="82"/>
      <c r="DX4" s="82"/>
      <c r="DY4" s="82"/>
      <c r="DZ4" s="82"/>
      <c r="EA4" s="82"/>
      <c r="EB4" s="82"/>
      <c r="EC4" s="82"/>
      <c r="ED4" s="82"/>
      <c r="EE4" s="82"/>
      <c r="EF4" s="82"/>
      <c r="EG4" s="82"/>
      <c r="EH4" s="82"/>
      <c r="EI4" s="82"/>
      <c r="EJ4" s="82"/>
      <c r="EK4" s="82"/>
    </row>
    <row r="5" spans="1:141" ht="16.149999999999999" customHeight="1" thickBot="1" x14ac:dyDescent="0.3">
      <c r="B5" s="3" t="s">
        <v>2</v>
      </c>
      <c r="C5" s="53">
        <v>-73</v>
      </c>
      <c r="D5" s="81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2"/>
      <c r="BI5" s="82"/>
      <c r="BJ5" s="82"/>
      <c r="BK5" s="82"/>
      <c r="BL5" s="82"/>
      <c r="BM5" s="82"/>
      <c r="BN5" s="82"/>
      <c r="BO5" s="82"/>
      <c r="BP5" s="82"/>
      <c r="BQ5" s="82"/>
      <c r="BR5" s="82"/>
      <c r="BS5" s="82"/>
      <c r="BT5" s="82"/>
      <c r="BU5" s="82"/>
      <c r="BV5" s="82"/>
      <c r="BW5" s="82"/>
      <c r="BX5" s="82"/>
      <c r="BY5" s="82"/>
      <c r="BZ5" s="82"/>
      <c r="CA5" s="82"/>
      <c r="CB5" s="82"/>
      <c r="CC5" s="82"/>
      <c r="CD5" s="82"/>
      <c r="CE5" s="82"/>
      <c r="CF5" s="82"/>
      <c r="CG5" s="82"/>
      <c r="CH5" s="82"/>
      <c r="CI5" s="82"/>
      <c r="CJ5" s="82"/>
      <c r="CK5" s="82"/>
      <c r="CL5" s="82"/>
      <c r="CM5" s="82"/>
      <c r="CN5" s="82"/>
      <c r="CO5" s="82"/>
      <c r="CP5" s="82"/>
      <c r="CQ5" s="82"/>
      <c r="CS5" s="82"/>
      <c r="CT5" s="82"/>
      <c r="CU5" s="82"/>
      <c r="CV5" s="82"/>
      <c r="CW5" s="82"/>
      <c r="CX5" s="82"/>
      <c r="CY5" s="82"/>
      <c r="CZ5" s="82"/>
      <c r="DA5" s="82"/>
      <c r="DB5" s="82"/>
      <c r="DC5" s="82"/>
      <c r="DD5" s="82"/>
      <c r="DE5" s="82"/>
      <c r="DF5" s="82"/>
      <c r="DG5" s="82"/>
      <c r="DH5" s="82"/>
      <c r="DI5" s="82"/>
      <c r="DJ5" s="82"/>
      <c r="DK5" s="82"/>
      <c r="DL5" s="82"/>
      <c r="DM5" s="82"/>
      <c r="DN5" s="82"/>
      <c r="DO5" s="82"/>
      <c r="DP5" s="82"/>
      <c r="DQ5" s="82"/>
      <c r="DR5" s="82"/>
      <c r="DS5" s="82"/>
      <c r="DT5" s="82"/>
      <c r="DU5" s="82"/>
      <c r="DV5" s="82"/>
      <c r="DW5" s="82"/>
      <c r="DX5" s="82"/>
      <c r="DY5" s="82"/>
      <c r="DZ5" s="82"/>
      <c r="EA5" s="82"/>
      <c r="EB5" s="82"/>
      <c r="EC5" s="82"/>
      <c r="ED5" s="82"/>
      <c r="EE5" s="82"/>
      <c r="EF5" s="82"/>
      <c r="EG5" s="82"/>
      <c r="EH5" s="82"/>
      <c r="EI5" s="82"/>
      <c r="EJ5" s="82"/>
      <c r="EK5" s="82"/>
    </row>
    <row r="6" spans="1:141" ht="15.75" thickTop="1" x14ac:dyDescent="0.25"/>
    <row r="7" spans="1:141" ht="15.75" thickBot="1" x14ac:dyDescent="0.3"/>
    <row r="8" spans="1:141" ht="15.75" thickTop="1" x14ac:dyDescent="0.25">
      <c r="B8" s="73" t="s">
        <v>61</v>
      </c>
      <c r="C8" s="74"/>
      <c r="D8" s="1"/>
      <c r="E8" s="1"/>
      <c r="F8" s="4" t="s">
        <v>82</v>
      </c>
      <c r="G8" s="4" t="s">
        <v>82</v>
      </c>
      <c r="H8" s="4" t="s">
        <v>82</v>
      </c>
      <c r="I8" s="4" t="s">
        <v>82</v>
      </c>
      <c r="J8" s="4" t="s">
        <v>170</v>
      </c>
      <c r="K8" s="4" t="s">
        <v>224</v>
      </c>
      <c r="L8" s="4" t="s">
        <v>82</v>
      </c>
      <c r="M8" s="4" t="s">
        <v>287</v>
      </c>
      <c r="N8" s="4" t="s">
        <v>286</v>
      </c>
      <c r="O8" s="4" t="s">
        <v>289</v>
      </c>
      <c r="P8" s="4" t="s">
        <v>296</v>
      </c>
      <c r="Q8" s="4" t="s">
        <v>82</v>
      </c>
      <c r="R8" s="4" t="s">
        <v>82</v>
      </c>
      <c r="S8" s="4" t="s">
        <v>82</v>
      </c>
      <c r="T8" s="4" t="s">
        <v>82</v>
      </c>
      <c r="U8" s="4" t="s">
        <v>82</v>
      </c>
      <c r="V8" s="4" t="s">
        <v>82</v>
      </c>
      <c r="W8" s="4" t="s">
        <v>82</v>
      </c>
      <c r="X8" s="4" t="s">
        <v>316</v>
      </c>
      <c r="Y8" s="4" t="s">
        <v>82</v>
      </c>
      <c r="Z8" s="4" t="s">
        <v>82</v>
      </c>
      <c r="AA8" s="4" t="s">
        <v>82</v>
      </c>
      <c r="AB8" s="4" t="s">
        <v>334</v>
      </c>
      <c r="AC8" s="4" t="s">
        <v>334</v>
      </c>
      <c r="AD8" s="1"/>
      <c r="AE8" s="25">
        <v>44927</v>
      </c>
      <c r="AF8" s="29" t="s">
        <v>82</v>
      </c>
      <c r="AG8" s="29" t="s">
        <v>82</v>
      </c>
      <c r="AH8" s="29" t="s">
        <v>82</v>
      </c>
      <c r="AI8" s="29" t="s">
        <v>82</v>
      </c>
      <c r="AJ8" s="29" t="s">
        <v>334</v>
      </c>
      <c r="AK8" s="29" t="s">
        <v>82</v>
      </c>
      <c r="AL8" s="29" t="s">
        <v>82</v>
      </c>
      <c r="AM8" s="29" t="s">
        <v>387</v>
      </c>
      <c r="AN8" s="29" t="s">
        <v>387</v>
      </c>
      <c r="AO8" s="29" t="s">
        <v>387</v>
      </c>
      <c r="AP8" s="29" t="s">
        <v>82</v>
      </c>
      <c r="AQ8" s="29" t="s">
        <v>334</v>
      </c>
      <c r="AR8" s="29" t="s">
        <v>82</v>
      </c>
      <c r="AS8" s="29" t="s">
        <v>82</v>
      </c>
      <c r="AT8" s="29" t="s">
        <v>82</v>
      </c>
      <c r="AU8" s="29" t="s">
        <v>82</v>
      </c>
      <c r="AV8" s="29" t="s">
        <v>334</v>
      </c>
      <c r="AW8" s="29" t="s">
        <v>82</v>
      </c>
      <c r="AX8" s="29" t="s">
        <v>82</v>
      </c>
      <c r="AY8" s="29" t="s">
        <v>82</v>
      </c>
      <c r="AZ8" s="29" t="s">
        <v>82</v>
      </c>
      <c r="BA8" s="29" t="s">
        <v>339</v>
      </c>
      <c r="BB8" s="1" t="s">
        <v>9</v>
      </c>
      <c r="BC8" s="29">
        <v>45292</v>
      </c>
      <c r="BD8" s="29" t="s">
        <v>82</v>
      </c>
      <c r="BE8" s="29" t="s">
        <v>82</v>
      </c>
      <c r="BF8" s="29" t="s">
        <v>82</v>
      </c>
      <c r="BG8" s="29" t="s">
        <v>82</v>
      </c>
      <c r="BH8" s="29" t="s">
        <v>82</v>
      </c>
      <c r="BI8" s="29" t="s">
        <v>82</v>
      </c>
      <c r="BJ8" s="29" t="s">
        <v>82</v>
      </c>
      <c r="BK8" s="29" t="s">
        <v>82</v>
      </c>
      <c r="BL8" s="29" t="s">
        <v>334</v>
      </c>
      <c r="BM8" s="29" t="s">
        <v>334</v>
      </c>
      <c r="BN8" s="29" t="s">
        <v>387</v>
      </c>
      <c r="BO8" s="29" t="s">
        <v>387</v>
      </c>
      <c r="BP8" s="29" t="s">
        <v>387</v>
      </c>
      <c r="BQ8" s="29" t="s">
        <v>334</v>
      </c>
      <c r="BR8" s="29" t="s">
        <v>82</v>
      </c>
      <c r="BS8" s="29" t="s">
        <v>82</v>
      </c>
      <c r="BT8" s="29" t="s">
        <v>82</v>
      </c>
      <c r="BU8" s="29" t="s">
        <v>82</v>
      </c>
      <c r="BV8" s="29" t="s">
        <v>82</v>
      </c>
      <c r="BW8" s="29" t="s">
        <v>82</v>
      </c>
      <c r="BX8" s="29" t="s">
        <v>82</v>
      </c>
      <c r="BY8" s="29" t="s">
        <v>334</v>
      </c>
      <c r="BZ8" s="29" t="s">
        <v>339</v>
      </c>
      <c r="CA8" s="29" t="s">
        <v>9</v>
      </c>
      <c r="CB8" s="29">
        <v>45658</v>
      </c>
      <c r="CC8" s="29"/>
      <c r="CD8" s="29"/>
      <c r="CE8" s="59"/>
      <c r="CF8" s="60"/>
      <c r="CG8" s="60"/>
      <c r="CH8" s="61"/>
      <c r="CI8" s="29" t="s">
        <v>9</v>
      </c>
      <c r="CJ8" s="29">
        <v>46023</v>
      </c>
      <c r="CK8" s="29"/>
      <c r="CL8" s="29"/>
      <c r="CM8" s="59"/>
      <c r="CN8" s="60"/>
      <c r="CO8" s="60"/>
      <c r="CP8" s="61"/>
      <c r="CQ8" s="29" t="s">
        <v>612</v>
      </c>
      <c r="CS8" s="25">
        <v>44927</v>
      </c>
      <c r="CT8" s="1" t="s">
        <v>59</v>
      </c>
      <c r="CU8" s="1" t="s">
        <v>59</v>
      </c>
      <c r="CV8" s="4" t="s">
        <v>58</v>
      </c>
      <c r="CW8" s="4" t="s">
        <v>120</v>
      </c>
      <c r="CX8" s="4" t="s">
        <v>291</v>
      </c>
      <c r="CY8" s="4" t="s">
        <v>79</v>
      </c>
      <c r="CZ8" s="4" t="s">
        <v>79</v>
      </c>
      <c r="DA8" s="4" t="s">
        <v>325</v>
      </c>
      <c r="DB8" s="4" t="s">
        <v>331</v>
      </c>
      <c r="DC8" s="4" t="s">
        <v>79</v>
      </c>
      <c r="DD8" s="1" t="s">
        <v>9</v>
      </c>
      <c r="DE8" s="1" t="s">
        <v>58</v>
      </c>
      <c r="DF8" s="1" t="s">
        <v>349</v>
      </c>
      <c r="DG8" s="32" t="s">
        <v>381</v>
      </c>
      <c r="DH8" s="32" t="s">
        <v>385</v>
      </c>
      <c r="DI8" s="32" t="s">
        <v>411</v>
      </c>
      <c r="DJ8" s="4" t="s">
        <v>331</v>
      </c>
      <c r="DK8" s="4" t="s">
        <v>443</v>
      </c>
      <c r="DL8" s="4" t="s">
        <v>335</v>
      </c>
      <c r="DM8" s="1" t="s">
        <v>9</v>
      </c>
      <c r="DN8" s="29">
        <v>45292</v>
      </c>
      <c r="DO8" s="4" t="s">
        <v>59</v>
      </c>
      <c r="DP8" s="4" t="s">
        <v>464</v>
      </c>
      <c r="DQ8" s="4" t="s">
        <v>120</v>
      </c>
      <c r="DR8" s="4" t="s">
        <v>505</v>
      </c>
      <c r="DS8" s="4" t="s">
        <v>335</v>
      </c>
      <c r="DT8" s="4" t="s">
        <v>9</v>
      </c>
      <c r="DU8" s="25">
        <v>45658</v>
      </c>
      <c r="DV8" s="4" t="s">
        <v>464</v>
      </c>
      <c r="DW8" s="4" t="s">
        <v>120</v>
      </c>
      <c r="DX8" s="4" t="s">
        <v>505</v>
      </c>
      <c r="DY8" s="4" t="s">
        <v>505</v>
      </c>
      <c r="DZ8" s="4" t="s">
        <v>331</v>
      </c>
      <c r="EA8" s="4" t="s">
        <v>335</v>
      </c>
      <c r="EB8" s="4" t="s">
        <v>612</v>
      </c>
      <c r="EC8" s="29">
        <v>46023</v>
      </c>
      <c r="ED8" s="4" t="s">
        <v>58</v>
      </c>
      <c r="EE8" s="4" t="s">
        <v>120</v>
      </c>
      <c r="EF8" s="4" t="s">
        <v>505</v>
      </c>
      <c r="EG8" s="4" t="s">
        <v>505</v>
      </c>
      <c r="EH8" s="4" t="s">
        <v>331</v>
      </c>
      <c r="EI8" s="4" t="s">
        <v>302</v>
      </c>
      <c r="EJ8" s="4" t="s">
        <v>77</v>
      </c>
      <c r="EK8" s="1" t="s">
        <v>9</v>
      </c>
    </row>
    <row r="9" spans="1:141" x14ac:dyDescent="0.25">
      <c r="B9" s="75"/>
      <c r="C9" s="76"/>
      <c r="D9" s="2"/>
      <c r="E9" s="2"/>
      <c r="F9" s="14" t="s">
        <v>83</v>
      </c>
      <c r="G9" s="14" t="s">
        <v>132</v>
      </c>
      <c r="H9" s="14" t="s">
        <v>156</v>
      </c>
      <c r="I9" s="14" t="s">
        <v>85</v>
      </c>
      <c r="J9" s="14" t="s">
        <v>171</v>
      </c>
      <c r="K9" s="14" t="s">
        <v>225</v>
      </c>
      <c r="L9" s="14" t="s">
        <v>266</v>
      </c>
      <c r="M9" s="14" t="s">
        <v>278</v>
      </c>
      <c r="N9" s="14" t="s">
        <v>284</v>
      </c>
      <c r="O9" s="14" t="s">
        <v>290</v>
      </c>
      <c r="P9" s="14" t="s">
        <v>171</v>
      </c>
      <c r="Q9" s="14" t="s">
        <v>132</v>
      </c>
      <c r="R9" s="14" t="s">
        <v>85</v>
      </c>
      <c r="S9" s="14" t="s">
        <v>308</v>
      </c>
      <c r="T9" s="14" t="s">
        <v>156</v>
      </c>
      <c r="U9" s="14" t="s">
        <v>304</v>
      </c>
      <c r="V9" s="14" t="s">
        <v>83</v>
      </c>
      <c r="W9" s="14" t="s">
        <v>314</v>
      </c>
      <c r="X9" s="14" t="s">
        <v>317</v>
      </c>
      <c r="Y9" s="14" t="s">
        <v>259</v>
      </c>
      <c r="Z9" s="14" t="s">
        <v>314</v>
      </c>
      <c r="AA9" s="14" t="s">
        <v>167</v>
      </c>
      <c r="AB9" s="14" t="s">
        <v>335</v>
      </c>
      <c r="AC9" s="14" t="s">
        <v>339</v>
      </c>
      <c r="AD9" s="2" t="s">
        <v>9</v>
      </c>
      <c r="AE9" s="2"/>
      <c r="AF9" s="5" t="s">
        <v>132</v>
      </c>
      <c r="AG9" s="5" t="s">
        <v>83</v>
      </c>
      <c r="AH9" s="5" t="s">
        <v>304</v>
      </c>
      <c r="AI9" s="5" t="s">
        <v>85</v>
      </c>
      <c r="AJ9" s="5" t="s">
        <v>287</v>
      </c>
      <c r="AK9" s="5" t="s">
        <v>266</v>
      </c>
      <c r="AL9" s="5" t="s">
        <v>314</v>
      </c>
      <c r="AM9" s="5" t="s">
        <v>286</v>
      </c>
      <c r="AN9" s="5" t="s">
        <v>289</v>
      </c>
      <c r="AO9" s="5" t="s">
        <v>287</v>
      </c>
      <c r="AP9" s="5" t="s">
        <v>261</v>
      </c>
      <c r="AQ9" s="5" t="s">
        <v>286</v>
      </c>
      <c r="AR9" s="5" t="s">
        <v>132</v>
      </c>
      <c r="AS9" s="5" t="s">
        <v>314</v>
      </c>
      <c r="AT9" s="5" t="s">
        <v>266</v>
      </c>
      <c r="AU9" s="5" t="s">
        <v>304</v>
      </c>
      <c r="AV9" s="5" t="s">
        <v>289</v>
      </c>
      <c r="AW9" s="5" t="s">
        <v>261</v>
      </c>
      <c r="AX9" s="5" t="s">
        <v>167</v>
      </c>
      <c r="AY9" s="5" t="s">
        <v>83</v>
      </c>
      <c r="AZ9" s="5" t="s">
        <v>420</v>
      </c>
      <c r="BA9" s="5"/>
      <c r="BB9" s="2"/>
      <c r="BC9" s="5"/>
      <c r="BD9" s="5" t="s">
        <v>486</v>
      </c>
      <c r="BE9" s="5" t="s">
        <v>304</v>
      </c>
      <c r="BF9" s="5" t="s">
        <v>492</v>
      </c>
      <c r="BG9" s="5" t="s">
        <v>261</v>
      </c>
      <c r="BH9" s="5" t="s">
        <v>420</v>
      </c>
      <c r="BI9" s="5" t="s">
        <v>308</v>
      </c>
      <c r="BJ9" s="5" t="s">
        <v>132</v>
      </c>
      <c r="BK9" s="5" t="s">
        <v>167</v>
      </c>
      <c r="BL9" s="5" t="s">
        <v>286</v>
      </c>
      <c r="BM9" s="5" t="s">
        <v>524</v>
      </c>
      <c r="BN9" s="5" t="s">
        <v>286</v>
      </c>
      <c r="BO9" s="5" t="s">
        <v>287</v>
      </c>
      <c r="BP9" s="5" t="s">
        <v>289</v>
      </c>
      <c r="BQ9" s="5" t="s">
        <v>287</v>
      </c>
      <c r="BR9" s="5" t="s">
        <v>266</v>
      </c>
      <c r="BS9" s="5" t="s">
        <v>492</v>
      </c>
      <c r="BT9" s="5" t="s">
        <v>420</v>
      </c>
      <c r="BU9" s="5" t="s">
        <v>486</v>
      </c>
      <c r="BV9" s="5" t="s">
        <v>132</v>
      </c>
      <c r="BW9" s="5" t="s">
        <v>308</v>
      </c>
      <c r="BX9" s="5" t="s">
        <v>578</v>
      </c>
      <c r="BY9" s="5" t="s">
        <v>289</v>
      </c>
      <c r="BZ9" s="5" t="s">
        <v>606</v>
      </c>
      <c r="CA9" s="5"/>
      <c r="CB9" s="5"/>
      <c r="CC9" s="14" t="s">
        <v>82</v>
      </c>
      <c r="CD9" s="14" t="s">
        <v>387</v>
      </c>
      <c r="CE9" s="77" t="s">
        <v>608</v>
      </c>
      <c r="CF9" s="78"/>
      <c r="CG9" s="78"/>
      <c r="CH9" s="79"/>
      <c r="CI9" s="5"/>
      <c r="CJ9" s="5"/>
      <c r="CK9" s="14" t="s">
        <v>82</v>
      </c>
      <c r="CL9" s="14" t="s">
        <v>387</v>
      </c>
      <c r="CM9" s="77" t="s">
        <v>608</v>
      </c>
      <c r="CN9" s="78"/>
      <c r="CO9" s="78"/>
      <c r="CP9" s="79"/>
      <c r="CQ9" s="14"/>
      <c r="CS9" s="2"/>
      <c r="CT9" s="2" t="s">
        <v>60</v>
      </c>
      <c r="CU9" s="2" t="s">
        <v>60</v>
      </c>
      <c r="CV9" s="5"/>
      <c r="CW9" s="5" t="s">
        <v>121</v>
      </c>
      <c r="CX9" s="5" t="s">
        <v>292</v>
      </c>
      <c r="CY9" s="5" t="s">
        <v>312</v>
      </c>
      <c r="CZ9" s="5" t="s">
        <v>121</v>
      </c>
      <c r="DA9" s="5" t="s">
        <v>326</v>
      </c>
      <c r="DB9" s="5" t="s">
        <v>332</v>
      </c>
      <c r="DC9" s="5" t="s">
        <v>332</v>
      </c>
      <c r="DD9" s="2"/>
      <c r="DE9" s="2"/>
      <c r="DF9" s="2"/>
      <c r="DG9" s="33"/>
      <c r="DH9" s="33"/>
      <c r="DI9" s="33"/>
      <c r="DJ9" s="5" t="s">
        <v>326</v>
      </c>
      <c r="DK9" s="5" t="s">
        <v>444</v>
      </c>
      <c r="DL9" s="5" t="s">
        <v>444</v>
      </c>
      <c r="DM9" s="2"/>
      <c r="DN9" s="12"/>
      <c r="DO9" s="5" t="s">
        <v>60</v>
      </c>
      <c r="DP9" s="5"/>
      <c r="DQ9" s="5" t="s">
        <v>501</v>
      </c>
      <c r="DR9" s="5" t="s">
        <v>444</v>
      </c>
      <c r="DS9" s="5" t="s">
        <v>171</v>
      </c>
      <c r="DT9" s="5"/>
      <c r="DU9" s="2"/>
      <c r="DV9" s="5"/>
      <c r="DW9" s="5" t="s">
        <v>444</v>
      </c>
      <c r="DX9" s="5" t="s">
        <v>687</v>
      </c>
      <c r="DY9" s="5" t="s">
        <v>584</v>
      </c>
      <c r="DZ9" s="5" t="s">
        <v>326</v>
      </c>
      <c r="EA9" s="5" t="s">
        <v>171</v>
      </c>
      <c r="EB9" s="5"/>
      <c r="EC9" s="5"/>
      <c r="ED9" s="5"/>
      <c r="EE9" s="5" t="s">
        <v>225</v>
      </c>
      <c r="EF9" s="5" t="s">
        <v>332</v>
      </c>
      <c r="EG9" s="5" t="s">
        <v>444</v>
      </c>
      <c r="EH9" s="5" t="s">
        <v>444</v>
      </c>
      <c r="EI9" s="5" t="s">
        <v>544</v>
      </c>
      <c r="EJ9" s="5" t="s">
        <v>900</v>
      </c>
      <c r="EK9" s="2"/>
    </row>
    <row r="10" spans="1:141" x14ac:dyDescent="0.25">
      <c r="B10" s="75"/>
      <c r="C10" s="76"/>
      <c r="D10" s="2" t="s">
        <v>4</v>
      </c>
      <c r="E10" s="2" t="s">
        <v>5</v>
      </c>
      <c r="F10" s="15">
        <v>44653</v>
      </c>
      <c r="G10" s="15">
        <v>44653</v>
      </c>
      <c r="H10" s="15">
        <v>44654</v>
      </c>
      <c r="I10" s="15">
        <v>44660</v>
      </c>
      <c r="J10" s="5" t="s">
        <v>172</v>
      </c>
      <c r="K10" s="15">
        <v>44695</v>
      </c>
      <c r="L10" s="15">
        <v>44709</v>
      </c>
      <c r="M10" s="15">
        <v>44730</v>
      </c>
      <c r="N10" s="15">
        <v>44730</v>
      </c>
      <c r="O10" s="15">
        <v>44737</v>
      </c>
      <c r="P10" s="15">
        <v>44758</v>
      </c>
      <c r="Q10" s="15">
        <v>44779</v>
      </c>
      <c r="R10" s="15">
        <v>44793</v>
      </c>
      <c r="S10" s="15">
        <v>44800</v>
      </c>
      <c r="T10" s="15">
        <v>44807</v>
      </c>
      <c r="U10" s="15">
        <v>44814</v>
      </c>
      <c r="V10" s="15">
        <v>44814</v>
      </c>
      <c r="W10" s="15">
        <v>44814</v>
      </c>
      <c r="X10" s="15">
        <v>44828</v>
      </c>
      <c r="Y10" s="15">
        <v>44849</v>
      </c>
      <c r="Z10" s="15">
        <v>44856</v>
      </c>
      <c r="AA10" s="15">
        <v>44863</v>
      </c>
      <c r="AB10" s="15">
        <v>44891</v>
      </c>
      <c r="AC10" s="15">
        <v>44905</v>
      </c>
      <c r="AD10" s="2">
        <v>2022</v>
      </c>
      <c r="AE10" s="2"/>
      <c r="AF10" s="5" t="s">
        <v>353</v>
      </c>
      <c r="AG10" s="5" t="s">
        <v>352</v>
      </c>
      <c r="AH10" s="5" t="s">
        <v>357</v>
      </c>
      <c r="AI10" s="5" t="s">
        <v>359</v>
      </c>
      <c r="AJ10" s="5" t="s">
        <v>172</v>
      </c>
      <c r="AK10" s="5" t="s">
        <v>382</v>
      </c>
      <c r="AL10" s="5" t="s">
        <v>379</v>
      </c>
      <c r="AM10" s="5" t="s">
        <v>388</v>
      </c>
      <c r="AN10" s="5" t="s">
        <v>396</v>
      </c>
      <c r="AO10" s="5" t="s">
        <v>400</v>
      </c>
      <c r="AP10" s="5" t="s">
        <v>408</v>
      </c>
      <c r="AQ10" s="5" t="s">
        <v>412</v>
      </c>
      <c r="AR10" s="5" t="s">
        <v>422</v>
      </c>
      <c r="AS10" s="5" t="s">
        <v>424</v>
      </c>
      <c r="AT10" s="5" t="s">
        <v>424</v>
      </c>
      <c r="AU10" s="5" t="s">
        <v>428</v>
      </c>
      <c r="AV10" s="5" t="s">
        <v>432</v>
      </c>
      <c r="AW10" s="5" t="s">
        <v>433</v>
      </c>
      <c r="AX10" s="5" t="s">
        <v>439</v>
      </c>
      <c r="AY10" s="5" t="s">
        <v>439</v>
      </c>
      <c r="AZ10" s="5" t="s">
        <v>446</v>
      </c>
      <c r="BA10" s="5" t="s">
        <v>453</v>
      </c>
      <c r="BB10" s="2">
        <v>2023</v>
      </c>
      <c r="BC10" s="35"/>
      <c r="BD10" s="35" t="s">
        <v>479</v>
      </c>
      <c r="BE10" s="35" t="s">
        <v>479</v>
      </c>
      <c r="BF10" s="35" t="s">
        <v>479</v>
      </c>
      <c r="BG10" s="35" t="s">
        <v>479</v>
      </c>
      <c r="BH10" s="35" t="s">
        <v>479</v>
      </c>
      <c r="BI10" s="35" t="s">
        <v>479</v>
      </c>
      <c r="BJ10" s="35" t="s">
        <v>503</v>
      </c>
      <c r="BK10" s="35" t="s">
        <v>503</v>
      </c>
      <c r="BL10" s="35" t="s">
        <v>513</v>
      </c>
      <c r="BM10" s="35" t="s">
        <v>525</v>
      </c>
      <c r="BN10" s="35" t="s">
        <v>534</v>
      </c>
      <c r="BO10" s="35" t="s">
        <v>534</v>
      </c>
      <c r="BP10" s="35" t="s">
        <v>546</v>
      </c>
      <c r="BQ10" s="35" t="s">
        <v>550</v>
      </c>
      <c r="BR10" s="35" t="s">
        <v>558</v>
      </c>
      <c r="BS10" s="35" t="s">
        <v>564</v>
      </c>
      <c r="BT10" s="35" t="s">
        <v>559</v>
      </c>
      <c r="BU10" s="35" t="s">
        <v>567</v>
      </c>
      <c r="BV10" s="35" t="s">
        <v>567</v>
      </c>
      <c r="BW10" s="35" t="s">
        <v>567</v>
      </c>
      <c r="BX10" s="35" t="s">
        <v>579</v>
      </c>
      <c r="BY10" s="35" t="s">
        <v>587</v>
      </c>
      <c r="BZ10" s="35" t="s">
        <v>607</v>
      </c>
      <c r="CA10" s="35">
        <v>2024</v>
      </c>
      <c r="CB10" s="5"/>
      <c r="CC10" s="5"/>
      <c r="CD10" s="5"/>
      <c r="CE10" s="5">
        <v>1</v>
      </c>
      <c r="CF10" s="5">
        <v>2</v>
      </c>
      <c r="CG10" s="5">
        <v>3</v>
      </c>
      <c r="CH10" s="5">
        <v>4</v>
      </c>
      <c r="CI10" s="5">
        <v>2025</v>
      </c>
      <c r="CJ10" s="5"/>
      <c r="CK10" s="5"/>
      <c r="CL10" s="5"/>
      <c r="CM10" s="5">
        <v>1</v>
      </c>
      <c r="CN10" s="5">
        <v>2</v>
      </c>
      <c r="CO10" s="5">
        <v>3</v>
      </c>
      <c r="CP10" s="5">
        <v>4</v>
      </c>
      <c r="CQ10" s="5">
        <v>2026</v>
      </c>
      <c r="CS10" s="2"/>
      <c r="CT10" s="2"/>
      <c r="CU10" s="2"/>
      <c r="CV10" s="14">
        <v>44562</v>
      </c>
      <c r="CW10" s="14">
        <v>44652</v>
      </c>
      <c r="CX10" s="14">
        <v>44737</v>
      </c>
      <c r="CY10" s="14">
        <v>44805</v>
      </c>
      <c r="CZ10" s="14">
        <v>44821</v>
      </c>
      <c r="DA10" s="14">
        <v>44835</v>
      </c>
      <c r="DB10" s="14">
        <v>44868</v>
      </c>
      <c r="DC10" s="14">
        <v>44866</v>
      </c>
      <c r="DD10" s="2">
        <v>2022</v>
      </c>
      <c r="DE10" s="7">
        <v>44927</v>
      </c>
      <c r="DF10" s="7">
        <v>44986</v>
      </c>
      <c r="DG10" s="34">
        <v>45078</v>
      </c>
      <c r="DH10" s="34">
        <v>45087</v>
      </c>
      <c r="DI10" s="34">
        <v>45129</v>
      </c>
      <c r="DJ10" s="14">
        <v>45139</v>
      </c>
      <c r="DK10" s="14">
        <v>45227</v>
      </c>
      <c r="DL10" s="14">
        <v>45255</v>
      </c>
      <c r="DM10" s="2">
        <v>2023</v>
      </c>
      <c r="DN10" s="12"/>
      <c r="DO10" s="5"/>
      <c r="DP10" s="5" t="s">
        <v>465</v>
      </c>
      <c r="DQ10" s="5" t="s">
        <v>502</v>
      </c>
      <c r="DR10" s="5" t="s">
        <v>506</v>
      </c>
      <c r="DS10" s="5" t="s">
        <v>600</v>
      </c>
      <c r="DT10" s="5">
        <v>2024</v>
      </c>
      <c r="DU10" s="2"/>
      <c r="DV10" s="5" t="s">
        <v>610</v>
      </c>
      <c r="DW10" s="5" t="s">
        <v>649</v>
      </c>
      <c r="DX10" s="5" t="s">
        <v>688</v>
      </c>
      <c r="DY10" s="5" t="s">
        <v>729</v>
      </c>
      <c r="DZ10" s="5" t="s">
        <v>769</v>
      </c>
      <c r="EA10" s="5" t="s">
        <v>600</v>
      </c>
      <c r="EB10" s="5">
        <v>2025</v>
      </c>
      <c r="EC10" s="5"/>
      <c r="ED10" s="5" t="s">
        <v>849</v>
      </c>
      <c r="EE10" s="5" t="s">
        <v>850</v>
      </c>
      <c r="EF10" s="5" t="s">
        <v>879</v>
      </c>
      <c r="EG10" s="5" t="s">
        <v>880</v>
      </c>
      <c r="EH10" s="5" t="s">
        <v>729</v>
      </c>
      <c r="EI10" s="5" t="s">
        <v>888</v>
      </c>
      <c r="EJ10" s="5" t="s">
        <v>902</v>
      </c>
      <c r="EK10" s="2">
        <v>2026</v>
      </c>
    </row>
    <row r="11" spans="1:141" x14ac:dyDescent="0.25">
      <c r="A11">
        <v>1</v>
      </c>
      <c r="B11" s="20" t="s">
        <v>213</v>
      </c>
      <c r="C11" s="20" t="s">
        <v>279</v>
      </c>
      <c r="D11" s="20" t="s">
        <v>280</v>
      </c>
      <c r="E11" s="20" t="s">
        <v>62</v>
      </c>
      <c r="F11" s="8"/>
      <c r="G11" s="8"/>
      <c r="H11" s="8"/>
      <c r="I11" s="8"/>
      <c r="J11" s="8"/>
      <c r="K11" s="8"/>
      <c r="L11" s="10"/>
      <c r="M11" s="10">
        <v>56</v>
      </c>
      <c r="N11" s="10"/>
      <c r="O11" s="10"/>
      <c r="P11" s="10">
        <v>50</v>
      </c>
      <c r="Q11" s="10"/>
      <c r="R11" s="10"/>
      <c r="S11" s="10"/>
      <c r="T11" s="10"/>
      <c r="U11" s="10"/>
      <c r="V11" s="10"/>
      <c r="W11" s="10">
        <v>42</v>
      </c>
      <c r="X11" s="10">
        <v>100</v>
      </c>
      <c r="Y11" s="10"/>
      <c r="Z11" s="10">
        <v>60</v>
      </c>
      <c r="AA11" s="10"/>
      <c r="AB11" s="10">
        <v>50</v>
      </c>
      <c r="AC11" s="10">
        <v>105</v>
      </c>
      <c r="AD11" s="11">
        <f>SUM(F11:AC11)</f>
        <v>463</v>
      </c>
      <c r="AE11" s="11">
        <f>AD11/2</f>
        <v>231.5</v>
      </c>
      <c r="AF11" s="11"/>
      <c r="AG11" s="11"/>
      <c r="AH11" s="11"/>
      <c r="AI11" s="11"/>
      <c r="AJ11" s="11">
        <v>50</v>
      </c>
      <c r="AK11" s="11"/>
      <c r="AL11" s="11">
        <v>21.6</v>
      </c>
      <c r="AM11" s="11"/>
      <c r="AN11" s="11"/>
      <c r="AO11" s="11">
        <v>40</v>
      </c>
      <c r="AP11" s="11"/>
      <c r="AQ11" s="11">
        <v>70</v>
      </c>
      <c r="AR11" s="11"/>
      <c r="AS11" s="11"/>
      <c r="AT11" s="11"/>
      <c r="AU11" s="11"/>
      <c r="AV11" s="11">
        <v>100</v>
      </c>
      <c r="AW11" s="11"/>
      <c r="AX11" s="11"/>
      <c r="AY11" s="11"/>
      <c r="AZ11" s="11"/>
      <c r="BA11" s="11">
        <v>105</v>
      </c>
      <c r="BB11" s="11">
        <f>SUM(AE11:BA11)</f>
        <v>618.1</v>
      </c>
      <c r="BC11" s="11">
        <f>(BB11-AE11)/2</f>
        <v>193.3</v>
      </c>
      <c r="BD11" s="11"/>
      <c r="BE11" s="11"/>
      <c r="BF11" s="11">
        <v>60</v>
      </c>
      <c r="BG11" s="11"/>
      <c r="BH11" s="11"/>
      <c r="BI11" s="11"/>
      <c r="BJ11" s="11"/>
      <c r="BK11" s="11"/>
      <c r="BL11" s="11">
        <v>150</v>
      </c>
      <c r="BM11" s="11">
        <v>100</v>
      </c>
      <c r="BN11" s="11"/>
      <c r="BO11" s="11">
        <v>80</v>
      </c>
      <c r="BP11" s="11"/>
      <c r="BQ11" s="11">
        <v>150</v>
      </c>
      <c r="BR11" s="11"/>
      <c r="BS11" s="11"/>
      <c r="BT11" s="11"/>
      <c r="BU11" s="11"/>
      <c r="BV11" s="11"/>
      <c r="BW11" s="11"/>
      <c r="BX11" s="11"/>
      <c r="BY11" s="11">
        <v>150</v>
      </c>
      <c r="BZ11" s="11">
        <v>200</v>
      </c>
      <c r="CA11" s="11">
        <f>SUM(BC11:BZ11)</f>
        <v>1083.3</v>
      </c>
      <c r="CB11" s="11">
        <f>(CA11-BC11)/2</f>
        <v>445</v>
      </c>
      <c r="CC11" s="11">
        <v>60</v>
      </c>
      <c r="CD11" s="11">
        <v>80</v>
      </c>
      <c r="CE11" s="11">
        <v>80</v>
      </c>
      <c r="CF11" s="11">
        <v>150</v>
      </c>
      <c r="CG11" s="11">
        <v>200</v>
      </c>
      <c r="CH11" s="11"/>
      <c r="CI11" s="11">
        <f>SUM(CB11:CH11)</f>
        <v>1015</v>
      </c>
      <c r="CJ11" s="11">
        <f>(CI11-CB11)/2</f>
        <v>285</v>
      </c>
      <c r="CK11" s="11">
        <v>60</v>
      </c>
      <c r="CL11" s="11">
        <v>80</v>
      </c>
      <c r="CM11" s="11">
        <v>105</v>
      </c>
      <c r="CN11" s="11"/>
      <c r="CO11" s="11"/>
      <c r="CP11" s="11"/>
      <c r="CQ11" s="11">
        <f t="shared" ref="CQ11:CQ42" si="0">SUM(CJ11:CP11)</f>
        <v>530</v>
      </c>
      <c r="CS11" s="10">
        <f>SUM(CV11:DC11)/2</f>
        <v>53</v>
      </c>
      <c r="CT11" s="10">
        <f>BB11/4</f>
        <v>154.52500000000001</v>
      </c>
      <c r="CU11" s="10">
        <f>AD11/2</f>
        <v>231.5</v>
      </c>
      <c r="CV11" s="10"/>
      <c r="CW11" s="10"/>
      <c r="CX11" s="10"/>
      <c r="CY11" s="10"/>
      <c r="CZ11" s="10"/>
      <c r="DA11" s="10"/>
      <c r="DB11" s="10">
        <v>70</v>
      </c>
      <c r="DC11" s="10">
        <v>36</v>
      </c>
      <c r="DD11" s="10">
        <f>SUM(CU11:DC11)</f>
        <v>337.5</v>
      </c>
      <c r="DE11" s="10">
        <v>15</v>
      </c>
      <c r="DF11" s="10"/>
      <c r="DG11" s="10">
        <v>5</v>
      </c>
      <c r="DH11" s="10">
        <v>5</v>
      </c>
      <c r="DI11" s="10">
        <v>5</v>
      </c>
      <c r="DJ11" s="10">
        <v>50</v>
      </c>
      <c r="DK11" s="10"/>
      <c r="DL11" s="10">
        <v>100</v>
      </c>
      <c r="DM11" s="10">
        <f>SUM(CS11:CT11)+SUM(DE11:DL11)</f>
        <v>387.52499999999998</v>
      </c>
      <c r="DN11" s="8">
        <f>(DM11-CS11)/2</f>
        <v>167.26249999999999</v>
      </c>
      <c r="DO11" s="8">
        <f>CA11/4</f>
        <v>270.82499999999999</v>
      </c>
      <c r="DP11" s="10">
        <v>35</v>
      </c>
      <c r="DQ11" s="10">
        <v>15</v>
      </c>
      <c r="DR11" s="10">
        <v>54</v>
      </c>
      <c r="DS11" s="10">
        <v>25</v>
      </c>
      <c r="DT11" s="8">
        <f>SUM(DN11:DS11)</f>
        <v>567.08749999999998</v>
      </c>
      <c r="DU11" s="8">
        <f>(DT11-DN11)/2</f>
        <v>199.91249999999999</v>
      </c>
      <c r="DV11" s="10">
        <v>26.25</v>
      </c>
      <c r="DW11" s="10"/>
      <c r="DX11" s="10">
        <v>7.5</v>
      </c>
      <c r="DY11" s="10"/>
      <c r="DZ11" s="10">
        <v>100</v>
      </c>
      <c r="EA11" s="10">
        <v>50</v>
      </c>
      <c r="EB11" s="8">
        <f t="shared" ref="EB11:EB17" si="1">SUM(DU11:EA11)</f>
        <v>383.66250000000002</v>
      </c>
      <c r="EC11" s="8">
        <f t="shared" ref="EC11:EC42" si="2">(EB11-DU11)/2</f>
        <v>91.875000000000014</v>
      </c>
      <c r="ED11" s="10">
        <v>22.5</v>
      </c>
      <c r="EE11" s="10">
        <v>15</v>
      </c>
      <c r="EF11" s="10"/>
      <c r="EG11" s="10">
        <v>75</v>
      </c>
      <c r="EH11" s="10">
        <v>50</v>
      </c>
      <c r="EI11" s="10">
        <v>15</v>
      </c>
      <c r="EJ11" s="10">
        <v>25</v>
      </c>
      <c r="EK11" s="26">
        <f>SUM(EC11:EJ11)</f>
        <v>294.375</v>
      </c>
    </row>
    <row r="12" spans="1:141" x14ac:dyDescent="0.25">
      <c r="A12">
        <v>2</v>
      </c>
      <c r="B12" s="28" t="s">
        <v>151</v>
      </c>
      <c r="C12" s="28"/>
      <c r="D12" s="28" t="s">
        <v>263</v>
      </c>
      <c r="E12" s="28" t="s">
        <v>197</v>
      </c>
      <c r="F12" s="8"/>
      <c r="G12" s="8"/>
      <c r="H12" s="8"/>
      <c r="I12" s="8"/>
      <c r="J12" s="8"/>
      <c r="K12" s="8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8"/>
      <c r="AE12" s="8"/>
      <c r="AF12" s="8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>
        <v>36</v>
      </c>
      <c r="BN12" s="8"/>
      <c r="BO12" s="8">
        <v>40</v>
      </c>
      <c r="BP12" s="8"/>
      <c r="BQ12" s="8">
        <v>7.5</v>
      </c>
      <c r="BR12" s="8"/>
      <c r="BS12" s="8"/>
      <c r="BT12" s="8"/>
      <c r="BU12" s="8"/>
      <c r="BV12" s="8"/>
      <c r="BW12" s="8"/>
      <c r="BX12" s="8"/>
      <c r="BY12" s="8">
        <v>75</v>
      </c>
      <c r="BZ12" s="8">
        <v>72</v>
      </c>
      <c r="CA12" s="11">
        <f>SUM(BC12:BZ12)</f>
        <v>230.5</v>
      </c>
      <c r="CB12" s="11">
        <f>(CA12-BC12)/2</f>
        <v>115.25</v>
      </c>
      <c r="CC12" s="11">
        <v>30</v>
      </c>
      <c r="CD12" s="11">
        <v>56</v>
      </c>
      <c r="CE12" s="11">
        <v>150</v>
      </c>
      <c r="CF12" s="11">
        <v>40</v>
      </c>
      <c r="CG12" s="11">
        <v>140</v>
      </c>
      <c r="CH12" s="11">
        <v>50</v>
      </c>
      <c r="CI12" s="11">
        <f>SUM(CB12:CH12)</f>
        <v>581.25</v>
      </c>
      <c r="CJ12" s="11">
        <f>(CI12-CB12)/2</f>
        <v>233</v>
      </c>
      <c r="CK12" s="11">
        <v>60</v>
      </c>
      <c r="CL12" s="11"/>
      <c r="CM12" s="11">
        <v>75</v>
      </c>
      <c r="CN12" s="11">
        <v>42</v>
      </c>
      <c r="CO12" s="11"/>
      <c r="CP12" s="11"/>
      <c r="CQ12" s="11">
        <f t="shared" si="0"/>
        <v>410</v>
      </c>
      <c r="CS12" s="8"/>
      <c r="CT12" s="8"/>
      <c r="CU12" s="8"/>
      <c r="CV12" s="8"/>
      <c r="CW12" s="8"/>
      <c r="CX12" s="8"/>
      <c r="CY12" s="8"/>
      <c r="CZ12" s="8"/>
      <c r="DA12" s="8"/>
      <c r="DB12" s="10"/>
      <c r="DC12" s="10"/>
      <c r="DD12" s="8"/>
      <c r="DE12" s="8"/>
      <c r="DF12" s="8"/>
      <c r="DG12" s="8"/>
      <c r="DH12" s="8"/>
      <c r="DI12" s="8"/>
      <c r="DJ12" s="8"/>
      <c r="DK12" s="8"/>
      <c r="DL12" s="8"/>
      <c r="DM12" s="10">
        <f>SUM(CS12:CT12)+SUM(DE12:DL12)</f>
        <v>0</v>
      </c>
      <c r="DN12" s="8">
        <f>(DM12-CS12)/2</f>
        <v>0</v>
      </c>
      <c r="DO12" s="8">
        <f>CA12/4</f>
        <v>57.625</v>
      </c>
      <c r="DP12" s="10"/>
      <c r="DQ12" s="10"/>
      <c r="DR12" s="10"/>
      <c r="DS12" s="10">
        <v>2.5</v>
      </c>
      <c r="DT12" s="8">
        <f>SUM(DN12:DS12)</f>
        <v>60.125</v>
      </c>
      <c r="DU12" s="8">
        <f>(DT12-DN12)/2</f>
        <v>30.0625</v>
      </c>
      <c r="DV12" s="10">
        <v>1.75</v>
      </c>
      <c r="DW12" s="10"/>
      <c r="DX12" s="10"/>
      <c r="DY12" s="10"/>
      <c r="DZ12" s="10"/>
      <c r="EA12" s="10">
        <v>25</v>
      </c>
      <c r="EB12" s="8">
        <f t="shared" si="1"/>
        <v>56.8125</v>
      </c>
      <c r="EC12" s="8">
        <f t="shared" si="2"/>
        <v>13.375</v>
      </c>
      <c r="ED12" s="10">
        <v>18</v>
      </c>
      <c r="EE12" s="10"/>
      <c r="EF12" s="10"/>
      <c r="EG12" s="10"/>
      <c r="EH12" s="10">
        <v>36</v>
      </c>
      <c r="EI12" s="10"/>
      <c r="EJ12" s="10"/>
      <c r="EK12" s="28">
        <f>SUM(EC12:EH12)</f>
        <v>67.375</v>
      </c>
    </row>
    <row r="13" spans="1:141" x14ac:dyDescent="0.25">
      <c r="A13">
        <v>3</v>
      </c>
      <c r="B13" s="18" t="s">
        <v>175</v>
      </c>
      <c r="C13" s="18" t="s">
        <v>216</v>
      </c>
      <c r="D13" s="18" t="s">
        <v>206</v>
      </c>
      <c r="E13" s="18" t="s">
        <v>53</v>
      </c>
      <c r="F13" s="8"/>
      <c r="G13" s="8"/>
      <c r="H13" s="8"/>
      <c r="I13" s="8"/>
      <c r="J13" s="10">
        <v>5</v>
      </c>
      <c r="K13" s="10">
        <v>50</v>
      </c>
      <c r="L13" s="10"/>
      <c r="M13" s="10"/>
      <c r="N13" s="10"/>
      <c r="O13" s="10"/>
      <c r="P13" s="10">
        <v>5</v>
      </c>
      <c r="Q13" s="10"/>
      <c r="R13" s="10"/>
      <c r="S13" s="10"/>
      <c r="T13" s="10"/>
      <c r="U13" s="10"/>
      <c r="V13" s="10"/>
      <c r="W13" s="10">
        <v>21.6</v>
      </c>
      <c r="X13" s="10">
        <v>50</v>
      </c>
      <c r="Y13" s="10"/>
      <c r="Z13" s="10"/>
      <c r="AA13" s="10"/>
      <c r="AB13" s="10"/>
      <c r="AC13" s="10"/>
      <c r="AD13" s="11">
        <f>SUM(F13:AC13)</f>
        <v>131.6</v>
      </c>
      <c r="AE13" s="11">
        <f>AD13/2</f>
        <v>65.8</v>
      </c>
      <c r="AF13" s="11"/>
      <c r="AG13" s="11"/>
      <c r="AH13" s="11"/>
      <c r="AI13" s="11"/>
      <c r="AJ13" s="11">
        <v>26</v>
      </c>
      <c r="AK13" s="11"/>
      <c r="AL13" s="11">
        <v>30</v>
      </c>
      <c r="AM13" s="11"/>
      <c r="AN13" s="11"/>
      <c r="AO13" s="11">
        <v>28.8</v>
      </c>
      <c r="AP13" s="11"/>
      <c r="AQ13" s="11">
        <v>5</v>
      </c>
      <c r="AR13" s="11"/>
      <c r="AS13" s="11">
        <v>30</v>
      </c>
      <c r="AT13" s="11"/>
      <c r="AU13" s="11"/>
      <c r="AV13" s="11"/>
      <c r="AW13" s="11"/>
      <c r="AX13" s="11"/>
      <c r="AY13" s="11"/>
      <c r="AZ13" s="11"/>
      <c r="BA13" s="11">
        <v>75</v>
      </c>
      <c r="BB13" s="11">
        <f>SUM(AE13:BA13)</f>
        <v>260.60000000000002</v>
      </c>
      <c r="BC13" s="11">
        <f>(BB13-AE13)/2</f>
        <v>97.4</v>
      </c>
      <c r="BD13" s="11"/>
      <c r="BE13" s="11"/>
      <c r="BF13" s="11"/>
      <c r="BG13" s="11"/>
      <c r="BH13" s="11"/>
      <c r="BI13" s="11"/>
      <c r="BJ13" s="11"/>
      <c r="BK13" s="11"/>
      <c r="BL13" s="11">
        <v>39</v>
      </c>
      <c r="BM13" s="11">
        <v>50</v>
      </c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 t="s">
        <v>327</v>
      </c>
      <c r="BZ13" s="11"/>
      <c r="CA13" s="11">
        <f>SUM(BC13:BZ13)</f>
        <v>186.4</v>
      </c>
      <c r="CB13" s="11">
        <f>(CA13-BC13)/2</f>
        <v>44.5</v>
      </c>
      <c r="CC13" s="11"/>
      <c r="CD13" s="11">
        <v>56</v>
      </c>
      <c r="CE13" s="11">
        <v>54</v>
      </c>
      <c r="CF13" s="11">
        <v>50</v>
      </c>
      <c r="CG13" s="11">
        <v>54</v>
      </c>
      <c r="CH13" s="11">
        <v>100</v>
      </c>
      <c r="CI13" s="11">
        <f>SUM(CB13:CH13)</f>
        <v>358.5</v>
      </c>
      <c r="CJ13" s="11">
        <f>(CI13-CB13)/2</f>
        <v>157</v>
      </c>
      <c r="CK13" s="11">
        <v>30</v>
      </c>
      <c r="CL13" s="11">
        <v>56</v>
      </c>
      <c r="CM13" s="11">
        <v>75</v>
      </c>
      <c r="CN13" s="11"/>
      <c r="CO13" s="11"/>
      <c r="CP13" s="11"/>
      <c r="CQ13" s="11">
        <f t="shared" si="0"/>
        <v>318</v>
      </c>
      <c r="CS13" s="10">
        <f>SUM(CV13:DC13)/2</f>
        <v>0</v>
      </c>
      <c r="CT13" s="10">
        <f>BB13/4</f>
        <v>65.150000000000006</v>
      </c>
      <c r="CU13" s="10">
        <f>AD13/2</f>
        <v>65.8</v>
      </c>
      <c r="CV13" s="10"/>
      <c r="CW13" s="10"/>
      <c r="CX13" s="10"/>
      <c r="CY13" s="10"/>
      <c r="CZ13" s="10"/>
      <c r="DA13" s="10"/>
      <c r="DB13" s="10"/>
      <c r="DC13" s="10"/>
      <c r="DD13" s="10">
        <f>SUM(CU13:CW13)</f>
        <v>65.8</v>
      </c>
      <c r="DE13" s="10"/>
      <c r="DF13" s="10"/>
      <c r="DG13" s="10"/>
      <c r="DH13" s="10"/>
      <c r="DI13" s="10"/>
      <c r="DJ13" s="10"/>
      <c r="DK13" s="10"/>
      <c r="DL13" s="10">
        <v>36</v>
      </c>
      <c r="DM13" s="10">
        <f>SUM(CS13:CT13)+SUM(DE13:DL13)</f>
        <v>101.15</v>
      </c>
      <c r="DN13" s="8">
        <f>(DM13-CS13)/2</f>
        <v>50.575000000000003</v>
      </c>
      <c r="DO13" s="8">
        <f>CA13/4</f>
        <v>46.6</v>
      </c>
      <c r="DP13" s="10"/>
      <c r="DQ13" s="10"/>
      <c r="DR13" s="10">
        <v>54</v>
      </c>
      <c r="DS13" s="10"/>
      <c r="DT13" s="8">
        <f>SUM(DN13:DR13)</f>
        <v>151.17500000000001</v>
      </c>
      <c r="DU13" s="8">
        <f>(DT13-DN13)/2</f>
        <v>50.300000000000004</v>
      </c>
      <c r="DV13" s="10"/>
      <c r="DW13" s="10"/>
      <c r="DX13" s="10"/>
      <c r="DY13" s="10"/>
      <c r="DZ13" s="10"/>
      <c r="EA13" s="10">
        <v>35</v>
      </c>
      <c r="EB13" s="8">
        <f t="shared" si="1"/>
        <v>85.300000000000011</v>
      </c>
      <c r="EC13" s="8">
        <f t="shared" si="2"/>
        <v>17.500000000000004</v>
      </c>
      <c r="ED13" s="10">
        <v>1.5</v>
      </c>
      <c r="EE13" s="10"/>
      <c r="EF13" s="10"/>
      <c r="EG13" s="10"/>
      <c r="EH13" s="10"/>
      <c r="EI13" s="10"/>
      <c r="EJ13" s="10"/>
      <c r="EK13" s="8">
        <f>SUM(EC13:ED13)</f>
        <v>19.000000000000004</v>
      </c>
    </row>
    <row r="14" spans="1:141" x14ac:dyDescent="0.25">
      <c r="A14">
        <v>4</v>
      </c>
      <c r="B14" s="8" t="s">
        <v>318</v>
      </c>
      <c r="C14" s="8"/>
      <c r="D14" s="8" t="s">
        <v>319</v>
      </c>
      <c r="E14" s="8" t="s">
        <v>113</v>
      </c>
      <c r="F14" s="8"/>
      <c r="G14" s="8"/>
      <c r="H14" s="8"/>
      <c r="I14" s="8"/>
      <c r="J14" s="8"/>
      <c r="K14" s="8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8"/>
      <c r="AE14" s="8"/>
      <c r="AF14" s="8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10"/>
      <c r="CD14" s="10"/>
      <c r="CE14" s="10"/>
      <c r="CF14" s="10"/>
      <c r="CG14" s="10"/>
      <c r="CH14" s="10"/>
      <c r="CI14" s="8"/>
      <c r="CJ14" s="8"/>
      <c r="CK14" s="10">
        <v>36</v>
      </c>
      <c r="CL14" s="10">
        <v>80</v>
      </c>
      <c r="CM14" s="10">
        <v>150</v>
      </c>
      <c r="CN14" s="10">
        <v>33.6</v>
      </c>
      <c r="CO14" s="8"/>
      <c r="CP14" s="8"/>
      <c r="CQ14" s="11">
        <f t="shared" si="0"/>
        <v>299.60000000000002</v>
      </c>
      <c r="CS14" s="8"/>
      <c r="CT14" s="8"/>
      <c r="CU14" s="8"/>
      <c r="CV14" s="8"/>
      <c r="CW14" s="8"/>
      <c r="CX14" s="8"/>
      <c r="CY14" s="8"/>
      <c r="CZ14" s="8"/>
      <c r="DA14" s="8"/>
      <c r="DB14" s="10"/>
      <c r="DC14" s="10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10"/>
      <c r="DQ14" s="10"/>
      <c r="DR14" s="10"/>
      <c r="DS14" s="10"/>
      <c r="DT14" s="8"/>
      <c r="DU14" s="8"/>
      <c r="DV14" s="10"/>
      <c r="DW14" s="10"/>
      <c r="DX14" s="10"/>
      <c r="DY14" s="10"/>
      <c r="DZ14" s="10"/>
      <c r="EA14" s="10"/>
      <c r="EB14" s="8">
        <f t="shared" si="1"/>
        <v>0</v>
      </c>
      <c r="EC14" s="8">
        <f t="shared" si="2"/>
        <v>0</v>
      </c>
      <c r="ED14" s="10">
        <v>30</v>
      </c>
      <c r="EE14" s="10"/>
      <c r="EF14" s="10">
        <v>18</v>
      </c>
      <c r="EG14" s="10">
        <v>7.5</v>
      </c>
      <c r="EH14" s="10">
        <v>5</v>
      </c>
      <c r="EI14" s="10"/>
      <c r="EJ14" s="10"/>
      <c r="EK14" s="8">
        <f>SUM(EC14:EH14)</f>
        <v>60.5</v>
      </c>
    </row>
    <row r="15" spans="1:141" x14ac:dyDescent="0.25">
      <c r="A15">
        <v>5</v>
      </c>
      <c r="B15" s="8" t="s">
        <v>518</v>
      </c>
      <c r="C15" s="8"/>
      <c r="D15" s="8" t="s">
        <v>73</v>
      </c>
      <c r="E15" s="18" t="s">
        <v>442</v>
      </c>
      <c r="F15" s="8"/>
      <c r="G15" s="8"/>
      <c r="H15" s="8"/>
      <c r="I15" s="8"/>
      <c r="J15" s="8"/>
      <c r="K15" s="8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8"/>
      <c r="AE15" s="8"/>
      <c r="AF15" s="8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11">
        <f>SUM(BC15:BZ15)</f>
        <v>0</v>
      </c>
      <c r="CB15" s="11">
        <f>(CA15-BC15)/2</f>
        <v>0</v>
      </c>
      <c r="CC15" s="11">
        <v>3</v>
      </c>
      <c r="CD15" s="11">
        <v>40</v>
      </c>
      <c r="CE15" s="11">
        <v>39</v>
      </c>
      <c r="CF15" s="11">
        <v>75</v>
      </c>
      <c r="CG15" s="11">
        <v>40</v>
      </c>
      <c r="CH15" s="11">
        <v>36</v>
      </c>
      <c r="CI15" s="11">
        <f>SUM(CB15:CH15)</f>
        <v>233</v>
      </c>
      <c r="CJ15" s="11">
        <f>(CI15-CB15)/2</f>
        <v>116.5</v>
      </c>
      <c r="CK15" s="11">
        <v>42</v>
      </c>
      <c r="CL15" s="11">
        <v>28.8</v>
      </c>
      <c r="CM15" s="11">
        <v>7.5</v>
      </c>
      <c r="CN15" s="11">
        <v>50</v>
      </c>
      <c r="CO15" s="11">
        <v>30</v>
      </c>
      <c r="CP15" s="11"/>
      <c r="CQ15" s="11">
        <f t="shared" si="0"/>
        <v>274.8</v>
      </c>
      <c r="CS15" s="8"/>
      <c r="CT15" s="8"/>
      <c r="CU15" s="8"/>
      <c r="CV15" s="8"/>
      <c r="CW15" s="8"/>
      <c r="CX15" s="8"/>
      <c r="CY15" s="8"/>
      <c r="CZ15" s="8"/>
      <c r="DA15" s="8"/>
      <c r="DB15" s="10"/>
      <c r="DC15" s="10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10"/>
      <c r="DQ15" s="10"/>
      <c r="DR15" s="10"/>
      <c r="DS15" s="10">
        <v>2.5</v>
      </c>
      <c r="DT15" s="8">
        <f>SUM(DN15:DS15)</f>
        <v>2.5</v>
      </c>
      <c r="DU15" s="8">
        <f>(DT15-DN15)/2</f>
        <v>1.25</v>
      </c>
      <c r="DV15" s="10">
        <v>14</v>
      </c>
      <c r="DW15" s="10"/>
      <c r="DX15" s="10"/>
      <c r="DY15" s="10"/>
      <c r="DZ15" s="10"/>
      <c r="EA15" s="10">
        <v>13</v>
      </c>
      <c r="EB15" s="8">
        <f t="shared" si="1"/>
        <v>28.25</v>
      </c>
      <c r="EC15" s="8">
        <f t="shared" si="2"/>
        <v>13.5</v>
      </c>
      <c r="ED15" s="10"/>
      <c r="EE15" s="10"/>
      <c r="EF15" s="10"/>
      <c r="EG15" s="10"/>
      <c r="EH15" s="10"/>
      <c r="EI15" s="10"/>
      <c r="EJ15" s="10"/>
      <c r="EK15" s="8">
        <f t="shared" ref="EK15:EK46" si="3">SUM(EC15:ED15)</f>
        <v>13.5</v>
      </c>
    </row>
    <row r="16" spans="1:141" x14ac:dyDescent="0.25">
      <c r="A16">
        <v>6</v>
      </c>
      <c r="B16" s="8" t="s">
        <v>281</v>
      </c>
      <c r="C16" s="8" t="s">
        <v>294</v>
      </c>
      <c r="D16" s="8" t="s">
        <v>282</v>
      </c>
      <c r="E16" s="8" t="s">
        <v>229</v>
      </c>
      <c r="F16" s="8"/>
      <c r="G16" s="8"/>
      <c r="H16" s="8"/>
      <c r="I16" s="8"/>
      <c r="J16" s="8"/>
      <c r="K16" s="8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8"/>
      <c r="AE16" s="8"/>
      <c r="AF16" s="8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>
        <v>36</v>
      </c>
      <c r="AW16" s="10"/>
      <c r="AX16" s="10"/>
      <c r="AY16" s="10"/>
      <c r="AZ16" s="10"/>
      <c r="BA16" s="10"/>
      <c r="BB16" s="11">
        <f>SUM(AE16:BA16)</f>
        <v>36</v>
      </c>
      <c r="BC16" s="11">
        <f>(BB16-AE16)/2</f>
        <v>18</v>
      </c>
      <c r="BD16" s="11"/>
      <c r="BE16" s="11"/>
      <c r="BF16" s="11"/>
      <c r="BG16" s="11"/>
      <c r="BH16" s="11">
        <v>48</v>
      </c>
      <c r="BI16" s="11"/>
      <c r="BJ16" s="11"/>
      <c r="BK16" s="11"/>
      <c r="BL16" s="11">
        <v>7.5</v>
      </c>
      <c r="BM16" s="11"/>
      <c r="BN16" s="11"/>
      <c r="BO16" s="11"/>
      <c r="BP16" s="11"/>
      <c r="BQ16" s="11"/>
      <c r="BR16" s="11"/>
      <c r="BS16" s="11"/>
      <c r="BT16" s="11">
        <v>48</v>
      </c>
      <c r="BU16" s="11"/>
      <c r="BV16" s="11"/>
      <c r="BW16" s="11"/>
      <c r="BX16" s="11"/>
      <c r="BY16" s="11">
        <v>7.5</v>
      </c>
      <c r="BZ16" s="11"/>
      <c r="CA16" s="11">
        <f>SUM(BC16:BZ16)</f>
        <v>129</v>
      </c>
      <c r="CB16" s="11">
        <f>(CA16-BC16)/2</f>
        <v>55.5</v>
      </c>
      <c r="CC16" s="11">
        <v>36</v>
      </c>
      <c r="CD16" s="11"/>
      <c r="CE16" s="11">
        <v>7.5</v>
      </c>
      <c r="CF16" s="11">
        <v>5</v>
      </c>
      <c r="CG16" s="11">
        <v>7.5</v>
      </c>
      <c r="CH16" s="11"/>
      <c r="CI16" s="11">
        <f>SUM(CB16:CH16)</f>
        <v>111.5</v>
      </c>
      <c r="CJ16" s="11">
        <f>(CI16-CB16)/2</f>
        <v>28</v>
      </c>
      <c r="CK16" s="11">
        <v>48</v>
      </c>
      <c r="CL16" s="11">
        <v>4</v>
      </c>
      <c r="CM16" s="11">
        <v>39</v>
      </c>
      <c r="CN16" s="11">
        <v>100</v>
      </c>
      <c r="CO16" s="11">
        <v>48</v>
      </c>
      <c r="CP16" s="11"/>
      <c r="CQ16" s="11">
        <f t="shared" si="0"/>
        <v>267</v>
      </c>
      <c r="CS16" s="10">
        <f>SUM(CV16:DC16)/2</f>
        <v>0</v>
      </c>
      <c r="CT16" s="10">
        <f>BB16/4</f>
        <v>9</v>
      </c>
      <c r="CU16" s="8"/>
      <c r="CV16" s="8"/>
      <c r="CW16" s="8"/>
      <c r="CX16" s="8"/>
      <c r="CY16" s="8"/>
      <c r="CZ16" s="8"/>
      <c r="DA16" s="8"/>
      <c r="DB16" s="10"/>
      <c r="DC16" s="10"/>
      <c r="DD16" s="8"/>
      <c r="DE16" s="10"/>
      <c r="DF16" s="10"/>
      <c r="DG16" s="10"/>
      <c r="DH16" s="10"/>
      <c r="DI16" s="10"/>
      <c r="DJ16" s="10"/>
      <c r="DK16" s="10"/>
      <c r="DL16" s="10"/>
      <c r="DM16" s="10">
        <f>SUM(CS16:CT16)+SUM(DE16:DL16)</f>
        <v>9</v>
      </c>
      <c r="DN16" s="8">
        <f>(DM16-CS16)/2</f>
        <v>4.5</v>
      </c>
      <c r="DO16" s="8">
        <f>CA16/4</f>
        <v>32.25</v>
      </c>
      <c r="DP16" s="10"/>
      <c r="DQ16" s="10"/>
      <c r="DR16" s="10"/>
      <c r="DS16" s="10"/>
      <c r="DT16" s="8">
        <f>SUM(DN16:DS16)</f>
        <v>36.75</v>
      </c>
      <c r="DU16" s="8">
        <f>(DT16-DN16)/2</f>
        <v>16.125</v>
      </c>
      <c r="DV16" s="10"/>
      <c r="DW16" s="10"/>
      <c r="DX16" s="10"/>
      <c r="DY16" s="10"/>
      <c r="DZ16" s="10"/>
      <c r="EA16" s="10">
        <v>2.5</v>
      </c>
      <c r="EB16" s="8">
        <f t="shared" si="1"/>
        <v>18.625</v>
      </c>
      <c r="EC16" s="8">
        <f t="shared" si="2"/>
        <v>1.25</v>
      </c>
      <c r="ED16" s="10"/>
      <c r="EE16" s="10"/>
      <c r="EF16" s="10"/>
      <c r="EG16" s="10"/>
      <c r="EH16" s="10"/>
      <c r="EI16" s="10"/>
      <c r="EJ16" s="10"/>
      <c r="EK16" s="8">
        <f t="shared" si="3"/>
        <v>1.25</v>
      </c>
    </row>
    <row r="17" spans="1:141" x14ac:dyDescent="0.25">
      <c r="A17">
        <v>7</v>
      </c>
      <c r="B17" s="8" t="s">
        <v>863</v>
      </c>
      <c r="C17" s="8"/>
      <c r="D17" s="8" t="s">
        <v>398</v>
      </c>
      <c r="E17" s="8" t="s">
        <v>17</v>
      </c>
      <c r="F17" s="8"/>
      <c r="G17" s="8"/>
      <c r="H17" s="8"/>
      <c r="I17" s="8"/>
      <c r="J17" s="8"/>
      <c r="K17" s="8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8"/>
      <c r="AE17" s="8"/>
      <c r="AF17" s="8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10"/>
      <c r="CD17" s="10"/>
      <c r="CE17" s="10"/>
      <c r="CF17" s="10"/>
      <c r="CG17" s="10"/>
      <c r="CH17" s="10"/>
      <c r="CI17" s="8"/>
      <c r="CJ17" s="8"/>
      <c r="CK17" s="10">
        <v>36</v>
      </c>
      <c r="CL17" s="10">
        <v>80</v>
      </c>
      <c r="CM17" s="10"/>
      <c r="CN17" s="10">
        <v>50</v>
      </c>
      <c r="CO17" s="8"/>
      <c r="CP17" s="8"/>
      <c r="CQ17" s="11">
        <f t="shared" si="0"/>
        <v>166</v>
      </c>
      <c r="CS17" s="8"/>
      <c r="CT17" s="8"/>
      <c r="CU17" s="8"/>
      <c r="CV17" s="8"/>
      <c r="CW17" s="8"/>
      <c r="CX17" s="8"/>
      <c r="CY17" s="8"/>
      <c r="CZ17" s="8"/>
      <c r="DA17" s="8"/>
      <c r="DB17" s="10"/>
      <c r="DC17" s="10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10"/>
      <c r="DQ17" s="10"/>
      <c r="DR17" s="10"/>
      <c r="DS17" s="10"/>
      <c r="DT17" s="8"/>
      <c r="DU17" s="8"/>
      <c r="DV17" s="10"/>
      <c r="DW17" s="10"/>
      <c r="DX17" s="10"/>
      <c r="DY17" s="10"/>
      <c r="DZ17" s="10"/>
      <c r="EA17" s="10"/>
      <c r="EB17" s="8">
        <f t="shared" si="1"/>
        <v>0</v>
      </c>
      <c r="EC17" s="8">
        <f t="shared" si="2"/>
        <v>0</v>
      </c>
      <c r="ED17" s="10"/>
      <c r="EE17" s="10"/>
      <c r="EF17" s="10"/>
      <c r="EG17" s="10"/>
      <c r="EH17" s="10"/>
      <c r="EI17" s="10"/>
      <c r="EJ17" s="10"/>
      <c r="EK17" s="8">
        <f t="shared" si="3"/>
        <v>0</v>
      </c>
    </row>
    <row r="18" spans="1:141" x14ac:dyDescent="0.25">
      <c r="A18" s="68">
        <v>8</v>
      </c>
      <c r="B18" s="8" t="s">
        <v>621</v>
      </c>
      <c r="C18" s="8"/>
      <c r="D18" s="8" t="s">
        <v>376</v>
      </c>
      <c r="E18" s="8" t="s">
        <v>618</v>
      </c>
      <c r="F18" s="8"/>
      <c r="G18" s="8"/>
      <c r="H18" s="8"/>
      <c r="I18" s="8"/>
      <c r="J18" s="8"/>
      <c r="K18" s="8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8"/>
      <c r="AE18" s="8"/>
      <c r="AF18" s="8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10"/>
      <c r="CD18" s="10"/>
      <c r="CE18" s="10">
        <v>105</v>
      </c>
      <c r="CF18" s="10">
        <v>100</v>
      </c>
      <c r="CG18" s="10">
        <v>105</v>
      </c>
      <c r="CH18" s="10"/>
      <c r="CI18" s="11">
        <f>SUM(CB18:CH18)</f>
        <v>310</v>
      </c>
      <c r="CJ18" s="11">
        <f>(CI18-CB18)/2</f>
        <v>155</v>
      </c>
      <c r="CK18" s="11"/>
      <c r="CL18" s="11"/>
      <c r="CM18" s="11"/>
      <c r="CN18" s="11"/>
      <c r="CO18" s="11"/>
      <c r="CP18" s="11"/>
      <c r="CQ18" s="11">
        <f t="shared" si="0"/>
        <v>155</v>
      </c>
      <c r="CS18" s="8"/>
      <c r="CT18" s="8"/>
      <c r="CU18" s="8"/>
      <c r="CV18" s="8"/>
      <c r="CW18" s="8"/>
      <c r="CX18" s="8"/>
      <c r="CY18" s="8"/>
      <c r="CZ18" s="8"/>
      <c r="DA18" s="8"/>
      <c r="DB18" s="10"/>
      <c r="DC18" s="10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10"/>
      <c r="DQ18" s="10"/>
      <c r="DR18" s="10"/>
      <c r="DS18" s="10"/>
      <c r="DT18" s="8"/>
      <c r="DU18" s="8"/>
      <c r="DV18" s="10">
        <v>35</v>
      </c>
      <c r="DW18" s="10">
        <v>48</v>
      </c>
      <c r="DX18" s="10"/>
      <c r="DY18" s="10">
        <v>39</v>
      </c>
      <c r="DZ18" s="10"/>
      <c r="EA18" s="10"/>
      <c r="EB18" s="8">
        <f>SUM(DU18:DY18)</f>
        <v>122</v>
      </c>
      <c r="EC18" s="8">
        <f t="shared" si="2"/>
        <v>61</v>
      </c>
      <c r="ED18" s="10"/>
      <c r="EE18" s="10"/>
      <c r="EF18" s="10"/>
      <c r="EG18" s="10"/>
      <c r="EH18" s="10"/>
      <c r="EI18" s="10"/>
      <c r="EJ18" s="10"/>
      <c r="EK18" s="8">
        <f t="shared" si="3"/>
        <v>61</v>
      </c>
    </row>
    <row r="19" spans="1:141" x14ac:dyDescent="0.25">
      <c r="A19">
        <v>9</v>
      </c>
      <c r="B19" s="8" t="s">
        <v>620</v>
      </c>
      <c r="C19" s="8"/>
      <c r="D19" s="8" t="s">
        <v>482</v>
      </c>
      <c r="E19" s="8" t="s">
        <v>229</v>
      </c>
      <c r="F19" s="8"/>
      <c r="G19" s="8"/>
      <c r="H19" s="8"/>
      <c r="I19" s="8"/>
      <c r="J19" s="8"/>
      <c r="K19" s="8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8"/>
      <c r="AE19" s="8"/>
      <c r="AF19" s="8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10">
        <v>36</v>
      </c>
      <c r="CD19" s="10"/>
      <c r="CE19" s="10">
        <v>39</v>
      </c>
      <c r="CF19" s="10">
        <v>5</v>
      </c>
      <c r="CG19" s="10">
        <v>24</v>
      </c>
      <c r="CH19" s="10">
        <v>39</v>
      </c>
      <c r="CI19" s="11">
        <f>SUM(CB19:CH19)</f>
        <v>143</v>
      </c>
      <c r="CJ19" s="11">
        <f>(CI19-CB19)/2</f>
        <v>71.5</v>
      </c>
      <c r="CK19" s="11">
        <v>33.6</v>
      </c>
      <c r="CL19" s="11">
        <v>40</v>
      </c>
      <c r="CM19" s="11">
        <v>7.5</v>
      </c>
      <c r="CN19" s="11">
        <v>2.4</v>
      </c>
      <c r="CO19" s="11"/>
      <c r="CP19" s="11"/>
      <c r="CQ19" s="11">
        <f t="shared" si="0"/>
        <v>155</v>
      </c>
      <c r="CS19" s="8"/>
      <c r="CT19" s="8"/>
      <c r="CU19" s="8"/>
      <c r="CV19" s="8"/>
      <c r="CW19" s="8"/>
      <c r="CX19" s="8"/>
      <c r="CY19" s="8"/>
      <c r="CZ19" s="8"/>
      <c r="DA19" s="8"/>
      <c r="DB19" s="10"/>
      <c r="DC19" s="10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10"/>
      <c r="DQ19" s="10"/>
      <c r="DR19" s="10"/>
      <c r="DS19" s="10"/>
      <c r="DT19" s="8"/>
      <c r="DU19" s="8"/>
      <c r="DV19" s="10">
        <v>1.75</v>
      </c>
      <c r="DW19" s="10"/>
      <c r="DX19" s="10"/>
      <c r="DY19" s="10"/>
      <c r="DZ19" s="10"/>
      <c r="EA19" s="10">
        <v>18</v>
      </c>
      <c r="EB19" s="8">
        <f>SUM(DU19:EA19)</f>
        <v>19.75</v>
      </c>
      <c r="EC19" s="8">
        <f t="shared" si="2"/>
        <v>9.875</v>
      </c>
      <c r="ED19" s="10"/>
      <c r="EE19" s="10"/>
      <c r="EF19" s="10"/>
      <c r="EG19" s="10"/>
      <c r="EH19" s="10"/>
      <c r="EI19" s="10"/>
      <c r="EJ19" s="10"/>
      <c r="EK19" s="8">
        <f t="shared" si="3"/>
        <v>9.875</v>
      </c>
    </row>
    <row r="20" spans="1:141" x14ac:dyDescent="0.25">
      <c r="A20">
        <v>10</v>
      </c>
      <c r="B20" s="8" t="s">
        <v>380</v>
      </c>
      <c r="C20" s="8"/>
      <c r="D20" s="8" t="s">
        <v>20</v>
      </c>
      <c r="E20" s="8" t="s">
        <v>369</v>
      </c>
      <c r="F20" s="8"/>
      <c r="G20" s="8"/>
      <c r="H20" s="8"/>
      <c r="I20" s="8"/>
      <c r="J20" s="8"/>
      <c r="K20" s="8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8"/>
      <c r="AE20" s="8"/>
      <c r="AF20" s="8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>
        <v>56</v>
      </c>
      <c r="BQ20" s="8"/>
      <c r="BR20" s="8"/>
      <c r="BS20" s="8"/>
      <c r="BT20" s="8"/>
      <c r="BU20" s="8"/>
      <c r="BV20" s="8"/>
      <c r="BW20" s="8"/>
      <c r="BX20" s="8"/>
      <c r="BY20" s="8">
        <v>39</v>
      </c>
      <c r="BZ20" s="8"/>
      <c r="CA20" s="11">
        <f>SUM(BC20:BZ20)</f>
        <v>95</v>
      </c>
      <c r="CB20" s="11">
        <f>(CA20-BC20)/2</f>
        <v>47.5</v>
      </c>
      <c r="CC20" s="11">
        <v>36</v>
      </c>
      <c r="CD20" s="11">
        <v>64</v>
      </c>
      <c r="CE20" s="11">
        <v>7.5</v>
      </c>
      <c r="CF20" s="11">
        <v>75</v>
      </c>
      <c r="CG20" s="11">
        <v>54</v>
      </c>
      <c r="CH20" s="11">
        <v>72</v>
      </c>
      <c r="CI20" s="11">
        <f>SUM(CB20:CH20)</f>
        <v>356</v>
      </c>
      <c r="CJ20" s="11">
        <f>(CI20-CB20)/2</f>
        <v>154.25</v>
      </c>
      <c r="CK20" s="11"/>
      <c r="CL20" s="11"/>
      <c r="CM20" s="11"/>
      <c r="CN20" s="11"/>
      <c r="CO20" s="11"/>
      <c r="CP20" s="11"/>
      <c r="CQ20" s="11">
        <f t="shared" si="0"/>
        <v>154.25</v>
      </c>
      <c r="CS20" s="8"/>
      <c r="CT20" s="8"/>
      <c r="CU20" s="8"/>
      <c r="CV20" s="8"/>
      <c r="CW20" s="8"/>
      <c r="CX20" s="8"/>
      <c r="CY20" s="8"/>
      <c r="CZ20" s="8"/>
      <c r="DA20" s="8"/>
      <c r="DB20" s="10"/>
      <c r="DC20" s="10"/>
      <c r="DD20" s="8"/>
      <c r="DE20" s="8"/>
      <c r="DF20" s="8"/>
      <c r="DG20" s="8"/>
      <c r="DH20" s="8"/>
      <c r="DI20" s="8"/>
      <c r="DJ20" s="8"/>
      <c r="DK20" s="8"/>
      <c r="DL20" s="8"/>
      <c r="DM20" s="10">
        <f>SUM(CS20:CT20)+SUM(DE20:DL20)</f>
        <v>0</v>
      </c>
      <c r="DN20" s="8">
        <f>(DM20-CS20)/2</f>
        <v>0</v>
      </c>
      <c r="DO20" s="8">
        <f>CA20/4</f>
        <v>23.75</v>
      </c>
      <c r="DP20" s="10"/>
      <c r="DQ20" s="10"/>
      <c r="DR20" s="10"/>
      <c r="DS20" s="10">
        <v>2.5</v>
      </c>
      <c r="DT20" s="8">
        <f>SUM(DN20:DS20)</f>
        <v>26.25</v>
      </c>
      <c r="DU20" s="8">
        <f>(DT20-DN20)/2</f>
        <v>13.125</v>
      </c>
      <c r="DV20" s="10"/>
      <c r="DW20" s="10"/>
      <c r="DX20" s="10"/>
      <c r="DY20" s="10"/>
      <c r="DZ20" s="10"/>
      <c r="EA20" s="10">
        <v>13</v>
      </c>
      <c r="EB20" s="8">
        <f>SUM(DU20:EA20)</f>
        <v>26.125</v>
      </c>
      <c r="EC20" s="8">
        <f t="shared" si="2"/>
        <v>6.5</v>
      </c>
      <c r="ED20" s="10"/>
      <c r="EE20" s="10"/>
      <c r="EF20" s="10"/>
      <c r="EG20" s="10"/>
      <c r="EH20" s="10"/>
      <c r="EI20" s="10"/>
      <c r="EJ20" s="10"/>
      <c r="EK20" s="8">
        <f t="shared" si="3"/>
        <v>6.5</v>
      </c>
    </row>
    <row r="21" spans="1:141" x14ac:dyDescent="0.25">
      <c r="A21">
        <v>11</v>
      </c>
      <c r="B21" s="8" t="s">
        <v>299</v>
      </c>
      <c r="C21" s="8"/>
      <c r="D21" s="8" t="s">
        <v>280</v>
      </c>
      <c r="E21" s="8" t="s">
        <v>76</v>
      </c>
      <c r="F21" s="8"/>
      <c r="G21" s="8"/>
      <c r="H21" s="8"/>
      <c r="I21" s="8"/>
      <c r="J21" s="8"/>
      <c r="K21" s="8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8"/>
      <c r="AE21" s="8"/>
      <c r="AF21" s="8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10">
        <v>36</v>
      </c>
      <c r="CD21" s="10">
        <v>64</v>
      </c>
      <c r="CE21" s="10">
        <v>54</v>
      </c>
      <c r="CF21" s="10">
        <v>54</v>
      </c>
      <c r="CG21" s="10">
        <v>100</v>
      </c>
      <c r="CH21" s="10"/>
      <c r="CI21" s="11">
        <f>SUM(CB21:CH21)</f>
        <v>308</v>
      </c>
      <c r="CJ21" s="11">
        <f>(CI21-CB21)/2</f>
        <v>154</v>
      </c>
      <c r="CK21" s="11"/>
      <c r="CL21" s="11"/>
      <c r="CM21" s="11"/>
      <c r="CN21" s="11"/>
      <c r="CO21" s="11"/>
      <c r="CP21" s="11"/>
      <c r="CQ21" s="11">
        <f t="shared" si="0"/>
        <v>154</v>
      </c>
      <c r="CS21" s="8"/>
      <c r="CT21" s="8"/>
      <c r="CU21" s="8"/>
      <c r="CV21" s="8"/>
      <c r="CW21" s="8"/>
      <c r="CX21" s="8"/>
      <c r="CY21" s="8"/>
      <c r="CZ21" s="8"/>
      <c r="DA21" s="8"/>
      <c r="DB21" s="10"/>
      <c r="DC21" s="10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10"/>
      <c r="DQ21" s="10"/>
      <c r="DR21" s="10"/>
      <c r="DS21" s="10"/>
      <c r="DT21" s="8"/>
      <c r="DU21" s="8"/>
      <c r="DV21" s="10"/>
      <c r="DW21" s="10"/>
      <c r="DX21" s="10"/>
      <c r="DY21" s="10"/>
      <c r="DZ21" s="10"/>
      <c r="EA21" s="10"/>
      <c r="EB21" s="8">
        <f>SUM(DU21:DW21)</f>
        <v>0</v>
      </c>
      <c r="EC21" s="8">
        <f t="shared" si="2"/>
        <v>0</v>
      </c>
      <c r="ED21" s="10"/>
      <c r="EE21" s="10"/>
      <c r="EF21" s="10"/>
      <c r="EG21" s="10"/>
      <c r="EH21" s="10"/>
      <c r="EI21" s="10"/>
      <c r="EJ21" s="10"/>
      <c r="EK21" s="8">
        <f t="shared" si="3"/>
        <v>0</v>
      </c>
    </row>
    <row r="22" spans="1:141" x14ac:dyDescent="0.25">
      <c r="A22">
        <v>12</v>
      </c>
      <c r="B22" s="8" t="s">
        <v>145</v>
      </c>
      <c r="C22" s="8"/>
      <c r="D22" s="8" t="s">
        <v>40</v>
      </c>
      <c r="E22" s="8" t="s">
        <v>47</v>
      </c>
      <c r="F22" s="8"/>
      <c r="G22" s="8"/>
      <c r="H22" s="8"/>
      <c r="I22" s="8"/>
      <c r="J22" s="8"/>
      <c r="K22" s="8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8"/>
      <c r="AE22" s="8"/>
      <c r="AF22" s="8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10"/>
      <c r="CD22" s="10"/>
      <c r="CE22" s="10"/>
      <c r="CF22" s="10"/>
      <c r="CG22" s="10"/>
      <c r="CH22" s="10"/>
      <c r="CI22" s="8"/>
      <c r="CJ22" s="8"/>
      <c r="CK22" s="10">
        <v>48</v>
      </c>
      <c r="CL22" s="10">
        <v>28.8</v>
      </c>
      <c r="CM22" s="10">
        <v>54</v>
      </c>
      <c r="CN22" s="10"/>
      <c r="CO22" s="8"/>
      <c r="CP22" s="8"/>
      <c r="CQ22" s="11">
        <f t="shared" si="0"/>
        <v>130.80000000000001</v>
      </c>
      <c r="CS22" s="8"/>
      <c r="CT22" s="8"/>
      <c r="CU22" s="8"/>
      <c r="CV22" s="8"/>
      <c r="CW22" s="8"/>
      <c r="CX22" s="8"/>
      <c r="CY22" s="8"/>
      <c r="CZ22" s="8"/>
      <c r="DA22" s="8"/>
      <c r="DB22" s="10"/>
      <c r="DC22" s="10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10"/>
      <c r="DQ22" s="10"/>
      <c r="DR22" s="10"/>
      <c r="DS22" s="10"/>
      <c r="DT22" s="8"/>
      <c r="DU22" s="8"/>
      <c r="DV22" s="10"/>
      <c r="DW22" s="10"/>
      <c r="DX22" s="10"/>
      <c r="DY22" s="10"/>
      <c r="DZ22" s="10"/>
      <c r="EA22" s="10"/>
      <c r="EB22" s="8">
        <f>SUM(DU22:EA22)</f>
        <v>0</v>
      </c>
      <c r="EC22" s="8">
        <f t="shared" si="2"/>
        <v>0</v>
      </c>
      <c r="ED22" s="10"/>
      <c r="EE22" s="10"/>
      <c r="EF22" s="10"/>
      <c r="EG22" s="10"/>
      <c r="EH22" s="10"/>
      <c r="EI22" s="10"/>
      <c r="EJ22" s="10"/>
      <c r="EK22" s="8">
        <f t="shared" si="3"/>
        <v>0</v>
      </c>
    </row>
    <row r="23" spans="1:141" x14ac:dyDescent="0.25">
      <c r="A23">
        <v>13</v>
      </c>
      <c r="B23" s="8" t="s">
        <v>226</v>
      </c>
      <c r="C23" s="8"/>
      <c r="D23" s="8" t="s">
        <v>561</v>
      </c>
      <c r="E23" s="8" t="s">
        <v>43</v>
      </c>
      <c r="F23" s="8"/>
      <c r="G23" s="8"/>
      <c r="H23" s="8"/>
      <c r="I23" s="8"/>
      <c r="J23" s="8"/>
      <c r="K23" s="8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10"/>
      <c r="CD23" s="10"/>
      <c r="CE23" s="10"/>
      <c r="CF23" s="10"/>
      <c r="CG23" s="10"/>
      <c r="CH23" s="10"/>
      <c r="CI23" s="8"/>
      <c r="CJ23" s="8"/>
      <c r="CK23" s="10">
        <v>48</v>
      </c>
      <c r="CL23" s="10"/>
      <c r="CM23" s="10">
        <v>54</v>
      </c>
      <c r="CN23" s="10">
        <v>26</v>
      </c>
      <c r="CO23" s="8"/>
      <c r="CP23" s="8"/>
      <c r="CQ23" s="11">
        <f t="shared" si="0"/>
        <v>128</v>
      </c>
      <c r="CS23" s="8"/>
      <c r="CT23" s="8"/>
      <c r="CU23" s="8"/>
      <c r="CV23" s="8"/>
      <c r="CW23" s="8"/>
      <c r="CX23" s="8"/>
      <c r="CY23" s="8"/>
      <c r="CZ23" s="8"/>
      <c r="DA23" s="8"/>
      <c r="DB23" s="10"/>
      <c r="DC23" s="10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10"/>
      <c r="DQ23" s="10"/>
      <c r="DR23" s="10"/>
      <c r="DS23" s="10"/>
      <c r="DT23" s="8"/>
      <c r="DU23" s="8"/>
      <c r="DV23" s="10"/>
      <c r="DW23" s="10"/>
      <c r="DX23" s="10"/>
      <c r="DY23" s="10"/>
      <c r="DZ23" s="10"/>
      <c r="EA23" s="10"/>
      <c r="EB23" s="8">
        <f>SUM(DU23:EA23)</f>
        <v>0</v>
      </c>
      <c r="EC23" s="8">
        <f t="shared" si="2"/>
        <v>0</v>
      </c>
      <c r="ED23" s="10"/>
      <c r="EE23" s="10"/>
      <c r="EF23" s="10"/>
      <c r="EG23" s="10"/>
      <c r="EH23" s="10"/>
      <c r="EI23" s="10"/>
      <c r="EJ23" s="10"/>
      <c r="EK23" s="8">
        <f t="shared" si="3"/>
        <v>0</v>
      </c>
    </row>
    <row r="24" spans="1:141" x14ac:dyDescent="0.25">
      <c r="A24">
        <v>14</v>
      </c>
      <c r="B24" s="8" t="s">
        <v>145</v>
      </c>
      <c r="C24" s="8"/>
      <c r="D24" s="8" t="s">
        <v>203</v>
      </c>
      <c r="E24" s="8" t="s">
        <v>384</v>
      </c>
      <c r="F24" s="8"/>
      <c r="G24" s="8"/>
      <c r="H24" s="8"/>
      <c r="I24" s="8"/>
      <c r="J24" s="8"/>
      <c r="K24" s="8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8"/>
      <c r="AE24" s="8"/>
      <c r="AF24" s="8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10"/>
      <c r="CD24" s="10"/>
      <c r="CE24" s="10"/>
      <c r="CF24" s="10"/>
      <c r="CG24" s="10"/>
      <c r="CH24" s="10"/>
      <c r="CI24" s="8"/>
      <c r="CJ24" s="8"/>
      <c r="CK24" s="10">
        <v>48</v>
      </c>
      <c r="CL24" s="10">
        <v>40</v>
      </c>
      <c r="CM24" s="10">
        <v>33.6</v>
      </c>
      <c r="CN24" s="10"/>
      <c r="CO24" s="8"/>
      <c r="CP24" s="8"/>
      <c r="CQ24" s="11">
        <f t="shared" si="0"/>
        <v>121.6</v>
      </c>
      <c r="CS24" s="8"/>
      <c r="CT24" s="8"/>
      <c r="CU24" s="8"/>
      <c r="CV24" s="8"/>
      <c r="CW24" s="8"/>
      <c r="CX24" s="8"/>
      <c r="CY24" s="8"/>
      <c r="CZ24" s="8"/>
      <c r="DA24" s="8"/>
      <c r="DB24" s="10"/>
      <c r="DC24" s="10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10"/>
      <c r="DQ24" s="10"/>
      <c r="DR24" s="10"/>
      <c r="DS24" s="10"/>
      <c r="DT24" s="8"/>
      <c r="DU24" s="8"/>
      <c r="DV24" s="10"/>
      <c r="DW24" s="10"/>
      <c r="DX24" s="10"/>
      <c r="DY24" s="10"/>
      <c r="DZ24" s="10"/>
      <c r="EA24" s="10"/>
      <c r="EB24" s="8">
        <f>SUM(DU24:EA24)</f>
        <v>0</v>
      </c>
      <c r="EC24" s="8">
        <f t="shared" si="2"/>
        <v>0</v>
      </c>
      <c r="ED24" s="10"/>
      <c r="EE24" s="10"/>
      <c r="EF24" s="10"/>
      <c r="EG24" s="10"/>
      <c r="EH24" s="10"/>
      <c r="EI24" s="10"/>
      <c r="EJ24" s="10"/>
      <c r="EK24" s="8">
        <f t="shared" si="3"/>
        <v>0</v>
      </c>
    </row>
    <row r="25" spans="1:141" x14ac:dyDescent="0.25">
      <c r="A25">
        <v>15</v>
      </c>
      <c r="B25" s="18" t="s">
        <v>100</v>
      </c>
      <c r="C25" s="18" t="s">
        <v>106</v>
      </c>
      <c r="D25" s="18" t="s">
        <v>27</v>
      </c>
      <c r="E25" s="18" t="s">
        <v>67</v>
      </c>
      <c r="F25" s="11"/>
      <c r="G25" s="11"/>
      <c r="H25" s="11"/>
      <c r="I25" s="11"/>
      <c r="J25" s="11"/>
      <c r="K25" s="11">
        <v>50</v>
      </c>
      <c r="L25" s="11"/>
      <c r="M25" s="11">
        <v>80</v>
      </c>
      <c r="N25" s="11"/>
      <c r="O25" s="11"/>
      <c r="P25" s="11">
        <v>36</v>
      </c>
      <c r="Q25" s="11"/>
      <c r="R25" s="11"/>
      <c r="S25" s="11"/>
      <c r="T25" s="11"/>
      <c r="U25" s="11"/>
      <c r="V25" s="11"/>
      <c r="W25" s="11"/>
      <c r="X25" s="11" t="s">
        <v>132</v>
      </c>
      <c r="Y25" s="11"/>
      <c r="Z25" s="11"/>
      <c r="AA25" s="11"/>
      <c r="AB25" s="11"/>
      <c r="AC25" s="11">
        <v>75</v>
      </c>
      <c r="AD25" s="11">
        <f>SUM(F25:AC25)</f>
        <v>241</v>
      </c>
      <c r="AE25" s="11">
        <f>AD25/2</f>
        <v>120.5</v>
      </c>
      <c r="AF25" s="11"/>
      <c r="AG25" s="11"/>
      <c r="AH25" s="11"/>
      <c r="AI25" s="11"/>
      <c r="AJ25" s="11">
        <v>16</v>
      </c>
      <c r="AK25" s="11"/>
      <c r="AL25" s="11"/>
      <c r="AM25" s="11"/>
      <c r="AN25" s="11"/>
      <c r="AO25" s="11">
        <v>80</v>
      </c>
      <c r="AP25" s="11"/>
      <c r="AQ25" s="11">
        <v>50</v>
      </c>
      <c r="AR25" s="11"/>
      <c r="AS25" s="11"/>
      <c r="AT25" s="11"/>
      <c r="AU25" s="11"/>
      <c r="AV25" s="11">
        <v>50</v>
      </c>
      <c r="AW25" s="11"/>
      <c r="AX25" s="11"/>
      <c r="AY25" s="11"/>
      <c r="AZ25" s="11"/>
      <c r="BA25" s="11">
        <v>75</v>
      </c>
      <c r="BB25" s="11">
        <f>SUM(AE25:BA25)</f>
        <v>391.5</v>
      </c>
      <c r="BC25" s="11">
        <f>(BB25-AE25)/2</f>
        <v>135.5</v>
      </c>
      <c r="BD25" s="11"/>
      <c r="BE25" s="11"/>
      <c r="BF25" s="11" t="s">
        <v>554</v>
      </c>
      <c r="BG25" s="11"/>
      <c r="BH25" s="11"/>
      <c r="BI25" s="11"/>
      <c r="BJ25" s="11"/>
      <c r="BK25" s="11"/>
      <c r="BL25" s="11"/>
      <c r="BM25" s="11" t="s">
        <v>554</v>
      </c>
      <c r="BN25" s="11"/>
      <c r="BO25" s="11" t="s">
        <v>554</v>
      </c>
      <c r="BP25" s="11"/>
      <c r="BQ25" s="11" t="s">
        <v>554</v>
      </c>
      <c r="BR25" s="11"/>
      <c r="BS25" s="11"/>
      <c r="BT25" s="11"/>
      <c r="BU25" s="11"/>
      <c r="BV25" s="11"/>
      <c r="BW25" s="11"/>
      <c r="BX25" s="11"/>
      <c r="BY25" s="11">
        <v>75</v>
      </c>
      <c r="BZ25" s="11"/>
      <c r="CA25" s="11">
        <f>SUM(BC25:BZ25)</f>
        <v>210.5</v>
      </c>
      <c r="CB25" s="11">
        <f>(CA25-BC25)/2</f>
        <v>37.5</v>
      </c>
      <c r="CC25" s="11">
        <v>60</v>
      </c>
      <c r="CD25" s="11"/>
      <c r="CE25" s="11">
        <v>75</v>
      </c>
      <c r="CF25" s="11">
        <v>100</v>
      </c>
      <c r="CG25" s="11"/>
      <c r="CH25" s="11"/>
      <c r="CI25" s="11">
        <f>SUM(CB25:CH25)</f>
        <v>272.5</v>
      </c>
      <c r="CJ25" s="11">
        <f>(CI25-CB25)/2</f>
        <v>117.5</v>
      </c>
      <c r="CK25" s="11"/>
      <c r="CL25" s="11"/>
      <c r="CM25" s="11"/>
      <c r="CN25" s="11"/>
      <c r="CO25" s="11"/>
      <c r="CP25" s="11"/>
      <c r="CQ25" s="11">
        <f t="shared" si="0"/>
        <v>117.5</v>
      </c>
      <c r="CS25" s="10">
        <f>SUM(CV25:DC25)/2</f>
        <v>32</v>
      </c>
      <c r="CT25" s="10">
        <f>BB25/4</f>
        <v>97.875</v>
      </c>
      <c r="CU25" s="10">
        <f>AD25/2</f>
        <v>120.5</v>
      </c>
      <c r="CV25" s="10">
        <f>12+12*1/2</f>
        <v>18</v>
      </c>
      <c r="CW25" s="10"/>
      <c r="CX25" s="10"/>
      <c r="CY25" s="10">
        <v>5</v>
      </c>
      <c r="CZ25" s="10"/>
      <c r="DA25" s="10"/>
      <c r="DB25" s="10">
        <v>36</v>
      </c>
      <c r="DC25" s="10">
        <v>5</v>
      </c>
      <c r="DD25" s="10">
        <f>SUM(CU25:DC25)</f>
        <v>184.5</v>
      </c>
      <c r="DE25" s="10">
        <v>30</v>
      </c>
      <c r="DF25" s="10">
        <v>5</v>
      </c>
      <c r="DG25" s="10">
        <v>5</v>
      </c>
      <c r="DH25" s="10">
        <v>36</v>
      </c>
      <c r="DI25" s="10"/>
      <c r="DJ25" s="10">
        <v>50</v>
      </c>
      <c r="DK25" s="10"/>
      <c r="DL25" s="10"/>
      <c r="DM25" s="10">
        <f>SUM(CS25:CT25)+SUM(DE25:DJ25)</f>
        <v>255.875</v>
      </c>
      <c r="DN25" s="8">
        <f>(DM25-CS25)/2</f>
        <v>111.9375</v>
      </c>
      <c r="DO25" s="8">
        <f>CA25/4</f>
        <v>52.625</v>
      </c>
      <c r="DP25" s="10"/>
      <c r="DQ25" s="10"/>
      <c r="DR25" s="10"/>
      <c r="DS25" s="10"/>
      <c r="DT25" s="8">
        <f>SUM(DN25:DP25)</f>
        <v>164.5625</v>
      </c>
      <c r="DU25" s="8">
        <f>(DT25-DN25)/2</f>
        <v>26.3125</v>
      </c>
      <c r="DV25" s="10">
        <v>21</v>
      </c>
      <c r="DW25" s="10"/>
      <c r="DX25" s="10"/>
      <c r="DY25" s="10"/>
      <c r="DZ25" s="10"/>
      <c r="EA25" s="10"/>
      <c r="EB25" s="8">
        <f>SUM(DU25:DW25)</f>
        <v>47.3125</v>
      </c>
      <c r="EC25" s="8">
        <f t="shared" si="2"/>
        <v>10.5</v>
      </c>
      <c r="ED25" s="10"/>
      <c r="EE25" s="10"/>
      <c r="EF25" s="10"/>
      <c r="EG25" s="10"/>
      <c r="EH25" s="10"/>
      <c r="EI25" s="10"/>
      <c r="EJ25" s="10"/>
      <c r="EK25" s="8">
        <f t="shared" si="3"/>
        <v>10.5</v>
      </c>
    </row>
    <row r="26" spans="1:141" x14ac:dyDescent="0.25">
      <c r="A26">
        <v>16</v>
      </c>
      <c r="B26" s="18" t="s">
        <v>110</v>
      </c>
      <c r="C26" s="18" t="s">
        <v>111</v>
      </c>
      <c r="D26" s="18" t="s">
        <v>29</v>
      </c>
      <c r="E26" s="18" t="s">
        <v>442</v>
      </c>
      <c r="F26" s="10"/>
      <c r="G26" s="10"/>
      <c r="H26" s="10"/>
      <c r="I26" s="10"/>
      <c r="J26" s="10">
        <v>70</v>
      </c>
      <c r="K26" s="10">
        <v>70</v>
      </c>
      <c r="L26" s="10"/>
      <c r="M26" s="10">
        <v>4</v>
      </c>
      <c r="N26" s="10"/>
      <c r="O26" s="10"/>
      <c r="P26" s="10">
        <v>70</v>
      </c>
      <c r="Q26" s="10"/>
      <c r="R26" s="10"/>
      <c r="S26" s="10"/>
      <c r="T26" s="10"/>
      <c r="U26" s="10"/>
      <c r="V26" s="10"/>
      <c r="W26" s="10">
        <v>60</v>
      </c>
      <c r="X26" s="10">
        <v>70</v>
      </c>
      <c r="Y26" s="10"/>
      <c r="Z26" s="10"/>
      <c r="AA26" s="10"/>
      <c r="AB26" s="10"/>
      <c r="AC26" s="10">
        <v>54</v>
      </c>
      <c r="AD26" s="11">
        <f>SUM(F26:AC26)</f>
        <v>398</v>
      </c>
      <c r="AE26" s="11">
        <f>AD26/2</f>
        <v>199</v>
      </c>
      <c r="AF26" s="11"/>
      <c r="AG26" s="11"/>
      <c r="AH26" s="11"/>
      <c r="AI26" s="11"/>
      <c r="AJ26" s="11"/>
      <c r="AK26" s="11"/>
      <c r="AL26" s="11">
        <v>60</v>
      </c>
      <c r="AM26" s="11"/>
      <c r="AN26" s="11"/>
      <c r="AO26" s="11">
        <v>56</v>
      </c>
      <c r="AP26" s="11"/>
      <c r="AQ26" s="11" t="s">
        <v>132</v>
      </c>
      <c r="AR26" s="11"/>
      <c r="AS26" s="11" t="s">
        <v>132</v>
      </c>
      <c r="AT26" s="11"/>
      <c r="AU26" s="11"/>
      <c r="AV26" s="11">
        <v>36</v>
      </c>
      <c r="AW26" s="11"/>
      <c r="AX26" s="11"/>
      <c r="AY26" s="11"/>
      <c r="AZ26" s="11"/>
      <c r="BA26" s="11">
        <v>54</v>
      </c>
      <c r="BB26" s="11">
        <f>SUM(AE26:BA26)</f>
        <v>405</v>
      </c>
      <c r="BC26" s="11">
        <f>(BB26-AE26)/2</f>
        <v>103</v>
      </c>
      <c r="BD26" s="11"/>
      <c r="BE26" s="11"/>
      <c r="BF26" s="11"/>
      <c r="BG26" s="11"/>
      <c r="BH26" s="11"/>
      <c r="BI26" s="11"/>
      <c r="BJ26" s="11"/>
      <c r="BK26" s="11"/>
      <c r="BL26" s="11">
        <v>7.5</v>
      </c>
      <c r="BM26" s="11">
        <v>70</v>
      </c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 t="s">
        <v>132</v>
      </c>
      <c r="BZ26" s="11">
        <v>100</v>
      </c>
      <c r="CA26" s="11">
        <f>SUM(BC26:BZ26)</f>
        <v>280.5</v>
      </c>
      <c r="CB26" s="11">
        <f>(CA26-BC26)/2</f>
        <v>88.75</v>
      </c>
      <c r="CC26" s="11">
        <v>42</v>
      </c>
      <c r="CD26" s="11"/>
      <c r="CE26" s="11">
        <v>75</v>
      </c>
      <c r="CF26" s="11">
        <v>26</v>
      </c>
      <c r="CG26" s="11">
        <v>7.5</v>
      </c>
      <c r="CH26" s="11">
        <v>3</v>
      </c>
      <c r="CI26" s="11">
        <f>SUM(CB26:CH26)</f>
        <v>242.25</v>
      </c>
      <c r="CJ26" s="11">
        <f>(CI26-CB26)/2</f>
        <v>76.75</v>
      </c>
      <c r="CK26" s="11"/>
      <c r="CL26" s="11">
        <v>40</v>
      </c>
      <c r="CM26" s="11"/>
      <c r="CN26" s="11"/>
      <c r="CO26" s="11"/>
      <c r="CP26" s="11"/>
      <c r="CQ26" s="11">
        <f t="shared" si="0"/>
        <v>116.75</v>
      </c>
      <c r="CS26" s="10">
        <f>SUM(CV26:DC26)/2</f>
        <v>3.25</v>
      </c>
      <c r="CT26" s="10">
        <f>BB26/4</f>
        <v>101.25</v>
      </c>
      <c r="CU26" s="10">
        <f>AD26/2</f>
        <v>199</v>
      </c>
      <c r="CV26" s="10">
        <f>1+1*1/2</f>
        <v>1.5</v>
      </c>
      <c r="CW26" s="10"/>
      <c r="CX26" s="10"/>
      <c r="CY26" s="10"/>
      <c r="CZ26" s="10"/>
      <c r="DA26" s="10"/>
      <c r="DB26" s="10">
        <v>5</v>
      </c>
      <c r="DC26" s="10"/>
      <c r="DD26" s="10">
        <f>SUM(CU26:DB26)</f>
        <v>205.5</v>
      </c>
      <c r="DE26" s="10">
        <v>18</v>
      </c>
      <c r="DF26" s="10"/>
      <c r="DG26" s="10"/>
      <c r="DH26" s="10"/>
      <c r="DI26" s="10"/>
      <c r="DJ26" s="10">
        <v>36</v>
      </c>
      <c r="DK26" s="10"/>
      <c r="DL26" s="10">
        <v>50</v>
      </c>
      <c r="DM26" s="10">
        <f>SUM(CS26:CT26)+SUM(DE26:DL26)</f>
        <v>208.5</v>
      </c>
      <c r="DN26" s="8">
        <f>(DM26-CS26)/2</f>
        <v>102.625</v>
      </c>
      <c r="DO26" s="8">
        <f>CA26/4</f>
        <v>70.125</v>
      </c>
      <c r="DP26" s="10">
        <v>21</v>
      </c>
      <c r="DQ26" s="10"/>
      <c r="DR26" s="10">
        <v>7.5</v>
      </c>
      <c r="DS26" s="10">
        <v>13</v>
      </c>
      <c r="DT26" s="8">
        <f>SUM(DN26:DS26)</f>
        <v>214.25</v>
      </c>
      <c r="DU26" s="8">
        <f>(DT26-DN26)/2</f>
        <v>55.8125</v>
      </c>
      <c r="DV26" s="10">
        <v>14</v>
      </c>
      <c r="DW26" s="10"/>
      <c r="DX26" s="10"/>
      <c r="DY26" s="10"/>
      <c r="DZ26" s="10"/>
      <c r="EA26" s="10"/>
      <c r="EB26" s="8">
        <f>SUM(DU26:DW26)</f>
        <v>69.8125</v>
      </c>
      <c r="EC26" s="8">
        <f t="shared" si="2"/>
        <v>7</v>
      </c>
      <c r="ED26" s="10"/>
      <c r="EE26" s="10"/>
      <c r="EF26" s="10"/>
      <c r="EG26" s="10"/>
      <c r="EH26" s="10"/>
      <c r="EI26" s="10"/>
      <c r="EJ26" s="10"/>
      <c r="EK26" s="8">
        <f t="shared" si="3"/>
        <v>7</v>
      </c>
    </row>
    <row r="27" spans="1:141" x14ac:dyDescent="0.25">
      <c r="A27">
        <v>17</v>
      </c>
      <c r="B27" s="8" t="s">
        <v>108</v>
      </c>
      <c r="C27" s="8" t="s">
        <v>109</v>
      </c>
      <c r="D27" s="8" t="s">
        <v>46</v>
      </c>
      <c r="E27" s="8" t="s">
        <v>24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>
        <v>26</v>
      </c>
      <c r="AC27" s="10"/>
      <c r="AD27" s="11">
        <f>SUM(F27:AC27)</f>
        <v>26</v>
      </c>
      <c r="AE27" s="11">
        <f>AD27/2</f>
        <v>13</v>
      </c>
      <c r="AF27" s="11"/>
      <c r="AG27" s="11"/>
      <c r="AH27" s="11"/>
      <c r="AI27" s="11"/>
      <c r="AJ27" s="11">
        <v>100</v>
      </c>
      <c r="AK27" s="11"/>
      <c r="AL27" s="11"/>
      <c r="AM27" s="11"/>
      <c r="AN27" s="11"/>
      <c r="AO27" s="11"/>
      <c r="AP27" s="11"/>
      <c r="AQ27" s="11" t="s">
        <v>132</v>
      </c>
      <c r="AR27" s="11"/>
      <c r="AS27" s="11">
        <v>60</v>
      </c>
      <c r="AT27" s="11"/>
      <c r="AU27" s="11"/>
      <c r="AV27" s="11">
        <v>50</v>
      </c>
      <c r="AW27" s="11"/>
      <c r="AX27" s="11"/>
      <c r="AY27" s="11"/>
      <c r="AZ27" s="11"/>
      <c r="BA27" s="11"/>
      <c r="BB27" s="11">
        <f>SUM(AE27:BA27)</f>
        <v>223</v>
      </c>
      <c r="BC27" s="11">
        <f>(BB27-AE27)/2</f>
        <v>105</v>
      </c>
      <c r="BD27" s="11"/>
      <c r="BE27" s="11"/>
      <c r="BF27" s="11">
        <v>42</v>
      </c>
      <c r="BG27" s="11"/>
      <c r="BH27" s="11"/>
      <c r="BI27" s="11"/>
      <c r="BJ27" s="11"/>
      <c r="BK27" s="11"/>
      <c r="BL27" s="11">
        <v>75</v>
      </c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 t="s">
        <v>132</v>
      </c>
      <c r="BZ27" s="11">
        <v>72</v>
      </c>
      <c r="CA27" s="11">
        <f>SUM(BC27:BZ27)</f>
        <v>294</v>
      </c>
      <c r="CB27" s="11">
        <f>(CA27-BC27)/2</f>
        <v>94.5</v>
      </c>
      <c r="CC27" s="11"/>
      <c r="CD27" s="11"/>
      <c r="CE27" s="11">
        <v>70</v>
      </c>
      <c r="CF27" s="11">
        <v>75</v>
      </c>
      <c r="CG27" s="11">
        <v>70</v>
      </c>
      <c r="CH27" s="11"/>
      <c r="CI27" s="11">
        <f>SUM(CB27:CH27)</f>
        <v>309.5</v>
      </c>
      <c r="CJ27" s="11">
        <f>(CI27-CB27)/2</f>
        <v>107.5</v>
      </c>
      <c r="CK27" s="11"/>
      <c r="CL27" s="11"/>
      <c r="CM27" s="11"/>
      <c r="CN27" s="11"/>
      <c r="CO27" s="11"/>
      <c r="CP27" s="11"/>
      <c r="CQ27" s="11">
        <f t="shared" si="0"/>
        <v>107.5</v>
      </c>
      <c r="CS27" s="10">
        <f>SUM(CV27:DC27)/2</f>
        <v>6</v>
      </c>
      <c r="CT27" s="10">
        <f>BB27/4</f>
        <v>55.75</v>
      </c>
      <c r="CU27" s="10">
        <f>AD27/2</f>
        <v>13</v>
      </c>
      <c r="CV27" s="10">
        <f>8+8*1/2</f>
        <v>12</v>
      </c>
      <c r="CW27" s="10"/>
      <c r="CX27" s="10"/>
      <c r="CY27" s="10"/>
      <c r="CZ27" s="10"/>
      <c r="DA27" s="10"/>
      <c r="DB27" s="10"/>
      <c r="DC27" s="10"/>
      <c r="DD27" s="10">
        <f>SUM(CU27:CW27)</f>
        <v>25</v>
      </c>
      <c r="DE27" s="10"/>
      <c r="DF27" s="10"/>
      <c r="DG27" s="10">
        <v>5</v>
      </c>
      <c r="DH27" s="10"/>
      <c r="DI27" s="10"/>
      <c r="DJ27" s="10"/>
      <c r="DK27" s="10"/>
      <c r="DL27" s="10"/>
      <c r="DM27" s="10">
        <f>SUM(CS27:CT27)+SUM(DE27:DG27)</f>
        <v>66.75</v>
      </c>
      <c r="DN27" s="8">
        <f>(DM27-CS27)/2</f>
        <v>30.375</v>
      </c>
      <c r="DO27" s="8">
        <f>CA27/4</f>
        <v>73.5</v>
      </c>
      <c r="DP27" s="10">
        <v>14</v>
      </c>
      <c r="DQ27" s="10"/>
      <c r="DR27" s="10"/>
      <c r="DS27" s="10"/>
      <c r="DT27" s="8">
        <f>SUM(DN27:DP27)</f>
        <v>117.875</v>
      </c>
      <c r="DU27" s="8">
        <f>(DT27-DN27)/2</f>
        <v>43.75</v>
      </c>
      <c r="DV27" s="10">
        <v>21</v>
      </c>
      <c r="DW27" s="10"/>
      <c r="DX27" s="10"/>
      <c r="DY27" s="10"/>
      <c r="DZ27" s="10"/>
      <c r="EA27" s="10"/>
      <c r="EB27" s="8">
        <f>SUM(DU27:DW27)</f>
        <v>64.75</v>
      </c>
      <c r="EC27" s="8">
        <f t="shared" si="2"/>
        <v>10.5</v>
      </c>
      <c r="ED27" s="10"/>
      <c r="EE27" s="10"/>
      <c r="EF27" s="10"/>
      <c r="EG27" s="10"/>
      <c r="EH27" s="10"/>
      <c r="EI27" s="10"/>
      <c r="EJ27" s="10"/>
      <c r="EK27" s="8">
        <f t="shared" si="3"/>
        <v>10.5</v>
      </c>
    </row>
    <row r="28" spans="1:141" x14ac:dyDescent="0.25">
      <c r="A28">
        <v>18</v>
      </c>
      <c r="B28" s="8" t="s">
        <v>108</v>
      </c>
      <c r="C28" s="8"/>
      <c r="D28" s="8" t="s">
        <v>162</v>
      </c>
      <c r="E28" s="8" t="s">
        <v>19</v>
      </c>
      <c r="F28" s="8"/>
      <c r="G28" s="8"/>
      <c r="H28" s="8"/>
      <c r="I28" s="8"/>
      <c r="J28" s="8"/>
      <c r="K28" s="8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8"/>
      <c r="AE28" s="8"/>
      <c r="AF28" s="8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10"/>
      <c r="CD28" s="10"/>
      <c r="CE28" s="10"/>
      <c r="CF28" s="10"/>
      <c r="CG28" s="10"/>
      <c r="CH28" s="10"/>
      <c r="CI28" s="8"/>
      <c r="CJ28" s="8"/>
      <c r="CK28" s="10">
        <v>30</v>
      </c>
      <c r="CL28" s="10"/>
      <c r="CM28" s="10">
        <v>70</v>
      </c>
      <c r="CN28" s="10"/>
      <c r="CO28" s="8"/>
      <c r="CP28" s="8"/>
      <c r="CQ28" s="11">
        <f t="shared" si="0"/>
        <v>100</v>
      </c>
      <c r="CS28" s="8"/>
      <c r="CT28" s="8"/>
      <c r="CU28" s="8"/>
      <c r="CV28" s="8"/>
      <c r="CW28" s="8"/>
      <c r="CX28" s="8"/>
      <c r="CY28" s="8"/>
      <c r="CZ28" s="8"/>
      <c r="DA28" s="8"/>
      <c r="DB28" s="10"/>
      <c r="DC28" s="10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10"/>
      <c r="DQ28" s="10"/>
      <c r="DR28" s="10"/>
      <c r="DS28" s="10"/>
      <c r="DT28" s="8"/>
      <c r="DU28" s="8"/>
      <c r="DV28" s="10"/>
      <c r="DW28" s="10"/>
      <c r="DX28" s="10"/>
      <c r="DY28" s="10"/>
      <c r="DZ28" s="10"/>
      <c r="EA28" s="10"/>
      <c r="EB28" s="8">
        <f t="shared" ref="EB28:EB40" si="4">SUM(DU28:EA28)</f>
        <v>0</v>
      </c>
      <c r="EC28" s="8">
        <f t="shared" si="2"/>
        <v>0</v>
      </c>
      <c r="ED28" s="10"/>
      <c r="EE28" s="10"/>
      <c r="EF28" s="10"/>
      <c r="EG28" s="10"/>
      <c r="EH28" s="10"/>
      <c r="EI28" s="10"/>
      <c r="EJ28" s="10"/>
      <c r="EK28" s="8">
        <f t="shared" si="3"/>
        <v>0</v>
      </c>
    </row>
    <row r="29" spans="1:141" x14ac:dyDescent="0.25">
      <c r="A29">
        <v>19</v>
      </c>
      <c r="B29" s="8" t="s">
        <v>845</v>
      </c>
      <c r="C29" s="8"/>
      <c r="D29" s="8" t="s">
        <v>203</v>
      </c>
      <c r="E29" s="8" t="s">
        <v>68</v>
      </c>
      <c r="F29" s="8"/>
      <c r="G29" s="8"/>
      <c r="H29" s="8"/>
      <c r="I29" s="8"/>
      <c r="J29" s="8"/>
      <c r="K29" s="8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8"/>
      <c r="AE29" s="8"/>
      <c r="AF29" s="8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10"/>
      <c r="CD29" s="10"/>
      <c r="CE29" s="10"/>
      <c r="CF29" s="10"/>
      <c r="CG29" s="10"/>
      <c r="CH29" s="10"/>
      <c r="CI29" s="8"/>
      <c r="CJ29" s="8"/>
      <c r="CK29" s="10"/>
      <c r="CL29" s="10">
        <v>56</v>
      </c>
      <c r="CM29" s="10">
        <v>7.5</v>
      </c>
      <c r="CN29" s="10">
        <v>36</v>
      </c>
      <c r="CO29" s="8"/>
      <c r="CP29" s="8"/>
      <c r="CQ29" s="11">
        <f t="shared" si="0"/>
        <v>99.5</v>
      </c>
      <c r="CS29" s="8"/>
      <c r="CT29" s="8"/>
      <c r="CU29" s="8"/>
      <c r="CV29" s="8"/>
      <c r="CW29" s="8"/>
      <c r="CX29" s="8"/>
      <c r="CY29" s="8"/>
      <c r="CZ29" s="8"/>
      <c r="DA29" s="8"/>
      <c r="DB29" s="10"/>
      <c r="DC29" s="10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10"/>
      <c r="DQ29" s="10"/>
      <c r="DR29" s="10"/>
      <c r="DS29" s="10"/>
      <c r="DT29" s="8"/>
      <c r="DU29" s="8"/>
      <c r="DV29" s="10"/>
      <c r="DW29" s="10"/>
      <c r="DX29" s="10"/>
      <c r="DY29" s="10"/>
      <c r="DZ29" s="10"/>
      <c r="EA29" s="10"/>
      <c r="EB29" s="8">
        <f t="shared" si="4"/>
        <v>0</v>
      </c>
      <c r="EC29" s="8">
        <f t="shared" si="2"/>
        <v>0</v>
      </c>
      <c r="ED29" s="10"/>
      <c r="EE29" s="10"/>
      <c r="EF29" s="10"/>
      <c r="EG29" s="10"/>
      <c r="EH29" s="10"/>
      <c r="EI29" s="10"/>
      <c r="EJ29" s="10"/>
      <c r="EK29" s="8">
        <f t="shared" si="3"/>
        <v>0</v>
      </c>
    </row>
    <row r="30" spans="1:141" x14ac:dyDescent="0.25">
      <c r="A30">
        <v>20</v>
      </c>
      <c r="B30" s="8" t="s">
        <v>588</v>
      </c>
      <c r="C30" s="8"/>
      <c r="D30" s="8" t="s">
        <v>162</v>
      </c>
      <c r="E30" s="8" t="s">
        <v>469</v>
      </c>
      <c r="F30" s="8"/>
      <c r="G30" s="8"/>
      <c r="H30" s="8"/>
      <c r="I30" s="8"/>
      <c r="J30" s="8"/>
      <c r="K30" s="8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8"/>
      <c r="AE30" s="8"/>
      <c r="AF30" s="8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>
        <v>7.5</v>
      </c>
      <c r="BZ30" s="8"/>
      <c r="CA30" s="11">
        <f>SUM(BC30:BZ30)</f>
        <v>7.5</v>
      </c>
      <c r="CB30" s="11">
        <f>(CA30-BC30)/2</f>
        <v>3.75</v>
      </c>
      <c r="CC30" s="11">
        <v>2.4</v>
      </c>
      <c r="CD30" s="11">
        <v>3.2</v>
      </c>
      <c r="CE30" s="11">
        <v>18</v>
      </c>
      <c r="CF30" s="11"/>
      <c r="CG30" s="11"/>
      <c r="CH30" s="11"/>
      <c r="CI30" s="11">
        <f>SUM(CB30:CH30)</f>
        <v>27.35</v>
      </c>
      <c r="CJ30" s="11">
        <f>(CI30-CB30)/2</f>
        <v>11.8</v>
      </c>
      <c r="CK30" s="11">
        <v>48</v>
      </c>
      <c r="CL30" s="11">
        <v>28.8</v>
      </c>
      <c r="CM30" s="11">
        <v>7.5</v>
      </c>
      <c r="CN30" s="11"/>
      <c r="CO30" s="11"/>
      <c r="CP30" s="11"/>
      <c r="CQ30" s="11">
        <f t="shared" si="0"/>
        <v>96.1</v>
      </c>
      <c r="CS30" s="8"/>
      <c r="CT30" s="8"/>
      <c r="CU30" s="8"/>
      <c r="CV30" s="8"/>
      <c r="CW30" s="8"/>
      <c r="CX30" s="8"/>
      <c r="CY30" s="8"/>
      <c r="CZ30" s="8"/>
      <c r="DA30" s="8"/>
      <c r="DB30" s="10"/>
      <c r="DC30" s="10"/>
      <c r="DD30" s="8"/>
      <c r="DE30" s="8"/>
      <c r="DF30" s="8"/>
      <c r="DG30" s="8"/>
      <c r="DH30" s="8"/>
      <c r="DI30" s="8"/>
      <c r="DJ30" s="8"/>
      <c r="DK30" s="8"/>
      <c r="DL30" s="8"/>
      <c r="DM30" s="10">
        <f>SUM(CS30:CT30)+SUM(DE30:DL30)</f>
        <v>0</v>
      </c>
      <c r="DN30" s="8">
        <f>(DM30-CS30)/2</f>
        <v>0</v>
      </c>
      <c r="DO30" s="8">
        <f>CA30/4</f>
        <v>1.875</v>
      </c>
      <c r="DP30" s="10"/>
      <c r="DQ30" s="10"/>
      <c r="DR30" s="10"/>
      <c r="DS30" s="10"/>
      <c r="DT30" s="8">
        <f>SUM(DN30:DS30)</f>
        <v>1.875</v>
      </c>
      <c r="DU30" s="8">
        <f>(DT30-DN30)/2</f>
        <v>0.9375</v>
      </c>
      <c r="DV30" s="10"/>
      <c r="DW30" s="10"/>
      <c r="DX30" s="10"/>
      <c r="DY30" s="10"/>
      <c r="DZ30" s="10"/>
      <c r="EA30" s="10"/>
      <c r="EB30" s="8">
        <f t="shared" si="4"/>
        <v>0.9375</v>
      </c>
      <c r="EC30" s="8">
        <f t="shared" si="2"/>
        <v>0</v>
      </c>
      <c r="ED30" s="10"/>
      <c r="EE30" s="10"/>
      <c r="EF30" s="10"/>
      <c r="EG30" s="10"/>
      <c r="EH30" s="10"/>
      <c r="EI30" s="10"/>
      <c r="EJ30" s="10"/>
      <c r="EK30" s="8">
        <f t="shared" si="3"/>
        <v>0</v>
      </c>
    </row>
    <row r="31" spans="1:141" x14ac:dyDescent="0.25">
      <c r="A31">
        <v>21</v>
      </c>
      <c r="B31" s="8" t="s">
        <v>669</v>
      </c>
      <c r="C31" s="8"/>
      <c r="D31" s="8" t="s">
        <v>37</v>
      </c>
      <c r="E31" s="8" t="s">
        <v>24</v>
      </c>
      <c r="F31" s="8"/>
      <c r="G31" s="8"/>
      <c r="H31" s="8"/>
      <c r="I31" s="8"/>
      <c r="J31" s="8"/>
      <c r="K31" s="8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8"/>
      <c r="AE31" s="8"/>
      <c r="AF31" s="8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10">
        <v>42</v>
      </c>
      <c r="CD31" s="10">
        <v>4</v>
      </c>
      <c r="CE31" s="10">
        <v>7.5</v>
      </c>
      <c r="CF31" s="10">
        <v>36</v>
      </c>
      <c r="CG31" s="10">
        <v>50</v>
      </c>
      <c r="CH31" s="10"/>
      <c r="CI31" s="11">
        <f>SUM(CB31:CH31)</f>
        <v>139.5</v>
      </c>
      <c r="CJ31" s="11">
        <f>(CI31-CB31)/2</f>
        <v>69.75</v>
      </c>
      <c r="CK31" s="11">
        <v>21.6</v>
      </c>
      <c r="CL31" s="11"/>
      <c r="CM31" s="11"/>
      <c r="CN31" s="11"/>
      <c r="CO31" s="11"/>
      <c r="CP31" s="11"/>
      <c r="CQ31" s="11">
        <f t="shared" si="0"/>
        <v>91.35</v>
      </c>
      <c r="CS31" s="8"/>
      <c r="CT31" s="8"/>
      <c r="CU31" s="8"/>
      <c r="CV31" s="8"/>
      <c r="CW31" s="8"/>
      <c r="CX31" s="8"/>
      <c r="CY31" s="8"/>
      <c r="CZ31" s="8"/>
      <c r="DA31" s="8"/>
      <c r="DB31" s="10"/>
      <c r="DC31" s="10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10"/>
      <c r="DQ31" s="10"/>
      <c r="DR31" s="10"/>
      <c r="DS31" s="10"/>
      <c r="DT31" s="8"/>
      <c r="DU31" s="8"/>
      <c r="DV31" s="10"/>
      <c r="DW31" s="10"/>
      <c r="DX31" s="10"/>
      <c r="DY31" s="10"/>
      <c r="DZ31" s="10"/>
      <c r="EA31" s="10">
        <v>18</v>
      </c>
      <c r="EB31" s="8">
        <f t="shared" si="4"/>
        <v>18</v>
      </c>
      <c r="EC31" s="8">
        <f t="shared" si="2"/>
        <v>9</v>
      </c>
      <c r="ED31" s="10"/>
      <c r="EE31" s="10"/>
      <c r="EF31" s="10"/>
      <c r="EG31" s="10"/>
      <c r="EH31" s="10"/>
      <c r="EI31" s="10"/>
      <c r="EJ31" s="10"/>
      <c r="EK31" s="8">
        <f t="shared" si="3"/>
        <v>9</v>
      </c>
    </row>
    <row r="32" spans="1:141" x14ac:dyDescent="0.25">
      <c r="A32">
        <v>22</v>
      </c>
      <c r="B32" s="8" t="s">
        <v>262</v>
      </c>
      <c r="C32" s="8"/>
      <c r="D32" s="8" t="s">
        <v>32</v>
      </c>
      <c r="E32" s="8" t="s">
        <v>625</v>
      </c>
      <c r="F32" s="8"/>
      <c r="G32" s="8"/>
      <c r="H32" s="8"/>
      <c r="I32" s="8"/>
      <c r="J32" s="8"/>
      <c r="K32" s="8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8"/>
      <c r="AE32" s="8"/>
      <c r="AF32" s="8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10"/>
      <c r="CD32" s="10"/>
      <c r="CE32" s="10"/>
      <c r="CF32" s="10"/>
      <c r="CG32" s="10"/>
      <c r="CH32" s="10"/>
      <c r="CI32" s="8"/>
      <c r="CJ32" s="8"/>
      <c r="CK32" s="10">
        <v>21.6</v>
      </c>
      <c r="CL32" s="10">
        <v>20.8</v>
      </c>
      <c r="CM32" s="10">
        <v>39</v>
      </c>
      <c r="CN32" s="10">
        <v>3</v>
      </c>
      <c r="CO32" s="8"/>
      <c r="CP32" s="8"/>
      <c r="CQ32" s="11">
        <f t="shared" si="0"/>
        <v>84.4</v>
      </c>
      <c r="CS32" s="8"/>
      <c r="CT32" s="8"/>
      <c r="CU32" s="8"/>
      <c r="CV32" s="8"/>
      <c r="CW32" s="8"/>
      <c r="CX32" s="8"/>
      <c r="CY32" s="8"/>
      <c r="CZ32" s="8"/>
      <c r="DA32" s="8"/>
      <c r="DB32" s="10"/>
      <c r="DC32" s="10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10"/>
      <c r="DQ32" s="10"/>
      <c r="DR32" s="10"/>
      <c r="DS32" s="10"/>
      <c r="DT32" s="8"/>
      <c r="DU32" s="8"/>
      <c r="DV32" s="10"/>
      <c r="DW32" s="10"/>
      <c r="DX32" s="10"/>
      <c r="DY32" s="10"/>
      <c r="DZ32" s="10"/>
      <c r="EA32" s="10"/>
      <c r="EB32" s="8">
        <f t="shared" si="4"/>
        <v>0</v>
      </c>
      <c r="EC32" s="8">
        <f t="shared" si="2"/>
        <v>0</v>
      </c>
      <c r="ED32" s="10"/>
      <c r="EE32" s="10"/>
      <c r="EF32" s="10"/>
      <c r="EG32" s="10"/>
      <c r="EH32" s="10"/>
      <c r="EI32" s="10"/>
      <c r="EJ32" s="10"/>
      <c r="EK32" s="8">
        <f t="shared" si="3"/>
        <v>0</v>
      </c>
    </row>
    <row r="33" spans="1:141" x14ac:dyDescent="0.25">
      <c r="A33">
        <v>23</v>
      </c>
      <c r="B33" s="8" t="s">
        <v>367</v>
      </c>
      <c r="C33" s="8"/>
      <c r="D33" s="8" t="s">
        <v>20</v>
      </c>
      <c r="E33" s="8" t="s">
        <v>368</v>
      </c>
      <c r="F33" s="8"/>
      <c r="G33" s="8"/>
      <c r="H33" s="8"/>
      <c r="I33" s="8"/>
      <c r="J33" s="8"/>
      <c r="K33" s="8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8"/>
      <c r="AE33" s="8"/>
      <c r="AF33" s="8"/>
      <c r="AG33" s="10"/>
      <c r="AH33" s="10"/>
      <c r="AI33" s="10"/>
      <c r="AJ33" s="10">
        <v>50</v>
      </c>
      <c r="AK33" s="10"/>
      <c r="AL33" s="10"/>
      <c r="AM33" s="10"/>
      <c r="AN33" s="10"/>
      <c r="AO33" s="10"/>
      <c r="AP33" s="10">
        <v>36</v>
      </c>
      <c r="AQ33" s="10">
        <v>5</v>
      </c>
      <c r="AR33" s="10"/>
      <c r="AS33" s="10"/>
      <c r="AT33" s="10"/>
      <c r="AU33" s="10"/>
      <c r="AV33" s="10"/>
      <c r="AW33" s="10">
        <v>36</v>
      </c>
      <c r="AX33" s="10"/>
      <c r="AY33" s="10"/>
      <c r="AZ33" s="10"/>
      <c r="BA33" s="10">
        <v>7.5</v>
      </c>
      <c r="BB33" s="11">
        <f>SUM(AE33:BA33)</f>
        <v>134.5</v>
      </c>
      <c r="BC33" s="11">
        <f>(BB33-AE33)/2</f>
        <v>67.25</v>
      </c>
      <c r="BD33" s="11"/>
      <c r="BE33" s="11"/>
      <c r="BF33" s="11"/>
      <c r="BG33" s="11">
        <v>36</v>
      </c>
      <c r="BH33" s="11"/>
      <c r="BI33" s="11"/>
      <c r="BJ33" s="11"/>
      <c r="BK33" s="11"/>
      <c r="BL33" s="11"/>
      <c r="BM33" s="11"/>
      <c r="BN33" s="11"/>
      <c r="BO33" s="11">
        <v>40</v>
      </c>
      <c r="BP33" s="11"/>
      <c r="BQ33" s="11">
        <v>75</v>
      </c>
      <c r="BR33" s="11"/>
      <c r="BS33" s="11"/>
      <c r="BT33" s="11"/>
      <c r="BU33" s="11"/>
      <c r="BV33" s="11"/>
      <c r="BW33" s="11"/>
      <c r="BX33" s="11"/>
      <c r="BY33" s="11"/>
      <c r="BZ33" s="11"/>
      <c r="CA33" s="11">
        <f>SUM(BC33:BZ33)</f>
        <v>218.25</v>
      </c>
      <c r="CB33" s="11">
        <f>(CA33-BC33)/2</f>
        <v>75.5</v>
      </c>
      <c r="CC33" s="11">
        <v>36</v>
      </c>
      <c r="CD33" s="11"/>
      <c r="CE33" s="11">
        <v>36</v>
      </c>
      <c r="CF33" s="11"/>
      <c r="CG33" s="11"/>
      <c r="CH33" s="11"/>
      <c r="CI33" s="11">
        <f>SUM(CB33:CH33)</f>
        <v>147.5</v>
      </c>
      <c r="CJ33" s="11">
        <f>(CI33-CB33)/2</f>
        <v>36</v>
      </c>
      <c r="CK33" s="11">
        <v>48</v>
      </c>
      <c r="CL33" s="11"/>
      <c r="CM33" s="11"/>
      <c r="CN33" s="11"/>
      <c r="CO33" s="11"/>
      <c r="CP33" s="11"/>
      <c r="CQ33" s="11">
        <f t="shared" si="0"/>
        <v>84</v>
      </c>
      <c r="CS33" s="10">
        <f>SUM(CV33:DC33)/2</f>
        <v>0</v>
      </c>
      <c r="CT33" s="10">
        <f>BB33/4</f>
        <v>33.625</v>
      </c>
      <c r="CU33" s="8"/>
      <c r="CV33" s="8"/>
      <c r="CW33" s="8"/>
      <c r="CX33" s="8"/>
      <c r="CY33" s="8"/>
      <c r="CZ33" s="8"/>
      <c r="DA33" s="8"/>
      <c r="DB33" s="10"/>
      <c r="DC33" s="10"/>
      <c r="DD33" s="8"/>
      <c r="DE33" s="8"/>
      <c r="DF33" s="8"/>
      <c r="DG33" s="8"/>
      <c r="DH33" s="8"/>
      <c r="DI33" s="8"/>
      <c r="DJ33" s="8"/>
      <c r="DK33" s="8"/>
      <c r="DL33" s="8"/>
      <c r="DM33" s="10">
        <f>SUM(CS33:CT33)+SUM(DE33:DL33)</f>
        <v>33.625</v>
      </c>
      <c r="DN33" s="8">
        <f>(DM33-CS33)/2</f>
        <v>16.8125</v>
      </c>
      <c r="DO33" s="8">
        <f>CA33/4</f>
        <v>54.5625</v>
      </c>
      <c r="DP33" s="10"/>
      <c r="DQ33" s="10"/>
      <c r="DR33" s="10"/>
      <c r="DS33" s="10"/>
      <c r="DT33" s="8">
        <f>SUM(DN33:DP33)</f>
        <v>71.375</v>
      </c>
      <c r="DU33" s="8">
        <f>(DT33-DN33)/2</f>
        <v>27.28125</v>
      </c>
      <c r="DV33" s="10"/>
      <c r="DW33" s="10"/>
      <c r="DX33" s="10"/>
      <c r="DY33" s="10"/>
      <c r="DZ33" s="10"/>
      <c r="EA33" s="10"/>
      <c r="EB33" s="8">
        <f t="shared" si="4"/>
        <v>27.28125</v>
      </c>
      <c r="EC33" s="8">
        <f t="shared" si="2"/>
        <v>0</v>
      </c>
      <c r="ED33" s="10"/>
      <c r="EE33" s="10"/>
      <c r="EF33" s="10"/>
      <c r="EG33" s="10"/>
      <c r="EH33" s="10"/>
      <c r="EI33" s="10"/>
      <c r="EJ33" s="10"/>
      <c r="EK33" s="8">
        <f t="shared" si="3"/>
        <v>0</v>
      </c>
    </row>
    <row r="34" spans="1:141" x14ac:dyDescent="0.25">
      <c r="A34">
        <v>24</v>
      </c>
      <c r="B34" s="8" t="s">
        <v>127</v>
      </c>
      <c r="C34" s="8"/>
      <c r="D34" s="8" t="s">
        <v>34</v>
      </c>
      <c r="E34" s="8" t="s">
        <v>455</v>
      </c>
      <c r="F34" s="8"/>
      <c r="G34" s="8"/>
      <c r="H34" s="8"/>
      <c r="I34" s="8"/>
      <c r="J34" s="8"/>
      <c r="K34" s="8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8"/>
      <c r="AE34" s="8"/>
      <c r="AF34" s="8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10"/>
      <c r="CD34" s="10"/>
      <c r="CE34" s="10"/>
      <c r="CF34" s="10"/>
      <c r="CG34" s="10"/>
      <c r="CH34" s="10"/>
      <c r="CI34" s="8"/>
      <c r="CJ34" s="8"/>
      <c r="CK34" s="10">
        <v>36</v>
      </c>
      <c r="CL34" s="10">
        <v>40</v>
      </c>
      <c r="CM34" s="10"/>
      <c r="CN34" s="10"/>
      <c r="CO34" s="8"/>
      <c r="CP34" s="8"/>
      <c r="CQ34" s="11">
        <f t="shared" si="0"/>
        <v>76</v>
      </c>
      <c r="CS34" s="8"/>
      <c r="CT34" s="8"/>
      <c r="CU34" s="8"/>
      <c r="CV34" s="8"/>
      <c r="CW34" s="8"/>
      <c r="CX34" s="8"/>
      <c r="CY34" s="8"/>
      <c r="CZ34" s="8"/>
      <c r="DA34" s="8"/>
      <c r="DB34" s="10"/>
      <c r="DC34" s="10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10"/>
      <c r="DQ34" s="10"/>
      <c r="DR34" s="10"/>
      <c r="DS34" s="10"/>
      <c r="DT34" s="8"/>
      <c r="DU34" s="8"/>
      <c r="DV34" s="10"/>
      <c r="DW34" s="10"/>
      <c r="DX34" s="10"/>
      <c r="DY34" s="10"/>
      <c r="DZ34" s="10"/>
      <c r="EA34" s="10"/>
      <c r="EB34" s="8">
        <f t="shared" si="4"/>
        <v>0</v>
      </c>
      <c r="EC34" s="8">
        <f t="shared" si="2"/>
        <v>0</v>
      </c>
      <c r="ED34" s="10"/>
      <c r="EE34" s="10"/>
      <c r="EF34" s="10"/>
      <c r="EG34" s="10"/>
      <c r="EH34" s="10"/>
      <c r="EI34" s="10"/>
      <c r="EJ34" s="10"/>
      <c r="EK34" s="8">
        <f t="shared" si="3"/>
        <v>0</v>
      </c>
    </row>
    <row r="35" spans="1:141" x14ac:dyDescent="0.25">
      <c r="A35">
        <v>25</v>
      </c>
      <c r="B35" s="8" t="s">
        <v>719</v>
      </c>
      <c r="C35" s="8"/>
      <c r="D35" s="8" t="s">
        <v>720</v>
      </c>
      <c r="E35" s="8" t="s">
        <v>53</v>
      </c>
      <c r="F35" s="8"/>
      <c r="G35" s="8"/>
      <c r="H35" s="8"/>
      <c r="I35" s="8"/>
      <c r="J35" s="8"/>
      <c r="K35" s="8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8"/>
      <c r="AE35" s="8"/>
      <c r="AF35" s="8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10"/>
      <c r="CD35" s="10"/>
      <c r="CE35" s="10">
        <v>150</v>
      </c>
      <c r="CF35" s="10"/>
      <c r="CG35" s="10"/>
      <c r="CH35" s="10"/>
      <c r="CI35" s="11">
        <f t="shared" ref="CI35:CI41" si="5">SUM(CB35:CH35)</f>
        <v>150</v>
      </c>
      <c r="CJ35" s="11">
        <f t="shared" ref="CJ35:CJ41" si="6">(CI35-CB35)/2</f>
        <v>75</v>
      </c>
      <c r="CK35" s="11"/>
      <c r="CL35" s="11"/>
      <c r="CM35" s="11"/>
      <c r="CN35" s="11"/>
      <c r="CO35" s="11"/>
      <c r="CP35" s="11"/>
      <c r="CQ35" s="11">
        <f t="shared" si="0"/>
        <v>75</v>
      </c>
      <c r="CS35" s="8"/>
      <c r="CT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10"/>
      <c r="DQ35" s="10"/>
      <c r="DR35" s="10"/>
      <c r="DS35" s="10"/>
      <c r="DT35" s="8"/>
      <c r="DU35" s="8"/>
      <c r="DV35" s="10"/>
      <c r="DW35" s="10"/>
      <c r="DX35" s="10"/>
      <c r="DY35" s="10"/>
      <c r="DZ35" s="10"/>
      <c r="EA35" s="10"/>
      <c r="EB35" s="8">
        <f t="shared" si="4"/>
        <v>0</v>
      </c>
      <c r="EC35" s="8">
        <f t="shared" si="2"/>
        <v>0</v>
      </c>
      <c r="ED35" s="10"/>
      <c r="EE35" s="10"/>
      <c r="EF35" s="10"/>
      <c r="EG35" s="10"/>
      <c r="EH35" s="10"/>
      <c r="EI35" s="10"/>
      <c r="EJ35" s="10"/>
      <c r="EK35" s="8">
        <f t="shared" si="3"/>
        <v>0</v>
      </c>
    </row>
    <row r="36" spans="1:141" x14ac:dyDescent="0.25">
      <c r="A36">
        <v>26</v>
      </c>
      <c r="B36" s="8" t="s">
        <v>440</v>
      </c>
      <c r="C36" s="8"/>
      <c r="D36" s="8" t="s">
        <v>514</v>
      </c>
      <c r="E36" s="8" t="s">
        <v>68</v>
      </c>
      <c r="F36" s="8"/>
      <c r="G36" s="8"/>
      <c r="H36" s="8"/>
      <c r="I36" s="8"/>
      <c r="J36" s="8"/>
      <c r="K36" s="8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8"/>
      <c r="AE36" s="8"/>
      <c r="AF36" s="8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10">
        <v>36</v>
      </c>
      <c r="CD36" s="10"/>
      <c r="CE36" s="10">
        <v>7.5</v>
      </c>
      <c r="CF36" s="10">
        <v>5</v>
      </c>
      <c r="CG36" s="10">
        <v>7.5</v>
      </c>
      <c r="CH36" s="10"/>
      <c r="CI36" s="11">
        <f t="shared" si="5"/>
        <v>56</v>
      </c>
      <c r="CJ36" s="11">
        <f t="shared" si="6"/>
        <v>28</v>
      </c>
      <c r="CK36" s="11"/>
      <c r="CL36" s="11">
        <v>40</v>
      </c>
      <c r="CM36" s="11"/>
      <c r="CN36" s="11"/>
      <c r="CO36" s="11"/>
      <c r="CP36" s="11"/>
      <c r="CQ36" s="11">
        <f t="shared" si="0"/>
        <v>68</v>
      </c>
      <c r="CS36" s="8"/>
      <c r="CT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10"/>
      <c r="DQ36" s="10"/>
      <c r="DR36" s="10"/>
      <c r="DS36" s="10"/>
      <c r="DT36" s="8"/>
      <c r="DU36" s="8"/>
      <c r="DV36" s="10"/>
      <c r="DW36" s="10"/>
      <c r="DX36" s="10"/>
      <c r="DY36" s="10"/>
      <c r="DZ36" s="10"/>
      <c r="EA36" s="10"/>
      <c r="EB36" s="8">
        <f t="shared" si="4"/>
        <v>0</v>
      </c>
      <c r="EC36" s="8">
        <f t="shared" si="2"/>
        <v>0</v>
      </c>
      <c r="ED36" s="10"/>
      <c r="EE36" s="10"/>
      <c r="EF36" s="10"/>
      <c r="EG36" s="10"/>
      <c r="EH36" s="10"/>
      <c r="EI36" s="10"/>
      <c r="EJ36" s="10"/>
      <c r="EK36" s="8">
        <f t="shared" si="3"/>
        <v>0</v>
      </c>
    </row>
    <row r="37" spans="1:141" x14ac:dyDescent="0.25">
      <c r="A37">
        <v>27</v>
      </c>
      <c r="B37" s="8" t="s">
        <v>198</v>
      </c>
      <c r="C37" s="8"/>
      <c r="D37" s="8" t="s">
        <v>21</v>
      </c>
      <c r="E37" s="8" t="s">
        <v>854</v>
      </c>
      <c r="F37" s="8"/>
      <c r="G37" s="8"/>
      <c r="H37" s="8"/>
      <c r="I37" s="8"/>
      <c r="J37" s="8"/>
      <c r="K37" s="8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8"/>
      <c r="AE37" s="8"/>
      <c r="AF37" s="8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11">
        <f>SUM(BC37:BZ37)</f>
        <v>0</v>
      </c>
      <c r="CB37" s="11">
        <f>(CA37-BC37)/2</f>
        <v>0</v>
      </c>
      <c r="CC37" s="11">
        <v>3</v>
      </c>
      <c r="CD37" s="11">
        <v>28.8</v>
      </c>
      <c r="CE37" s="11">
        <v>5</v>
      </c>
      <c r="CF37" s="11">
        <v>7.5</v>
      </c>
      <c r="CG37" s="11">
        <v>75</v>
      </c>
      <c r="CH37" s="11"/>
      <c r="CI37" s="11">
        <f t="shared" si="5"/>
        <v>119.3</v>
      </c>
      <c r="CJ37" s="11">
        <f t="shared" si="6"/>
        <v>59.65</v>
      </c>
      <c r="CK37" s="11"/>
      <c r="CL37" s="11">
        <v>4</v>
      </c>
      <c r="CM37" s="11"/>
      <c r="CN37" s="11"/>
      <c r="CO37" s="11"/>
      <c r="CP37" s="11"/>
      <c r="CQ37" s="11">
        <f t="shared" si="0"/>
        <v>63.65</v>
      </c>
      <c r="CS37" s="8"/>
      <c r="CT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10"/>
      <c r="DQ37" s="10"/>
      <c r="DR37" s="10"/>
      <c r="DS37" s="10">
        <v>18</v>
      </c>
      <c r="DT37" s="8">
        <f>SUM(DN37:DS37)</f>
        <v>18</v>
      </c>
      <c r="DU37" s="8">
        <f>(DT37-DN37)/2</f>
        <v>9</v>
      </c>
      <c r="DV37" s="10"/>
      <c r="DW37" s="10"/>
      <c r="DX37" s="10"/>
      <c r="DY37" s="10"/>
      <c r="DZ37" s="10"/>
      <c r="EA37" s="10"/>
      <c r="EB37" s="8">
        <f t="shared" si="4"/>
        <v>9</v>
      </c>
      <c r="EC37" s="8">
        <f t="shared" si="2"/>
        <v>0</v>
      </c>
      <c r="ED37" s="10"/>
      <c r="EE37" s="10"/>
      <c r="EF37" s="10"/>
      <c r="EG37" s="10"/>
      <c r="EH37" s="10"/>
      <c r="EI37" s="10"/>
      <c r="EJ37" s="10"/>
      <c r="EK37" s="8">
        <f t="shared" si="3"/>
        <v>0</v>
      </c>
    </row>
    <row r="38" spans="1:141" x14ac:dyDescent="0.25">
      <c r="A38">
        <v>28</v>
      </c>
      <c r="B38" s="8" t="s">
        <v>127</v>
      </c>
      <c r="C38" s="8"/>
      <c r="D38" s="8" t="s">
        <v>779</v>
      </c>
      <c r="E38" s="8" t="s">
        <v>537</v>
      </c>
      <c r="F38" s="8"/>
      <c r="G38" s="8"/>
      <c r="H38" s="8"/>
      <c r="I38" s="8"/>
      <c r="J38" s="8"/>
      <c r="K38" s="8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8"/>
      <c r="AE38" s="8"/>
      <c r="AF38" s="8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10"/>
      <c r="CD38" s="10"/>
      <c r="CE38" s="10"/>
      <c r="CF38" s="10"/>
      <c r="CG38" s="10"/>
      <c r="CH38" s="10"/>
      <c r="CI38" s="11">
        <f t="shared" si="5"/>
        <v>0</v>
      </c>
      <c r="CJ38" s="11">
        <f t="shared" si="6"/>
        <v>0</v>
      </c>
      <c r="CK38" s="11"/>
      <c r="CL38" s="11">
        <v>56</v>
      </c>
      <c r="CM38" s="11"/>
      <c r="CN38" s="11"/>
      <c r="CO38" s="11"/>
      <c r="CP38" s="11"/>
      <c r="CQ38" s="11">
        <f t="shared" si="0"/>
        <v>56</v>
      </c>
      <c r="CS38" s="8"/>
      <c r="CT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10"/>
      <c r="DQ38" s="10"/>
      <c r="DR38" s="10"/>
      <c r="DS38" s="10"/>
      <c r="DT38" s="8"/>
      <c r="DU38" s="8"/>
      <c r="DV38" s="10"/>
      <c r="DW38" s="10"/>
      <c r="DX38" s="10"/>
      <c r="DY38" s="10"/>
      <c r="DZ38" s="10"/>
      <c r="EA38" s="10">
        <v>2.5</v>
      </c>
      <c r="EB38" s="8">
        <f t="shared" si="4"/>
        <v>2.5</v>
      </c>
      <c r="EC38" s="8">
        <f t="shared" si="2"/>
        <v>1.25</v>
      </c>
      <c r="ED38" s="10"/>
      <c r="EE38" s="10"/>
      <c r="EF38" s="10"/>
      <c r="EG38" s="10"/>
      <c r="EH38" s="10"/>
      <c r="EI38" s="10"/>
      <c r="EJ38" s="10"/>
      <c r="EK38" s="8">
        <f t="shared" si="3"/>
        <v>1.25</v>
      </c>
    </row>
    <row r="39" spans="1:141" x14ac:dyDescent="0.25">
      <c r="A39">
        <v>29</v>
      </c>
      <c r="B39" s="8" t="s">
        <v>652</v>
      </c>
      <c r="C39" s="8"/>
      <c r="D39" s="8" t="s">
        <v>26</v>
      </c>
      <c r="E39" s="8" t="s">
        <v>233</v>
      </c>
      <c r="F39" s="8"/>
      <c r="G39" s="8"/>
      <c r="H39" s="8"/>
      <c r="I39" s="8"/>
      <c r="J39" s="8"/>
      <c r="K39" s="8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8"/>
      <c r="AE39" s="8"/>
      <c r="AF39" s="8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10">
        <v>48</v>
      </c>
      <c r="CD39" s="10">
        <v>44.8</v>
      </c>
      <c r="CE39" s="10">
        <v>7.5</v>
      </c>
      <c r="CF39" s="10"/>
      <c r="CG39" s="10"/>
      <c r="CH39" s="10"/>
      <c r="CI39" s="11">
        <f t="shared" si="5"/>
        <v>100.3</v>
      </c>
      <c r="CJ39" s="11">
        <f t="shared" si="6"/>
        <v>50.15</v>
      </c>
      <c r="CK39" s="11"/>
      <c r="CL39" s="11">
        <v>4</v>
      </c>
      <c r="CM39" s="11"/>
      <c r="CN39" s="11"/>
      <c r="CO39" s="11"/>
      <c r="CP39" s="11"/>
      <c r="CQ39" s="11">
        <f t="shared" si="0"/>
        <v>54.15</v>
      </c>
      <c r="CS39" s="8"/>
      <c r="CT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10"/>
      <c r="DQ39" s="10"/>
      <c r="DR39" s="10"/>
      <c r="DS39" s="10"/>
      <c r="DT39" s="8"/>
      <c r="DU39" s="8"/>
      <c r="DV39" s="10"/>
      <c r="DW39" s="10"/>
      <c r="DX39" s="10"/>
      <c r="DY39" s="10"/>
      <c r="DZ39" s="10"/>
      <c r="EA39" s="10"/>
      <c r="EB39" s="8">
        <f t="shared" si="4"/>
        <v>0</v>
      </c>
      <c r="EC39" s="8">
        <f t="shared" si="2"/>
        <v>0</v>
      </c>
      <c r="ED39" s="10"/>
      <c r="EE39" s="10"/>
      <c r="EF39" s="10"/>
      <c r="EG39" s="10"/>
      <c r="EH39" s="10"/>
      <c r="EI39" s="10"/>
      <c r="EJ39" s="10"/>
      <c r="EK39" s="8">
        <f t="shared" si="3"/>
        <v>0</v>
      </c>
    </row>
    <row r="40" spans="1:141" x14ac:dyDescent="0.25">
      <c r="A40">
        <v>30</v>
      </c>
      <c r="B40" s="8" t="s">
        <v>698</v>
      </c>
      <c r="C40" s="8"/>
      <c r="D40" s="8" t="s">
        <v>671</v>
      </c>
      <c r="E40" s="8" t="s">
        <v>699</v>
      </c>
      <c r="F40" s="8"/>
      <c r="G40" s="8"/>
      <c r="H40" s="8"/>
      <c r="I40" s="8"/>
      <c r="J40" s="8"/>
      <c r="K40" s="8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8"/>
      <c r="AE40" s="8"/>
      <c r="AF40" s="8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10"/>
      <c r="CD40" s="10"/>
      <c r="CE40" s="10">
        <v>16</v>
      </c>
      <c r="CF40" s="10">
        <v>5</v>
      </c>
      <c r="CG40" s="10"/>
      <c r="CH40" s="10"/>
      <c r="CI40" s="11">
        <f t="shared" si="5"/>
        <v>21</v>
      </c>
      <c r="CJ40" s="11">
        <f t="shared" si="6"/>
        <v>10.5</v>
      </c>
      <c r="CK40" s="11">
        <v>3</v>
      </c>
      <c r="CL40" s="11"/>
      <c r="CM40" s="11">
        <v>36</v>
      </c>
      <c r="CN40" s="11"/>
      <c r="CO40" s="11"/>
      <c r="CP40" s="11"/>
      <c r="CQ40" s="11">
        <f t="shared" si="0"/>
        <v>49.5</v>
      </c>
      <c r="DM40" s="8"/>
      <c r="DN40" s="8"/>
      <c r="DO40" s="8"/>
      <c r="DP40" s="10"/>
      <c r="DQ40" s="10"/>
      <c r="DR40" s="10"/>
      <c r="DS40" s="10"/>
      <c r="DT40" s="8"/>
      <c r="DU40" s="8"/>
      <c r="DV40" s="10"/>
      <c r="DW40" s="10"/>
      <c r="DX40" s="10"/>
      <c r="DY40" s="10"/>
      <c r="DZ40" s="10"/>
      <c r="EA40" s="10"/>
      <c r="EB40" s="8">
        <f t="shared" si="4"/>
        <v>0</v>
      </c>
      <c r="EC40" s="8">
        <f t="shared" si="2"/>
        <v>0</v>
      </c>
      <c r="ED40" s="10"/>
      <c r="EE40" s="10"/>
      <c r="EF40" s="10"/>
      <c r="EG40" s="10"/>
      <c r="EH40" s="10"/>
      <c r="EI40" s="10"/>
      <c r="EJ40" s="10"/>
      <c r="EK40" s="8">
        <f t="shared" si="3"/>
        <v>0</v>
      </c>
    </row>
    <row r="41" spans="1:141" x14ac:dyDescent="0.25">
      <c r="A41">
        <v>31</v>
      </c>
      <c r="B41" s="8" t="s">
        <v>223</v>
      </c>
      <c r="C41" s="8"/>
      <c r="D41" s="8" t="s">
        <v>46</v>
      </c>
      <c r="E41" s="8" t="s">
        <v>41</v>
      </c>
      <c r="F41" s="8"/>
      <c r="G41" s="8"/>
      <c r="H41" s="8"/>
      <c r="I41" s="8"/>
      <c r="J41" s="8"/>
      <c r="K41" s="8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8"/>
      <c r="AE41" s="8"/>
      <c r="AF41" s="8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1">
        <f>SUM(AE41:BA41)</f>
        <v>0</v>
      </c>
      <c r="BC41" s="11">
        <f>(BB41-AE41)/2</f>
        <v>0</v>
      </c>
      <c r="BD41" s="11"/>
      <c r="BE41" s="11">
        <v>48</v>
      </c>
      <c r="BF41" s="11"/>
      <c r="BG41" s="11"/>
      <c r="BH41" s="11"/>
      <c r="BI41" s="11"/>
      <c r="BJ41" s="11"/>
      <c r="BK41" s="11"/>
      <c r="BL41" s="11">
        <v>7.5</v>
      </c>
      <c r="BM41" s="11">
        <v>50</v>
      </c>
      <c r="BN41" s="11">
        <v>80</v>
      </c>
      <c r="BO41" s="11"/>
      <c r="BP41" s="11"/>
      <c r="BQ41" s="11">
        <v>105</v>
      </c>
      <c r="BR41" s="11"/>
      <c r="BS41" s="11"/>
      <c r="BT41" s="11"/>
      <c r="BU41" s="11"/>
      <c r="BV41" s="11"/>
      <c r="BW41" s="11"/>
      <c r="BX41" s="11"/>
      <c r="BY41" s="11">
        <v>54</v>
      </c>
      <c r="BZ41" s="11">
        <v>140</v>
      </c>
      <c r="CA41" s="11">
        <f>SUM(BC41:BZ41)</f>
        <v>484.5</v>
      </c>
      <c r="CB41" s="11">
        <f>(CA41-BC41)/2</f>
        <v>242.25</v>
      </c>
      <c r="CC41" s="11"/>
      <c r="CD41" s="11">
        <v>48</v>
      </c>
      <c r="CE41" s="11"/>
      <c r="CF41" s="11">
        <v>50</v>
      </c>
      <c r="CG41" s="11"/>
      <c r="CH41" s="11"/>
      <c r="CI41" s="11">
        <f t="shared" si="5"/>
        <v>340.25</v>
      </c>
      <c r="CJ41" s="11">
        <f t="shared" si="6"/>
        <v>49</v>
      </c>
      <c r="CK41" s="11"/>
      <c r="CL41" s="11"/>
      <c r="CM41" s="11"/>
      <c r="CN41" s="11"/>
      <c r="CO41" s="11"/>
      <c r="CP41" s="11"/>
      <c r="CQ41" s="11">
        <f t="shared" si="0"/>
        <v>49</v>
      </c>
      <c r="CS41" s="12">
        <f>SUM(CV41:DC41)/2</f>
        <v>0</v>
      </c>
      <c r="CT41" s="12">
        <f>BB41/4</f>
        <v>0</v>
      </c>
      <c r="DL41">
        <v>50</v>
      </c>
      <c r="DM41" s="10">
        <f>SUM(CS41:CT41)+SUM(DE41:DL41)</f>
        <v>50</v>
      </c>
      <c r="DN41" s="8">
        <f>(DM41-CS41)/2</f>
        <v>25</v>
      </c>
      <c r="DO41" s="8">
        <f>CA41/4</f>
        <v>121.125</v>
      </c>
      <c r="DP41" s="10"/>
      <c r="DQ41" s="10"/>
      <c r="DR41" s="10"/>
      <c r="DS41" s="10">
        <v>18</v>
      </c>
      <c r="DT41" s="8">
        <f>SUM(DN41:DS41)</f>
        <v>164.125</v>
      </c>
      <c r="DU41" s="8">
        <f>(DT41-DN41)/2</f>
        <v>69.5625</v>
      </c>
      <c r="DV41" s="10">
        <v>1.75</v>
      </c>
      <c r="DW41" s="10"/>
      <c r="DX41" s="10"/>
      <c r="DY41" s="10"/>
      <c r="DZ41" s="10"/>
      <c r="EA41" s="10"/>
      <c r="EB41" s="8">
        <f>SUM(DU41:DW41)</f>
        <v>71.3125</v>
      </c>
      <c r="EC41" s="8">
        <f t="shared" si="2"/>
        <v>0.875</v>
      </c>
      <c r="ED41" s="10"/>
      <c r="EE41" s="10"/>
      <c r="EF41" s="10"/>
      <c r="EG41" s="10"/>
      <c r="EH41" s="10"/>
      <c r="EI41" s="10"/>
      <c r="EJ41" s="10"/>
      <c r="EK41" s="8">
        <f t="shared" si="3"/>
        <v>0.875</v>
      </c>
    </row>
    <row r="42" spans="1:141" x14ac:dyDescent="0.25">
      <c r="A42">
        <v>32</v>
      </c>
      <c r="B42" s="8" t="s">
        <v>841</v>
      </c>
      <c r="C42" s="8"/>
      <c r="D42" s="8" t="s">
        <v>489</v>
      </c>
      <c r="E42" s="8" t="s">
        <v>631</v>
      </c>
      <c r="F42" s="8"/>
      <c r="G42" s="8"/>
      <c r="H42" s="8"/>
      <c r="I42" s="8"/>
      <c r="J42" s="8"/>
      <c r="K42" s="8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8"/>
      <c r="AE42" s="8"/>
      <c r="AF42" s="8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10"/>
      <c r="CD42" s="10"/>
      <c r="CE42" s="10"/>
      <c r="CF42" s="10"/>
      <c r="CG42" s="10"/>
      <c r="CH42" s="10"/>
      <c r="CI42" s="8"/>
      <c r="CJ42" s="8"/>
      <c r="CK42" s="10">
        <v>36</v>
      </c>
      <c r="CL42" s="10"/>
      <c r="CM42" s="10">
        <v>7.5</v>
      </c>
      <c r="CN42" s="10"/>
      <c r="CO42" s="8"/>
      <c r="CP42" s="8"/>
      <c r="CQ42" s="11">
        <f t="shared" si="0"/>
        <v>43.5</v>
      </c>
      <c r="DM42" s="8"/>
      <c r="DN42" s="8"/>
      <c r="DO42" s="8"/>
      <c r="DP42" s="10"/>
      <c r="DQ42" s="10"/>
      <c r="DR42" s="10"/>
      <c r="DS42" s="10"/>
      <c r="DT42" s="8"/>
      <c r="DU42" s="8"/>
      <c r="DV42" s="10"/>
      <c r="DW42" s="10"/>
      <c r="DX42" s="10"/>
      <c r="DY42" s="10"/>
      <c r="DZ42" s="10"/>
      <c r="EA42" s="10"/>
      <c r="EB42" s="8">
        <f t="shared" ref="EB42:EB73" si="7">SUM(DU42:EA42)</f>
        <v>0</v>
      </c>
      <c r="EC42" s="8">
        <f t="shared" si="2"/>
        <v>0</v>
      </c>
      <c r="ED42" s="10"/>
      <c r="EE42" s="10"/>
      <c r="EF42" s="10"/>
      <c r="EG42" s="10"/>
      <c r="EH42" s="10"/>
      <c r="EI42" s="10"/>
      <c r="EJ42" s="10"/>
      <c r="EK42" s="8">
        <f t="shared" si="3"/>
        <v>0</v>
      </c>
    </row>
    <row r="43" spans="1:141" x14ac:dyDescent="0.25">
      <c r="A43">
        <v>33</v>
      </c>
      <c r="B43" s="8" t="s">
        <v>864</v>
      </c>
      <c r="C43" s="8"/>
      <c r="D43" s="8" t="s">
        <v>865</v>
      </c>
      <c r="E43" s="8" t="s">
        <v>17</v>
      </c>
      <c r="F43" s="8"/>
      <c r="G43" s="8"/>
      <c r="H43" s="8"/>
      <c r="I43" s="8"/>
      <c r="J43" s="8"/>
      <c r="K43" s="8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8"/>
      <c r="AE43" s="8"/>
      <c r="AF43" s="8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10"/>
      <c r="CD43" s="10"/>
      <c r="CE43" s="10"/>
      <c r="CF43" s="10"/>
      <c r="CG43" s="10"/>
      <c r="CH43" s="10"/>
      <c r="CI43" s="8"/>
      <c r="CJ43" s="8"/>
      <c r="CK43" s="10"/>
      <c r="CL43" s="10">
        <v>40</v>
      </c>
      <c r="CM43" s="10"/>
      <c r="CN43" s="10"/>
      <c r="CO43" s="8"/>
      <c r="CP43" s="8"/>
      <c r="CQ43" s="11">
        <f t="shared" ref="CQ43:CQ74" si="8">SUM(CJ43:CP43)</f>
        <v>40</v>
      </c>
      <c r="DM43" s="8"/>
      <c r="DN43" s="8"/>
      <c r="DO43" s="8"/>
      <c r="DP43" s="10"/>
      <c r="DQ43" s="10"/>
      <c r="DR43" s="10"/>
      <c r="DS43" s="10"/>
      <c r="DT43" s="8"/>
      <c r="DU43" s="8"/>
      <c r="DV43" s="10"/>
      <c r="DW43" s="10"/>
      <c r="DX43" s="10"/>
      <c r="DY43" s="10"/>
      <c r="DZ43" s="10"/>
      <c r="EA43" s="10"/>
      <c r="EB43" s="8">
        <f t="shared" si="7"/>
        <v>0</v>
      </c>
      <c r="EC43" s="8">
        <f t="shared" ref="EC43:EC74" si="9">(EB43-DU43)/2</f>
        <v>0</v>
      </c>
      <c r="ED43" s="10"/>
      <c r="EE43" s="10"/>
      <c r="EF43" s="10"/>
      <c r="EG43" s="10"/>
      <c r="EH43" s="10"/>
      <c r="EI43" s="10"/>
      <c r="EJ43" s="10"/>
      <c r="EK43" s="8">
        <f t="shared" si="3"/>
        <v>0</v>
      </c>
    </row>
    <row r="44" spans="1:141" x14ac:dyDescent="0.25">
      <c r="A44">
        <v>34</v>
      </c>
      <c r="B44" s="8" t="s">
        <v>215</v>
      </c>
      <c r="C44" s="8"/>
      <c r="D44" s="8" t="s">
        <v>263</v>
      </c>
      <c r="E44" s="8" t="s">
        <v>7</v>
      </c>
      <c r="F44" s="8"/>
      <c r="G44" s="8"/>
      <c r="H44" s="8"/>
      <c r="I44" s="8"/>
      <c r="J44" s="8"/>
      <c r="K44" s="8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8"/>
      <c r="AE44" s="8"/>
      <c r="AF44" s="8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>
        <v>7.5</v>
      </c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>
        <v>54</v>
      </c>
      <c r="BZ44" s="8">
        <v>10</v>
      </c>
      <c r="CA44" s="11">
        <f>SUM(BC44:BZ44)</f>
        <v>71.5</v>
      </c>
      <c r="CB44" s="11">
        <f>(CA44-BC44)/2</f>
        <v>35.75</v>
      </c>
      <c r="CC44" s="11">
        <v>36</v>
      </c>
      <c r="CD44" s="11">
        <v>3.2</v>
      </c>
      <c r="CE44" s="11">
        <v>39</v>
      </c>
      <c r="CF44" s="11"/>
      <c r="CG44" s="11"/>
      <c r="CH44" s="11"/>
      <c r="CI44" s="11">
        <f>SUM(CB44:CH44)</f>
        <v>113.95</v>
      </c>
      <c r="CJ44" s="11">
        <f>(CI44-CB44)/2</f>
        <v>39.1</v>
      </c>
      <c r="CK44" s="11"/>
      <c r="CL44" s="11"/>
      <c r="CM44" s="11"/>
      <c r="CN44" s="11"/>
      <c r="CO44" s="11"/>
      <c r="CP44" s="11"/>
      <c r="CQ44" s="11">
        <f t="shared" si="8"/>
        <v>39.1</v>
      </c>
      <c r="DM44" s="12">
        <f>SUM(CS44:CT44)+SUM(DE44:DL44)</f>
        <v>0</v>
      </c>
      <c r="DN44">
        <f>(DM44-CS44)/2</f>
        <v>0</v>
      </c>
      <c r="DO44">
        <f>CA44/4</f>
        <v>17.875</v>
      </c>
      <c r="DS44" s="12">
        <v>2.5</v>
      </c>
      <c r="DT44" s="8">
        <f>SUM(DN44:DS44)</f>
        <v>20.375</v>
      </c>
      <c r="DU44" s="8">
        <f>(DT44-DN44)/2</f>
        <v>10.1875</v>
      </c>
      <c r="DV44" s="10"/>
      <c r="DW44" s="10"/>
      <c r="DX44" s="10"/>
      <c r="DY44" s="10"/>
      <c r="DZ44" s="10"/>
      <c r="EA44" s="10"/>
      <c r="EB44" s="8">
        <f t="shared" si="7"/>
        <v>10.1875</v>
      </c>
      <c r="EC44" s="8">
        <f t="shared" si="9"/>
        <v>0</v>
      </c>
      <c r="ED44" s="10"/>
      <c r="EE44" s="10"/>
      <c r="EF44" s="10"/>
      <c r="EG44" s="10"/>
      <c r="EH44" s="10"/>
      <c r="EI44" s="10"/>
      <c r="EJ44" s="10"/>
      <c r="EK44" s="8">
        <f t="shared" si="3"/>
        <v>0</v>
      </c>
    </row>
    <row r="45" spans="1:141" x14ac:dyDescent="0.25">
      <c r="A45">
        <v>35</v>
      </c>
      <c r="B45" s="8" t="s">
        <v>100</v>
      </c>
      <c r="C45" s="8"/>
      <c r="D45" s="8" t="s">
        <v>889</v>
      </c>
      <c r="E45" s="8" t="s">
        <v>890</v>
      </c>
      <c r="F45" s="8"/>
      <c r="G45" s="8"/>
      <c r="H45" s="8"/>
      <c r="I45" s="8"/>
      <c r="J45" s="8"/>
      <c r="K45" s="8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8"/>
      <c r="AE45" s="8"/>
      <c r="AF45" s="8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10"/>
      <c r="CD45" s="10"/>
      <c r="CE45" s="10"/>
      <c r="CF45" s="10"/>
      <c r="CG45" s="10"/>
      <c r="CH45" s="10"/>
      <c r="CI45" s="8"/>
      <c r="CJ45" s="8"/>
      <c r="CK45" s="10">
        <v>36</v>
      </c>
      <c r="CL45" s="10"/>
      <c r="CM45" s="10"/>
      <c r="CN45" s="10"/>
      <c r="CO45" s="8"/>
      <c r="CP45" s="8"/>
      <c r="CQ45" s="11">
        <f t="shared" si="8"/>
        <v>36</v>
      </c>
      <c r="DT45" s="8"/>
      <c r="DU45" s="8"/>
      <c r="DV45" s="10"/>
      <c r="DW45" s="10"/>
      <c r="DX45" s="10"/>
      <c r="DY45" s="10"/>
      <c r="DZ45" s="10"/>
      <c r="EA45" s="10"/>
      <c r="EB45" s="8">
        <f t="shared" si="7"/>
        <v>0</v>
      </c>
      <c r="EC45" s="8">
        <f t="shared" si="9"/>
        <v>0</v>
      </c>
      <c r="ED45" s="10"/>
      <c r="EE45" s="10"/>
      <c r="EF45" s="10"/>
      <c r="EG45" s="10"/>
      <c r="EH45" s="10"/>
      <c r="EI45" s="10"/>
      <c r="EJ45" s="10"/>
      <c r="EK45" s="8">
        <f t="shared" si="3"/>
        <v>0</v>
      </c>
    </row>
    <row r="46" spans="1:141" x14ac:dyDescent="0.25">
      <c r="A46">
        <v>36</v>
      </c>
      <c r="B46" s="8" t="s">
        <v>619</v>
      </c>
      <c r="C46" s="8"/>
      <c r="D46" s="8" t="s">
        <v>20</v>
      </c>
      <c r="E46" s="8" t="s">
        <v>19</v>
      </c>
      <c r="F46" s="8"/>
      <c r="G46" s="8"/>
      <c r="H46" s="8"/>
      <c r="I46" s="8"/>
      <c r="J46" s="8"/>
      <c r="K46" s="8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8"/>
      <c r="AE46" s="8"/>
      <c r="AF46" s="8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10">
        <v>30</v>
      </c>
      <c r="CD46" s="10"/>
      <c r="CE46" s="10">
        <v>7.5</v>
      </c>
      <c r="CF46" s="10">
        <v>30</v>
      </c>
      <c r="CG46" s="10"/>
      <c r="CH46" s="10"/>
      <c r="CI46" s="11">
        <f>SUM(CB46:CH46)</f>
        <v>67.5</v>
      </c>
      <c r="CJ46" s="11">
        <f>(CI46-CB46)/2</f>
        <v>33.75</v>
      </c>
      <c r="CK46" s="11"/>
      <c r="CL46" s="11"/>
      <c r="CM46" s="11"/>
      <c r="CN46" s="11"/>
      <c r="CO46" s="11"/>
      <c r="CP46" s="11"/>
      <c r="CQ46" s="11">
        <f t="shared" si="8"/>
        <v>33.75</v>
      </c>
      <c r="DT46" s="8"/>
      <c r="DU46" s="8"/>
      <c r="DV46" s="10">
        <v>1.75</v>
      </c>
      <c r="DW46" s="10"/>
      <c r="DX46" s="10"/>
      <c r="DY46" s="10"/>
      <c r="DZ46" s="10"/>
      <c r="EA46" s="10"/>
      <c r="EB46" s="8">
        <f t="shared" si="7"/>
        <v>1.75</v>
      </c>
      <c r="EC46" s="8">
        <f t="shared" si="9"/>
        <v>0.875</v>
      </c>
      <c r="ED46" s="10"/>
      <c r="EE46" s="10"/>
      <c r="EF46" s="10"/>
      <c r="EG46" s="10"/>
      <c r="EH46" s="10"/>
      <c r="EI46" s="10"/>
      <c r="EJ46" s="10"/>
      <c r="EK46" s="8">
        <f t="shared" si="3"/>
        <v>0.875</v>
      </c>
    </row>
    <row r="47" spans="1:141" x14ac:dyDescent="0.25">
      <c r="A47">
        <v>37</v>
      </c>
      <c r="B47" s="8" t="s">
        <v>762</v>
      </c>
      <c r="C47" s="8"/>
      <c r="D47" s="8" t="s">
        <v>763</v>
      </c>
      <c r="E47" s="8" t="s">
        <v>764</v>
      </c>
      <c r="F47" s="8"/>
      <c r="G47" s="8"/>
      <c r="H47" s="8"/>
      <c r="I47" s="8"/>
      <c r="J47" s="8"/>
      <c r="K47" s="8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8"/>
      <c r="AE47" s="8"/>
      <c r="AF47" s="8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10"/>
      <c r="CD47" s="10"/>
      <c r="CE47" s="10">
        <v>54</v>
      </c>
      <c r="CF47" s="10"/>
      <c r="CG47" s="10"/>
      <c r="CH47" s="10"/>
      <c r="CI47" s="11">
        <f>SUM(CB47:CH47)</f>
        <v>54</v>
      </c>
      <c r="CJ47" s="11">
        <f>(CI47-CB47)/2</f>
        <v>27</v>
      </c>
      <c r="CK47" s="11"/>
      <c r="CL47" s="11"/>
      <c r="CM47" s="11">
        <v>5</v>
      </c>
      <c r="CN47" s="11"/>
      <c r="CO47" s="11"/>
      <c r="CP47" s="11"/>
      <c r="CQ47" s="11">
        <f t="shared" si="8"/>
        <v>32</v>
      </c>
      <c r="DT47" s="8"/>
      <c r="DU47" s="8"/>
      <c r="DV47" s="10"/>
      <c r="DW47" s="10"/>
      <c r="DX47" s="10"/>
      <c r="DY47" s="10"/>
      <c r="DZ47" s="10"/>
      <c r="EA47" s="10"/>
      <c r="EB47" s="8">
        <f t="shared" si="7"/>
        <v>0</v>
      </c>
      <c r="EC47" s="8">
        <f t="shared" si="9"/>
        <v>0</v>
      </c>
      <c r="ED47" s="10"/>
      <c r="EE47" s="10"/>
      <c r="EF47" s="10"/>
      <c r="EG47" s="10"/>
      <c r="EH47" s="10"/>
      <c r="EI47" s="10"/>
      <c r="EJ47" s="10"/>
      <c r="EK47" s="8">
        <f t="shared" ref="EK47:EK73" si="10">SUM(EC47:ED47)</f>
        <v>0</v>
      </c>
    </row>
    <row r="48" spans="1:141" x14ac:dyDescent="0.25">
      <c r="A48">
        <v>38</v>
      </c>
      <c r="B48" s="8" t="s">
        <v>145</v>
      </c>
      <c r="C48" s="8"/>
      <c r="D48" s="8" t="s">
        <v>908</v>
      </c>
      <c r="E48" s="8" t="s">
        <v>853</v>
      </c>
      <c r="F48" s="8"/>
      <c r="G48" s="8"/>
      <c r="H48" s="8"/>
      <c r="I48" s="8"/>
      <c r="J48" s="8"/>
      <c r="K48" s="8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8"/>
      <c r="AE48" s="8"/>
      <c r="AF48" s="8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10"/>
      <c r="CD48" s="10"/>
      <c r="CE48" s="10"/>
      <c r="CF48" s="10"/>
      <c r="CG48" s="10"/>
      <c r="CH48" s="10"/>
      <c r="CI48" s="8"/>
      <c r="CJ48" s="8"/>
      <c r="CK48" s="10">
        <v>30</v>
      </c>
      <c r="CL48" s="10"/>
      <c r="CM48" s="10"/>
      <c r="CN48" s="10"/>
      <c r="CO48" s="8"/>
      <c r="CP48" s="8"/>
      <c r="CQ48" s="11">
        <f t="shared" si="8"/>
        <v>30</v>
      </c>
      <c r="DT48" s="8"/>
      <c r="DU48" s="8"/>
      <c r="DV48" s="10"/>
      <c r="DW48" s="10"/>
      <c r="DX48" s="10"/>
      <c r="DY48" s="10"/>
      <c r="DZ48" s="10"/>
      <c r="EA48" s="10"/>
      <c r="EB48" s="8">
        <f t="shared" si="7"/>
        <v>0</v>
      </c>
      <c r="EC48" s="8">
        <f t="shared" si="9"/>
        <v>0</v>
      </c>
      <c r="ED48" s="10"/>
      <c r="EE48" s="10"/>
      <c r="EF48" s="10"/>
      <c r="EG48" s="10"/>
      <c r="EH48" s="10"/>
      <c r="EI48" s="10"/>
      <c r="EJ48" s="10"/>
      <c r="EK48" s="8">
        <f t="shared" si="10"/>
        <v>0</v>
      </c>
    </row>
    <row r="49" spans="1:141" x14ac:dyDescent="0.25">
      <c r="A49">
        <v>39</v>
      </c>
      <c r="B49" s="8" t="s">
        <v>846</v>
      </c>
      <c r="C49" s="8"/>
      <c r="D49" s="8" t="s">
        <v>847</v>
      </c>
      <c r="E49" s="8" t="s">
        <v>442</v>
      </c>
      <c r="F49" s="8"/>
      <c r="G49" s="8"/>
      <c r="H49" s="8"/>
      <c r="I49" s="8"/>
      <c r="J49" s="8"/>
      <c r="K49" s="8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8"/>
      <c r="AE49" s="8"/>
      <c r="AF49" s="8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10"/>
      <c r="CD49" s="10"/>
      <c r="CE49" s="10"/>
      <c r="CF49" s="10"/>
      <c r="CG49" s="10"/>
      <c r="CH49" s="10"/>
      <c r="CI49" s="8"/>
      <c r="CJ49" s="8"/>
      <c r="CK49" s="10">
        <v>3</v>
      </c>
      <c r="CL49" s="10"/>
      <c r="CM49" s="10">
        <v>26</v>
      </c>
      <c r="CN49" s="10"/>
      <c r="CO49" s="8"/>
      <c r="CP49" s="8"/>
      <c r="CQ49" s="11">
        <f t="shared" si="8"/>
        <v>29</v>
      </c>
      <c r="DT49" s="8"/>
      <c r="DU49" s="8"/>
      <c r="DV49" s="10"/>
      <c r="DW49" s="10"/>
      <c r="DX49" s="10"/>
      <c r="DY49" s="10"/>
      <c r="DZ49" s="10"/>
      <c r="EA49" s="10"/>
      <c r="EB49" s="8">
        <f t="shared" si="7"/>
        <v>0</v>
      </c>
      <c r="EC49" s="8">
        <f t="shared" si="9"/>
        <v>0</v>
      </c>
      <c r="ED49" s="10"/>
      <c r="EE49" s="10"/>
      <c r="EF49" s="10"/>
      <c r="EG49" s="10"/>
      <c r="EH49" s="10"/>
      <c r="EI49" s="10"/>
      <c r="EJ49" s="10"/>
      <c r="EK49" s="8">
        <f t="shared" si="10"/>
        <v>0</v>
      </c>
    </row>
    <row r="50" spans="1:141" x14ac:dyDescent="0.25">
      <c r="A50">
        <v>40</v>
      </c>
      <c r="B50" s="8" t="s">
        <v>190</v>
      </c>
      <c r="C50" s="8"/>
      <c r="D50" s="8" t="s">
        <v>40</v>
      </c>
      <c r="E50" s="8" t="s">
        <v>778</v>
      </c>
      <c r="F50" s="8"/>
      <c r="G50" s="8"/>
      <c r="H50" s="8"/>
      <c r="I50" s="8"/>
      <c r="J50" s="8"/>
      <c r="K50" s="8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8"/>
      <c r="AE50" s="8"/>
      <c r="AF50" s="8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10"/>
      <c r="CD50" s="10"/>
      <c r="CE50" s="10"/>
      <c r="CF50" s="10"/>
      <c r="CG50" s="10"/>
      <c r="CH50" s="10"/>
      <c r="CI50" s="11">
        <f>SUM(CB50:CH50)</f>
        <v>0</v>
      </c>
      <c r="CJ50" s="11">
        <f>(CI50-CB50)/2</f>
        <v>0</v>
      </c>
      <c r="CK50" s="11"/>
      <c r="CL50" s="11">
        <v>28.8</v>
      </c>
      <c r="CM50" s="11"/>
      <c r="CN50" s="11"/>
      <c r="CO50" s="11"/>
      <c r="CP50" s="11"/>
      <c r="CQ50" s="11">
        <f t="shared" si="8"/>
        <v>28.8</v>
      </c>
      <c r="DT50" s="8"/>
      <c r="DU50" s="8"/>
      <c r="DV50" s="10"/>
      <c r="DW50" s="10"/>
      <c r="DX50" s="10"/>
      <c r="DY50" s="10"/>
      <c r="DZ50" s="10"/>
      <c r="EA50" s="10">
        <v>25</v>
      </c>
      <c r="EB50" s="8">
        <f t="shared" si="7"/>
        <v>25</v>
      </c>
      <c r="EC50" s="8">
        <f t="shared" si="9"/>
        <v>12.5</v>
      </c>
      <c r="ED50" s="10"/>
      <c r="EE50" s="10"/>
      <c r="EF50" s="10"/>
      <c r="EG50" s="10"/>
      <c r="EH50" s="10"/>
      <c r="EI50" s="10"/>
      <c r="EJ50" s="10"/>
      <c r="EK50" s="8">
        <f t="shared" si="10"/>
        <v>12.5</v>
      </c>
    </row>
    <row r="51" spans="1:141" x14ac:dyDescent="0.25">
      <c r="A51">
        <v>41</v>
      </c>
      <c r="B51" s="18" t="s">
        <v>168</v>
      </c>
      <c r="C51" s="18" t="s">
        <v>217</v>
      </c>
      <c r="D51" s="18" t="s">
        <v>203</v>
      </c>
      <c r="E51" s="18" t="s">
        <v>178</v>
      </c>
      <c r="F51" s="8"/>
      <c r="G51" s="8"/>
      <c r="H51" s="8"/>
      <c r="I51" s="8"/>
      <c r="J51" s="10">
        <v>26</v>
      </c>
      <c r="K51" s="10"/>
      <c r="L51" s="10"/>
      <c r="M51" s="10">
        <v>28.8</v>
      </c>
      <c r="N51" s="10"/>
      <c r="O51" s="10"/>
      <c r="P51" s="10"/>
      <c r="Q51" s="10"/>
      <c r="R51" s="10"/>
      <c r="S51" s="10"/>
      <c r="T51" s="10"/>
      <c r="U51" s="10"/>
      <c r="V51" s="10"/>
      <c r="W51" s="10">
        <v>30</v>
      </c>
      <c r="X51" s="10"/>
      <c r="Y51" s="10"/>
      <c r="Z51" s="10"/>
      <c r="AA51" s="10"/>
      <c r="AB51" s="10">
        <v>36</v>
      </c>
      <c r="AC51" s="10">
        <v>7.5</v>
      </c>
      <c r="AD51" s="11">
        <f>SUM(F51:AC51)</f>
        <v>128.30000000000001</v>
      </c>
      <c r="AE51" s="11">
        <f>AD51/2</f>
        <v>64.150000000000006</v>
      </c>
      <c r="AF51" s="11"/>
      <c r="AG51" s="11"/>
      <c r="AH51" s="11"/>
      <c r="AI51" s="11"/>
      <c r="AJ51" s="11">
        <v>36</v>
      </c>
      <c r="AK51" s="11"/>
      <c r="AL51" s="11">
        <v>21.6</v>
      </c>
      <c r="AM51" s="11"/>
      <c r="AN51" s="11"/>
      <c r="AO51" s="11">
        <v>4</v>
      </c>
      <c r="AP51" s="11"/>
      <c r="AQ51" s="11">
        <v>5</v>
      </c>
      <c r="AR51" s="11"/>
      <c r="AS51" s="11">
        <v>42</v>
      </c>
      <c r="AT51" s="11"/>
      <c r="AU51" s="11"/>
      <c r="AV51" s="11">
        <v>5</v>
      </c>
      <c r="AW51" s="11"/>
      <c r="AX51" s="11"/>
      <c r="AY51" s="11"/>
      <c r="AZ51" s="11"/>
      <c r="BA51" s="11">
        <v>39</v>
      </c>
      <c r="BB51" s="11">
        <f>SUM(AE51:BA51)</f>
        <v>216.75</v>
      </c>
      <c r="BC51" s="11">
        <f>(BB51-AE51)/2</f>
        <v>76.3</v>
      </c>
      <c r="BD51" s="11"/>
      <c r="BE51" s="11"/>
      <c r="BF51" s="11"/>
      <c r="BG51" s="11"/>
      <c r="BH51" s="11"/>
      <c r="BI51" s="11"/>
      <c r="BJ51" s="11"/>
      <c r="BK51" s="11"/>
      <c r="BL51" s="11"/>
      <c r="BM51" s="11">
        <v>36</v>
      </c>
      <c r="BN51" s="11"/>
      <c r="BO51" s="11"/>
      <c r="BP51" s="11"/>
      <c r="BQ51" s="11">
        <v>54</v>
      </c>
      <c r="BR51" s="11"/>
      <c r="BS51" s="11"/>
      <c r="BT51" s="11"/>
      <c r="BU51" s="11"/>
      <c r="BV51" s="11"/>
      <c r="BW51" s="11"/>
      <c r="BX51" s="11"/>
      <c r="BY51" s="11"/>
      <c r="BZ51" s="11"/>
      <c r="CA51" s="11">
        <f>SUM(BC51:BZ51)</f>
        <v>166.3</v>
      </c>
      <c r="CB51" s="11">
        <f>(CA51-BC51)/2</f>
        <v>45.000000000000007</v>
      </c>
      <c r="CC51" s="11"/>
      <c r="CD51" s="11"/>
      <c r="CE51" s="11">
        <v>7.5</v>
      </c>
      <c r="CF51" s="11">
        <v>5</v>
      </c>
      <c r="CG51" s="11">
        <v>36</v>
      </c>
      <c r="CH51" s="11"/>
      <c r="CI51" s="11">
        <f>SUM(CB51:CH51)</f>
        <v>93.5</v>
      </c>
      <c r="CJ51" s="11">
        <f>(CI51-CB51)/2</f>
        <v>24.249999999999996</v>
      </c>
      <c r="CK51" s="11"/>
      <c r="CL51" s="11"/>
      <c r="CM51" s="11"/>
      <c r="CN51" s="11"/>
      <c r="CO51" s="11"/>
      <c r="CP51" s="11"/>
      <c r="CQ51" s="11">
        <f t="shared" si="8"/>
        <v>24.249999999999996</v>
      </c>
      <c r="CS51" s="12">
        <f>SUM(CV51:DC51)/2</f>
        <v>0</v>
      </c>
      <c r="CT51" s="12">
        <f>BB51/4</f>
        <v>54.1875</v>
      </c>
      <c r="CU51" s="12">
        <f>AD51/2</f>
        <v>64.150000000000006</v>
      </c>
      <c r="CV51" s="12"/>
      <c r="CW51" s="12"/>
      <c r="CX51" s="12"/>
      <c r="CY51" s="12"/>
      <c r="CZ51" s="12"/>
      <c r="DA51" s="12"/>
      <c r="DD51" s="12">
        <f>SUM(CU51:CW51)</f>
        <v>64.150000000000006</v>
      </c>
      <c r="DE51" s="12"/>
      <c r="DF51" s="12"/>
      <c r="DG51" s="12"/>
      <c r="DH51" s="12"/>
      <c r="DI51" s="12"/>
      <c r="DJ51" s="12"/>
      <c r="DK51" s="12"/>
      <c r="DL51" s="12">
        <v>36</v>
      </c>
      <c r="DM51" s="12">
        <f>SUM(CS51:CT51)+SUM(DE51:DL51)</f>
        <v>90.1875</v>
      </c>
      <c r="DN51">
        <f>(DM51-CS51)/2</f>
        <v>45.09375</v>
      </c>
      <c r="DO51">
        <f>CA51/4</f>
        <v>41.575000000000003</v>
      </c>
      <c r="DP51" s="12">
        <v>10.5</v>
      </c>
      <c r="DS51" s="12">
        <v>2.5</v>
      </c>
      <c r="DT51">
        <f>SUM(DN51:DS51)</f>
        <v>99.668750000000003</v>
      </c>
      <c r="DU51">
        <f>(DT51-DN51)/2</f>
        <v>27.287500000000001</v>
      </c>
      <c r="DV51" s="12">
        <v>1.75</v>
      </c>
      <c r="EA51" s="12">
        <v>2.5</v>
      </c>
      <c r="EB51" s="8">
        <f t="shared" si="7"/>
        <v>31.537500000000001</v>
      </c>
      <c r="EC51" s="8">
        <f t="shared" si="9"/>
        <v>2.125</v>
      </c>
      <c r="ED51" s="10"/>
      <c r="EE51" s="10"/>
      <c r="EF51" s="10"/>
      <c r="EG51" s="10"/>
      <c r="EH51" s="10"/>
      <c r="EI51" s="10"/>
      <c r="EJ51" s="10"/>
      <c r="EK51" s="8">
        <f t="shared" si="10"/>
        <v>2.125</v>
      </c>
    </row>
    <row r="52" spans="1:141" x14ac:dyDescent="0.25">
      <c r="A52">
        <v>42</v>
      </c>
      <c r="B52" s="8" t="s">
        <v>811</v>
      </c>
      <c r="C52" s="8"/>
      <c r="D52" s="8" t="s">
        <v>158</v>
      </c>
      <c r="E52" s="8" t="s">
        <v>16</v>
      </c>
      <c r="F52" s="8"/>
      <c r="G52" s="8"/>
      <c r="H52" s="8"/>
      <c r="I52" s="8"/>
      <c r="J52" s="8"/>
      <c r="K52" s="8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8"/>
      <c r="AE52" s="8"/>
      <c r="AF52" s="8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10"/>
      <c r="CD52" s="10"/>
      <c r="CE52" s="10"/>
      <c r="CF52" s="10"/>
      <c r="CG52" s="10"/>
      <c r="CH52" s="10"/>
      <c r="CI52" s="8"/>
      <c r="CJ52" s="8"/>
      <c r="CK52" s="10">
        <v>21.6</v>
      </c>
      <c r="CL52" s="10"/>
      <c r="CM52" s="10"/>
      <c r="CN52" s="10"/>
      <c r="CO52" s="8"/>
      <c r="CP52" s="8"/>
      <c r="CQ52" s="11">
        <f t="shared" si="8"/>
        <v>21.6</v>
      </c>
      <c r="EB52" s="8">
        <f t="shared" si="7"/>
        <v>0</v>
      </c>
      <c r="EC52" s="8">
        <f t="shared" si="9"/>
        <v>0</v>
      </c>
      <c r="ED52" s="10"/>
      <c r="EE52" s="10"/>
      <c r="EF52" s="10"/>
      <c r="EG52" s="10"/>
      <c r="EH52" s="10"/>
      <c r="EI52" s="10"/>
      <c r="EJ52" s="10"/>
      <c r="EK52" s="8">
        <f t="shared" si="10"/>
        <v>0</v>
      </c>
    </row>
    <row r="53" spans="1:141" x14ac:dyDescent="0.25">
      <c r="A53">
        <v>43</v>
      </c>
      <c r="B53" s="8" t="s">
        <v>276</v>
      </c>
      <c r="C53" s="8"/>
      <c r="D53" s="8" t="s">
        <v>583</v>
      </c>
      <c r="E53" s="8" t="s">
        <v>277</v>
      </c>
      <c r="F53" s="8"/>
      <c r="G53" s="8"/>
      <c r="H53" s="8"/>
      <c r="I53" s="8"/>
      <c r="J53" s="8"/>
      <c r="K53" s="8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8"/>
      <c r="AE53" s="8"/>
      <c r="AF53" s="8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>
        <v>2.4</v>
      </c>
      <c r="BS53" s="8"/>
      <c r="BT53" s="8"/>
      <c r="BU53" s="8"/>
      <c r="BV53" s="8"/>
      <c r="BW53" s="8"/>
      <c r="BX53" s="8"/>
      <c r="BY53" s="8"/>
      <c r="BZ53" s="8"/>
      <c r="CA53" s="11">
        <f>SUM(BC53:BZ53)</f>
        <v>2.4</v>
      </c>
      <c r="CB53" s="11">
        <f>(CA53-BC53)/2</f>
        <v>1.2</v>
      </c>
      <c r="CC53" s="11">
        <v>36</v>
      </c>
      <c r="CD53" s="11"/>
      <c r="CE53" s="11"/>
      <c r="CF53" s="11"/>
      <c r="CG53" s="11"/>
      <c r="CH53" s="11"/>
      <c r="CI53" s="11">
        <f>SUM(CB53:CH53)</f>
        <v>37.200000000000003</v>
      </c>
      <c r="CJ53" s="11">
        <f>(CI53-CB53)/2</f>
        <v>18</v>
      </c>
      <c r="CK53" s="11">
        <v>2.4</v>
      </c>
      <c r="CL53" s="11"/>
      <c r="CM53" s="11"/>
      <c r="CN53" s="11"/>
      <c r="CO53" s="11"/>
      <c r="CP53" s="11"/>
      <c r="CQ53" s="11">
        <f t="shared" si="8"/>
        <v>20.399999999999999</v>
      </c>
      <c r="DM53" s="12">
        <f>SUM(CS53:CT53)+SUM(DE53:DL53)</f>
        <v>0</v>
      </c>
      <c r="DN53">
        <f>(DM53-CS53)/2</f>
        <v>0</v>
      </c>
      <c r="DO53">
        <f>CA53/4</f>
        <v>0.6</v>
      </c>
      <c r="DT53">
        <f>SUM(DN53:DS53)</f>
        <v>0.6</v>
      </c>
      <c r="DU53">
        <f>(DT53-DN53)/2</f>
        <v>0.3</v>
      </c>
      <c r="EB53" s="8">
        <f t="shared" si="7"/>
        <v>0.3</v>
      </c>
      <c r="EC53" s="8">
        <f t="shared" si="9"/>
        <v>0</v>
      </c>
      <c r="ED53" s="10"/>
      <c r="EE53" s="10"/>
      <c r="EF53" s="10"/>
      <c r="EG53" s="10"/>
      <c r="EH53" s="10"/>
      <c r="EI53" s="10"/>
      <c r="EJ53" s="10"/>
      <c r="EK53" s="8">
        <f t="shared" si="10"/>
        <v>0</v>
      </c>
    </row>
    <row r="54" spans="1:141" x14ac:dyDescent="0.25">
      <c r="A54">
        <v>44</v>
      </c>
      <c r="B54" s="8" t="s">
        <v>90</v>
      </c>
      <c r="C54" s="8"/>
      <c r="D54" s="8" t="s">
        <v>228</v>
      </c>
      <c r="E54" s="8" t="s">
        <v>366</v>
      </c>
      <c r="F54" s="8"/>
      <c r="G54" s="8"/>
      <c r="H54" s="8"/>
      <c r="I54" s="8"/>
      <c r="J54" s="8"/>
      <c r="K54" s="8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8"/>
      <c r="AE54" s="8"/>
      <c r="AF54" s="8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10">
        <v>3</v>
      </c>
      <c r="CD54" s="10">
        <v>4</v>
      </c>
      <c r="CE54" s="10">
        <v>7.5</v>
      </c>
      <c r="CF54" s="10">
        <v>5</v>
      </c>
      <c r="CG54" s="10">
        <v>4</v>
      </c>
      <c r="CH54" s="10"/>
      <c r="CI54" s="11">
        <f>SUM(CB54:CH54)</f>
        <v>23.5</v>
      </c>
      <c r="CJ54" s="11">
        <f>(CI54-CB54)/2</f>
        <v>11.75</v>
      </c>
      <c r="CK54" s="11"/>
      <c r="CL54" s="11"/>
      <c r="CM54" s="11"/>
      <c r="CN54" s="11"/>
      <c r="CO54" s="11"/>
      <c r="CP54" s="11"/>
      <c r="CQ54" s="11">
        <f t="shared" si="8"/>
        <v>11.75</v>
      </c>
      <c r="EB54" s="8">
        <f t="shared" si="7"/>
        <v>0</v>
      </c>
      <c r="EC54" s="8">
        <f t="shared" si="9"/>
        <v>0</v>
      </c>
      <c r="ED54" s="10"/>
      <c r="EE54" s="10"/>
      <c r="EF54" s="10"/>
      <c r="EG54" s="10"/>
      <c r="EH54" s="10"/>
      <c r="EI54" s="10"/>
      <c r="EJ54" s="10"/>
      <c r="EK54" s="8">
        <f t="shared" si="10"/>
        <v>0</v>
      </c>
    </row>
    <row r="55" spans="1:141" x14ac:dyDescent="0.25">
      <c r="A55">
        <v>45</v>
      </c>
      <c r="B55" s="8" t="s">
        <v>617</v>
      </c>
      <c r="C55" s="8"/>
      <c r="D55" s="8" t="s">
        <v>207</v>
      </c>
      <c r="E55" s="8" t="s">
        <v>368</v>
      </c>
      <c r="F55" s="8"/>
      <c r="G55" s="8"/>
      <c r="H55" s="8"/>
      <c r="I55" s="8"/>
      <c r="J55" s="8"/>
      <c r="K55" s="8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8"/>
      <c r="AE55" s="8"/>
      <c r="AF55" s="8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10"/>
      <c r="CD55" s="10"/>
      <c r="CE55" s="10"/>
      <c r="CF55" s="10"/>
      <c r="CG55" s="10"/>
      <c r="CH55" s="10"/>
      <c r="CI55" s="8"/>
      <c r="CJ55" s="8"/>
      <c r="CK55" s="10">
        <v>2.4</v>
      </c>
      <c r="CL55" s="10">
        <v>4</v>
      </c>
      <c r="CM55" s="10">
        <v>2.4</v>
      </c>
      <c r="CN55" s="10"/>
      <c r="CO55" s="8"/>
      <c r="CP55" s="8"/>
      <c r="CQ55" s="11">
        <f t="shared" si="8"/>
        <v>8.8000000000000007</v>
      </c>
      <c r="EB55" s="8">
        <f t="shared" si="7"/>
        <v>0</v>
      </c>
      <c r="EC55" s="8">
        <f t="shared" si="9"/>
        <v>0</v>
      </c>
      <c r="ED55" s="10"/>
      <c r="EE55" s="10"/>
      <c r="EF55" s="10"/>
      <c r="EG55" s="10"/>
      <c r="EH55" s="10"/>
      <c r="EI55" s="10"/>
      <c r="EJ55" s="10"/>
      <c r="EK55" s="8">
        <f t="shared" si="10"/>
        <v>0</v>
      </c>
    </row>
    <row r="56" spans="1:141" x14ac:dyDescent="0.25">
      <c r="A56">
        <v>46</v>
      </c>
      <c r="B56" s="8" t="s">
        <v>652</v>
      </c>
      <c r="C56" s="8"/>
      <c r="D56" s="8" t="s">
        <v>441</v>
      </c>
      <c r="E56" s="8" t="s">
        <v>193</v>
      </c>
      <c r="F56" s="8"/>
      <c r="G56" s="8"/>
      <c r="H56" s="8"/>
      <c r="I56" s="8"/>
      <c r="J56" s="8"/>
      <c r="K56" s="8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8"/>
      <c r="AE56" s="8"/>
      <c r="AF56" s="8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10"/>
      <c r="CD56" s="10">
        <v>4</v>
      </c>
      <c r="CE56" s="10">
        <v>5</v>
      </c>
      <c r="CF56" s="10">
        <v>7.5</v>
      </c>
      <c r="CG56" s="10"/>
      <c r="CH56" s="10"/>
      <c r="CI56" s="11">
        <f>SUM(CB56:CH56)</f>
        <v>16.5</v>
      </c>
      <c r="CJ56" s="11">
        <f>(CI56-CB56)/2</f>
        <v>8.25</v>
      </c>
      <c r="CK56" s="11"/>
      <c r="CL56" s="11"/>
      <c r="CM56" s="11"/>
      <c r="CN56" s="11"/>
      <c r="CO56" s="11"/>
      <c r="CP56" s="11"/>
      <c r="CQ56" s="11">
        <f t="shared" si="8"/>
        <v>8.25</v>
      </c>
      <c r="EB56" s="8">
        <f t="shared" si="7"/>
        <v>0</v>
      </c>
      <c r="EC56" s="8">
        <f t="shared" si="9"/>
        <v>0</v>
      </c>
      <c r="ED56" s="10"/>
      <c r="EE56" s="10"/>
      <c r="EF56" s="10"/>
      <c r="EG56" s="10"/>
      <c r="EH56" s="10"/>
      <c r="EI56" s="10"/>
      <c r="EJ56" s="10"/>
      <c r="EK56" s="8">
        <f t="shared" si="10"/>
        <v>0</v>
      </c>
    </row>
    <row r="57" spans="1:141" x14ac:dyDescent="0.25">
      <c r="A57">
        <v>47</v>
      </c>
      <c r="B57" s="8" t="s">
        <v>222</v>
      </c>
      <c r="C57" s="8"/>
      <c r="D57" s="8" t="s">
        <v>485</v>
      </c>
      <c r="E57" s="8" t="s">
        <v>369</v>
      </c>
      <c r="F57" s="8"/>
      <c r="G57" s="8"/>
      <c r="H57" s="8"/>
      <c r="I57" s="8"/>
      <c r="J57" s="8"/>
      <c r="K57" s="8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8"/>
      <c r="AE57" s="8"/>
      <c r="AF57" s="8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10"/>
      <c r="CD57" s="10"/>
      <c r="CE57" s="10">
        <v>7.5</v>
      </c>
      <c r="CF57" s="10"/>
      <c r="CG57" s="10"/>
      <c r="CH57" s="10"/>
      <c r="CI57" s="11">
        <f>SUM(CB57:CH57)</f>
        <v>7.5</v>
      </c>
      <c r="CJ57" s="11">
        <f>(CI57-CB57)/2</f>
        <v>3.75</v>
      </c>
      <c r="CK57" s="11"/>
      <c r="CL57" s="11">
        <v>4</v>
      </c>
      <c r="CM57" s="11"/>
      <c r="CN57" s="11"/>
      <c r="CO57" s="11"/>
      <c r="CP57" s="11"/>
      <c r="CQ57" s="11">
        <f t="shared" si="8"/>
        <v>7.75</v>
      </c>
      <c r="EB57" s="8">
        <f t="shared" si="7"/>
        <v>0</v>
      </c>
      <c r="EC57" s="8">
        <f t="shared" si="9"/>
        <v>0</v>
      </c>
      <c r="ED57" s="10"/>
      <c r="EE57" s="10"/>
      <c r="EF57" s="10"/>
      <c r="EG57" s="10"/>
      <c r="EH57" s="10"/>
      <c r="EI57" s="10"/>
      <c r="EJ57" s="10"/>
      <c r="EK57" s="8">
        <f t="shared" si="10"/>
        <v>0</v>
      </c>
    </row>
    <row r="58" spans="1:141" x14ac:dyDescent="0.25">
      <c r="A58">
        <v>48</v>
      </c>
      <c r="B58" s="8" t="s">
        <v>145</v>
      </c>
      <c r="C58" s="8"/>
      <c r="D58" s="8" t="s">
        <v>23</v>
      </c>
      <c r="E58" s="8" t="s">
        <v>36</v>
      </c>
      <c r="F58" s="8"/>
      <c r="G58" s="8"/>
      <c r="H58" s="8"/>
      <c r="I58" s="8"/>
      <c r="J58" s="8"/>
      <c r="K58" s="8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8"/>
      <c r="AE58" s="8"/>
      <c r="AF58" s="8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1">
        <f>SUM(AE58:BA58)</f>
        <v>0</v>
      </c>
      <c r="BC58" s="11">
        <f>(BB58-AE58)/2</f>
        <v>0</v>
      </c>
      <c r="BD58" s="11"/>
      <c r="BE58" s="11"/>
      <c r="BF58" s="11">
        <v>3</v>
      </c>
      <c r="BG58" s="11"/>
      <c r="BH58" s="11"/>
      <c r="BI58" s="11"/>
      <c r="BJ58" s="11"/>
      <c r="BK58" s="11"/>
      <c r="BL58" s="11"/>
      <c r="BM58" s="11">
        <v>5</v>
      </c>
      <c r="BN58" s="11"/>
      <c r="BO58" s="11">
        <v>4</v>
      </c>
      <c r="BP58" s="11"/>
      <c r="BQ58" s="11">
        <v>7.5</v>
      </c>
      <c r="BR58" s="11"/>
      <c r="BS58" s="11">
        <v>33.6</v>
      </c>
      <c r="BT58" s="11"/>
      <c r="BU58" s="11"/>
      <c r="BV58" s="11"/>
      <c r="BW58" s="11"/>
      <c r="BX58" s="11"/>
      <c r="BY58" s="11">
        <v>7.5</v>
      </c>
      <c r="BZ58" s="11"/>
      <c r="CA58" s="11">
        <f>SUM(BC58:BZ58)</f>
        <v>60.6</v>
      </c>
      <c r="CB58" s="11">
        <f>(CA58-BC58)/2</f>
        <v>30.3</v>
      </c>
      <c r="CC58" s="11"/>
      <c r="CD58" s="11"/>
      <c r="CE58" s="11">
        <v>7.5</v>
      </c>
      <c r="CF58" s="11"/>
      <c r="CG58" s="11"/>
      <c r="CH58" s="11"/>
      <c r="CI58" s="11">
        <f>SUM(CB58:CH58)</f>
        <v>37.799999999999997</v>
      </c>
      <c r="CJ58" s="11">
        <f>(CI58-CB58)/2</f>
        <v>3.7499999999999982</v>
      </c>
      <c r="CK58" s="11"/>
      <c r="CL58" s="11">
        <v>4</v>
      </c>
      <c r="CM58" s="11"/>
      <c r="CN58" s="11"/>
      <c r="CO58" s="11"/>
      <c r="CP58" s="11"/>
      <c r="CQ58" s="11">
        <f t="shared" si="8"/>
        <v>7.7499999999999982</v>
      </c>
      <c r="CS58" s="12">
        <f>SUM(CV58:DC58)/2</f>
        <v>0</v>
      </c>
      <c r="CT58" s="12">
        <f>BB58/4</f>
        <v>0</v>
      </c>
      <c r="DL58">
        <v>5</v>
      </c>
      <c r="DM58" s="12">
        <f>SUM(CS58:CT58)+SUM(DE58:DL58)</f>
        <v>5</v>
      </c>
      <c r="DN58">
        <f>(DM58-CS58)/2</f>
        <v>2.5</v>
      </c>
      <c r="DO58">
        <f>CA58/4</f>
        <v>15.15</v>
      </c>
      <c r="DT58">
        <f>SUM(DN58:DS58)</f>
        <v>17.649999999999999</v>
      </c>
      <c r="DU58">
        <f>(DT58-DN58)/2</f>
        <v>7.5749999999999993</v>
      </c>
      <c r="DV58" s="12">
        <v>10.5</v>
      </c>
      <c r="EB58" s="8">
        <f t="shared" si="7"/>
        <v>18.074999999999999</v>
      </c>
      <c r="EC58" s="8">
        <f t="shared" si="9"/>
        <v>5.25</v>
      </c>
      <c r="ED58" s="10"/>
      <c r="EE58" s="10"/>
      <c r="EF58" s="10"/>
      <c r="EG58" s="10"/>
      <c r="EH58" s="10"/>
      <c r="EI58" s="10"/>
      <c r="EJ58" s="10"/>
      <c r="EK58" s="8">
        <f t="shared" si="10"/>
        <v>5.25</v>
      </c>
    </row>
    <row r="59" spans="1:141" x14ac:dyDescent="0.25">
      <c r="A59">
        <v>49</v>
      </c>
      <c r="B59" s="8" t="s">
        <v>199</v>
      </c>
      <c r="C59" s="8"/>
      <c r="D59" s="8" t="s">
        <v>200</v>
      </c>
      <c r="E59" s="8" t="s">
        <v>17</v>
      </c>
      <c r="F59" s="8"/>
      <c r="G59" s="8"/>
      <c r="H59" s="8"/>
      <c r="I59" s="8"/>
      <c r="J59" s="8"/>
      <c r="K59" s="8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8"/>
      <c r="AE59" s="8"/>
      <c r="AF59" s="8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10"/>
      <c r="CD59" s="10"/>
      <c r="CE59" s="10"/>
      <c r="CF59" s="10"/>
      <c r="CG59" s="10"/>
      <c r="CH59" s="10"/>
      <c r="CI59" s="8"/>
      <c r="CJ59" s="8"/>
      <c r="CK59" s="10"/>
      <c r="CL59" s="10"/>
      <c r="CM59" s="10">
        <v>7.5</v>
      </c>
      <c r="CN59" s="10"/>
      <c r="CO59" s="8"/>
      <c r="CP59" s="8"/>
      <c r="CQ59" s="11">
        <f t="shared" si="8"/>
        <v>7.5</v>
      </c>
      <c r="EB59" s="8">
        <f t="shared" si="7"/>
        <v>0</v>
      </c>
      <c r="EC59" s="8">
        <f t="shared" si="9"/>
        <v>0</v>
      </c>
      <c r="ED59" s="10"/>
      <c r="EE59" s="10"/>
      <c r="EF59" s="10"/>
      <c r="EG59" s="10"/>
      <c r="EH59" s="10"/>
      <c r="EI59" s="10"/>
      <c r="EJ59" s="10"/>
      <c r="EK59" s="8">
        <f t="shared" si="10"/>
        <v>0</v>
      </c>
    </row>
    <row r="60" spans="1:141" x14ac:dyDescent="0.25">
      <c r="A60">
        <v>50</v>
      </c>
      <c r="B60" s="8" t="s">
        <v>370</v>
      </c>
      <c r="C60" s="8"/>
      <c r="D60" s="8" t="s">
        <v>371</v>
      </c>
      <c r="E60" s="8" t="s">
        <v>24</v>
      </c>
      <c r="F60" s="8"/>
      <c r="G60" s="8"/>
      <c r="H60" s="8"/>
      <c r="I60" s="8"/>
      <c r="J60" s="8"/>
      <c r="K60" s="8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8"/>
      <c r="AE60" s="8"/>
      <c r="AF60" s="8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10"/>
      <c r="CD60" s="10"/>
      <c r="CE60" s="10"/>
      <c r="CF60" s="10"/>
      <c r="CG60" s="10"/>
      <c r="CH60" s="10"/>
      <c r="CI60" s="8"/>
      <c r="CJ60" s="8"/>
      <c r="CK60" s="10"/>
      <c r="CL60" s="10"/>
      <c r="CM60" s="10">
        <v>7.5</v>
      </c>
      <c r="CN60" s="10"/>
      <c r="CO60" s="8"/>
      <c r="CP60" s="8"/>
      <c r="CQ60" s="11">
        <f t="shared" si="8"/>
        <v>7.5</v>
      </c>
      <c r="EB60" s="8">
        <f t="shared" si="7"/>
        <v>0</v>
      </c>
      <c r="EC60" s="8">
        <f t="shared" si="9"/>
        <v>0</v>
      </c>
      <c r="ED60" s="10"/>
      <c r="EE60" s="10"/>
      <c r="EF60" s="10"/>
      <c r="EG60" s="10"/>
      <c r="EH60" s="10"/>
      <c r="EI60" s="10"/>
      <c r="EJ60" s="10"/>
      <c r="EK60" s="8">
        <f t="shared" si="10"/>
        <v>0</v>
      </c>
    </row>
    <row r="61" spans="1:141" x14ac:dyDescent="0.25">
      <c r="A61">
        <v>51</v>
      </c>
      <c r="B61" s="8" t="s">
        <v>380</v>
      </c>
      <c r="C61" s="8"/>
      <c r="D61" s="8" t="s">
        <v>155</v>
      </c>
      <c r="E61" s="8" t="s">
        <v>586</v>
      </c>
      <c r="F61" s="8"/>
      <c r="G61" s="8"/>
      <c r="H61" s="8"/>
      <c r="I61" s="8"/>
      <c r="J61" s="8"/>
      <c r="K61" s="8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8"/>
      <c r="AE61" s="8"/>
      <c r="AF61" s="8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10">
        <v>3</v>
      </c>
      <c r="CD61" s="10"/>
      <c r="CE61" s="10">
        <v>5</v>
      </c>
      <c r="CF61" s="10">
        <v>3</v>
      </c>
      <c r="CG61" s="10"/>
      <c r="CH61" s="10"/>
      <c r="CI61" s="11">
        <f>SUM(CB61:CH61)</f>
        <v>11</v>
      </c>
      <c r="CJ61" s="11">
        <f>(CI61-CB61)/2</f>
        <v>5.5</v>
      </c>
      <c r="CK61" s="11"/>
      <c r="CL61" s="11"/>
      <c r="CM61" s="11"/>
      <c r="CN61" s="11"/>
      <c r="CO61" s="11"/>
      <c r="CP61" s="11"/>
      <c r="CQ61" s="11">
        <f t="shared" si="8"/>
        <v>5.5</v>
      </c>
      <c r="EB61" s="8">
        <f t="shared" si="7"/>
        <v>0</v>
      </c>
      <c r="EC61" s="8">
        <f t="shared" si="9"/>
        <v>0</v>
      </c>
      <c r="ED61" s="10"/>
      <c r="EE61" s="10"/>
      <c r="EF61" s="10"/>
      <c r="EG61" s="10"/>
      <c r="EH61" s="10"/>
      <c r="EI61" s="10"/>
      <c r="EJ61" s="10"/>
      <c r="EK61" s="8">
        <f t="shared" si="10"/>
        <v>0</v>
      </c>
    </row>
    <row r="62" spans="1:141" x14ac:dyDescent="0.25">
      <c r="A62">
        <v>52</v>
      </c>
      <c r="B62" s="8" t="s">
        <v>703</v>
      </c>
      <c r="C62" s="8"/>
      <c r="D62" s="8" t="s">
        <v>34</v>
      </c>
      <c r="E62" s="8" t="s">
        <v>618</v>
      </c>
      <c r="F62" s="8"/>
      <c r="G62" s="8"/>
      <c r="H62" s="8"/>
      <c r="I62" s="8"/>
      <c r="J62" s="8"/>
      <c r="K62" s="8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8"/>
      <c r="AE62" s="8"/>
      <c r="AF62" s="8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10"/>
      <c r="CD62" s="10"/>
      <c r="CE62" s="10"/>
      <c r="CF62" s="10"/>
      <c r="CG62" s="10"/>
      <c r="CH62" s="10"/>
      <c r="CI62" s="8"/>
      <c r="CJ62" s="8"/>
      <c r="CK62" s="10"/>
      <c r="CL62" s="10"/>
      <c r="CM62" s="10">
        <v>5</v>
      </c>
      <c r="CN62" s="10"/>
      <c r="CO62" s="8"/>
      <c r="CP62" s="8"/>
      <c r="CQ62" s="11">
        <f t="shared" si="8"/>
        <v>5</v>
      </c>
      <c r="EB62" s="8">
        <f t="shared" si="7"/>
        <v>0</v>
      </c>
      <c r="EC62" s="8">
        <f t="shared" si="9"/>
        <v>0</v>
      </c>
      <c r="ED62" s="10"/>
      <c r="EE62" s="10"/>
      <c r="EF62" s="10"/>
      <c r="EG62" s="10"/>
      <c r="EH62" s="10"/>
      <c r="EI62" s="10"/>
      <c r="EJ62" s="10"/>
      <c r="EK62" s="8">
        <f t="shared" si="10"/>
        <v>0</v>
      </c>
    </row>
    <row r="63" spans="1:141" x14ac:dyDescent="0.25">
      <c r="A63">
        <v>53</v>
      </c>
      <c r="B63" s="8" t="s">
        <v>617</v>
      </c>
      <c r="C63" s="8"/>
      <c r="D63" s="8" t="s">
        <v>163</v>
      </c>
      <c r="E63" s="8" t="s">
        <v>602</v>
      </c>
      <c r="F63" s="8"/>
      <c r="G63" s="8"/>
      <c r="H63" s="8"/>
      <c r="I63" s="8"/>
      <c r="J63" s="8"/>
      <c r="K63" s="8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8"/>
      <c r="AE63" s="8"/>
      <c r="AF63" s="8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10"/>
      <c r="CD63" s="10"/>
      <c r="CE63" s="10"/>
      <c r="CF63" s="10"/>
      <c r="CG63" s="10"/>
      <c r="CH63" s="10"/>
      <c r="CI63" s="8"/>
      <c r="CJ63" s="8"/>
      <c r="CK63" s="10"/>
      <c r="CL63" s="10"/>
      <c r="CM63" s="10">
        <v>5</v>
      </c>
      <c r="CN63" s="10"/>
      <c r="CO63" s="8"/>
      <c r="CP63" s="8"/>
      <c r="CQ63" s="11">
        <f t="shared" si="8"/>
        <v>5</v>
      </c>
      <c r="EB63" s="8">
        <f t="shared" si="7"/>
        <v>0</v>
      </c>
      <c r="EC63" s="8">
        <f t="shared" si="9"/>
        <v>0</v>
      </c>
      <c r="ED63" s="10"/>
      <c r="EE63" s="10"/>
      <c r="EF63" s="10"/>
      <c r="EG63" s="10"/>
      <c r="EH63" s="10"/>
      <c r="EI63" s="10"/>
      <c r="EJ63" s="10"/>
      <c r="EK63" s="8">
        <f t="shared" si="10"/>
        <v>0</v>
      </c>
    </row>
    <row r="64" spans="1:141" x14ac:dyDescent="0.25">
      <c r="A64">
        <v>54</v>
      </c>
      <c r="B64" s="8" t="s">
        <v>811</v>
      </c>
      <c r="C64" s="8"/>
      <c r="D64" s="8" t="s">
        <v>21</v>
      </c>
      <c r="E64" s="8" t="s">
        <v>855</v>
      </c>
      <c r="F64" s="8"/>
      <c r="G64" s="8"/>
      <c r="H64" s="8"/>
      <c r="I64" s="8"/>
      <c r="J64" s="8"/>
      <c r="K64" s="8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8"/>
      <c r="AE64" s="8"/>
      <c r="AF64" s="8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10"/>
      <c r="CD64" s="10"/>
      <c r="CE64" s="10"/>
      <c r="CF64" s="10"/>
      <c r="CG64" s="10"/>
      <c r="CH64" s="10"/>
      <c r="CI64" s="8"/>
      <c r="CJ64" s="8"/>
      <c r="CK64" s="10"/>
      <c r="CL64" s="10">
        <v>4</v>
      </c>
      <c r="CM64" s="10"/>
      <c r="CN64" s="10"/>
      <c r="CO64" s="8"/>
      <c r="CP64" s="8"/>
      <c r="CQ64" s="11">
        <f t="shared" si="8"/>
        <v>4</v>
      </c>
      <c r="EB64" s="8">
        <f t="shared" si="7"/>
        <v>0</v>
      </c>
      <c r="EC64" s="8">
        <f t="shared" si="9"/>
        <v>0</v>
      </c>
      <c r="ED64" s="10"/>
      <c r="EE64" s="10"/>
      <c r="EF64" s="10"/>
      <c r="EG64" s="10"/>
      <c r="EH64" s="10"/>
      <c r="EI64" s="10"/>
      <c r="EJ64" s="10"/>
      <c r="EK64" s="8">
        <f t="shared" si="10"/>
        <v>0</v>
      </c>
    </row>
    <row r="65" spans="1:141" x14ac:dyDescent="0.25">
      <c r="A65">
        <v>55</v>
      </c>
      <c r="B65" s="8" t="s">
        <v>215</v>
      </c>
      <c r="C65" s="8"/>
      <c r="D65" s="8" t="s">
        <v>580</v>
      </c>
      <c r="E65" s="8" t="s">
        <v>581</v>
      </c>
      <c r="F65" s="8"/>
      <c r="G65" s="8"/>
      <c r="H65" s="8"/>
      <c r="I65" s="8"/>
      <c r="J65" s="8"/>
      <c r="K65" s="8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8"/>
      <c r="AE65" s="8"/>
      <c r="AF65" s="8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>
        <v>40</v>
      </c>
      <c r="BO65" s="8"/>
      <c r="BP65" s="8"/>
      <c r="BQ65" s="8"/>
      <c r="BR65" s="8"/>
      <c r="BS65" s="8"/>
      <c r="BT65" s="8"/>
      <c r="BU65" s="8"/>
      <c r="BV65" s="8"/>
      <c r="BW65" s="8"/>
      <c r="BX65" s="8">
        <v>2.4</v>
      </c>
      <c r="BY65" s="8"/>
      <c r="BZ65" s="8"/>
      <c r="CA65" s="11">
        <f>SUM(BC65:BZ65)</f>
        <v>42.4</v>
      </c>
      <c r="CB65" s="11">
        <f>(CA65-BC65)/2</f>
        <v>21.2</v>
      </c>
      <c r="CC65" s="11"/>
      <c r="CD65" s="11"/>
      <c r="CE65" s="11">
        <v>7.5</v>
      </c>
      <c r="CF65" s="11"/>
      <c r="CG65" s="11"/>
      <c r="CH65" s="11"/>
      <c r="CI65" s="11">
        <f>SUM(CB65:CH65)</f>
        <v>28.7</v>
      </c>
      <c r="CJ65" s="11">
        <f>(CI65-CB65)/2</f>
        <v>3.75</v>
      </c>
      <c r="CK65" s="11"/>
      <c r="CL65" s="11"/>
      <c r="CM65" s="11"/>
      <c r="CN65" s="11"/>
      <c r="CO65" s="11"/>
      <c r="CP65" s="11"/>
      <c r="CQ65" s="11">
        <f t="shared" si="8"/>
        <v>3.75</v>
      </c>
      <c r="DM65" s="12">
        <f>SUM(CS65:CT65)+SUM(DE65:DL65)</f>
        <v>0</v>
      </c>
      <c r="DN65">
        <f>(DM65-CS65)/2</f>
        <v>0</v>
      </c>
      <c r="DO65">
        <f>CA65/4</f>
        <v>10.6</v>
      </c>
      <c r="DT65">
        <f>SUM(DN65:DS65)</f>
        <v>10.6</v>
      </c>
      <c r="DU65">
        <f>(DT65-DN65)/2</f>
        <v>5.3</v>
      </c>
      <c r="EB65" s="8">
        <f t="shared" si="7"/>
        <v>5.3</v>
      </c>
      <c r="EC65" s="8">
        <f t="shared" si="9"/>
        <v>0</v>
      </c>
      <c r="ED65" s="10"/>
      <c r="EE65" s="10"/>
      <c r="EF65" s="10"/>
      <c r="EG65" s="10"/>
      <c r="EH65" s="10"/>
      <c r="EI65" s="10"/>
      <c r="EJ65" s="10"/>
      <c r="EK65" s="8">
        <f t="shared" si="10"/>
        <v>0</v>
      </c>
    </row>
    <row r="66" spans="1:141" x14ac:dyDescent="0.25">
      <c r="A66">
        <v>56</v>
      </c>
      <c r="B66" s="8" t="s">
        <v>100</v>
      </c>
      <c r="C66" s="8"/>
      <c r="D66" s="8" t="s">
        <v>735</v>
      </c>
      <c r="E66" s="8" t="s">
        <v>12</v>
      </c>
      <c r="F66" s="8"/>
      <c r="G66" s="8"/>
      <c r="H66" s="8"/>
      <c r="I66" s="8"/>
      <c r="J66" s="8"/>
      <c r="K66" s="8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8"/>
      <c r="AE66" s="8"/>
      <c r="AF66" s="8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10"/>
      <c r="CD66" s="10"/>
      <c r="CE66" s="10">
        <v>7.5</v>
      </c>
      <c r="CF66" s="10"/>
      <c r="CG66" s="10"/>
      <c r="CH66" s="10"/>
      <c r="CI66" s="11">
        <f>SUM(CB66:CH66)</f>
        <v>7.5</v>
      </c>
      <c r="CJ66" s="11">
        <f>(CI66-CB66)/2</f>
        <v>3.75</v>
      </c>
      <c r="CK66" s="11"/>
      <c r="CL66" s="11"/>
      <c r="CM66" s="11"/>
      <c r="CN66" s="11"/>
      <c r="CO66" s="11"/>
      <c r="CP66" s="11"/>
      <c r="CQ66" s="11">
        <f t="shared" si="8"/>
        <v>3.75</v>
      </c>
      <c r="EB66" s="8">
        <f t="shared" si="7"/>
        <v>0</v>
      </c>
      <c r="EC66" s="8">
        <f t="shared" si="9"/>
        <v>0</v>
      </c>
      <c r="ED66" s="10"/>
      <c r="EE66" s="10"/>
      <c r="EF66" s="10"/>
      <c r="EG66" s="10"/>
      <c r="EH66" s="10"/>
      <c r="EI66" s="10"/>
      <c r="EJ66" s="10"/>
      <c r="EK66" s="8">
        <f t="shared" si="10"/>
        <v>0</v>
      </c>
    </row>
    <row r="67" spans="1:141" x14ac:dyDescent="0.25">
      <c r="A67">
        <v>57</v>
      </c>
      <c r="B67" s="8" t="s">
        <v>215</v>
      </c>
      <c r="C67" s="8"/>
      <c r="D67" s="8" t="s">
        <v>22</v>
      </c>
      <c r="E67" s="8" t="s">
        <v>13</v>
      </c>
      <c r="F67" s="8"/>
      <c r="G67" s="8"/>
      <c r="H67" s="8"/>
      <c r="I67" s="8"/>
      <c r="J67" s="8"/>
      <c r="K67" s="8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8"/>
      <c r="AE67" s="8"/>
      <c r="AF67" s="8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10"/>
      <c r="CD67" s="10"/>
      <c r="CE67" s="10"/>
      <c r="CF67" s="10"/>
      <c r="CG67" s="10"/>
      <c r="CH67" s="10"/>
      <c r="CI67" s="8"/>
      <c r="CJ67" s="8"/>
      <c r="CK67" s="10">
        <v>3</v>
      </c>
      <c r="CL67" s="10"/>
      <c r="CM67" s="10"/>
      <c r="CN67" s="10"/>
      <c r="CO67" s="8"/>
      <c r="CP67" s="8"/>
      <c r="CQ67" s="11">
        <f t="shared" si="8"/>
        <v>3</v>
      </c>
      <c r="EB67" s="8">
        <f t="shared" si="7"/>
        <v>0</v>
      </c>
      <c r="EC67" s="8">
        <f t="shared" si="9"/>
        <v>0</v>
      </c>
      <c r="ED67" s="10"/>
      <c r="EE67" s="10"/>
      <c r="EF67" s="10"/>
      <c r="EG67" s="10"/>
      <c r="EH67" s="10"/>
      <c r="EI67" s="10"/>
      <c r="EJ67" s="10"/>
      <c r="EK67" s="8">
        <f t="shared" si="10"/>
        <v>0</v>
      </c>
    </row>
    <row r="68" spans="1:141" x14ac:dyDescent="0.25">
      <c r="A68">
        <v>58</v>
      </c>
      <c r="B68" s="8" t="s">
        <v>695</v>
      </c>
      <c r="C68" s="8"/>
      <c r="D68" s="8" t="s">
        <v>696</v>
      </c>
      <c r="E68" s="8" t="s">
        <v>697</v>
      </c>
      <c r="F68" s="8"/>
      <c r="G68" s="8"/>
      <c r="H68" s="8"/>
      <c r="I68" s="8"/>
      <c r="J68" s="8"/>
      <c r="K68" s="8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8"/>
      <c r="AE68" s="8"/>
      <c r="AF68" s="8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10"/>
      <c r="CD68" s="10"/>
      <c r="CE68" s="10">
        <v>5</v>
      </c>
      <c r="CF68" s="10"/>
      <c r="CG68" s="10"/>
      <c r="CH68" s="10"/>
      <c r="CI68" s="11">
        <f>SUM(CB68:CH68)</f>
        <v>5</v>
      </c>
      <c r="CJ68" s="11">
        <f>(CI68-CB68)/2</f>
        <v>2.5</v>
      </c>
      <c r="CK68" s="11"/>
      <c r="CL68" s="11"/>
      <c r="CM68" s="11"/>
      <c r="CN68" s="11"/>
      <c r="CO68" s="11"/>
      <c r="CP68" s="11"/>
      <c r="CQ68" s="11">
        <f t="shared" si="8"/>
        <v>2.5</v>
      </c>
      <c r="EB68" s="8">
        <f t="shared" si="7"/>
        <v>0</v>
      </c>
      <c r="EC68" s="8">
        <f t="shared" si="9"/>
        <v>0</v>
      </c>
      <c r="ED68" s="10"/>
      <c r="EE68" s="10"/>
      <c r="EF68" s="10"/>
      <c r="EG68" s="10"/>
      <c r="EH68" s="10"/>
      <c r="EI68" s="10"/>
      <c r="EJ68" s="10"/>
      <c r="EK68" s="8">
        <f t="shared" si="10"/>
        <v>0</v>
      </c>
    </row>
    <row r="69" spans="1:141" x14ac:dyDescent="0.25">
      <c r="A69">
        <v>59</v>
      </c>
      <c r="B69" s="8" t="s">
        <v>127</v>
      </c>
      <c r="C69" s="8"/>
      <c r="D69" s="8" t="s">
        <v>44</v>
      </c>
      <c r="E69" s="8" t="s">
        <v>15</v>
      </c>
      <c r="F69" s="8"/>
      <c r="G69" s="8"/>
      <c r="H69" s="8"/>
      <c r="I69" s="8"/>
      <c r="J69" s="8"/>
      <c r="K69" s="8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8"/>
      <c r="AE69" s="8"/>
      <c r="AF69" s="8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10"/>
      <c r="CD69" s="10"/>
      <c r="CE69" s="10">
        <v>5</v>
      </c>
      <c r="CF69" s="10"/>
      <c r="CG69" s="10"/>
      <c r="CH69" s="10"/>
      <c r="CI69" s="11">
        <f>SUM(CB69:CH69)</f>
        <v>5</v>
      </c>
      <c r="CJ69" s="11">
        <f>(CI69-CB69)/2</f>
        <v>2.5</v>
      </c>
      <c r="CK69" s="11"/>
      <c r="CL69" s="11"/>
      <c r="CM69" s="11"/>
      <c r="CN69" s="11"/>
      <c r="CO69" s="11"/>
      <c r="CP69" s="11"/>
      <c r="CQ69" s="11">
        <f t="shared" si="8"/>
        <v>2.5</v>
      </c>
      <c r="EB69" s="8">
        <f t="shared" si="7"/>
        <v>0</v>
      </c>
      <c r="EC69" s="8">
        <f t="shared" si="9"/>
        <v>0</v>
      </c>
      <c r="ED69" s="10"/>
      <c r="EE69" s="10"/>
      <c r="EF69" s="10"/>
      <c r="EG69" s="10"/>
      <c r="EH69" s="10"/>
      <c r="EI69" s="10"/>
      <c r="EJ69" s="10"/>
      <c r="EK69" s="8">
        <f t="shared" si="10"/>
        <v>0</v>
      </c>
    </row>
    <row r="70" spans="1:141" x14ac:dyDescent="0.25">
      <c r="A70">
        <v>60</v>
      </c>
      <c r="B70" s="8" t="s">
        <v>154</v>
      </c>
      <c r="C70" s="8"/>
      <c r="D70" s="8" t="s">
        <v>821</v>
      </c>
      <c r="E70" s="8" t="s">
        <v>817</v>
      </c>
      <c r="F70" s="8"/>
      <c r="G70" s="8"/>
      <c r="H70" s="8"/>
      <c r="I70" s="8"/>
      <c r="J70" s="8"/>
      <c r="K70" s="8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8"/>
      <c r="AE70" s="8"/>
      <c r="AF70" s="8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10"/>
      <c r="CD70" s="10"/>
      <c r="CE70" s="10"/>
      <c r="CF70" s="10"/>
      <c r="CG70" s="10"/>
      <c r="CH70" s="10"/>
      <c r="CI70" s="8"/>
      <c r="CJ70" s="8"/>
      <c r="CK70" s="10">
        <v>2.4</v>
      </c>
      <c r="CL70" s="10"/>
      <c r="CM70" s="10"/>
      <c r="CN70" s="10"/>
      <c r="CO70" s="8"/>
      <c r="CP70" s="8"/>
      <c r="CQ70" s="11">
        <f t="shared" si="8"/>
        <v>2.4</v>
      </c>
      <c r="EB70" s="8">
        <f t="shared" si="7"/>
        <v>0</v>
      </c>
      <c r="EC70" s="8">
        <f t="shared" si="9"/>
        <v>0</v>
      </c>
      <c r="ED70" s="10"/>
      <c r="EE70" s="10"/>
      <c r="EF70" s="10"/>
      <c r="EG70" s="10"/>
      <c r="EH70" s="10"/>
      <c r="EI70" s="10"/>
      <c r="EJ70" s="10"/>
      <c r="EK70" s="8">
        <f t="shared" si="10"/>
        <v>0</v>
      </c>
    </row>
    <row r="71" spans="1:141" x14ac:dyDescent="0.25">
      <c r="A71">
        <v>61</v>
      </c>
      <c r="B71" s="8" t="s">
        <v>912</v>
      </c>
      <c r="C71" s="8"/>
      <c r="D71" s="8" t="s">
        <v>280</v>
      </c>
      <c r="E71" s="8" t="s">
        <v>229</v>
      </c>
      <c r="F71" s="8"/>
      <c r="G71" s="8"/>
      <c r="H71" s="8"/>
      <c r="I71" s="8"/>
      <c r="J71" s="8"/>
      <c r="K71" s="8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8"/>
      <c r="AE71" s="8"/>
      <c r="AF71" s="8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10"/>
      <c r="CD71" s="10"/>
      <c r="CE71" s="10"/>
      <c r="CF71" s="10"/>
      <c r="CG71" s="10"/>
      <c r="CH71" s="10"/>
      <c r="CI71" s="8"/>
      <c r="CJ71" s="8"/>
      <c r="CK71" s="10">
        <v>2.4</v>
      </c>
      <c r="CL71" s="10"/>
      <c r="CM71" s="10"/>
      <c r="CN71" s="10"/>
      <c r="CO71" s="8"/>
      <c r="CP71" s="8"/>
      <c r="CQ71" s="11">
        <f t="shared" si="8"/>
        <v>2.4</v>
      </c>
      <c r="EB71" s="8">
        <f t="shared" si="7"/>
        <v>0</v>
      </c>
      <c r="EC71" s="8">
        <f t="shared" si="9"/>
        <v>0</v>
      </c>
      <c r="ED71" s="10"/>
      <c r="EE71" s="10"/>
      <c r="EF71" s="10"/>
      <c r="EG71" s="10"/>
      <c r="EH71" s="10"/>
      <c r="EI71" s="10"/>
      <c r="EJ71" s="10"/>
      <c r="EK71" s="8">
        <f t="shared" si="10"/>
        <v>0</v>
      </c>
    </row>
    <row r="72" spans="1:141" x14ac:dyDescent="0.25">
      <c r="A72">
        <v>62</v>
      </c>
      <c r="B72" s="8" t="s">
        <v>100</v>
      </c>
      <c r="C72" s="8"/>
      <c r="D72" s="8" t="s">
        <v>20</v>
      </c>
      <c r="E72" s="8" t="s">
        <v>152</v>
      </c>
      <c r="F72" s="8"/>
      <c r="G72" s="8"/>
      <c r="H72" s="8"/>
      <c r="I72" s="8"/>
      <c r="J72" s="8"/>
      <c r="K72" s="8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8"/>
      <c r="AE72" s="8"/>
      <c r="AF72" s="8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8"/>
      <c r="BC72" s="8"/>
      <c r="BD72" s="8"/>
      <c r="BE72" s="8"/>
      <c r="BF72" s="8"/>
      <c r="BG72" s="8"/>
      <c r="BH72" s="8"/>
      <c r="BI72" s="8">
        <v>36</v>
      </c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>
        <v>36</v>
      </c>
      <c r="BX72" s="8"/>
      <c r="BY72" s="8"/>
      <c r="BZ72" s="8"/>
      <c r="CA72" s="11">
        <f>SUM(BC72:BZ72)</f>
        <v>72</v>
      </c>
      <c r="CB72" s="11">
        <f>(CA72-BC72)/2</f>
        <v>36</v>
      </c>
      <c r="CC72" s="11"/>
      <c r="CD72" s="11"/>
      <c r="CE72" s="11"/>
      <c r="CF72" s="11"/>
      <c r="CG72" s="11"/>
      <c r="CH72" s="11"/>
      <c r="CI72" s="11">
        <f>SUM(CB72:CH72)</f>
        <v>36</v>
      </c>
      <c r="CJ72" s="11">
        <f>(CI72-CB72)/2</f>
        <v>0</v>
      </c>
      <c r="CK72" s="11"/>
      <c r="CL72" s="11"/>
      <c r="CM72" s="11"/>
      <c r="CN72" s="11"/>
      <c r="CO72" s="11"/>
      <c r="CP72" s="11"/>
      <c r="CQ72" s="11">
        <f t="shared" si="8"/>
        <v>0</v>
      </c>
      <c r="DM72" s="12">
        <f>SUM(CS72:CT72)+SUM(DE72:DL72)</f>
        <v>0</v>
      </c>
      <c r="DN72">
        <f>(DM72-CS72)/2</f>
        <v>0</v>
      </c>
      <c r="DO72">
        <f>CA72/4</f>
        <v>18</v>
      </c>
      <c r="DS72" s="12">
        <v>50</v>
      </c>
      <c r="DT72">
        <f>SUM(DN72:DS72)</f>
        <v>68</v>
      </c>
      <c r="DU72">
        <f>(DT72-DN72)/2</f>
        <v>34</v>
      </c>
      <c r="EB72" s="8">
        <f t="shared" si="7"/>
        <v>34</v>
      </c>
      <c r="EC72" s="8">
        <f t="shared" si="9"/>
        <v>0</v>
      </c>
      <c r="ED72" s="10"/>
      <c r="EE72" s="10"/>
      <c r="EF72" s="10"/>
      <c r="EG72" s="10"/>
      <c r="EH72" s="10"/>
      <c r="EI72" s="10"/>
      <c r="EJ72" s="10"/>
      <c r="EK72" s="8">
        <f t="shared" si="10"/>
        <v>0</v>
      </c>
    </row>
    <row r="73" spans="1:141" x14ac:dyDescent="0.25">
      <c r="A73">
        <v>63</v>
      </c>
      <c r="B73" s="8" t="s">
        <v>201</v>
      </c>
      <c r="C73" s="8"/>
      <c r="D73" s="8" t="s">
        <v>73</v>
      </c>
      <c r="E73" s="8" t="s">
        <v>725</v>
      </c>
      <c r="F73" s="8"/>
      <c r="G73" s="8"/>
      <c r="H73" s="8"/>
      <c r="I73" s="8"/>
      <c r="J73" s="8"/>
      <c r="K73" s="8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8"/>
      <c r="AE73" s="8"/>
      <c r="AF73" s="8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10"/>
      <c r="CD73" s="10"/>
      <c r="CE73" s="10"/>
      <c r="CF73" s="10"/>
      <c r="CG73" s="10"/>
      <c r="CH73" s="10"/>
      <c r="CI73" s="11">
        <f>SUM(CB73:CH73)</f>
        <v>0</v>
      </c>
      <c r="CJ73" s="11">
        <f>(CI73-CB73)/2</f>
        <v>0</v>
      </c>
      <c r="CK73" s="11"/>
      <c r="CL73" s="11"/>
      <c r="CM73" s="11"/>
      <c r="CN73" s="11"/>
      <c r="CO73" s="11"/>
      <c r="CP73" s="11"/>
      <c r="CQ73" s="11">
        <f t="shared" si="8"/>
        <v>0</v>
      </c>
      <c r="EA73" s="12">
        <v>2.5</v>
      </c>
      <c r="EB73" s="8">
        <f t="shared" si="7"/>
        <v>2.5</v>
      </c>
      <c r="EC73" s="8">
        <f t="shared" si="9"/>
        <v>1.25</v>
      </c>
      <c r="ED73" s="10"/>
      <c r="EE73" s="10"/>
      <c r="EF73" s="10"/>
      <c r="EG73" s="10"/>
      <c r="EH73" s="10"/>
      <c r="EI73" s="10"/>
      <c r="EJ73" s="10"/>
      <c r="EK73" s="8">
        <f t="shared" si="10"/>
        <v>1.25</v>
      </c>
    </row>
  </sheetData>
  <sortState xmlns:xlrd2="http://schemas.microsoft.com/office/spreadsheetml/2017/richdata2" ref="B11:EK73">
    <sortCondition descending="1" ref="CQ11:CQ73"/>
  </sortState>
  <mergeCells count="6">
    <mergeCell ref="B1:EK1"/>
    <mergeCell ref="B8:C10"/>
    <mergeCell ref="CE9:CH9"/>
    <mergeCell ref="CM9:CP9"/>
    <mergeCell ref="D3:CQ5"/>
    <mergeCell ref="CS4:EK5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I93"/>
  <sheetViews>
    <sheetView zoomScale="80" zoomScaleNormal="80" workbookViewId="0">
      <selection activeCell="FJ20" sqref="FJ20"/>
    </sheetView>
  </sheetViews>
  <sheetFormatPr baseColWidth="10" defaultRowHeight="15" x14ac:dyDescent="0.25"/>
  <cols>
    <col min="1" max="1" width="3.140625" bestFit="1" customWidth="1"/>
    <col min="2" max="2" width="15.5703125" bestFit="1" customWidth="1"/>
    <col min="3" max="3" width="13" bestFit="1" customWidth="1"/>
    <col min="4" max="4" width="14.140625" bestFit="1" customWidth="1"/>
    <col min="5" max="5" width="23.42578125" bestFit="1" customWidth="1"/>
    <col min="6" max="10" width="6.42578125" hidden="1" customWidth="1"/>
    <col min="11" max="12" width="7.28515625" hidden="1" customWidth="1"/>
    <col min="13" max="13" width="7.28515625" style="12" hidden="1" customWidth="1"/>
    <col min="14" max="14" width="7.28515625" hidden="1" customWidth="1"/>
    <col min="15" max="22" width="6.42578125" style="12" hidden="1" customWidth="1"/>
    <col min="23" max="32" width="7.28515625" style="12" hidden="1" customWidth="1"/>
    <col min="33" max="33" width="0" hidden="1" customWidth="1"/>
    <col min="34" max="34" width="7.140625" hidden="1" customWidth="1"/>
    <col min="35" max="48" width="6" hidden="1" customWidth="1"/>
    <col min="49" max="49" width="10.5703125" style="12" hidden="1" customWidth="1"/>
    <col min="50" max="57" width="6" hidden="1" customWidth="1"/>
    <col min="58" max="59" width="9.28515625" hidden="1" customWidth="1"/>
    <col min="60" max="60" width="6" hidden="1" customWidth="1"/>
    <col min="61" max="61" width="10" hidden="1" customWidth="1"/>
    <col min="62" max="73" width="6" hidden="1" customWidth="1"/>
    <col min="74" max="79" width="6" style="12" hidden="1" customWidth="1"/>
    <col min="80" max="80" width="10.28515625" style="12" hidden="1" customWidth="1"/>
    <col min="81" max="85" width="6" style="12" hidden="1" customWidth="1"/>
    <col min="86" max="87" width="9.28515625" hidden="1" customWidth="1"/>
    <col min="88" max="88" width="6.42578125" style="12" hidden="1" customWidth="1"/>
    <col min="89" max="89" width="7.140625" style="12" hidden="1" customWidth="1"/>
    <col min="90" max="90" width="9" style="12" hidden="1" customWidth="1"/>
    <col min="91" max="91" width="9.140625" style="12" hidden="1" customWidth="1"/>
    <col min="92" max="92" width="8" style="12" hidden="1" customWidth="1"/>
    <col min="93" max="93" width="9.28515625" style="12" hidden="1" customWidth="1"/>
    <col min="94" max="95" width="9.28515625" customWidth="1"/>
    <col min="96" max="96" width="5.5703125" style="12" bestFit="1" customWidth="1"/>
    <col min="97" max="98" width="9.28515625" style="12" customWidth="1"/>
    <col min="99" max="103" width="9.28515625" customWidth="1"/>
    <col min="104" max="106" width="0" hidden="1" customWidth="1"/>
    <col min="107" max="107" width="10.140625" hidden="1" customWidth="1"/>
    <col min="108" max="110" width="6.42578125" hidden="1" customWidth="1"/>
    <col min="111" max="112" width="6.42578125" style="12" hidden="1" customWidth="1"/>
    <col min="113" max="114" width="0" hidden="1" customWidth="1"/>
    <col min="115" max="117" width="9.7109375" hidden="1" customWidth="1"/>
    <col min="118" max="118" width="7.140625" hidden="1" customWidth="1"/>
    <col min="119" max="122" width="7.5703125" hidden="1" customWidth="1"/>
    <col min="123" max="125" width="0" hidden="1" customWidth="1"/>
    <col min="126" max="128" width="6" hidden="1" customWidth="1"/>
    <col min="129" max="138" width="6" style="12" hidden="1" customWidth="1"/>
    <col min="139" max="140" width="0" hidden="1" customWidth="1"/>
    <col min="141" max="141" width="8.85546875" style="12" hidden="1" customWidth="1"/>
    <col min="142" max="153" width="6" style="12" hidden="1" customWidth="1"/>
    <col min="156" max="156" width="8" style="12" bestFit="1" customWidth="1"/>
    <col min="157" max="157" width="10.85546875" style="12" bestFit="1" customWidth="1"/>
    <col min="158" max="158" width="6" style="12" bestFit="1" customWidth="1"/>
    <col min="159" max="164" width="6" style="12" customWidth="1"/>
  </cols>
  <sheetData>
    <row r="1" spans="1:165" ht="26.25" x14ac:dyDescent="0.4">
      <c r="B1" s="80" t="s">
        <v>3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  <c r="CG1" s="80"/>
      <c r="CH1" s="80"/>
      <c r="CI1" s="80"/>
      <c r="CJ1" s="80"/>
      <c r="CK1" s="80"/>
      <c r="CL1" s="80"/>
      <c r="CM1" s="80"/>
      <c r="CN1" s="80"/>
      <c r="CO1" s="80"/>
      <c r="CP1" s="80"/>
      <c r="CQ1" s="80"/>
      <c r="CR1" s="80"/>
      <c r="CS1" s="80"/>
      <c r="CT1" s="80"/>
      <c r="CU1" s="80"/>
      <c r="CV1" s="80"/>
      <c r="CW1" s="80"/>
      <c r="CX1" s="80"/>
      <c r="CY1" s="80"/>
      <c r="CZ1" s="80"/>
      <c r="DA1" s="80"/>
      <c r="DB1" s="80"/>
      <c r="DC1" s="80"/>
      <c r="DD1" s="80"/>
      <c r="DE1" s="80"/>
      <c r="DF1" s="80"/>
      <c r="DG1" s="80"/>
      <c r="DH1" s="80"/>
      <c r="DI1" s="80"/>
      <c r="DJ1" s="80"/>
      <c r="DK1" s="80"/>
      <c r="DL1" s="80"/>
      <c r="DM1" s="80"/>
      <c r="DN1" s="80"/>
      <c r="DO1" s="80"/>
      <c r="DP1" s="80"/>
      <c r="DQ1" s="80"/>
      <c r="DR1" s="80"/>
      <c r="DS1" s="80"/>
      <c r="DT1" s="80"/>
      <c r="DU1" s="80"/>
      <c r="DV1" s="80"/>
      <c r="DW1" s="80"/>
      <c r="DX1" s="80"/>
      <c r="DY1" s="80"/>
      <c r="DZ1" s="80"/>
      <c r="EA1" s="80"/>
      <c r="EB1" s="80"/>
      <c r="EC1" s="80"/>
      <c r="ED1" s="80"/>
      <c r="EE1" s="80"/>
      <c r="EF1" s="80"/>
      <c r="EG1" s="80"/>
      <c r="EH1" s="80"/>
      <c r="EI1" s="80"/>
      <c r="EJ1" s="80"/>
      <c r="EK1" s="80"/>
      <c r="EL1" s="80"/>
      <c r="EM1" s="80"/>
      <c r="EN1" s="80"/>
      <c r="EO1" s="80"/>
      <c r="EP1" s="80"/>
      <c r="EQ1" s="80"/>
      <c r="ER1" s="80"/>
      <c r="ES1" s="80"/>
      <c r="ET1" s="80"/>
      <c r="EU1" s="80"/>
      <c r="EV1" s="80"/>
      <c r="EW1" s="80"/>
      <c r="EX1" s="80"/>
      <c r="EY1" s="80"/>
      <c r="EZ1" s="80"/>
      <c r="FA1" s="80"/>
      <c r="FB1" s="80"/>
      <c r="FC1" s="80"/>
      <c r="FD1" s="80"/>
      <c r="FE1" s="80"/>
      <c r="FF1" s="80"/>
      <c r="FG1" s="80"/>
      <c r="FH1" s="80"/>
      <c r="FI1" s="80"/>
    </row>
    <row r="2" spans="1:165" ht="15.75" thickBot="1" x14ac:dyDescent="0.3">
      <c r="C2" s="12"/>
      <c r="D2" s="12"/>
      <c r="E2" s="12"/>
    </row>
    <row r="3" spans="1:165" ht="15.75" thickTop="1" x14ac:dyDescent="0.25">
      <c r="B3" s="1" t="s">
        <v>0</v>
      </c>
      <c r="C3" s="4" t="s">
        <v>10</v>
      </c>
    </row>
    <row r="4" spans="1:165" ht="15.6" customHeight="1" x14ac:dyDescent="0.25">
      <c r="B4" s="2" t="s">
        <v>1</v>
      </c>
      <c r="C4" s="5" t="s">
        <v>84</v>
      </c>
      <c r="D4" s="81" t="s">
        <v>791</v>
      </c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2"/>
      <c r="BK4" s="82"/>
      <c r="BL4" s="82"/>
      <c r="BM4" s="82"/>
      <c r="BN4" s="82"/>
      <c r="BO4" s="82"/>
      <c r="BP4" s="82"/>
      <c r="BQ4" s="82"/>
      <c r="BR4" s="82"/>
      <c r="BS4" s="82"/>
      <c r="BT4" s="82"/>
      <c r="BU4" s="82"/>
      <c r="BV4" s="82"/>
      <c r="BW4" s="82"/>
      <c r="BX4" s="82"/>
      <c r="BY4" s="82"/>
      <c r="BZ4" s="82"/>
      <c r="CA4" s="82"/>
      <c r="CB4" s="82"/>
      <c r="CC4" s="82"/>
      <c r="CD4" s="82"/>
      <c r="CE4" s="82"/>
      <c r="CF4" s="82"/>
      <c r="CG4" s="82"/>
      <c r="CH4" s="82"/>
      <c r="CI4" s="82"/>
      <c r="CJ4" s="82"/>
      <c r="CK4" s="82"/>
      <c r="CL4" s="82"/>
      <c r="CM4" s="82"/>
      <c r="CN4" s="82"/>
      <c r="CO4" s="82"/>
      <c r="CP4" s="82"/>
      <c r="CQ4" s="82"/>
      <c r="CR4" s="82"/>
      <c r="CS4" s="82"/>
      <c r="CT4" s="82"/>
      <c r="CU4" s="82"/>
      <c r="CV4" s="82"/>
      <c r="CW4" s="82"/>
      <c r="CX4" s="82"/>
      <c r="CY4" s="23"/>
      <c r="CZ4" s="82" t="s">
        <v>792</v>
      </c>
      <c r="DA4" s="82"/>
      <c r="DB4" s="82"/>
      <c r="DC4" s="82"/>
      <c r="DD4" s="82"/>
      <c r="DE4" s="82"/>
      <c r="DF4" s="82"/>
      <c r="DG4" s="82"/>
      <c r="DH4" s="82"/>
      <c r="DI4" s="82"/>
      <c r="DJ4" s="82"/>
      <c r="DK4" s="82"/>
      <c r="DL4" s="82"/>
      <c r="DM4" s="82"/>
      <c r="DN4" s="82"/>
      <c r="DO4" s="82"/>
      <c r="DP4" s="82"/>
      <c r="DQ4" s="82"/>
      <c r="DR4" s="82"/>
      <c r="DS4" s="82"/>
      <c r="DT4" s="82"/>
      <c r="DU4" s="82"/>
      <c r="DV4" s="82"/>
      <c r="DW4" s="82"/>
      <c r="DX4" s="82"/>
      <c r="DY4" s="82"/>
      <c r="DZ4" s="82"/>
      <c r="EA4" s="82"/>
      <c r="EB4" s="82"/>
      <c r="EC4" s="82"/>
      <c r="ED4" s="82"/>
      <c r="EE4" s="82"/>
      <c r="EF4" s="82"/>
      <c r="EG4" s="82"/>
      <c r="EH4" s="82"/>
      <c r="EI4" s="82"/>
      <c r="EJ4" s="82"/>
      <c r="EK4" s="82"/>
      <c r="EL4" s="82"/>
      <c r="EM4" s="82"/>
      <c r="EN4" s="82"/>
      <c r="EO4" s="82"/>
      <c r="EP4" s="82"/>
      <c r="EQ4" s="82"/>
      <c r="ER4" s="82"/>
      <c r="ES4" s="82"/>
      <c r="ET4" s="82"/>
      <c r="EU4" s="82"/>
      <c r="EV4" s="82"/>
      <c r="EW4" s="82"/>
      <c r="EX4" s="82"/>
      <c r="EY4" s="82"/>
      <c r="EZ4" s="82"/>
      <c r="FA4" s="82"/>
      <c r="FB4" s="82"/>
      <c r="FC4" s="82"/>
      <c r="FD4" s="82"/>
      <c r="FE4" s="82"/>
      <c r="FF4" s="82"/>
      <c r="FG4" s="82"/>
      <c r="FH4" s="82"/>
      <c r="FI4" s="82"/>
    </row>
    <row r="5" spans="1:165" ht="16.149999999999999" customHeight="1" thickBot="1" x14ac:dyDescent="0.3">
      <c r="B5" s="3" t="s">
        <v>2</v>
      </c>
      <c r="C5" s="53">
        <v>-81</v>
      </c>
      <c r="D5" s="81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2"/>
      <c r="BI5" s="82"/>
      <c r="BJ5" s="82"/>
      <c r="BK5" s="82"/>
      <c r="BL5" s="82"/>
      <c r="BM5" s="82"/>
      <c r="BN5" s="82"/>
      <c r="BO5" s="82"/>
      <c r="BP5" s="82"/>
      <c r="BQ5" s="82"/>
      <c r="BR5" s="82"/>
      <c r="BS5" s="82"/>
      <c r="BT5" s="82"/>
      <c r="BU5" s="82"/>
      <c r="BV5" s="82"/>
      <c r="BW5" s="82"/>
      <c r="BX5" s="82"/>
      <c r="BY5" s="82"/>
      <c r="BZ5" s="82"/>
      <c r="CA5" s="82"/>
      <c r="CB5" s="82"/>
      <c r="CC5" s="82"/>
      <c r="CD5" s="82"/>
      <c r="CE5" s="82"/>
      <c r="CF5" s="82"/>
      <c r="CG5" s="82"/>
      <c r="CH5" s="82"/>
      <c r="CI5" s="82"/>
      <c r="CJ5" s="82"/>
      <c r="CK5" s="82"/>
      <c r="CL5" s="82"/>
      <c r="CM5" s="82"/>
      <c r="CN5" s="82"/>
      <c r="CO5" s="82"/>
      <c r="CP5" s="82"/>
      <c r="CQ5" s="82"/>
      <c r="CR5" s="82"/>
      <c r="CS5" s="82"/>
      <c r="CT5" s="82"/>
      <c r="CU5" s="82"/>
      <c r="CV5" s="82"/>
      <c r="CW5" s="82"/>
      <c r="CX5" s="82"/>
      <c r="CY5" s="23"/>
      <c r="CZ5" s="82"/>
      <c r="DA5" s="82"/>
      <c r="DB5" s="82"/>
      <c r="DC5" s="82"/>
      <c r="DD5" s="82"/>
      <c r="DE5" s="82"/>
      <c r="DF5" s="82"/>
      <c r="DG5" s="82"/>
      <c r="DH5" s="82"/>
      <c r="DI5" s="82"/>
      <c r="DJ5" s="82"/>
      <c r="DK5" s="82"/>
      <c r="DL5" s="82"/>
      <c r="DM5" s="82"/>
      <c r="DN5" s="82"/>
      <c r="DO5" s="82"/>
      <c r="DP5" s="82"/>
      <c r="DQ5" s="82"/>
      <c r="DR5" s="82"/>
      <c r="DS5" s="82"/>
      <c r="DT5" s="82"/>
      <c r="DU5" s="82"/>
      <c r="DV5" s="82"/>
      <c r="DW5" s="82"/>
      <c r="DX5" s="82"/>
      <c r="DY5" s="82"/>
      <c r="DZ5" s="82"/>
      <c r="EA5" s="82"/>
      <c r="EB5" s="82"/>
      <c r="EC5" s="82"/>
      <c r="ED5" s="82"/>
      <c r="EE5" s="82"/>
      <c r="EF5" s="82"/>
      <c r="EG5" s="82"/>
      <c r="EH5" s="82"/>
      <c r="EI5" s="82"/>
      <c r="EJ5" s="82"/>
      <c r="EK5" s="82"/>
      <c r="EL5" s="82"/>
      <c r="EM5" s="82"/>
      <c r="EN5" s="82"/>
      <c r="EO5" s="82"/>
      <c r="EP5" s="82"/>
      <c r="EQ5" s="82"/>
      <c r="ER5" s="82"/>
      <c r="ES5" s="82"/>
      <c r="ET5" s="82"/>
      <c r="EU5" s="82"/>
      <c r="EV5" s="82"/>
      <c r="EW5" s="82"/>
      <c r="EX5" s="82"/>
      <c r="EY5" s="82"/>
      <c r="EZ5" s="82"/>
      <c r="FA5" s="82"/>
      <c r="FB5" s="82"/>
      <c r="FC5" s="82"/>
      <c r="FD5" s="82"/>
      <c r="FE5" s="82"/>
      <c r="FF5" s="82"/>
      <c r="FG5" s="82"/>
      <c r="FH5" s="82"/>
      <c r="FI5" s="82"/>
    </row>
    <row r="6" spans="1:165" ht="15.75" thickTop="1" x14ac:dyDescent="0.25"/>
    <row r="7" spans="1:165" ht="15.75" thickBot="1" x14ac:dyDescent="0.3"/>
    <row r="8" spans="1:165" ht="15.75" thickTop="1" x14ac:dyDescent="0.25">
      <c r="B8" s="73" t="s">
        <v>61</v>
      </c>
      <c r="C8" s="74"/>
      <c r="D8" s="1"/>
      <c r="E8" s="1"/>
      <c r="F8" s="4" t="s">
        <v>82</v>
      </c>
      <c r="G8" s="4" t="s">
        <v>82</v>
      </c>
      <c r="H8" s="4" t="s">
        <v>82</v>
      </c>
      <c r="I8" s="4" t="s">
        <v>82</v>
      </c>
      <c r="J8" s="4" t="s">
        <v>170</v>
      </c>
      <c r="K8" s="4" t="s">
        <v>224</v>
      </c>
      <c r="L8" s="4" t="s">
        <v>82</v>
      </c>
      <c r="M8" s="4" t="s">
        <v>82</v>
      </c>
      <c r="N8" s="4" t="s">
        <v>82</v>
      </c>
      <c r="O8" s="4" t="s">
        <v>287</v>
      </c>
      <c r="P8" s="4" t="s">
        <v>286</v>
      </c>
      <c r="Q8" s="4" t="s">
        <v>289</v>
      </c>
      <c r="R8" s="4" t="s">
        <v>296</v>
      </c>
      <c r="S8" s="4" t="s">
        <v>82</v>
      </c>
      <c r="T8" s="4" t="s">
        <v>82</v>
      </c>
      <c r="U8" s="4" t="s">
        <v>82</v>
      </c>
      <c r="V8" s="4" t="s">
        <v>82</v>
      </c>
      <c r="W8" s="4" t="s">
        <v>82</v>
      </c>
      <c r="X8" s="4" t="s">
        <v>82</v>
      </c>
      <c r="Y8" s="4" t="s">
        <v>82</v>
      </c>
      <c r="Z8" s="4" t="s">
        <v>82</v>
      </c>
      <c r="AA8" s="4" t="s">
        <v>316</v>
      </c>
      <c r="AB8" s="4" t="s">
        <v>82</v>
      </c>
      <c r="AC8" s="4" t="s">
        <v>82</v>
      </c>
      <c r="AD8" s="4" t="s">
        <v>82</v>
      </c>
      <c r="AE8" s="4" t="s">
        <v>334</v>
      </c>
      <c r="AF8" s="4" t="s">
        <v>334</v>
      </c>
      <c r="AG8" s="1"/>
      <c r="AH8" s="25">
        <v>44927</v>
      </c>
      <c r="AI8" s="29" t="s">
        <v>82</v>
      </c>
      <c r="AJ8" s="29" t="s">
        <v>82</v>
      </c>
      <c r="AK8" s="29" t="s">
        <v>82</v>
      </c>
      <c r="AL8" s="29" t="s">
        <v>334</v>
      </c>
      <c r="AM8" s="29" t="s">
        <v>82</v>
      </c>
      <c r="AN8" s="29" t="s">
        <v>82</v>
      </c>
      <c r="AO8" s="29" t="s">
        <v>387</v>
      </c>
      <c r="AP8" s="29" t="s">
        <v>387</v>
      </c>
      <c r="AQ8" s="29" t="s">
        <v>387</v>
      </c>
      <c r="AR8" s="29" t="s">
        <v>82</v>
      </c>
      <c r="AS8" s="29" t="s">
        <v>334</v>
      </c>
      <c r="AT8" s="29" t="s">
        <v>82</v>
      </c>
      <c r="AU8" s="29" t="s">
        <v>82</v>
      </c>
      <c r="AV8" s="29" t="s">
        <v>82</v>
      </c>
      <c r="AW8" s="29" t="s">
        <v>82</v>
      </c>
      <c r="AX8" s="29" t="s">
        <v>82</v>
      </c>
      <c r="AY8" s="29" t="s">
        <v>334</v>
      </c>
      <c r="AZ8" s="29" t="s">
        <v>82</v>
      </c>
      <c r="BA8" s="29" t="s">
        <v>82</v>
      </c>
      <c r="BB8" s="29" t="s">
        <v>82</v>
      </c>
      <c r="BC8" s="29" t="s">
        <v>82</v>
      </c>
      <c r="BD8" s="29" t="s">
        <v>82</v>
      </c>
      <c r="BE8" s="29" t="s">
        <v>339</v>
      </c>
      <c r="BF8" s="1" t="s">
        <v>9</v>
      </c>
      <c r="BG8" s="29">
        <v>45292</v>
      </c>
      <c r="BH8" s="29" t="s">
        <v>82</v>
      </c>
      <c r="BI8" s="29" t="s">
        <v>82</v>
      </c>
      <c r="BJ8" s="29" t="s">
        <v>82</v>
      </c>
      <c r="BK8" s="29" t="s">
        <v>82</v>
      </c>
      <c r="BL8" s="29" t="s">
        <v>82</v>
      </c>
      <c r="BM8" s="29" t="s">
        <v>82</v>
      </c>
      <c r="BN8" s="29" t="s">
        <v>82</v>
      </c>
      <c r="BO8" s="29" t="s">
        <v>82</v>
      </c>
      <c r="BP8" s="29" t="s">
        <v>82</v>
      </c>
      <c r="BQ8" s="29" t="s">
        <v>82</v>
      </c>
      <c r="BR8" s="29" t="s">
        <v>334</v>
      </c>
      <c r="BS8" s="29" t="s">
        <v>82</v>
      </c>
      <c r="BT8" s="29" t="s">
        <v>334</v>
      </c>
      <c r="BU8" s="29" t="s">
        <v>387</v>
      </c>
      <c r="BV8" s="29" t="s">
        <v>387</v>
      </c>
      <c r="BW8" s="29" t="s">
        <v>387</v>
      </c>
      <c r="BX8" s="29" t="s">
        <v>334</v>
      </c>
      <c r="BY8" s="29" t="s">
        <v>82</v>
      </c>
      <c r="BZ8" s="29" t="s">
        <v>82</v>
      </c>
      <c r="CA8" s="29" t="s">
        <v>82</v>
      </c>
      <c r="CB8" s="29" t="s">
        <v>82</v>
      </c>
      <c r="CC8" s="29" t="s">
        <v>82</v>
      </c>
      <c r="CD8" s="29" t="s">
        <v>82</v>
      </c>
      <c r="CE8" s="29" t="s">
        <v>82</v>
      </c>
      <c r="CF8" s="29" t="s">
        <v>334</v>
      </c>
      <c r="CG8" s="29" t="s">
        <v>339</v>
      </c>
      <c r="CH8" s="29" t="s">
        <v>9</v>
      </c>
      <c r="CI8" s="29">
        <v>45658</v>
      </c>
      <c r="CJ8" s="29"/>
      <c r="CK8" s="29"/>
      <c r="CL8" s="59"/>
      <c r="CM8" s="60"/>
      <c r="CN8" s="60"/>
      <c r="CO8" s="61"/>
      <c r="CP8" s="29" t="s">
        <v>9</v>
      </c>
      <c r="CQ8" s="29">
        <v>46023</v>
      </c>
      <c r="CR8" s="29"/>
      <c r="CS8" s="29"/>
      <c r="CT8" s="59"/>
      <c r="CU8" s="60"/>
      <c r="CV8" s="60"/>
      <c r="CW8" s="61"/>
      <c r="CX8" s="29" t="s">
        <v>612</v>
      </c>
      <c r="CY8" s="42"/>
      <c r="CZ8" s="25">
        <v>44927</v>
      </c>
      <c r="DA8" s="1" t="s">
        <v>59</v>
      </c>
      <c r="DB8" s="1" t="s">
        <v>59</v>
      </c>
      <c r="DC8" s="4" t="s">
        <v>58</v>
      </c>
      <c r="DD8" s="4" t="s">
        <v>120</v>
      </c>
      <c r="DE8" s="4" t="s">
        <v>291</v>
      </c>
      <c r="DF8" s="4" t="s">
        <v>325</v>
      </c>
      <c r="DG8" s="4" t="s">
        <v>331</v>
      </c>
      <c r="DH8" s="4" t="s">
        <v>79</v>
      </c>
      <c r="DI8" s="1" t="s">
        <v>9</v>
      </c>
      <c r="DJ8" s="1" t="s">
        <v>58</v>
      </c>
      <c r="DK8" s="1" t="s">
        <v>349</v>
      </c>
      <c r="DL8" s="32" t="s">
        <v>381</v>
      </c>
      <c r="DM8" s="32" t="s">
        <v>385</v>
      </c>
      <c r="DN8" s="4" t="s">
        <v>331</v>
      </c>
      <c r="DO8" s="4" t="s">
        <v>120</v>
      </c>
      <c r="DP8" s="4" t="s">
        <v>443</v>
      </c>
      <c r="DQ8" s="4" t="s">
        <v>335</v>
      </c>
      <c r="DR8" s="4" t="s">
        <v>77</v>
      </c>
      <c r="DS8" s="1" t="s">
        <v>9</v>
      </c>
      <c r="DT8" s="29">
        <v>45292</v>
      </c>
      <c r="DU8" s="4" t="s">
        <v>59</v>
      </c>
      <c r="DV8" s="4" t="s">
        <v>302</v>
      </c>
      <c r="DW8" s="4" t="s">
        <v>77</v>
      </c>
      <c r="DX8" s="4" t="s">
        <v>77</v>
      </c>
      <c r="DY8" s="4" t="s">
        <v>464</v>
      </c>
      <c r="DZ8" s="4" t="s">
        <v>302</v>
      </c>
      <c r="EA8" s="4" t="s">
        <v>77</v>
      </c>
      <c r="EB8" s="4" t="s">
        <v>77</v>
      </c>
      <c r="EC8" s="4" t="s">
        <v>120</v>
      </c>
      <c r="ED8" s="4" t="s">
        <v>505</v>
      </c>
      <c r="EE8" s="4" t="s">
        <v>77</v>
      </c>
      <c r="EF8" s="4" t="s">
        <v>512</v>
      </c>
      <c r="EG8" s="4" t="s">
        <v>505</v>
      </c>
      <c r="EH8" s="4" t="s">
        <v>335</v>
      </c>
      <c r="EI8" s="4" t="s">
        <v>9</v>
      </c>
      <c r="EJ8" s="25">
        <v>45658</v>
      </c>
      <c r="EK8" s="4" t="s">
        <v>464</v>
      </c>
      <c r="EL8" s="4" t="s">
        <v>77</v>
      </c>
      <c r="EM8" s="4" t="s">
        <v>505</v>
      </c>
      <c r="EN8" s="4" t="s">
        <v>302</v>
      </c>
      <c r="EO8" s="4" t="s">
        <v>120</v>
      </c>
      <c r="EP8" s="4" t="s">
        <v>505</v>
      </c>
      <c r="EQ8" s="4" t="s">
        <v>512</v>
      </c>
      <c r="ER8" s="4" t="s">
        <v>505</v>
      </c>
      <c r="ES8" s="4" t="s">
        <v>302</v>
      </c>
      <c r="ET8" s="4" t="s">
        <v>302</v>
      </c>
      <c r="EU8" s="4" t="s">
        <v>331</v>
      </c>
      <c r="EV8" s="4" t="s">
        <v>335</v>
      </c>
      <c r="EW8" s="4" t="s">
        <v>443</v>
      </c>
      <c r="EX8" s="4" t="s">
        <v>612</v>
      </c>
      <c r="EY8" s="29">
        <v>46023</v>
      </c>
      <c r="EZ8" s="4" t="s">
        <v>378</v>
      </c>
      <c r="FA8" s="4" t="s">
        <v>58</v>
      </c>
      <c r="FB8" s="4" t="s">
        <v>120</v>
      </c>
      <c r="FC8" s="4" t="s">
        <v>505</v>
      </c>
      <c r="FD8" s="4" t="s">
        <v>505</v>
      </c>
      <c r="FE8" s="4" t="s">
        <v>331</v>
      </c>
      <c r="FF8" s="4" t="s">
        <v>302</v>
      </c>
      <c r="FG8" s="4" t="s">
        <v>505</v>
      </c>
      <c r="FH8" s="4" t="s">
        <v>77</v>
      </c>
      <c r="FI8" s="1" t="s">
        <v>9</v>
      </c>
    </row>
    <row r="9" spans="1:165" x14ac:dyDescent="0.25">
      <c r="B9" s="75"/>
      <c r="C9" s="76"/>
      <c r="D9" s="2"/>
      <c r="E9" s="2"/>
      <c r="F9" s="14" t="s">
        <v>83</v>
      </c>
      <c r="G9" s="14" t="s">
        <v>156</v>
      </c>
      <c r="H9" s="14" t="s">
        <v>132</v>
      </c>
      <c r="I9" s="14" t="s">
        <v>85</v>
      </c>
      <c r="J9" s="14" t="s">
        <v>171</v>
      </c>
      <c r="K9" s="14" t="s">
        <v>225</v>
      </c>
      <c r="L9" s="14" t="s">
        <v>259</v>
      </c>
      <c r="M9" s="14" t="s">
        <v>266</v>
      </c>
      <c r="N9" s="14" t="s">
        <v>261</v>
      </c>
      <c r="O9" s="14" t="s">
        <v>278</v>
      </c>
      <c r="P9" s="14" t="s">
        <v>284</v>
      </c>
      <c r="Q9" s="14" t="s">
        <v>290</v>
      </c>
      <c r="R9" s="14" t="s">
        <v>171</v>
      </c>
      <c r="S9" s="14" t="s">
        <v>132</v>
      </c>
      <c r="T9" s="14" t="s">
        <v>305</v>
      </c>
      <c r="U9" s="14" t="s">
        <v>308</v>
      </c>
      <c r="V9" s="14" t="s">
        <v>266</v>
      </c>
      <c r="W9" s="14" t="s">
        <v>156</v>
      </c>
      <c r="X9" s="14" t="s">
        <v>304</v>
      </c>
      <c r="Y9" s="14" t="s">
        <v>261</v>
      </c>
      <c r="Z9" s="14" t="s">
        <v>314</v>
      </c>
      <c r="AA9" s="14" t="s">
        <v>317</v>
      </c>
      <c r="AB9" s="14" t="s">
        <v>259</v>
      </c>
      <c r="AC9" s="14" t="s">
        <v>314</v>
      </c>
      <c r="AD9" s="14" t="s">
        <v>167</v>
      </c>
      <c r="AE9" s="14" t="s">
        <v>335</v>
      </c>
      <c r="AF9" s="14" t="s">
        <v>339</v>
      </c>
      <c r="AG9" s="2" t="s">
        <v>9</v>
      </c>
      <c r="AH9" s="2"/>
      <c r="AI9" s="5" t="s">
        <v>132</v>
      </c>
      <c r="AJ9" s="5" t="s">
        <v>304</v>
      </c>
      <c r="AK9" s="5" t="s">
        <v>85</v>
      </c>
      <c r="AL9" s="5" t="s">
        <v>287</v>
      </c>
      <c r="AM9" s="5" t="s">
        <v>266</v>
      </c>
      <c r="AN9" s="5" t="s">
        <v>314</v>
      </c>
      <c r="AO9" s="5" t="s">
        <v>286</v>
      </c>
      <c r="AP9" s="5" t="s">
        <v>289</v>
      </c>
      <c r="AQ9" s="5" t="s">
        <v>287</v>
      </c>
      <c r="AR9" s="5" t="s">
        <v>261</v>
      </c>
      <c r="AS9" s="5" t="s">
        <v>286</v>
      </c>
      <c r="AT9" s="5" t="s">
        <v>132</v>
      </c>
      <c r="AU9" s="5" t="s">
        <v>314</v>
      </c>
      <c r="AV9" s="5" t="s">
        <v>266</v>
      </c>
      <c r="AW9" s="5" t="s">
        <v>429</v>
      </c>
      <c r="AX9" s="5" t="s">
        <v>304</v>
      </c>
      <c r="AY9" s="5" t="s">
        <v>289</v>
      </c>
      <c r="AZ9" s="5" t="s">
        <v>261</v>
      </c>
      <c r="BA9" s="5" t="s">
        <v>434</v>
      </c>
      <c r="BB9" s="5" t="s">
        <v>167</v>
      </c>
      <c r="BC9" s="5" t="s">
        <v>83</v>
      </c>
      <c r="BD9" s="5" t="s">
        <v>308</v>
      </c>
      <c r="BE9" s="5"/>
      <c r="BF9" s="2"/>
      <c r="BG9" s="5"/>
      <c r="BH9" s="5" t="s">
        <v>266</v>
      </c>
      <c r="BI9" s="5" t="s">
        <v>486</v>
      </c>
      <c r="BJ9" s="5" t="s">
        <v>83</v>
      </c>
      <c r="BK9" s="5" t="s">
        <v>304</v>
      </c>
      <c r="BL9" s="5" t="s">
        <v>492</v>
      </c>
      <c r="BM9" s="5" t="s">
        <v>420</v>
      </c>
      <c r="BN9" s="5" t="s">
        <v>261</v>
      </c>
      <c r="BO9" s="5" t="s">
        <v>308</v>
      </c>
      <c r="BP9" s="5" t="s">
        <v>85</v>
      </c>
      <c r="BQ9" s="5" t="s">
        <v>132</v>
      </c>
      <c r="BR9" s="5" t="s">
        <v>286</v>
      </c>
      <c r="BS9" s="5" t="s">
        <v>434</v>
      </c>
      <c r="BT9" s="5" t="s">
        <v>524</v>
      </c>
      <c r="BU9" s="5" t="s">
        <v>286</v>
      </c>
      <c r="BV9" s="5" t="s">
        <v>287</v>
      </c>
      <c r="BW9" s="5" t="s">
        <v>289</v>
      </c>
      <c r="BX9" s="5" t="s">
        <v>287</v>
      </c>
      <c r="BY9" s="5" t="s">
        <v>492</v>
      </c>
      <c r="BZ9" s="5" t="s">
        <v>85</v>
      </c>
      <c r="CA9" s="5" t="s">
        <v>420</v>
      </c>
      <c r="CB9" s="5" t="s">
        <v>486</v>
      </c>
      <c r="CC9" s="5" t="s">
        <v>308</v>
      </c>
      <c r="CD9" s="5" t="s">
        <v>261</v>
      </c>
      <c r="CE9" s="5" t="s">
        <v>578</v>
      </c>
      <c r="CF9" s="5" t="s">
        <v>289</v>
      </c>
      <c r="CG9" s="5" t="s">
        <v>606</v>
      </c>
      <c r="CH9" s="5"/>
      <c r="CI9" s="5"/>
      <c r="CJ9" s="14" t="s">
        <v>82</v>
      </c>
      <c r="CK9" s="14" t="s">
        <v>387</v>
      </c>
      <c r="CL9" s="77" t="s">
        <v>608</v>
      </c>
      <c r="CM9" s="78"/>
      <c r="CN9" s="78"/>
      <c r="CO9" s="79"/>
      <c r="CP9" s="5"/>
      <c r="CQ9" s="5"/>
      <c r="CR9" s="14" t="s">
        <v>82</v>
      </c>
      <c r="CS9" s="14" t="s">
        <v>387</v>
      </c>
      <c r="CT9" s="77" t="s">
        <v>608</v>
      </c>
      <c r="CU9" s="78"/>
      <c r="CV9" s="78"/>
      <c r="CW9" s="79"/>
      <c r="CX9" s="14"/>
      <c r="CY9" s="12"/>
      <c r="CZ9" s="2"/>
      <c r="DA9" s="2" t="s">
        <v>60</v>
      </c>
      <c r="DB9" s="2" t="s">
        <v>60</v>
      </c>
      <c r="DC9" s="5"/>
      <c r="DD9" s="5" t="s">
        <v>121</v>
      </c>
      <c r="DE9" s="5" t="s">
        <v>292</v>
      </c>
      <c r="DF9" s="5" t="s">
        <v>326</v>
      </c>
      <c r="DG9" s="5" t="s">
        <v>332</v>
      </c>
      <c r="DH9" s="5" t="s">
        <v>332</v>
      </c>
      <c r="DI9" s="2"/>
      <c r="DJ9" s="2"/>
      <c r="DK9" s="2"/>
      <c r="DL9" s="33"/>
      <c r="DM9" s="33"/>
      <c r="DN9" s="5" t="s">
        <v>326</v>
      </c>
      <c r="DO9" s="5" t="s">
        <v>430</v>
      </c>
      <c r="DP9" s="5" t="s">
        <v>444</v>
      </c>
      <c r="DQ9" s="5" t="s">
        <v>444</v>
      </c>
      <c r="DR9" s="5" t="s">
        <v>452</v>
      </c>
      <c r="DS9" s="2"/>
      <c r="DT9" s="12"/>
      <c r="DU9" s="5" t="s">
        <v>60</v>
      </c>
      <c r="DV9" s="5" t="s">
        <v>456</v>
      </c>
      <c r="DW9" s="5" t="s">
        <v>458</v>
      </c>
      <c r="DX9" s="5" t="s">
        <v>333</v>
      </c>
      <c r="DY9" s="5"/>
      <c r="DZ9" s="5" t="s">
        <v>311</v>
      </c>
      <c r="EA9" s="5" t="s">
        <v>475</v>
      </c>
      <c r="EB9" s="5" t="s">
        <v>81</v>
      </c>
      <c r="EC9" s="5" t="s">
        <v>501</v>
      </c>
      <c r="ED9" s="5" t="s">
        <v>444</v>
      </c>
      <c r="EE9" s="5" t="s">
        <v>510</v>
      </c>
      <c r="EF9" s="5" t="s">
        <v>329</v>
      </c>
      <c r="EG9" s="5" t="s">
        <v>292</v>
      </c>
      <c r="EH9" s="5" t="s">
        <v>171</v>
      </c>
      <c r="EI9" s="5"/>
      <c r="EJ9" s="2"/>
      <c r="EK9" s="5"/>
      <c r="EL9" s="5" t="s">
        <v>458</v>
      </c>
      <c r="EM9" s="5" t="s">
        <v>614</v>
      </c>
      <c r="EN9" s="5" t="s">
        <v>311</v>
      </c>
      <c r="EO9" s="5" t="s">
        <v>444</v>
      </c>
      <c r="EP9" s="5" t="s">
        <v>665</v>
      </c>
      <c r="EQ9" s="5" t="s">
        <v>295</v>
      </c>
      <c r="ER9" s="5" t="s">
        <v>584</v>
      </c>
      <c r="ES9" s="5" t="s">
        <v>544</v>
      </c>
      <c r="ET9" s="5" t="s">
        <v>758</v>
      </c>
      <c r="EU9" s="5" t="s">
        <v>326</v>
      </c>
      <c r="EV9" s="5" t="s">
        <v>171</v>
      </c>
      <c r="EW9" s="5" t="s">
        <v>544</v>
      </c>
      <c r="EX9" s="5"/>
      <c r="EY9" s="5"/>
      <c r="EZ9" s="5"/>
      <c r="FA9" s="5"/>
      <c r="FB9" s="5" t="s">
        <v>225</v>
      </c>
      <c r="FC9" s="5" t="s">
        <v>332</v>
      </c>
      <c r="FD9" s="5" t="s">
        <v>444</v>
      </c>
      <c r="FE9" s="5" t="s">
        <v>444</v>
      </c>
      <c r="FF9" s="5" t="s">
        <v>544</v>
      </c>
      <c r="FG9" s="5" t="s">
        <v>544</v>
      </c>
      <c r="FH9" s="5" t="s">
        <v>900</v>
      </c>
      <c r="FI9" s="2"/>
    </row>
    <row r="10" spans="1:165" x14ac:dyDescent="0.25">
      <c r="B10" s="75"/>
      <c r="C10" s="76"/>
      <c r="D10" s="2" t="s">
        <v>4</v>
      </c>
      <c r="E10" s="2" t="s">
        <v>5</v>
      </c>
      <c r="F10" s="15">
        <v>44653</v>
      </c>
      <c r="G10" s="15">
        <v>44654</v>
      </c>
      <c r="H10" s="15">
        <v>44660</v>
      </c>
      <c r="I10" s="15">
        <v>44660</v>
      </c>
      <c r="J10" s="5" t="s">
        <v>172</v>
      </c>
      <c r="K10" s="15">
        <v>44695</v>
      </c>
      <c r="L10" s="15">
        <v>44709</v>
      </c>
      <c r="M10" s="15">
        <v>44709</v>
      </c>
      <c r="N10" s="15">
        <v>44709</v>
      </c>
      <c r="O10" s="15">
        <v>44730</v>
      </c>
      <c r="P10" s="15">
        <v>44730</v>
      </c>
      <c r="Q10" s="15">
        <v>44737</v>
      </c>
      <c r="R10" s="15">
        <v>44758</v>
      </c>
      <c r="S10" s="15">
        <v>44779</v>
      </c>
      <c r="T10" s="15">
        <v>44793</v>
      </c>
      <c r="U10" s="15">
        <v>44800</v>
      </c>
      <c r="V10" s="15">
        <v>44800</v>
      </c>
      <c r="W10" s="15">
        <v>44807</v>
      </c>
      <c r="X10" s="15">
        <v>44814</v>
      </c>
      <c r="Y10" s="15">
        <v>44814</v>
      </c>
      <c r="Z10" s="15">
        <v>44814</v>
      </c>
      <c r="AA10" s="15">
        <v>44828</v>
      </c>
      <c r="AB10" s="15">
        <v>44849</v>
      </c>
      <c r="AC10" s="15">
        <v>44856</v>
      </c>
      <c r="AD10" s="15">
        <v>44863</v>
      </c>
      <c r="AE10" s="15">
        <v>44891</v>
      </c>
      <c r="AF10" s="15">
        <v>44905</v>
      </c>
      <c r="AG10" s="2">
        <v>2022</v>
      </c>
      <c r="AH10" s="2"/>
      <c r="AI10" s="5" t="s">
        <v>353</v>
      </c>
      <c r="AJ10" s="5" t="s">
        <v>357</v>
      </c>
      <c r="AK10" s="5" t="s">
        <v>359</v>
      </c>
      <c r="AL10" s="5" t="s">
        <v>172</v>
      </c>
      <c r="AM10" s="5" t="s">
        <v>382</v>
      </c>
      <c r="AN10" s="5" t="s">
        <v>379</v>
      </c>
      <c r="AO10" s="5" t="s">
        <v>388</v>
      </c>
      <c r="AP10" s="5" t="s">
        <v>396</v>
      </c>
      <c r="AQ10" s="5" t="s">
        <v>400</v>
      </c>
      <c r="AR10" s="5" t="s">
        <v>408</v>
      </c>
      <c r="AS10" s="5" t="s">
        <v>412</v>
      </c>
      <c r="AT10" s="5" t="s">
        <v>422</v>
      </c>
      <c r="AU10" s="5" t="s">
        <v>424</v>
      </c>
      <c r="AV10" s="5" t="s">
        <v>424</v>
      </c>
      <c r="AW10" s="5" t="s">
        <v>428</v>
      </c>
      <c r="AX10" s="5" t="s">
        <v>428</v>
      </c>
      <c r="AY10" s="5" t="s">
        <v>432</v>
      </c>
      <c r="AZ10" s="5" t="s">
        <v>433</v>
      </c>
      <c r="BA10" s="5" t="s">
        <v>435</v>
      </c>
      <c r="BB10" s="5" t="s">
        <v>439</v>
      </c>
      <c r="BC10" s="5" t="s">
        <v>439</v>
      </c>
      <c r="BD10" s="5" t="s">
        <v>439</v>
      </c>
      <c r="BE10" s="5" t="s">
        <v>453</v>
      </c>
      <c r="BF10" s="2">
        <v>2023</v>
      </c>
      <c r="BG10" s="35"/>
      <c r="BH10" s="35" t="s">
        <v>479</v>
      </c>
      <c r="BI10" s="35" t="s">
        <v>479</v>
      </c>
      <c r="BJ10" s="35" t="s">
        <v>479</v>
      </c>
      <c r="BK10" s="35" t="s">
        <v>479</v>
      </c>
      <c r="BL10" s="35" t="s">
        <v>479</v>
      </c>
      <c r="BM10" s="35" t="s">
        <v>479</v>
      </c>
      <c r="BN10" s="35" t="s">
        <v>479</v>
      </c>
      <c r="BO10" s="35" t="s">
        <v>479</v>
      </c>
      <c r="BP10" s="35" t="s">
        <v>499</v>
      </c>
      <c r="BQ10" s="35" t="s">
        <v>503</v>
      </c>
      <c r="BR10" s="35" t="s">
        <v>513</v>
      </c>
      <c r="BS10" s="35" t="s">
        <v>530</v>
      </c>
      <c r="BT10" s="35" t="s">
        <v>525</v>
      </c>
      <c r="BU10" s="35" t="s">
        <v>534</v>
      </c>
      <c r="BV10" s="35" t="s">
        <v>534</v>
      </c>
      <c r="BW10" s="35" t="s">
        <v>546</v>
      </c>
      <c r="BX10" s="35" t="s">
        <v>550</v>
      </c>
      <c r="BY10" s="35" t="s">
        <v>564</v>
      </c>
      <c r="BZ10" s="35" t="s">
        <v>564</v>
      </c>
      <c r="CA10" s="35" t="s">
        <v>559</v>
      </c>
      <c r="CB10" s="35" t="s">
        <v>567</v>
      </c>
      <c r="CC10" s="35" t="s">
        <v>567</v>
      </c>
      <c r="CD10" s="35" t="s">
        <v>573</v>
      </c>
      <c r="CE10" s="35" t="s">
        <v>579</v>
      </c>
      <c r="CF10" s="35" t="s">
        <v>587</v>
      </c>
      <c r="CG10" s="35" t="s">
        <v>607</v>
      </c>
      <c r="CH10" s="35">
        <v>2024</v>
      </c>
      <c r="CI10" s="5"/>
      <c r="CJ10" s="5"/>
      <c r="CK10" s="5"/>
      <c r="CL10" s="5">
        <v>1</v>
      </c>
      <c r="CM10" s="5">
        <v>2</v>
      </c>
      <c r="CN10" s="5">
        <v>3</v>
      </c>
      <c r="CO10" s="5">
        <v>4</v>
      </c>
      <c r="CP10" s="5">
        <v>2025</v>
      </c>
      <c r="CQ10" s="5"/>
      <c r="CR10" s="5"/>
      <c r="CS10" s="5"/>
      <c r="CT10" s="5">
        <v>1</v>
      </c>
      <c r="CU10" s="5">
        <v>2</v>
      </c>
      <c r="CV10" s="5">
        <v>3</v>
      </c>
      <c r="CW10" s="5">
        <v>4</v>
      </c>
      <c r="CX10" s="5">
        <v>2026</v>
      </c>
      <c r="CY10" s="12"/>
      <c r="CZ10" s="2"/>
      <c r="DA10" s="2"/>
      <c r="DB10" s="2"/>
      <c r="DC10" s="14">
        <v>44562</v>
      </c>
      <c r="DD10" s="14">
        <v>44652</v>
      </c>
      <c r="DE10" s="14">
        <v>44737</v>
      </c>
      <c r="DF10" s="14">
        <v>44835</v>
      </c>
      <c r="DG10" s="14">
        <v>44868</v>
      </c>
      <c r="DH10" s="14">
        <v>44866</v>
      </c>
      <c r="DI10" s="2">
        <v>2022</v>
      </c>
      <c r="DJ10" s="7">
        <v>44927</v>
      </c>
      <c r="DK10" s="7">
        <v>44986</v>
      </c>
      <c r="DL10" s="34">
        <v>45078</v>
      </c>
      <c r="DM10" s="34">
        <v>45088</v>
      </c>
      <c r="DN10" s="14">
        <v>45139</v>
      </c>
      <c r="DO10" s="14">
        <v>45184</v>
      </c>
      <c r="DP10" s="14">
        <v>45227</v>
      </c>
      <c r="DQ10" s="14">
        <v>45255</v>
      </c>
      <c r="DR10" s="14">
        <v>45262</v>
      </c>
      <c r="DS10" s="2">
        <v>2023</v>
      </c>
      <c r="DT10" s="12"/>
      <c r="DU10" s="5"/>
      <c r="DV10" s="5" t="s">
        <v>457</v>
      </c>
      <c r="DW10" s="5" t="s">
        <v>460</v>
      </c>
      <c r="DX10" s="5" t="s">
        <v>462</v>
      </c>
      <c r="DY10" s="5" t="s">
        <v>465</v>
      </c>
      <c r="DZ10" s="5" t="s">
        <v>473</v>
      </c>
      <c r="EA10" s="5" t="s">
        <v>476</v>
      </c>
      <c r="EB10" s="5" t="s">
        <v>478</v>
      </c>
      <c r="EC10" s="5" t="s">
        <v>503</v>
      </c>
      <c r="ED10" s="5" t="s">
        <v>507</v>
      </c>
      <c r="EE10" s="5" t="s">
        <v>511</v>
      </c>
      <c r="EF10" s="5" t="s">
        <v>522</v>
      </c>
      <c r="EG10" s="5" t="s">
        <v>572</v>
      </c>
      <c r="EH10" s="5" t="s">
        <v>600</v>
      </c>
      <c r="EI10" s="5">
        <v>2024</v>
      </c>
      <c r="EJ10" s="2"/>
      <c r="EK10" s="5" t="s">
        <v>610</v>
      </c>
      <c r="EL10" s="5" t="s">
        <v>611</v>
      </c>
      <c r="EM10" s="5" t="s">
        <v>615</v>
      </c>
      <c r="EN10" s="5" t="s">
        <v>622</v>
      </c>
      <c r="EO10" s="5" t="s">
        <v>649</v>
      </c>
      <c r="EP10" s="5" t="s">
        <v>666</v>
      </c>
      <c r="EQ10" s="5" t="s">
        <v>714</v>
      </c>
      <c r="ER10" s="5" t="s">
        <v>729</v>
      </c>
      <c r="ES10" s="5" t="s">
        <v>757</v>
      </c>
      <c r="ET10" s="5" t="s">
        <v>760</v>
      </c>
      <c r="EU10" s="5" t="s">
        <v>769</v>
      </c>
      <c r="EV10" s="5" t="s">
        <v>600</v>
      </c>
      <c r="EW10" s="5" t="s">
        <v>789</v>
      </c>
      <c r="EX10" s="5">
        <v>2025</v>
      </c>
      <c r="EY10" s="5"/>
      <c r="EZ10" s="5" t="s">
        <v>622</v>
      </c>
      <c r="FA10" s="5" t="s">
        <v>849</v>
      </c>
      <c r="FB10" s="5" t="s">
        <v>851</v>
      </c>
      <c r="FC10" s="5" t="s">
        <v>545</v>
      </c>
      <c r="FD10" s="5" t="s">
        <v>880</v>
      </c>
      <c r="FE10" s="5" t="s">
        <v>729</v>
      </c>
      <c r="FF10" s="5" t="s">
        <v>888</v>
      </c>
      <c r="FG10" s="5" t="s">
        <v>891</v>
      </c>
      <c r="FH10" s="5" t="s">
        <v>902</v>
      </c>
      <c r="FI10" s="2">
        <v>2026</v>
      </c>
    </row>
    <row r="11" spans="1:165" x14ac:dyDescent="0.25">
      <c r="A11">
        <v>1</v>
      </c>
      <c r="B11" s="8" t="s">
        <v>719</v>
      </c>
      <c r="C11" s="8"/>
      <c r="D11" s="8" t="s">
        <v>720</v>
      </c>
      <c r="E11" s="8" t="s">
        <v>53</v>
      </c>
      <c r="F11" s="8"/>
      <c r="G11" s="8"/>
      <c r="H11" s="8"/>
      <c r="I11" s="8"/>
      <c r="J11" s="8"/>
      <c r="K11" s="8"/>
      <c r="L11" s="8"/>
      <c r="M11" s="10"/>
      <c r="N11" s="8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10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8"/>
      <c r="CI11" s="8"/>
      <c r="CJ11" s="10"/>
      <c r="CK11" s="10">
        <v>80</v>
      </c>
      <c r="CL11" s="10">
        <v>200</v>
      </c>
      <c r="CM11" s="10"/>
      <c r="CN11" s="10"/>
      <c r="CO11" s="10"/>
      <c r="CP11" s="11">
        <f t="shared" ref="CP11:CP20" si="0">SUM(CI11:CO11)</f>
        <v>280</v>
      </c>
      <c r="CQ11" s="11">
        <f t="shared" ref="CQ11:CQ20" si="1">SUM(CP11-CI11)/2</f>
        <v>140</v>
      </c>
      <c r="CR11" s="11">
        <v>60</v>
      </c>
      <c r="CS11" s="11"/>
      <c r="CT11" s="11">
        <v>150</v>
      </c>
      <c r="CU11" s="11"/>
      <c r="CV11" s="11"/>
      <c r="CW11" s="11"/>
      <c r="CX11" s="11">
        <f t="shared" ref="CX11:CX42" si="2">SUM(CQ11:CW11)</f>
        <v>350</v>
      </c>
      <c r="CY11" s="24"/>
      <c r="CZ11" s="8"/>
      <c r="DA11" s="8"/>
      <c r="DB11" s="8"/>
      <c r="DC11" s="8"/>
      <c r="DD11" s="8"/>
      <c r="DE11" s="8"/>
      <c r="DF11" s="8"/>
      <c r="DG11" s="10"/>
      <c r="DH11" s="10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8"/>
      <c r="EJ11" s="8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>
        <v>50</v>
      </c>
      <c r="EW11" s="10"/>
      <c r="EX11" s="8">
        <f>SUM(EJ11:EV11)</f>
        <v>50</v>
      </c>
      <c r="EY11" s="8">
        <f t="shared" ref="EY11:EY42" si="3">(EX11-EJ11)/2</f>
        <v>25</v>
      </c>
      <c r="EZ11" s="10"/>
      <c r="FA11" s="10"/>
      <c r="FB11" s="10"/>
      <c r="FC11" s="10"/>
      <c r="FD11" s="10"/>
      <c r="FE11" s="10"/>
      <c r="FF11" s="10"/>
      <c r="FG11" s="10"/>
      <c r="FH11" s="10"/>
      <c r="FI11" s="8">
        <f>SUM(EY11:FA11)</f>
        <v>25</v>
      </c>
    </row>
    <row r="12" spans="1:165" x14ac:dyDescent="0.25">
      <c r="A12">
        <v>2</v>
      </c>
      <c r="B12" s="28" t="s">
        <v>299</v>
      </c>
      <c r="C12" s="28"/>
      <c r="D12" s="28" t="s">
        <v>228</v>
      </c>
      <c r="E12" s="28" t="s">
        <v>648</v>
      </c>
      <c r="F12" s="8"/>
      <c r="G12" s="8"/>
      <c r="H12" s="8"/>
      <c r="I12" s="8"/>
      <c r="J12" s="8"/>
      <c r="K12" s="8"/>
      <c r="L12" s="8"/>
      <c r="M12" s="10"/>
      <c r="N12" s="8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10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8"/>
      <c r="CI12" s="8"/>
      <c r="CJ12" s="10">
        <v>42</v>
      </c>
      <c r="CK12" s="10">
        <v>56</v>
      </c>
      <c r="CL12" s="10">
        <v>100</v>
      </c>
      <c r="CM12" s="10">
        <v>54</v>
      </c>
      <c r="CN12" s="10">
        <v>72</v>
      </c>
      <c r="CO12" s="10"/>
      <c r="CP12" s="11">
        <f t="shared" si="0"/>
        <v>324</v>
      </c>
      <c r="CQ12" s="11">
        <f t="shared" si="1"/>
        <v>162</v>
      </c>
      <c r="CR12" s="11">
        <v>42</v>
      </c>
      <c r="CS12" s="11">
        <v>40</v>
      </c>
      <c r="CT12" s="11">
        <v>75</v>
      </c>
      <c r="CU12" s="11">
        <v>30</v>
      </c>
      <c r="CV12" s="11"/>
      <c r="CW12" s="11"/>
      <c r="CX12" s="11">
        <f t="shared" si="2"/>
        <v>349</v>
      </c>
      <c r="CY12" s="24"/>
      <c r="CZ12" s="8"/>
      <c r="DA12" s="8"/>
      <c r="DB12" s="8"/>
      <c r="DC12" s="8"/>
      <c r="DD12" s="8"/>
      <c r="DE12" s="8"/>
      <c r="DF12" s="8"/>
      <c r="DG12" s="10"/>
      <c r="DH12" s="10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8"/>
      <c r="EJ12" s="8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>
        <v>25</v>
      </c>
      <c r="EW12" s="10"/>
      <c r="EX12" s="8">
        <f>SUM(EJ12:EV12)</f>
        <v>25</v>
      </c>
      <c r="EY12" s="8">
        <f t="shared" si="3"/>
        <v>12.5</v>
      </c>
      <c r="EZ12" s="10"/>
      <c r="FA12" s="10">
        <f>15+(15*0.25)</f>
        <v>18.75</v>
      </c>
      <c r="FB12" s="10"/>
      <c r="FC12" s="10">
        <v>7.5</v>
      </c>
      <c r="FD12" s="10">
        <v>7.5</v>
      </c>
      <c r="FE12" s="10">
        <v>36</v>
      </c>
      <c r="FF12" s="10"/>
      <c r="FG12" s="10">
        <v>18</v>
      </c>
      <c r="FH12" s="10"/>
      <c r="FI12" s="28">
        <f>SUM(EY12:FG12)</f>
        <v>100.25</v>
      </c>
    </row>
    <row r="13" spans="1:165" x14ac:dyDescent="0.25">
      <c r="A13">
        <v>3</v>
      </c>
      <c r="B13" s="8" t="s">
        <v>154</v>
      </c>
      <c r="C13" s="8"/>
      <c r="D13" s="8" t="s">
        <v>30</v>
      </c>
      <c r="E13" s="8" t="s">
        <v>243</v>
      </c>
      <c r="F13" s="8"/>
      <c r="G13" s="8"/>
      <c r="H13" s="8"/>
      <c r="I13" s="8"/>
      <c r="J13" s="8"/>
      <c r="K13" s="8"/>
      <c r="L13" s="8"/>
      <c r="M13" s="10"/>
      <c r="N13" s="8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>
        <v>5</v>
      </c>
      <c r="AT13" s="8"/>
      <c r="AU13" s="8"/>
      <c r="AV13" s="8"/>
      <c r="AW13" s="10"/>
      <c r="AX13" s="8"/>
      <c r="AY13" s="8"/>
      <c r="AZ13" s="8"/>
      <c r="BA13" s="8"/>
      <c r="BB13" s="8">
        <v>48</v>
      </c>
      <c r="BC13" s="8"/>
      <c r="BD13" s="8"/>
      <c r="BE13" s="8"/>
      <c r="BF13" s="11">
        <f>SUM(AH13:BE13)</f>
        <v>53</v>
      </c>
      <c r="BG13" s="11">
        <f>(BF13-AH13)/2</f>
        <v>26.5</v>
      </c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>
        <v>40</v>
      </c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>
        <f>SUM(BG13:CG13)</f>
        <v>66.5</v>
      </c>
      <c r="CI13" s="11">
        <f>(CH13-BG13)/2</f>
        <v>20</v>
      </c>
      <c r="CJ13" s="11">
        <v>33.6</v>
      </c>
      <c r="CK13" s="11">
        <v>80</v>
      </c>
      <c r="CL13" s="11">
        <v>54</v>
      </c>
      <c r="CM13" s="11">
        <v>4</v>
      </c>
      <c r="CN13" s="11">
        <v>72</v>
      </c>
      <c r="CO13" s="11"/>
      <c r="CP13" s="11">
        <f t="shared" si="0"/>
        <v>263.60000000000002</v>
      </c>
      <c r="CQ13" s="11">
        <f t="shared" si="1"/>
        <v>121.80000000000001</v>
      </c>
      <c r="CR13" s="11">
        <v>48</v>
      </c>
      <c r="CS13" s="11">
        <v>80</v>
      </c>
      <c r="CT13" s="11">
        <v>39</v>
      </c>
      <c r="CU13" s="11">
        <v>48</v>
      </c>
      <c r="CV13" s="11"/>
      <c r="CW13" s="11"/>
      <c r="CX13" s="11">
        <f t="shared" si="2"/>
        <v>336.8</v>
      </c>
      <c r="CY13" s="24"/>
      <c r="CZ13" s="10">
        <f>SUM(DC13:DH13)/2</f>
        <v>0</v>
      </c>
      <c r="DA13" s="10">
        <f>BF13/4</f>
        <v>13.25</v>
      </c>
      <c r="DB13" s="8"/>
      <c r="DC13" s="8"/>
      <c r="DD13" s="8"/>
      <c r="DE13" s="8"/>
      <c r="DF13" s="8"/>
      <c r="DG13" s="10"/>
      <c r="DH13" s="10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10">
        <f>SUM(CZ13:DA13)+SUM(DJ13:DL13)</f>
        <v>13.25</v>
      </c>
      <c r="DT13" s="8">
        <f>(DS13-CZ13)/2</f>
        <v>6.625</v>
      </c>
      <c r="DU13" s="8">
        <f>CH13/4</f>
        <v>16.625</v>
      </c>
      <c r="DV13" s="8"/>
      <c r="DW13" s="8"/>
      <c r="DX13" s="8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8">
        <f>SUM(DT13:EH13)</f>
        <v>23.25</v>
      </c>
      <c r="EJ13" s="8">
        <f>(EI13-DT13)/2</f>
        <v>8.3125</v>
      </c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>
        <v>18</v>
      </c>
      <c r="EW13" s="10"/>
      <c r="EX13" s="8">
        <f>SUM(EJ13:EV13)</f>
        <v>26.3125</v>
      </c>
      <c r="EY13" s="8">
        <f t="shared" si="3"/>
        <v>9</v>
      </c>
      <c r="EZ13" s="10"/>
      <c r="FA13" s="10"/>
      <c r="FB13" s="10"/>
      <c r="FC13" s="10"/>
      <c r="FD13" s="10"/>
      <c r="FE13" s="10"/>
      <c r="FF13" s="10"/>
      <c r="FG13" s="10"/>
      <c r="FH13" s="10"/>
      <c r="FI13" s="8">
        <f>SUM(EY13:FA13)</f>
        <v>9</v>
      </c>
    </row>
    <row r="14" spans="1:165" x14ac:dyDescent="0.25">
      <c r="A14">
        <v>4</v>
      </c>
      <c r="B14" s="8" t="s">
        <v>198</v>
      </c>
      <c r="C14" s="8"/>
      <c r="D14" s="8" t="s">
        <v>671</v>
      </c>
      <c r="E14" s="8" t="s">
        <v>76</v>
      </c>
      <c r="F14" s="8"/>
      <c r="G14" s="8"/>
      <c r="H14" s="8"/>
      <c r="I14" s="8"/>
      <c r="J14" s="8"/>
      <c r="K14" s="8"/>
      <c r="L14" s="8"/>
      <c r="M14" s="10"/>
      <c r="N14" s="8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10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8"/>
      <c r="CI14" s="8"/>
      <c r="CJ14" s="10"/>
      <c r="CK14" s="10"/>
      <c r="CL14" s="10">
        <v>39</v>
      </c>
      <c r="CM14" s="10">
        <v>5</v>
      </c>
      <c r="CN14" s="10">
        <v>54</v>
      </c>
      <c r="CO14" s="10">
        <v>39</v>
      </c>
      <c r="CP14" s="11">
        <f t="shared" si="0"/>
        <v>137</v>
      </c>
      <c r="CQ14" s="11">
        <f t="shared" si="1"/>
        <v>68.5</v>
      </c>
      <c r="CR14" s="11">
        <v>60</v>
      </c>
      <c r="CS14" s="11">
        <v>80</v>
      </c>
      <c r="CT14" s="11">
        <v>105</v>
      </c>
      <c r="CU14" s="11"/>
      <c r="CV14" s="11"/>
      <c r="CW14" s="11"/>
      <c r="CX14" s="11">
        <f t="shared" si="2"/>
        <v>313.5</v>
      </c>
      <c r="CY14" s="24"/>
      <c r="CZ14" s="8"/>
      <c r="DA14" s="8"/>
      <c r="DB14" s="8"/>
      <c r="DC14" s="8"/>
      <c r="DD14" s="8"/>
      <c r="DE14" s="8"/>
      <c r="DF14" s="8"/>
      <c r="DG14" s="10"/>
      <c r="DH14" s="10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8"/>
      <c r="EJ14" s="8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8">
        <f>SUM(EJ14:EN14)</f>
        <v>0</v>
      </c>
      <c r="EY14" s="8">
        <f t="shared" si="3"/>
        <v>0</v>
      </c>
      <c r="EZ14" s="10"/>
      <c r="FA14" s="10"/>
      <c r="FB14" s="10"/>
      <c r="FC14" s="10">
        <v>7.5</v>
      </c>
      <c r="FD14" s="10"/>
      <c r="FE14" s="10"/>
      <c r="FF14" s="10"/>
      <c r="FG14" s="10"/>
      <c r="FH14" s="10"/>
      <c r="FI14" s="8">
        <f>SUM(EY14:FC14)</f>
        <v>7.5</v>
      </c>
    </row>
    <row r="15" spans="1:165" x14ac:dyDescent="0.25">
      <c r="A15">
        <v>5</v>
      </c>
      <c r="B15" s="8" t="s">
        <v>101</v>
      </c>
      <c r="C15" s="8"/>
      <c r="D15" s="8" t="s">
        <v>162</v>
      </c>
      <c r="E15" s="8" t="s">
        <v>427</v>
      </c>
      <c r="F15" s="8"/>
      <c r="G15" s="8"/>
      <c r="H15" s="8"/>
      <c r="I15" s="8"/>
      <c r="J15" s="8"/>
      <c r="K15" s="8"/>
      <c r="L15" s="8"/>
      <c r="M15" s="10"/>
      <c r="N15" s="8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10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10"/>
      <c r="BW15" s="10"/>
      <c r="BX15" s="10"/>
      <c r="BY15" s="10">
        <v>60</v>
      </c>
      <c r="BZ15" s="10"/>
      <c r="CA15" s="10"/>
      <c r="CB15" s="10"/>
      <c r="CC15" s="10"/>
      <c r="CD15" s="10"/>
      <c r="CE15" s="10"/>
      <c r="CF15" s="10">
        <v>7.5</v>
      </c>
      <c r="CG15" s="10"/>
      <c r="CH15" s="11">
        <f>SUM(BG15:CG15)</f>
        <v>67.5</v>
      </c>
      <c r="CI15" s="11">
        <f>(CH15-BG15)/2</f>
        <v>33.75</v>
      </c>
      <c r="CJ15" s="11"/>
      <c r="CK15" s="11">
        <v>40</v>
      </c>
      <c r="CL15" s="11">
        <v>105</v>
      </c>
      <c r="CM15" s="11">
        <v>10</v>
      </c>
      <c r="CN15" s="11"/>
      <c r="CO15" s="11"/>
      <c r="CP15" s="11">
        <f t="shared" si="0"/>
        <v>188.75</v>
      </c>
      <c r="CQ15" s="11">
        <f t="shared" si="1"/>
        <v>77.5</v>
      </c>
      <c r="CR15" s="11">
        <v>42</v>
      </c>
      <c r="CS15" s="11">
        <v>80</v>
      </c>
      <c r="CT15" s="11">
        <v>54</v>
      </c>
      <c r="CU15" s="11">
        <v>5</v>
      </c>
      <c r="CV15" s="11">
        <v>21.6</v>
      </c>
      <c r="CW15" s="11"/>
      <c r="CX15" s="11">
        <f t="shared" si="2"/>
        <v>280.10000000000002</v>
      </c>
      <c r="CY15" s="24"/>
      <c r="CZ15" s="8"/>
      <c r="DA15" s="8"/>
      <c r="DB15" s="8"/>
      <c r="DC15" s="8"/>
      <c r="DD15" s="8"/>
      <c r="DE15" s="8"/>
      <c r="DF15" s="8"/>
      <c r="DG15" s="10"/>
      <c r="DH15" s="10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10">
        <f>SUM(CZ15:DA15)+SUM(DJ15:DQ15)</f>
        <v>0</v>
      </c>
      <c r="DT15" s="8">
        <f>(DS15-CZ15)/2</f>
        <v>0</v>
      </c>
      <c r="DU15" s="8">
        <f>CH15/4</f>
        <v>16.875</v>
      </c>
      <c r="DV15" s="8"/>
      <c r="DW15" s="8"/>
      <c r="DX15" s="8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8">
        <f>SUM(DT15:EH15)</f>
        <v>16.875</v>
      </c>
      <c r="EJ15" s="8">
        <f>(EI15-DT15)/2</f>
        <v>8.4375</v>
      </c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8">
        <f>SUM(EJ15:EN15)</f>
        <v>8.4375</v>
      </c>
      <c r="EY15" s="8">
        <f t="shared" si="3"/>
        <v>0</v>
      </c>
      <c r="EZ15" s="10"/>
      <c r="FA15" s="10"/>
      <c r="FB15" s="10"/>
      <c r="FC15" s="10"/>
      <c r="FD15" s="10"/>
      <c r="FE15" s="10"/>
      <c r="FF15" s="10"/>
      <c r="FG15" s="10"/>
      <c r="FH15" s="10"/>
      <c r="FI15" s="8">
        <f>SUM(EY15:FA15)</f>
        <v>0</v>
      </c>
    </row>
    <row r="16" spans="1:165" x14ac:dyDescent="0.25">
      <c r="A16">
        <v>6</v>
      </c>
      <c r="B16" s="21" t="s">
        <v>114</v>
      </c>
      <c r="C16" s="21" t="s">
        <v>115</v>
      </c>
      <c r="D16" s="21" t="s">
        <v>37</v>
      </c>
      <c r="E16" s="21" t="s">
        <v>67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>
        <v>100</v>
      </c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>
        <f>SUM(F16:AF16)</f>
        <v>100</v>
      </c>
      <c r="AH16" s="11">
        <f>AG16/2</f>
        <v>50</v>
      </c>
      <c r="AI16" s="11"/>
      <c r="AJ16" s="11"/>
      <c r="AK16" s="11"/>
      <c r="AL16" s="11">
        <v>70</v>
      </c>
      <c r="AM16" s="11"/>
      <c r="AN16" s="11"/>
      <c r="AO16" s="11"/>
      <c r="AP16" s="11"/>
      <c r="AQ16" s="11"/>
      <c r="AR16" s="11"/>
      <c r="AS16" s="11">
        <v>100</v>
      </c>
      <c r="AT16" s="11"/>
      <c r="AU16" s="11"/>
      <c r="AV16" s="11"/>
      <c r="AW16" s="11"/>
      <c r="AX16" s="11"/>
      <c r="AY16" s="11">
        <v>100</v>
      </c>
      <c r="AZ16" s="11"/>
      <c r="BA16" s="11"/>
      <c r="BB16" s="11"/>
      <c r="BC16" s="11"/>
      <c r="BD16" s="11"/>
      <c r="BE16" s="11">
        <v>75</v>
      </c>
      <c r="BF16" s="11">
        <f>SUM(AH16:BE16)</f>
        <v>395</v>
      </c>
      <c r="BG16" s="11">
        <f>(BF16-AH16)/2</f>
        <v>172.5</v>
      </c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 t="s">
        <v>132</v>
      </c>
      <c r="BY16" s="11"/>
      <c r="BZ16" s="11"/>
      <c r="CA16" s="11"/>
      <c r="CB16" s="11"/>
      <c r="CC16" s="11"/>
      <c r="CD16" s="11"/>
      <c r="CE16" s="11"/>
      <c r="CF16" s="11">
        <v>150</v>
      </c>
      <c r="CG16" s="11">
        <v>100</v>
      </c>
      <c r="CH16" s="11">
        <f>SUM(BG16:CG16)</f>
        <v>422.5</v>
      </c>
      <c r="CI16" s="11">
        <f>(CH16-BG16)/2</f>
        <v>125</v>
      </c>
      <c r="CJ16" s="11"/>
      <c r="CK16" s="11"/>
      <c r="CL16" s="11">
        <v>100</v>
      </c>
      <c r="CM16" s="11">
        <v>105</v>
      </c>
      <c r="CN16" s="11"/>
      <c r="CO16" s="11"/>
      <c r="CP16" s="11">
        <f t="shared" si="0"/>
        <v>330</v>
      </c>
      <c r="CQ16" s="11">
        <f t="shared" si="1"/>
        <v>102.5</v>
      </c>
      <c r="CR16" s="11">
        <v>60</v>
      </c>
      <c r="CS16" s="11"/>
      <c r="CT16" s="11">
        <v>75</v>
      </c>
      <c r="CU16" s="11">
        <v>30</v>
      </c>
      <c r="CV16" s="11"/>
      <c r="CW16" s="11"/>
      <c r="CX16" s="11">
        <f t="shared" si="2"/>
        <v>267.5</v>
      </c>
      <c r="CY16" s="24"/>
      <c r="CZ16" s="10">
        <f>SUM(DC16:DH16)/2</f>
        <v>38.75</v>
      </c>
      <c r="DA16" s="10">
        <f>BF16/4</f>
        <v>98.75</v>
      </c>
      <c r="DB16" s="10">
        <f>AG16/2</f>
        <v>50</v>
      </c>
      <c r="DC16" s="10">
        <f>15+15*1/2</f>
        <v>22.5</v>
      </c>
      <c r="DD16" s="10"/>
      <c r="DE16" s="10"/>
      <c r="DF16" s="10"/>
      <c r="DG16" s="10">
        <v>50</v>
      </c>
      <c r="DH16" s="10">
        <v>5</v>
      </c>
      <c r="DI16" s="10">
        <f>SUM(DB16:DH16)</f>
        <v>127.5</v>
      </c>
      <c r="DJ16" s="10">
        <v>30</v>
      </c>
      <c r="DK16" s="10">
        <v>5</v>
      </c>
      <c r="DL16" s="10">
        <v>5</v>
      </c>
      <c r="DM16" s="10"/>
      <c r="DN16" s="10"/>
      <c r="DO16" s="10"/>
      <c r="DP16" s="10"/>
      <c r="DQ16" s="10"/>
      <c r="DR16" s="10"/>
      <c r="DS16" s="10">
        <f>SUM(CZ16:DA16)+SUM(DJ16:DL16)</f>
        <v>177.5</v>
      </c>
      <c r="DT16" s="8">
        <f>(DS16-CZ16)/2</f>
        <v>69.375</v>
      </c>
      <c r="DU16" s="8">
        <f>CH16/4</f>
        <v>105.625</v>
      </c>
      <c r="DV16" s="8"/>
      <c r="DW16" s="8"/>
      <c r="DX16" s="8"/>
      <c r="DY16" s="10">
        <v>30</v>
      </c>
      <c r="DZ16" s="10"/>
      <c r="EA16" s="10"/>
      <c r="EB16" s="10"/>
      <c r="EC16" s="10"/>
      <c r="ED16" s="10">
        <v>75</v>
      </c>
      <c r="EE16" s="10"/>
      <c r="EF16" s="10"/>
      <c r="EG16" s="10"/>
      <c r="EH16" s="10"/>
      <c r="EI16" s="8">
        <f>SUM(DT16:ED16)</f>
        <v>280</v>
      </c>
      <c r="EJ16" s="8">
        <f>(EI16-DT16)/2</f>
        <v>105.3125</v>
      </c>
      <c r="EK16" s="10">
        <v>35</v>
      </c>
      <c r="EL16" s="10"/>
      <c r="EM16" s="10"/>
      <c r="EN16" s="10"/>
      <c r="EO16" s="10">
        <v>78</v>
      </c>
      <c r="EP16" s="10"/>
      <c r="EQ16" s="10"/>
      <c r="ER16" s="10">
        <v>7.5</v>
      </c>
      <c r="ES16" s="10"/>
      <c r="ET16" s="10"/>
      <c r="EU16" s="10">
        <v>50</v>
      </c>
      <c r="EV16" s="10"/>
      <c r="EW16" s="10"/>
      <c r="EX16" s="8">
        <f>SUM(EJ16:EU16)</f>
        <v>275.8125</v>
      </c>
      <c r="EY16" s="8">
        <f t="shared" si="3"/>
        <v>85.25</v>
      </c>
      <c r="EZ16" s="10"/>
      <c r="FA16" s="10">
        <v>25</v>
      </c>
      <c r="FB16" s="10">
        <v>48</v>
      </c>
      <c r="FC16" s="10"/>
      <c r="FD16" s="10">
        <v>7.5</v>
      </c>
      <c r="FE16" s="10">
        <v>50</v>
      </c>
      <c r="FF16" s="10"/>
      <c r="FG16" s="10"/>
      <c r="FH16" s="10"/>
      <c r="FI16" s="27">
        <f>SUM(EY16:FE16)</f>
        <v>215.75</v>
      </c>
    </row>
    <row r="17" spans="1:165" x14ac:dyDescent="0.25">
      <c r="A17">
        <v>7</v>
      </c>
      <c r="B17" s="8" t="s">
        <v>483</v>
      </c>
      <c r="C17" s="8" t="s">
        <v>360</v>
      </c>
      <c r="D17" s="8" t="s">
        <v>228</v>
      </c>
      <c r="E17" s="8" t="s">
        <v>306</v>
      </c>
      <c r="F17" s="8"/>
      <c r="G17" s="8"/>
      <c r="H17" s="8"/>
      <c r="I17" s="8"/>
      <c r="J17" s="8"/>
      <c r="K17" s="8"/>
      <c r="L17" s="8"/>
      <c r="M17" s="10"/>
      <c r="N17" s="8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10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>
        <v>2.4</v>
      </c>
      <c r="BN17" s="8"/>
      <c r="BO17" s="8"/>
      <c r="BP17" s="8"/>
      <c r="BQ17" s="8"/>
      <c r="BR17" s="8"/>
      <c r="BS17" s="8"/>
      <c r="BT17" s="8">
        <v>5</v>
      </c>
      <c r="BU17" s="8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1">
        <f>SUM(BG17:CG17)</f>
        <v>7.4</v>
      </c>
      <c r="CI17" s="11">
        <f>(CH17-BG17)/2</f>
        <v>3.7</v>
      </c>
      <c r="CJ17" s="11">
        <v>48</v>
      </c>
      <c r="CK17" s="11">
        <v>56</v>
      </c>
      <c r="CL17" s="11">
        <v>7.5</v>
      </c>
      <c r="CM17" s="11">
        <v>70</v>
      </c>
      <c r="CN17" s="11">
        <v>48</v>
      </c>
      <c r="CO17" s="11"/>
      <c r="CP17" s="11">
        <f t="shared" si="0"/>
        <v>233.2</v>
      </c>
      <c r="CQ17" s="11">
        <f t="shared" si="1"/>
        <v>114.75</v>
      </c>
      <c r="CR17" s="11">
        <v>60</v>
      </c>
      <c r="CS17" s="11"/>
      <c r="CT17" s="11">
        <v>48</v>
      </c>
      <c r="CU17" s="11"/>
      <c r="CV17" s="11"/>
      <c r="CW17" s="11"/>
      <c r="CX17" s="11">
        <f t="shared" si="2"/>
        <v>222.75</v>
      </c>
      <c r="CY17" s="24"/>
      <c r="CZ17" s="8"/>
      <c r="DA17" s="8"/>
      <c r="DB17" s="8"/>
      <c r="DC17" s="8"/>
      <c r="DD17" s="8"/>
      <c r="DE17" s="8"/>
      <c r="DF17" s="8"/>
      <c r="DG17" s="10"/>
      <c r="DH17" s="10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10">
        <f>SUM(CZ17:DA17)+SUM(DJ17:DQ17)</f>
        <v>0</v>
      </c>
      <c r="DT17" s="8">
        <f>(DS17-CZ17)/2</f>
        <v>0</v>
      </c>
      <c r="DU17" s="8">
        <f>CH17/4</f>
        <v>1.85</v>
      </c>
      <c r="DV17" s="8"/>
      <c r="DW17" s="8"/>
      <c r="DX17" s="8"/>
      <c r="DY17" s="10"/>
      <c r="DZ17" s="10"/>
      <c r="EA17" s="10"/>
      <c r="EB17" s="10"/>
      <c r="EC17" s="10"/>
      <c r="ED17" s="10"/>
      <c r="EE17" s="10"/>
      <c r="EF17" s="10"/>
      <c r="EG17" s="10"/>
      <c r="EH17" s="10">
        <v>25</v>
      </c>
      <c r="EI17" s="8">
        <f>SUM(DT17:EH17)</f>
        <v>26.85</v>
      </c>
      <c r="EJ17" s="8">
        <f>(EI17-DT17)/2</f>
        <v>13.425000000000001</v>
      </c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8">
        <f>SUM(EJ17:EV17)</f>
        <v>13.425000000000001</v>
      </c>
      <c r="EY17" s="8">
        <f t="shared" si="3"/>
        <v>0</v>
      </c>
      <c r="EZ17" s="10"/>
      <c r="FA17" s="10"/>
      <c r="FB17" s="10"/>
      <c r="FC17" s="10"/>
      <c r="FD17" s="10"/>
      <c r="FE17" s="10"/>
      <c r="FF17" s="10"/>
      <c r="FG17" s="10"/>
      <c r="FH17" s="10"/>
      <c r="FI17" s="8">
        <f t="shared" ref="FI17:FI35" si="4">SUM(EY17:FA17)</f>
        <v>0</v>
      </c>
    </row>
    <row r="18" spans="1:165" x14ac:dyDescent="0.25">
      <c r="A18" s="68">
        <v>8</v>
      </c>
      <c r="B18" s="8" t="s">
        <v>252</v>
      </c>
      <c r="C18" s="8" t="s">
        <v>268</v>
      </c>
      <c r="D18" s="8" t="s">
        <v>471</v>
      </c>
      <c r="E18" s="8" t="s">
        <v>449</v>
      </c>
      <c r="F18" s="8"/>
      <c r="G18" s="8"/>
      <c r="H18" s="8"/>
      <c r="I18" s="8"/>
      <c r="J18" s="8"/>
      <c r="K18" s="8"/>
      <c r="L18" s="8"/>
      <c r="M18" s="10"/>
      <c r="N18" s="8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10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>
        <v>48</v>
      </c>
      <c r="BN18" s="8"/>
      <c r="BO18" s="8"/>
      <c r="BP18" s="8"/>
      <c r="BQ18" s="8"/>
      <c r="BR18" s="8">
        <v>75</v>
      </c>
      <c r="BS18" s="8"/>
      <c r="BT18" s="8">
        <v>36</v>
      </c>
      <c r="BU18" s="8"/>
      <c r="BV18" s="10">
        <v>40</v>
      </c>
      <c r="BW18" s="10"/>
      <c r="BX18" s="10">
        <v>75</v>
      </c>
      <c r="BY18" s="10"/>
      <c r="BZ18" s="10"/>
      <c r="CA18" s="10">
        <v>60</v>
      </c>
      <c r="CB18" s="10"/>
      <c r="CC18" s="10"/>
      <c r="CD18" s="10"/>
      <c r="CE18" s="10"/>
      <c r="CF18" s="10"/>
      <c r="CG18" s="10">
        <v>140</v>
      </c>
      <c r="CH18" s="11">
        <f>SUM(BG18:CG18)</f>
        <v>474</v>
      </c>
      <c r="CI18" s="11">
        <f>(CH18-BG18)/2</f>
        <v>237</v>
      </c>
      <c r="CJ18" s="11"/>
      <c r="CK18" s="11"/>
      <c r="CL18" s="11">
        <v>75</v>
      </c>
      <c r="CM18" s="11">
        <v>75</v>
      </c>
      <c r="CN18" s="11">
        <v>75</v>
      </c>
      <c r="CO18" s="11">
        <v>140</v>
      </c>
      <c r="CP18" s="11">
        <f t="shared" si="0"/>
        <v>602</v>
      </c>
      <c r="CQ18" s="11">
        <f t="shared" si="1"/>
        <v>182.5</v>
      </c>
      <c r="CR18" s="11"/>
      <c r="CS18" s="11"/>
      <c r="CT18" s="11">
        <v>7.5</v>
      </c>
      <c r="CU18" s="11"/>
      <c r="CV18" s="11"/>
      <c r="CW18" s="11"/>
      <c r="CX18" s="11">
        <f t="shared" si="2"/>
        <v>190</v>
      </c>
      <c r="CY18" s="24"/>
      <c r="CZ18" s="8"/>
      <c r="DA18" s="8"/>
      <c r="DB18" s="8"/>
      <c r="DC18" s="8"/>
      <c r="DD18" s="8"/>
      <c r="DE18" s="8"/>
      <c r="DF18" s="8"/>
      <c r="DG18" s="10"/>
      <c r="DH18" s="10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10">
        <f>SUM(CZ18:DA18)+SUM(DJ18:DQ18)</f>
        <v>0</v>
      </c>
      <c r="DT18" s="8">
        <f>(DS18-CZ18)/2</f>
        <v>0</v>
      </c>
      <c r="DU18" s="8">
        <f>CH18/4</f>
        <v>118.5</v>
      </c>
      <c r="DV18" s="8"/>
      <c r="DW18" s="8"/>
      <c r="DX18" s="8"/>
      <c r="DY18" s="10">
        <v>15</v>
      </c>
      <c r="DZ18" s="10"/>
      <c r="EA18" s="10"/>
      <c r="EB18" s="10"/>
      <c r="EC18" s="10"/>
      <c r="ED18" s="10">
        <v>7.5</v>
      </c>
      <c r="EE18" s="10"/>
      <c r="EF18" s="10"/>
      <c r="EG18" s="10"/>
      <c r="EH18" s="10"/>
      <c r="EI18" s="8">
        <f>SUM(DT18:ED18)</f>
        <v>141</v>
      </c>
      <c r="EJ18" s="8">
        <f>(EI18-DT18)/2</f>
        <v>70.5</v>
      </c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8">
        <f>SUM(EJ18:EN18)</f>
        <v>70.5</v>
      </c>
      <c r="EY18" s="8">
        <f t="shared" si="3"/>
        <v>0</v>
      </c>
      <c r="EZ18" s="10"/>
      <c r="FA18" s="10">
        <v>1.25</v>
      </c>
      <c r="FB18" s="10"/>
      <c r="FC18" s="10"/>
      <c r="FD18" s="10"/>
      <c r="FE18" s="10"/>
      <c r="FF18" s="10"/>
      <c r="FG18" s="10"/>
      <c r="FH18" s="10"/>
      <c r="FI18" s="8">
        <f t="shared" si="4"/>
        <v>1.25</v>
      </c>
    </row>
    <row r="19" spans="1:165" x14ac:dyDescent="0.25">
      <c r="A19">
        <v>9</v>
      </c>
      <c r="B19" s="8" t="s">
        <v>154</v>
      </c>
      <c r="C19" s="8"/>
      <c r="D19" s="8" t="s">
        <v>21</v>
      </c>
      <c r="E19" s="8" t="s">
        <v>243</v>
      </c>
      <c r="F19" s="8"/>
      <c r="G19" s="8"/>
      <c r="H19" s="8"/>
      <c r="I19" s="8"/>
      <c r="J19" s="8"/>
      <c r="K19" s="8"/>
      <c r="L19" s="8"/>
      <c r="M19" s="10"/>
      <c r="N19" s="8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10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8"/>
      <c r="CI19" s="8"/>
      <c r="CJ19" s="10"/>
      <c r="CK19" s="10">
        <v>40</v>
      </c>
      <c r="CL19" s="10"/>
      <c r="CM19" s="10"/>
      <c r="CN19" s="10"/>
      <c r="CO19" s="10"/>
      <c r="CP19" s="11">
        <f t="shared" si="0"/>
        <v>40</v>
      </c>
      <c r="CQ19" s="11">
        <f t="shared" si="1"/>
        <v>20</v>
      </c>
      <c r="CR19" s="11">
        <v>33.6</v>
      </c>
      <c r="CS19" s="11">
        <v>56</v>
      </c>
      <c r="CT19" s="11">
        <v>54</v>
      </c>
      <c r="CU19" s="11">
        <v>2.4</v>
      </c>
      <c r="CV19" s="11"/>
      <c r="CW19" s="11"/>
      <c r="CX19" s="11">
        <f t="shared" si="2"/>
        <v>166</v>
      </c>
      <c r="CY19" s="24"/>
      <c r="CZ19" s="8"/>
      <c r="DA19" s="8"/>
      <c r="DB19" s="8"/>
      <c r="DC19" s="8"/>
      <c r="DD19" s="8"/>
      <c r="DE19" s="8"/>
      <c r="DF19" s="8"/>
      <c r="DG19" s="10"/>
      <c r="DH19" s="10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8"/>
      <c r="EJ19" s="8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>
        <v>2.5</v>
      </c>
      <c r="EW19" s="10"/>
      <c r="EX19" s="8">
        <f>SUM(EJ19:EV19)</f>
        <v>2.5</v>
      </c>
      <c r="EY19" s="8">
        <f t="shared" si="3"/>
        <v>1.25</v>
      </c>
      <c r="EZ19" s="10"/>
      <c r="FA19" s="10"/>
      <c r="FB19" s="10"/>
      <c r="FC19" s="10"/>
      <c r="FD19" s="10"/>
      <c r="FE19" s="10"/>
      <c r="FF19" s="10"/>
      <c r="FG19" s="10"/>
      <c r="FH19" s="10"/>
      <c r="FI19" s="8">
        <f t="shared" si="4"/>
        <v>1.25</v>
      </c>
    </row>
    <row r="20" spans="1:165" x14ac:dyDescent="0.25">
      <c r="A20">
        <v>10</v>
      </c>
      <c r="B20" s="18" t="s">
        <v>244</v>
      </c>
      <c r="C20" s="18" t="s">
        <v>105</v>
      </c>
      <c r="D20" s="18" t="s">
        <v>21</v>
      </c>
      <c r="E20" s="18" t="s">
        <v>427</v>
      </c>
      <c r="F20" s="8"/>
      <c r="G20" s="8"/>
      <c r="H20" s="8"/>
      <c r="I20" s="8"/>
      <c r="J20" s="8"/>
      <c r="K20" s="10">
        <v>50</v>
      </c>
      <c r="L20" s="10"/>
      <c r="M20" s="10"/>
      <c r="N20" s="10"/>
      <c r="O20" s="10">
        <v>56</v>
      </c>
      <c r="P20" s="10"/>
      <c r="Q20" s="10"/>
      <c r="R20" s="10">
        <v>50</v>
      </c>
      <c r="S20" s="10"/>
      <c r="T20" s="10"/>
      <c r="U20" s="10"/>
      <c r="V20" s="10"/>
      <c r="W20" s="10"/>
      <c r="X20" s="10"/>
      <c r="Y20" s="10"/>
      <c r="Z20" s="10">
        <v>60</v>
      </c>
      <c r="AA20" s="10">
        <v>50</v>
      </c>
      <c r="AB20" s="10"/>
      <c r="AC20" s="10">
        <v>48</v>
      </c>
      <c r="AD20" s="10"/>
      <c r="AE20" s="10">
        <v>100</v>
      </c>
      <c r="AF20" s="10"/>
      <c r="AG20" s="11">
        <f>SUM(F20:AF20)</f>
        <v>414</v>
      </c>
      <c r="AH20" s="11">
        <f>AG20/2</f>
        <v>207</v>
      </c>
      <c r="AI20" s="11"/>
      <c r="AJ20" s="11"/>
      <c r="AK20" s="11"/>
      <c r="AL20" s="11">
        <v>50</v>
      </c>
      <c r="AM20" s="11"/>
      <c r="AN20" s="11"/>
      <c r="AO20" s="11"/>
      <c r="AP20" s="11"/>
      <c r="AQ20" s="11">
        <v>80</v>
      </c>
      <c r="AR20" s="11"/>
      <c r="AS20" s="11" t="s">
        <v>132</v>
      </c>
      <c r="AT20" s="11"/>
      <c r="AU20" s="11" t="s">
        <v>132</v>
      </c>
      <c r="AV20" s="11"/>
      <c r="AW20" s="11"/>
      <c r="AX20" s="11"/>
      <c r="AY20" s="11">
        <v>50</v>
      </c>
      <c r="AZ20" s="11"/>
      <c r="BA20" s="11"/>
      <c r="BB20" s="11"/>
      <c r="BC20" s="11"/>
      <c r="BD20" s="11"/>
      <c r="BE20" s="11">
        <v>105</v>
      </c>
      <c r="BF20" s="11">
        <f>SUM(AH20:BE20)</f>
        <v>492</v>
      </c>
      <c r="BG20" s="11">
        <f>(BF20-AH20)/2</f>
        <v>142.5</v>
      </c>
      <c r="BH20" s="11"/>
      <c r="BI20" s="11"/>
      <c r="BJ20" s="11"/>
      <c r="BK20" s="11"/>
      <c r="BL20" s="11">
        <v>60</v>
      </c>
      <c r="BM20" s="11"/>
      <c r="BN20" s="11"/>
      <c r="BO20" s="11"/>
      <c r="BP20" s="11"/>
      <c r="BQ20" s="11"/>
      <c r="BR20" s="11" t="s">
        <v>327</v>
      </c>
      <c r="BS20" s="11"/>
      <c r="BT20" s="11"/>
      <c r="BU20" s="11"/>
      <c r="BV20" s="11"/>
      <c r="BW20" s="11"/>
      <c r="BX20" s="11" t="s">
        <v>327</v>
      </c>
      <c r="BY20" s="11"/>
      <c r="BZ20" s="11"/>
      <c r="CA20" s="11"/>
      <c r="CB20" s="11"/>
      <c r="CC20" s="11"/>
      <c r="CD20" s="11"/>
      <c r="CE20" s="11"/>
      <c r="CF20" s="11" t="s">
        <v>132</v>
      </c>
      <c r="CG20" s="11">
        <v>10</v>
      </c>
      <c r="CH20" s="11">
        <f>SUM(BG20:CG20)</f>
        <v>212.5</v>
      </c>
      <c r="CI20" s="11">
        <f>(CH20-BG20)/2</f>
        <v>35</v>
      </c>
      <c r="CJ20" s="11"/>
      <c r="CK20" s="11">
        <v>40</v>
      </c>
      <c r="CL20" s="11">
        <v>150</v>
      </c>
      <c r="CM20" s="11">
        <v>50</v>
      </c>
      <c r="CN20" s="11">
        <v>75</v>
      </c>
      <c r="CO20" s="11"/>
      <c r="CP20" s="11">
        <f t="shared" si="0"/>
        <v>350</v>
      </c>
      <c r="CQ20" s="11">
        <f t="shared" si="1"/>
        <v>157.5</v>
      </c>
      <c r="CR20" s="11"/>
      <c r="CS20" s="11"/>
      <c r="CT20" s="11"/>
      <c r="CU20" s="11"/>
      <c r="CV20" s="11"/>
      <c r="CW20" s="11"/>
      <c r="CX20" s="11">
        <f t="shared" si="2"/>
        <v>157.5</v>
      </c>
      <c r="CY20" s="24"/>
      <c r="CZ20" s="10">
        <f>SUM(DC20:DH20)/2</f>
        <v>37.5</v>
      </c>
      <c r="DA20" s="10">
        <f>BF20/4</f>
        <v>123</v>
      </c>
      <c r="DB20" s="10">
        <f>AG20/2</f>
        <v>207</v>
      </c>
      <c r="DC20" s="10"/>
      <c r="DD20" s="10"/>
      <c r="DE20" s="10"/>
      <c r="DF20" s="10"/>
      <c r="DG20" s="10">
        <v>70</v>
      </c>
      <c r="DH20" s="10">
        <v>5</v>
      </c>
      <c r="DI20" s="10">
        <f>SUM(DB20:DH20)</f>
        <v>282</v>
      </c>
      <c r="DJ20" s="10">
        <v>22.5</v>
      </c>
      <c r="DK20" s="10"/>
      <c r="DL20" s="10">
        <v>5</v>
      </c>
      <c r="DM20" s="10"/>
      <c r="DN20" s="10">
        <v>70</v>
      </c>
      <c r="DO20" s="10"/>
      <c r="DP20" s="10"/>
      <c r="DQ20" s="10">
        <v>70</v>
      </c>
      <c r="DR20" s="10"/>
      <c r="DS20" s="10">
        <f>SUM(CZ20:DA20)+SUM(DJ20:DQ20)</f>
        <v>328</v>
      </c>
      <c r="DT20" s="8">
        <f>(DS20-CZ20)/2</f>
        <v>145.25</v>
      </c>
      <c r="DU20" s="8">
        <f>CH20/4</f>
        <v>53.125</v>
      </c>
      <c r="DV20" s="8"/>
      <c r="DW20" s="8"/>
      <c r="DX20" s="8"/>
      <c r="DY20" s="10">
        <v>22.5</v>
      </c>
      <c r="DZ20" s="10"/>
      <c r="EA20" s="10"/>
      <c r="EB20" s="10"/>
      <c r="EC20" s="10"/>
      <c r="ED20" s="10"/>
      <c r="EE20" s="10"/>
      <c r="EF20" s="10"/>
      <c r="EG20" s="10"/>
      <c r="EH20" s="10">
        <v>50</v>
      </c>
      <c r="EI20" s="8">
        <f>SUM(DT20:EH20)</f>
        <v>270.875</v>
      </c>
      <c r="EJ20" s="8">
        <f>(EI20-DT20)/2</f>
        <v>62.8125</v>
      </c>
      <c r="EK20" s="10">
        <v>26.25</v>
      </c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8">
        <f>SUM(EJ20:EN20)</f>
        <v>89.0625</v>
      </c>
      <c r="EY20" s="8">
        <f t="shared" si="3"/>
        <v>13.125</v>
      </c>
      <c r="EZ20" s="10"/>
      <c r="FA20" s="10"/>
      <c r="FB20" s="10"/>
      <c r="FC20" s="10"/>
      <c r="FD20" s="10"/>
      <c r="FE20" s="10"/>
      <c r="FF20" s="10"/>
      <c r="FG20" s="10"/>
      <c r="FH20" s="10"/>
      <c r="FI20" s="8">
        <f t="shared" si="4"/>
        <v>13.125</v>
      </c>
    </row>
    <row r="21" spans="1:165" x14ac:dyDescent="0.25">
      <c r="A21">
        <v>11</v>
      </c>
      <c r="B21" s="8" t="s">
        <v>793</v>
      </c>
      <c r="C21" s="8"/>
      <c r="D21" s="8" t="s">
        <v>338</v>
      </c>
      <c r="E21" s="8" t="s">
        <v>229</v>
      </c>
      <c r="F21" s="8"/>
      <c r="G21" s="8"/>
      <c r="H21" s="8"/>
      <c r="I21" s="8"/>
      <c r="J21" s="8"/>
      <c r="K21" s="8"/>
      <c r="L21" s="8"/>
      <c r="M21" s="10"/>
      <c r="N21" s="8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10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8"/>
      <c r="CI21" s="8"/>
      <c r="CJ21" s="10"/>
      <c r="CK21" s="10"/>
      <c r="CL21" s="10"/>
      <c r="CM21" s="10"/>
      <c r="CN21" s="10"/>
      <c r="CO21" s="10"/>
      <c r="CP21" s="8"/>
      <c r="CQ21" s="8"/>
      <c r="CR21" s="10">
        <v>48</v>
      </c>
      <c r="CS21" s="10">
        <v>28.8</v>
      </c>
      <c r="CT21" s="10">
        <v>39</v>
      </c>
      <c r="CU21" s="10">
        <v>5</v>
      </c>
      <c r="CV21" s="10">
        <v>33.6</v>
      </c>
      <c r="CW21" s="8"/>
      <c r="CX21" s="11">
        <f t="shared" si="2"/>
        <v>154.4</v>
      </c>
      <c r="CZ21" s="8"/>
      <c r="DA21" s="8"/>
      <c r="DB21" s="8"/>
      <c r="DC21" s="8"/>
      <c r="DD21" s="8"/>
      <c r="DE21" s="8"/>
      <c r="DF21" s="8"/>
      <c r="DG21" s="10"/>
      <c r="DH21" s="10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8"/>
      <c r="EJ21" s="8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8">
        <f>SUM(EJ21:EV21)</f>
        <v>0</v>
      </c>
      <c r="EY21" s="8">
        <f t="shared" si="3"/>
        <v>0</v>
      </c>
      <c r="EZ21" s="10"/>
      <c r="FA21" s="10"/>
      <c r="FB21" s="10"/>
      <c r="FC21" s="10"/>
      <c r="FD21" s="10"/>
      <c r="FE21" s="10"/>
      <c r="FF21" s="10"/>
      <c r="FG21" s="10"/>
      <c r="FH21" s="10"/>
      <c r="FI21" s="8">
        <f t="shared" si="4"/>
        <v>0</v>
      </c>
    </row>
    <row r="22" spans="1:165" x14ac:dyDescent="0.25">
      <c r="A22">
        <v>12</v>
      </c>
      <c r="B22" s="8" t="s">
        <v>105</v>
      </c>
      <c r="C22" s="8"/>
      <c r="D22" s="8" t="s">
        <v>20</v>
      </c>
      <c r="E22" s="8" t="s">
        <v>539</v>
      </c>
      <c r="F22" s="8"/>
      <c r="G22" s="8"/>
      <c r="H22" s="8"/>
      <c r="I22" s="8"/>
      <c r="J22" s="8"/>
      <c r="K22" s="8"/>
      <c r="L22" s="8"/>
      <c r="M22" s="10"/>
      <c r="N22" s="8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10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>
        <v>40</v>
      </c>
      <c r="BV22" s="10"/>
      <c r="BW22" s="10"/>
      <c r="BX22" s="10">
        <v>75</v>
      </c>
      <c r="BY22" s="10"/>
      <c r="BZ22" s="10"/>
      <c r="CA22" s="10"/>
      <c r="CB22" s="10">
        <v>36</v>
      </c>
      <c r="CC22" s="10"/>
      <c r="CD22" s="10"/>
      <c r="CE22" s="10"/>
      <c r="CF22" s="10"/>
      <c r="CG22" s="10"/>
      <c r="CH22" s="11">
        <f>SUM(BG22:CG22)</f>
        <v>151</v>
      </c>
      <c r="CI22" s="11">
        <f>(CH22-BG22)/2</f>
        <v>75.5</v>
      </c>
      <c r="CJ22" s="11">
        <v>33.6</v>
      </c>
      <c r="CK22" s="11">
        <v>56</v>
      </c>
      <c r="CL22" s="11">
        <v>54</v>
      </c>
      <c r="CM22" s="11">
        <v>5</v>
      </c>
      <c r="CN22" s="11">
        <v>56</v>
      </c>
      <c r="CO22" s="11">
        <v>54</v>
      </c>
      <c r="CP22" s="11">
        <f>SUM(CI22:CO22)</f>
        <v>334.1</v>
      </c>
      <c r="CQ22" s="11">
        <f>SUM(CP22-CI22)/2</f>
        <v>129.30000000000001</v>
      </c>
      <c r="CR22" s="11"/>
      <c r="CS22" s="11"/>
      <c r="CT22" s="11"/>
      <c r="CU22" s="11"/>
      <c r="CV22" s="11"/>
      <c r="CW22" s="11"/>
      <c r="CX22" s="11">
        <f t="shared" si="2"/>
        <v>129.30000000000001</v>
      </c>
      <c r="CY22" s="24"/>
      <c r="CZ22" s="8"/>
      <c r="DA22" s="8"/>
      <c r="DB22" s="8"/>
      <c r="DC22" s="8"/>
      <c r="DD22" s="8"/>
      <c r="DE22" s="8"/>
      <c r="DF22" s="8"/>
      <c r="DG22" s="10"/>
      <c r="DH22" s="10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10">
        <f>SUM(CZ22:DA22)+SUM(DJ22:DQ22)</f>
        <v>0</v>
      </c>
      <c r="DT22" s="8">
        <f>(DS22-CZ22)/2</f>
        <v>0</v>
      </c>
      <c r="DU22" s="8">
        <f>CH22/4</f>
        <v>37.75</v>
      </c>
      <c r="DV22" s="8"/>
      <c r="DW22" s="8"/>
      <c r="DX22" s="8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8">
        <f>SUM(DT22:EH22)</f>
        <v>37.75</v>
      </c>
      <c r="EJ22" s="8">
        <f>(EI22-DT22)/2</f>
        <v>18.875</v>
      </c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8">
        <f>SUM(EJ22:EN22)</f>
        <v>18.875</v>
      </c>
      <c r="EY22" s="8">
        <f t="shared" si="3"/>
        <v>0</v>
      </c>
      <c r="EZ22" s="10"/>
      <c r="FA22" s="10"/>
      <c r="FB22" s="10"/>
      <c r="FC22" s="10"/>
      <c r="FD22" s="10"/>
      <c r="FE22" s="10"/>
      <c r="FF22" s="10"/>
      <c r="FG22" s="10"/>
      <c r="FH22" s="10"/>
      <c r="FI22" s="8">
        <f t="shared" si="4"/>
        <v>0</v>
      </c>
    </row>
    <row r="23" spans="1:165" x14ac:dyDescent="0.25">
      <c r="A23">
        <v>13</v>
      </c>
      <c r="B23" s="8" t="s">
        <v>91</v>
      </c>
      <c r="C23" s="8" t="s">
        <v>184</v>
      </c>
      <c r="D23" s="8" t="s">
        <v>375</v>
      </c>
      <c r="E23" s="8" t="s">
        <v>152</v>
      </c>
      <c r="F23" s="8"/>
      <c r="G23" s="8"/>
      <c r="H23" s="8"/>
      <c r="I23" s="8"/>
      <c r="J23" s="8"/>
      <c r="K23" s="8"/>
      <c r="L23" s="8"/>
      <c r="M23" s="10"/>
      <c r="N23" s="8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>
        <v>70</v>
      </c>
      <c r="AT23" s="8"/>
      <c r="AU23" s="8"/>
      <c r="AV23" s="8"/>
      <c r="AW23" s="10"/>
      <c r="AX23" s="8"/>
      <c r="AY23" s="8">
        <v>5</v>
      </c>
      <c r="AZ23" s="8"/>
      <c r="BA23" s="8"/>
      <c r="BB23" s="8"/>
      <c r="BC23" s="8"/>
      <c r="BD23" s="8">
        <v>48</v>
      </c>
      <c r="BE23" s="8">
        <v>150</v>
      </c>
      <c r="BF23" s="11">
        <f>SUM(AH23:BE23)</f>
        <v>273</v>
      </c>
      <c r="BG23" s="11">
        <f>(BF23-AH23)/2</f>
        <v>136.5</v>
      </c>
      <c r="BH23" s="11"/>
      <c r="BI23" s="11"/>
      <c r="BJ23" s="11"/>
      <c r="BK23" s="11"/>
      <c r="BL23" s="11"/>
      <c r="BM23" s="11"/>
      <c r="BN23" s="11"/>
      <c r="BO23" s="11">
        <v>36</v>
      </c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>
        <v>36</v>
      </c>
      <c r="CD23" s="11"/>
      <c r="CE23" s="11"/>
      <c r="CF23" s="11">
        <v>75</v>
      </c>
      <c r="CG23" s="11">
        <v>200</v>
      </c>
      <c r="CH23" s="11">
        <f>SUM(BG23:CG23)</f>
        <v>483.5</v>
      </c>
      <c r="CI23" s="11">
        <f>(CH23-BG23)/2</f>
        <v>173.5</v>
      </c>
      <c r="CJ23" s="11"/>
      <c r="CK23" s="11"/>
      <c r="CL23" s="11">
        <v>150</v>
      </c>
      <c r="CM23" s="11">
        <v>100</v>
      </c>
      <c r="CN23" s="11"/>
      <c r="CO23" s="11"/>
      <c r="CP23" s="11">
        <f>SUM(CI23:CO23)</f>
        <v>423.5</v>
      </c>
      <c r="CQ23" s="11">
        <f>SUM(CP23-CI23)/2</f>
        <v>125</v>
      </c>
      <c r="CR23" s="11"/>
      <c r="CS23" s="11"/>
      <c r="CT23" s="11"/>
      <c r="CU23" s="11"/>
      <c r="CV23" s="11"/>
      <c r="CW23" s="11"/>
      <c r="CX23" s="11">
        <f t="shared" si="2"/>
        <v>125</v>
      </c>
      <c r="CY23" s="24"/>
      <c r="CZ23" s="10">
        <f>SUM(DC23:DH23)/2</f>
        <v>0</v>
      </c>
      <c r="DA23" s="10">
        <f>BF23/4</f>
        <v>68.25</v>
      </c>
      <c r="DB23" s="8"/>
      <c r="DC23" s="8"/>
      <c r="DD23" s="8"/>
      <c r="DE23" s="8"/>
      <c r="DF23" s="8"/>
      <c r="DG23" s="10"/>
      <c r="DH23" s="10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10">
        <f>SUM(CZ23:DA23)+SUM(DJ23:DL23)</f>
        <v>68.25</v>
      </c>
      <c r="DT23" s="8">
        <f>(DS23-CZ23)/2</f>
        <v>34.125</v>
      </c>
      <c r="DU23" s="8">
        <f>CH23/4</f>
        <v>120.875</v>
      </c>
      <c r="DV23" s="8"/>
      <c r="DW23" s="8"/>
      <c r="DX23" s="8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8">
        <f>SUM(DT23:DV23)</f>
        <v>155</v>
      </c>
      <c r="EJ23" s="8">
        <f>(EI23-DT23)/2</f>
        <v>60.4375</v>
      </c>
      <c r="EK23" s="10">
        <v>14</v>
      </c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>
        <v>25</v>
      </c>
      <c r="EW23" s="10"/>
      <c r="EX23" s="8">
        <f>SUM(EJ23:EV23)</f>
        <v>99.4375</v>
      </c>
      <c r="EY23" s="8">
        <f t="shared" si="3"/>
        <v>19.5</v>
      </c>
      <c r="EZ23" s="10"/>
      <c r="FA23" s="10"/>
      <c r="FB23" s="10"/>
      <c r="FC23" s="10"/>
      <c r="FD23" s="10"/>
      <c r="FE23" s="10"/>
      <c r="FF23" s="10"/>
      <c r="FG23" s="10"/>
      <c r="FH23" s="10"/>
      <c r="FI23" s="8">
        <f t="shared" si="4"/>
        <v>19.5</v>
      </c>
    </row>
    <row r="24" spans="1:165" x14ac:dyDescent="0.25">
      <c r="A24">
        <v>14</v>
      </c>
      <c r="B24" s="8" t="s">
        <v>268</v>
      </c>
      <c r="C24" s="8"/>
      <c r="D24" s="8" t="s">
        <v>269</v>
      </c>
      <c r="E24" s="8" t="s">
        <v>245</v>
      </c>
      <c r="F24" s="8"/>
      <c r="G24" s="8"/>
      <c r="H24" s="8"/>
      <c r="I24" s="8"/>
      <c r="J24" s="8"/>
      <c r="K24" s="8"/>
      <c r="L24" s="8"/>
      <c r="M24" s="10"/>
      <c r="N24" s="8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10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>
        <v>2.4</v>
      </c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1">
        <f>SUM(BG24:CG24)</f>
        <v>2.4</v>
      </c>
      <c r="CI24" s="11">
        <f>(CH24-BG24)/2</f>
        <v>1.2</v>
      </c>
      <c r="CJ24" s="11">
        <v>36</v>
      </c>
      <c r="CK24" s="11"/>
      <c r="CL24" s="11"/>
      <c r="CM24" s="11"/>
      <c r="CN24" s="11"/>
      <c r="CO24" s="11"/>
      <c r="CP24" s="11">
        <f>SUM(CI24:CO24)</f>
        <v>37.200000000000003</v>
      </c>
      <c r="CQ24" s="11">
        <f>SUM(CP24-CI24)/2</f>
        <v>18</v>
      </c>
      <c r="CR24" s="11">
        <v>33.6</v>
      </c>
      <c r="CS24" s="11"/>
      <c r="CT24" s="11">
        <v>70</v>
      </c>
      <c r="CU24" s="11"/>
      <c r="CV24" s="11"/>
      <c r="CW24" s="11"/>
      <c r="CX24" s="11">
        <f t="shared" si="2"/>
        <v>121.6</v>
      </c>
      <c r="CY24" s="24"/>
      <c r="CZ24" s="8"/>
      <c r="DA24" s="8"/>
      <c r="DB24" s="8"/>
      <c r="DC24" s="8"/>
      <c r="DD24" s="8"/>
      <c r="DE24" s="8"/>
      <c r="DF24" s="8"/>
      <c r="DG24" s="10"/>
      <c r="DH24" s="10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10">
        <f>SUM(CZ24:DA24)+SUM(DJ24:DQ24)</f>
        <v>0</v>
      </c>
      <c r="DT24" s="8">
        <f>(DS24-CZ24)/2</f>
        <v>0</v>
      </c>
      <c r="DU24" s="8">
        <f>CH24/4</f>
        <v>0.6</v>
      </c>
      <c r="DV24" s="8"/>
      <c r="DW24" s="8"/>
      <c r="DX24" s="8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8">
        <f>SUM(DT24:DY24)</f>
        <v>0.6</v>
      </c>
      <c r="EJ24" s="8">
        <f>(EI24-DT24)/2</f>
        <v>0.3</v>
      </c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8">
        <f>SUM(EJ24:EV24)</f>
        <v>0.3</v>
      </c>
      <c r="EY24" s="8">
        <f t="shared" si="3"/>
        <v>0</v>
      </c>
      <c r="EZ24" s="10"/>
      <c r="FA24" s="10"/>
      <c r="FB24" s="10"/>
      <c r="FC24" s="10"/>
      <c r="FD24" s="10"/>
      <c r="FE24" s="10"/>
      <c r="FF24" s="10"/>
      <c r="FG24" s="10"/>
      <c r="FH24" s="10"/>
      <c r="FI24" s="8">
        <f t="shared" si="4"/>
        <v>0</v>
      </c>
    </row>
    <row r="25" spans="1:165" x14ac:dyDescent="0.25">
      <c r="A25">
        <v>15</v>
      </c>
      <c r="B25" s="8" t="s">
        <v>654</v>
      </c>
      <c r="C25" s="8"/>
      <c r="D25" s="8" t="s">
        <v>742</v>
      </c>
      <c r="E25" s="8" t="s">
        <v>16</v>
      </c>
      <c r="F25" s="8"/>
      <c r="G25" s="8"/>
      <c r="H25" s="8"/>
      <c r="I25" s="8"/>
      <c r="J25" s="8"/>
      <c r="K25" s="8"/>
      <c r="L25" s="8"/>
      <c r="M25" s="10"/>
      <c r="N25" s="8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10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8"/>
      <c r="CI25" s="8"/>
      <c r="CJ25" s="10">
        <v>30</v>
      </c>
      <c r="CK25" s="10">
        <v>40</v>
      </c>
      <c r="CL25" s="10">
        <v>100</v>
      </c>
      <c r="CM25" s="10"/>
      <c r="CN25" s="10"/>
      <c r="CO25" s="10"/>
      <c r="CP25" s="11">
        <f>SUM(CI25:CO25)</f>
        <v>170</v>
      </c>
      <c r="CQ25" s="11">
        <f>SUM(CP25-CI25)/2</f>
        <v>85</v>
      </c>
      <c r="CR25" s="11">
        <v>30</v>
      </c>
      <c r="CS25" s="11"/>
      <c r="CT25" s="11"/>
      <c r="CU25" s="11"/>
      <c r="CV25" s="11"/>
      <c r="CW25" s="11"/>
      <c r="CX25" s="11">
        <f t="shared" si="2"/>
        <v>115</v>
      </c>
      <c r="CY25" s="24"/>
      <c r="CZ25" s="8"/>
      <c r="DA25" s="8"/>
      <c r="DB25" s="8"/>
      <c r="DC25" s="8"/>
      <c r="DD25" s="8"/>
      <c r="DE25" s="8"/>
      <c r="DF25" s="8"/>
      <c r="DG25" s="10"/>
      <c r="DH25" s="10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8"/>
      <c r="EJ25" s="8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8">
        <f>SUM(EJ25:EN25)</f>
        <v>0</v>
      </c>
      <c r="EY25" s="8">
        <f t="shared" si="3"/>
        <v>0</v>
      </c>
      <c r="EZ25" s="10"/>
      <c r="FA25" s="10"/>
      <c r="FB25" s="10"/>
      <c r="FC25" s="10"/>
      <c r="FD25" s="10"/>
      <c r="FE25" s="10"/>
      <c r="FF25" s="10"/>
      <c r="FG25" s="10"/>
      <c r="FH25" s="10"/>
      <c r="FI25" s="8">
        <f t="shared" si="4"/>
        <v>0</v>
      </c>
    </row>
    <row r="26" spans="1:165" x14ac:dyDescent="0.25">
      <c r="A26">
        <v>16</v>
      </c>
      <c r="B26" s="8" t="s">
        <v>495</v>
      </c>
      <c r="C26" s="8"/>
      <c r="D26" s="8" t="s">
        <v>496</v>
      </c>
      <c r="E26" s="8" t="s">
        <v>427</v>
      </c>
      <c r="F26" s="8"/>
      <c r="G26" s="8"/>
      <c r="H26" s="8"/>
      <c r="I26" s="8"/>
      <c r="J26" s="8"/>
      <c r="K26" s="8"/>
      <c r="L26" s="8"/>
      <c r="M26" s="10"/>
      <c r="N26" s="8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10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>
        <v>21.6</v>
      </c>
      <c r="BM26" s="8"/>
      <c r="BN26" s="8"/>
      <c r="BO26" s="8"/>
      <c r="BP26" s="8"/>
      <c r="BQ26" s="8"/>
      <c r="BR26" s="8"/>
      <c r="BS26" s="8"/>
      <c r="BT26" s="8"/>
      <c r="BU26" s="8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1">
        <f>SUM(BG26:CG26)</f>
        <v>21.6</v>
      </c>
      <c r="CI26" s="11">
        <f>(CH26-BG26)/2</f>
        <v>10.8</v>
      </c>
      <c r="CJ26" s="11">
        <v>42</v>
      </c>
      <c r="CK26" s="11">
        <v>4</v>
      </c>
      <c r="CL26" s="11">
        <v>105</v>
      </c>
      <c r="CM26" s="11">
        <v>5</v>
      </c>
      <c r="CN26" s="11"/>
      <c r="CO26" s="11"/>
      <c r="CP26" s="11">
        <f>SUM(CI26:CO26)</f>
        <v>166.8</v>
      </c>
      <c r="CQ26" s="11">
        <f>SUM(CP26-CI26)/2</f>
        <v>78</v>
      </c>
      <c r="CR26" s="11">
        <v>3</v>
      </c>
      <c r="CS26" s="11"/>
      <c r="CT26" s="11">
        <v>7.5</v>
      </c>
      <c r="CU26" s="11">
        <v>26</v>
      </c>
      <c r="CV26" s="11"/>
      <c r="CW26" s="11"/>
      <c r="CX26" s="11">
        <f t="shared" si="2"/>
        <v>114.5</v>
      </c>
      <c r="CY26" s="24"/>
      <c r="CZ26" s="8"/>
      <c r="DA26" s="8"/>
      <c r="DB26" s="8"/>
      <c r="DC26" s="8"/>
      <c r="DD26" s="8"/>
      <c r="DE26" s="8"/>
      <c r="DF26" s="8"/>
      <c r="DG26" s="10"/>
      <c r="DH26" s="10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10">
        <f>SUM(CZ26:DA26)+SUM(DJ26:DQ26)</f>
        <v>0</v>
      </c>
      <c r="DT26" s="8">
        <f>(DS26-CZ26)/2</f>
        <v>0</v>
      </c>
      <c r="DU26" s="8">
        <f>CH26/4</f>
        <v>5.4</v>
      </c>
      <c r="DV26" s="8"/>
      <c r="DW26" s="8"/>
      <c r="DX26" s="8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8">
        <f>SUM(DT26:EH26)</f>
        <v>5.4</v>
      </c>
      <c r="EJ26" s="8">
        <f>(EI26-DT26)/2</f>
        <v>2.7</v>
      </c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8">
        <f>SUM(EJ26:EN26)</f>
        <v>2.7</v>
      </c>
      <c r="EY26" s="8">
        <f t="shared" si="3"/>
        <v>0</v>
      </c>
      <c r="EZ26" s="10"/>
      <c r="FA26" s="10"/>
      <c r="FB26" s="10"/>
      <c r="FC26" s="10"/>
      <c r="FD26" s="10"/>
      <c r="FE26" s="10"/>
      <c r="FF26" s="10"/>
      <c r="FG26" s="10"/>
      <c r="FH26" s="10"/>
      <c r="FI26" s="8">
        <f t="shared" si="4"/>
        <v>0</v>
      </c>
    </row>
    <row r="27" spans="1:165" x14ac:dyDescent="0.25">
      <c r="A27">
        <v>17</v>
      </c>
      <c r="B27" s="8" t="s">
        <v>86</v>
      </c>
      <c r="C27" s="8"/>
      <c r="D27" s="8" t="s">
        <v>856</v>
      </c>
      <c r="E27" s="8" t="s">
        <v>442</v>
      </c>
      <c r="F27" s="8"/>
      <c r="G27" s="8"/>
      <c r="H27" s="8"/>
      <c r="I27" s="8"/>
      <c r="J27" s="8"/>
      <c r="K27" s="8"/>
      <c r="L27" s="8"/>
      <c r="M27" s="10"/>
      <c r="N27" s="8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10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8"/>
      <c r="CI27" s="8"/>
      <c r="CJ27" s="10"/>
      <c r="CK27" s="10"/>
      <c r="CL27" s="10"/>
      <c r="CM27" s="10"/>
      <c r="CN27" s="10"/>
      <c r="CO27" s="10"/>
      <c r="CP27" s="8"/>
      <c r="CQ27" s="8"/>
      <c r="CR27" s="10">
        <v>3</v>
      </c>
      <c r="CS27" s="10">
        <v>56</v>
      </c>
      <c r="CT27" s="10">
        <v>50</v>
      </c>
      <c r="CU27" s="8"/>
      <c r="CV27" s="8"/>
      <c r="CW27" s="8"/>
      <c r="CX27" s="11">
        <f t="shared" si="2"/>
        <v>109</v>
      </c>
      <c r="CZ27" s="8"/>
      <c r="DA27" s="8"/>
      <c r="DB27" s="8"/>
      <c r="DC27" s="8"/>
      <c r="DD27" s="8"/>
      <c r="DE27" s="8"/>
      <c r="DF27" s="8"/>
      <c r="DG27" s="10"/>
      <c r="DH27" s="10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8"/>
      <c r="EJ27" s="8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8">
        <f t="shared" ref="EX27:EX32" si="5">SUM(EJ27:EV27)</f>
        <v>0</v>
      </c>
      <c r="EY27" s="8">
        <f t="shared" si="3"/>
        <v>0</v>
      </c>
      <c r="EZ27" s="10"/>
      <c r="FA27" s="10"/>
      <c r="FB27" s="10"/>
      <c r="FC27" s="10"/>
      <c r="FD27" s="10"/>
      <c r="FE27" s="10"/>
      <c r="FF27" s="10"/>
      <c r="FG27" s="10"/>
      <c r="FH27" s="10"/>
      <c r="FI27" s="8">
        <f t="shared" si="4"/>
        <v>0</v>
      </c>
    </row>
    <row r="28" spans="1:165" x14ac:dyDescent="0.25">
      <c r="A28">
        <v>18</v>
      </c>
      <c r="B28" s="8" t="s">
        <v>436</v>
      </c>
      <c r="C28" s="8" t="s">
        <v>437</v>
      </c>
      <c r="D28" s="8" t="s">
        <v>438</v>
      </c>
      <c r="E28" s="8" t="s">
        <v>670</v>
      </c>
      <c r="F28" s="8"/>
      <c r="G28" s="8"/>
      <c r="H28" s="8"/>
      <c r="I28" s="8"/>
      <c r="J28" s="8"/>
      <c r="K28" s="8"/>
      <c r="L28" s="8"/>
      <c r="M28" s="10"/>
      <c r="N28" s="8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10"/>
      <c r="AX28" s="8"/>
      <c r="AY28" s="8"/>
      <c r="AZ28" s="8"/>
      <c r="BA28" s="8">
        <v>48</v>
      </c>
      <c r="BB28" s="8"/>
      <c r="BC28" s="8"/>
      <c r="BD28" s="8"/>
      <c r="BE28" s="8"/>
      <c r="BF28" s="11">
        <f>SUM(AH28:BE28)</f>
        <v>48</v>
      </c>
      <c r="BG28" s="11">
        <f>(BF28-AH28)/2</f>
        <v>24</v>
      </c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>
        <v>39</v>
      </c>
      <c r="BS28" s="11">
        <v>48</v>
      </c>
      <c r="BT28" s="11"/>
      <c r="BU28" s="11"/>
      <c r="BV28" s="11"/>
      <c r="BW28" s="11"/>
      <c r="BX28" s="11">
        <v>39</v>
      </c>
      <c r="BY28" s="11"/>
      <c r="BZ28" s="11"/>
      <c r="CA28" s="11"/>
      <c r="CB28" s="11"/>
      <c r="CC28" s="11"/>
      <c r="CD28" s="11"/>
      <c r="CE28" s="11"/>
      <c r="CF28" s="11"/>
      <c r="CG28" s="11"/>
      <c r="CH28" s="11">
        <f>SUM(BG28:CG28)</f>
        <v>150</v>
      </c>
      <c r="CI28" s="11">
        <f>(CH28-BG28)/2</f>
        <v>63</v>
      </c>
      <c r="CJ28" s="11"/>
      <c r="CK28" s="11">
        <v>80</v>
      </c>
      <c r="CL28" s="11">
        <v>75</v>
      </c>
      <c r="CM28" s="11">
        <v>36</v>
      </c>
      <c r="CN28" s="11">
        <v>7.5</v>
      </c>
      <c r="CO28" s="11">
        <v>10</v>
      </c>
      <c r="CP28" s="11">
        <f>SUM(CI28:CO28)</f>
        <v>271.5</v>
      </c>
      <c r="CQ28" s="11">
        <f>SUM(CP28-CI28)/2</f>
        <v>104.25</v>
      </c>
      <c r="CR28" s="11"/>
      <c r="CS28" s="11"/>
      <c r="CT28" s="11"/>
      <c r="CU28" s="11"/>
      <c r="CV28" s="11"/>
      <c r="CW28" s="11"/>
      <c r="CX28" s="11">
        <f t="shared" si="2"/>
        <v>104.25</v>
      </c>
      <c r="CY28" s="24"/>
      <c r="CZ28" s="10">
        <f>SUM(DC28:DH28)/2</f>
        <v>0</v>
      </c>
      <c r="DA28" s="10">
        <f>BF28/4</f>
        <v>12</v>
      </c>
      <c r="DB28" s="8"/>
      <c r="DC28" s="8"/>
      <c r="DD28" s="8"/>
      <c r="DE28" s="8"/>
      <c r="DF28" s="8"/>
      <c r="DG28" s="10"/>
      <c r="DH28" s="10"/>
      <c r="DI28" s="8"/>
      <c r="DJ28" s="10"/>
      <c r="DK28" s="10"/>
      <c r="DL28" s="10"/>
      <c r="DM28" s="10"/>
      <c r="DN28" s="10"/>
      <c r="DO28" s="10"/>
      <c r="DP28" s="10"/>
      <c r="DQ28" s="10"/>
      <c r="DR28" s="10"/>
      <c r="DS28" s="10">
        <f>SUM(CZ28:DA28)+SUM(DJ28:DL28)</f>
        <v>12</v>
      </c>
      <c r="DT28" s="8">
        <f>(DS28-CZ28)/2</f>
        <v>6</v>
      </c>
      <c r="DU28" s="8">
        <f>CH28/4</f>
        <v>37.5</v>
      </c>
      <c r="DV28" s="8"/>
      <c r="DW28" s="8"/>
      <c r="DX28" s="8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8">
        <f>SUM(DT28:EH28)</f>
        <v>43.5</v>
      </c>
      <c r="EJ28" s="8">
        <f>(EI28-DT28)/2</f>
        <v>18.75</v>
      </c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8">
        <f t="shared" si="5"/>
        <v>18.75</v>
      </c>
      <c r="EY28" s="8">
        <f t="shared" si="3"/>
        <v>0</v>
      </c>
      <c r="EZ28" s="10"/>
      <c r="FA28" s="10"/>
      <c r="FB28" s="10"/>
      <c r="FC28" s="10"/>
      <c r="FD28" s="10"/>
      <c r="FE28" s="10"/>
      <c r="FF28" s="10"/>
      <c r="FG28" s="10"/>
      <c r="FH28" s="10"/>
      <c r="FI28" s="8">
        <f t="shared" si="4"/>
        <v>0</v>
      </c>
    </row>
    <row r="29" spans="1:165" x14ac:dyDescent="0.25">
      <c r="A29">
        <v>19</v>
      </c>
      <c r="B29" s="8" t="s">
        <v>253</v>
      </c>
      <c r="C29" s="8" t="s">
        <v>231</v>
      </c>
      <c r="D29" s="8" t="s">
        <v>232</v>
      </c>
      <c r="E29" s="8" t="s">
        <v>233</v>
      </c>
      <c r="F29" s="8"/>
      <c r="G29" s="8"/>
      <c r="H29" s="8"/>
      <c r="I29" s="8"/>
      <c r="J29" s="8"/>
      <c r="K29" s="8"/>
      <c r="L29" s="8"/>
      <c r="M29" s="10"/>
      <c r="N29" s="8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10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>
        <v>33.6</v>
      </c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1">
        <f>SUM(BG29:CG29)</f>
        <v>33.6</v>
      </c>
      <c r="CI29" s="11">
        <f>(CH29-BG29)/2</f>
        <v>16.8</v>
      </c>
      <c r="CJ29" s="11"/>
      <c r="CK29" s="11">
        <v>44.8</v>
      </c>
      <c r="CL29" s="11"/>
      <c r="CM29" s="11"/>
      <c r="CN29" s="11"/>
      <c r="CO29" s="11"/>
      <c r="CP29" s="11">
        <f>SUM(CI29:CO29)</f>
        <v>61.599999999999994</v>
      </c>
      <c r="CQ29" s="11">
        <f>SUM(CP29-CI29)/2</f>
        <v>22.4</v>
      </c>
      <c r="CR29" s="11">
        <v>36</v>
      </c>
      <c r="CS29" s="11">
        <v>40</v>
      </c>
      <c r="CT29" s="11">
        <v>2.4</v>
      </c>
      <c r="CU29" s="11"/>
      <c r="CV29" s="11"/>
      <c r="CW29" s="11"/>
      <c r="CX29" s="11">
        <f t="shared" si="2"/>
        <v>100.80000000000001</v>
      </c>
      <c r="CY29" s="24"/>
      <c r="CZ29" s="8"/>
      <c r="DA29" s="8"/>
      <c r="DB29" s="8"/>
      <c r="DC29" s="8"/>
      <c r="DD29" s="8"/>
      <c r="DE29" s="8"/>
      <c r="DF29" s="8"/>
      <c r="DG29" s="10"/>
      <c r="DH29" s="10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10">
        <f>SUM(CZ29:DA29)+SUM(DJ29:DQ29)</f>
        <v>0</v>
      </c>
      <c r="DT29" s="8">
        <f>(DS29-CZ29)/2</f>
        <v>0</v>
      </c>
      <c r="DU29" s="8">
        <f>CH29/4</f>
        <v>8.4</v>
      </c>
      <c r="DV29" s="8"/>
      <c r="DW29" s="8"/>
      <c r="DX29" s="8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8">
        <f>SUM(DT29:EH29)</f>
        <v>8.4</v>
      </c>
      <c r="EJ29" s="8">
        <f>(EI29-DT29)/2</f>
        <v>4.2</v>
      </c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8">
        <f t="shared" si="5"/>
        <v>4.2</v>
      </c>
      <c r="EY29" s="8">
        <f t="shared" si="3"/>
        <v>0</v>
      </c>
      <c r="EZ29" s="10"/>
      <c r="FA29" s="10"/>
      <c r="FB29" s="10"/>
      <c r="FC29" s="10"/>
      <c r="FD29" s="10"/>
      <c r="FE29" s="10"/>
      <c r="FF29" s="10"/>
      <c r="FG29" s="10"/>
      <c r="FH29" s="10"/>
      <c r="FI29" s="8">
        <f t="shared" si="4"/>
        <v>0</v>
      </c>
    </row>
    <row r="30" spans="1:165" x14ac:dyDescent="0.25">
      <c r="A30">
        <v>20</v>
      </c>
      <c r="B30" s="8" t="s">
        <v>882</v>
      </c>
      <c r="C30" s="8"/>
      <c r="D30" s="8" t="s">
        <v>75</v>
      </c>
      <c r="E30" s="8" t="s">
        <v>883</v>
      </c>
      <c r="F30" s="8"/>
      <c r="G30" s="8"/>
      <c r="H30" s="8"/>
      <c r="I30" s="8"/>
      <c r="J30" s="8"/>
      <c r="K30" s="8"/>
      <c r="L30" s="8"/>
      <c r="M30" s="10"/>
      <c r="N30" s="8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10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8"/>
      <c r="CI30" s="8"/>
      <c r="CJ30" s="10"/>
      <c r="CK30" s="10"/>
      <c r="CL30" s="10"/>
      <c r="CM30" s="10"/>
      <c r="CN30" s="10"/>
      <c r="CO30" s="10"/>
      <c r="CP30" s="8"/>
      <c r="CQ30" s="8"/>
      <c r="CR30" s="10"/>
      <c r="CS30" s="10"/>
      <c r="CT30" s="10">
        <v>100</v>
      </c>
      <c r="CU30" s="8"/>
      <c r="CV30" s="8"/>
      <c r="CW30" s="8"/>
      <c r="CX30" s="11">
        <f t="shared" si="2"/>
        <v>100</v>
      </c>
      <c r="CZ30" s="8"/>
      <c r="DA30" s="8"/>
      <c r="DB30" s="8"/>
      <c r="DC30" s="8"/>
      <c r="DD30" s="8"/>
      <c r="DE30" s="8"/>
      <c r="DF30" s="8"/>
      <c r="DG30" s="10"/>
      <c r="DH30" s="10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8"/>
      <c r="EJ30" s="8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8">
        <f t="shared" si="5"/>
        <v>0</v>
      </c>
      <c r="EY30" s="8">
        <f t="shared" si="3"/>
        <v>0</v>
      </c>
      <c r="EZ30" s="10"/>
      <c r="FA30" s="10"/>
      <c r="FB30" s="10"/>
      <c r="FC30" s="10"/>
      <c r="FD30" s="10"/>
      <c r="FE30" s="10"/>
      <c r="FF30" s="10"/>
      <c r="FG30" s="10"/>
      <c r="FH30" s="10"/>
      <c r="FI30" s="8">
        <f t="shared" si="4"/>
        <v>0</v>
      </c>
    </row>
    <row r="31" spans="1:165" x14ac:dyDescent="0.25">
      <c r="A31">
        <v>21</v>
      </c>
      <c r="B31" s="8" t="s">
        <v>540</v>
      </c>
      <c r="C31" s="8"/>
      <c r="D31" s="8" t="s">
        <v>20</v>
      </c>
      <c r="E31" s="8" t="s">
        <v>581</v>
      </c>
      <c r="F31" s="8"/>
      <c r="G31" s="8"/>
      <c r="H31" s="8"/>
      <c r="I31" s="8"/>
      <c r="J31" s="8"/>
      <c r="K31" s="8"/>
      <c r="L31" s="8"/>
      <c r="M31" s="10"/>
      <c r="N31" s="8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10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>
        <v>4</v>
      </c>
      <c r="BV31" s="10"/>
      <c r="BW31" s="10"/>
      <c r="BX31" s="10"/>
      <c r="BY31" s="10"/>
      <c r="BZ31" s="10"/>
      <c r="CA31" s="10"/>
      <c r="CB31" s="10"/>
      <c r="CC31" s="10"/>
      <c r="CD31" s="10"/>
      <c r="CE31" s="10">
        <v>36</v>
      </c>
      <c r="CF31" s="10">
        <v>7.5</v>
      </c>
      <c r="CG31" s="10"/>
      <c r="CH31" s="11">
        <f>SUM(BG31:CG31)</f>
        <v>47.5</v>
      </c>
      <c r="CI31" s="11">
        <f>(CH31-BG31)/2</f>
        <v>23.75</v>
      </c>
      <c r="CJ31" s="11">
        <v>2.4</v>
      </c>
      <c r="CK31" s="11"/>
      <c r="CL31" s="11">
        <v>7.5</v>
      </c>
      <c r="CM31" s="11"/>
      <c r="CN31" s="11"/>
      <c r="CO31" s="11"/>
      <c r="CP31" s="11">
        <f>SUM(CI31:CO31)</f>
        <v>33.65</v>
      </c>
      <c r="CQ31" s="11">
        <f>SUM(CP31-CI31)/2</f>
        <v>4.9499999999999993</v>
      </c>
      <c r="CR31" s="11">
        <v>42</v>
      </c>
      <c r="CS31" s="11">
        <v>40</v>
      </c>
      <c r="CT31" s="11">
        <v>7.5</v>
      </c>
      <c r="CU31" s="11"/>
      <c r="CV31" s="11"/>
      <c r="CW31" s="11"/>
      <c r="CX31" s="11">
        <f t="shared" si="2"/>
        <v>94.45</v>
      </c>
      <c r="CY31" s="24"/>
      <c r="CZ31" s="8"/>
      <c r="DA31" s="8"/>
      <c r="DB31" s="8"/>
      <c r="DC31" s="8"/>
      <c r="DD31" s="8"/>
      <c r="DE31" s="8"/>
      <c r="DF31" s="8"/>
      <c r="DG31" s="10"/>
      <c r="DH31" s="10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10">
        <f>SUM(CZ31:DA31)+SUM(DJ31:DQ31)</f>
        <v>0</v>
      </c>
      <c r="DT31" s="8">
        <f>(DS31-CZ31)/2</f>
        <v>0</v>
      </c>
      <c r="DU31" s="8">
        <f>CH31/4</f>
        <v>11.875</v>
      </c>
      <c r="DV31" s="8"/>
      <c r="DW31" s="8"/>
      <c r="DX31" s="8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8">
        <f>SUM(DT31:EH31)</f>
        <v>11.875</v>
      </c>
      <c r="EJ31" s="8">
        <f>(EI31-DT31)/2</f>
        <v>5.9375</v>
      </c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8">
        <f t="shared" si="5"/>
        <v>5.9375</v>
      </c>
      <c r="EY31" s="8">
        <f t="shared" si="3"/>
        <v>0</v>
      </c>
      <c r="EZ31" s="10"/>
      <c r="FA31" s="10"/>
      <c r="FB31" s="10"/>
      <c r="FC31" s="10"/>
      <c r="FD31" s="10"/>
      <c r="FE31" s="10"/>
      <c r="FF31" s="10"/>
      <c r="FG31" s="10"/>
      <c r="FH31" s="10"/>
      <c r="FI31" s="8">
        <f t="shared" si="4"/>
        <v>0</v>
      </c>
    </row>
    <row r="32" spans="1:165" x14ac:dyDescent="0.25">
      <c r="A32">
        <v>22</v>
      </c>
      <c r="B32" s="8" t="s">
        <v>256</v>
      </c>
      <c r="C32" s="8"/>
      <c r="D32" s="8" t="s">
        <v>768</v>
      </c>
      <c r="E32" s="8" t="s">
        <v>581</v>
      </c>
      <c r="F32" s="8"/>
      <c r="G32" s="8"/>
      <c r="H32" s="8"/>
      <c r="I32" s="8"/>
      <c r="J32" s="8"/>
      <c r="K32" s="8"/>
      <c r="L32" s="8"/>
      <c r="M32" s="10"/>
      <c r="N32" s="8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10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8"/>
      <c r="CI32" s="8"/>
      <c r="CJ32" s="10"/>
      <c r="CK32" s="10"/>
      <c r="CL32" s="10"/>
      <c r="CM32" s="10"/>
      <c r="CN32" s="10"/>
      <c r="CO32" s="10"/>
      <c r="CP32" s="8"/>
      <c r="CQ32" s="8"/>
      <c r="CR32" s="10">
        <v>48</v>
      </c>
      <c r="CS32" s="10">
        <v>40</v>
      </c>
      <c r="CT32" s="10"/>
      <c r="CU32" s="8"/>
      <c r="CV32" s="8"/>
      <c r="CW32" s="8"/>
      <c r="CX32" s="11">
        <f t="shared" si="2"/>
        <v>88</v>
      </c>
      <c r="CZ32" s="8"/>
      <c r="DA32" s="8"/>
      <c r="DB32" s="8"/>
      <c r="DC32" s="8"/>
      <c r="DD32" s="8"/>
      <c r="DE32" s="8"/>
      <c r="DF32" s="8"/>
      <c r="DG32" s="10"/>
      <c r="DH32" s="10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8"/>
      <c r="EJ32" s="8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8">
        <f t="shared" si="5"/>
        <v>0</v>
      </c>
      <c r="EY32" s="8">
        <f t="shared" si="3"/>
        <v>0</v>
      </c>
      <c r="EZ32" s="10"/>
      <c r="FA32" s="10"/>
      <c r="FB32" s="10"/>
      <c r="FC32" s="10"/>
      <c r="FD32" s="10"/>
      <c r="FE32" s="10"/>
      <c r="FF32" s="10"/>
      <c r="FG32" s="10"/>
      <c r="FH32" s="10"/>
      <c r="FI32" s="8">
        <f t="shared" si="4"/>
        <v>0</v>
      </c>
    </row>
    <row r="33" spans="1:165" x14ac:dyDescent="0.25">
      <c r="A33">
        <v>23</v>
      </c>
      <c r="B33" s="8" t="s">
        <v>103</v>
      </c>
      <c r="C33" s="8"/>
      <c r="D33" s="8" t="s">
        <v>26</v>
      </c>
      <c r="E33" s="8" t="s">
        <v>43</v>
      </c>
      <c r="F33" s="8"/>
      <c r="G33" s="8"/>
      <c r="H33" s="8"/>
      <c r="I33" s="8"/>
      <c r="J33" s="8"/>
      <c r="K33" s="8"/>
      <c r="L33" s="8"/>
      <c r="M33" s="10"/>
      <c r="N33" s="8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10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8"/>
      <c r="CI33" s="8"/>
      <c r="CJ33" s="10">
        <v>48</v>
      </c>
      <c r="CK33" s="10">
        <v>48</v>
      </c>
      <c r="CL33" s="10">
        <v>7.5</v>
      </c>
      <c r="CM33" s="10"/>
      <c r="CN33" s="10"/>
      <c r="CO33" s="10"/>
      <c r="CP33" s="11">
        <f t="shared" ref="CP33:CP44" si="6">SUM(CI33:CO33)</f>
        <v>103.5</v>
      </c>
      <c r="CQ33" s="11">
        <f t="shared" ref="CQ33:CQ44" si="7">SUM(CP33-CI33)/2</f>
        <v>51.75</v>
      </c>
      <c r="CR33" s="11">
        <v>33.6</v>
      </c>
      <c r="CS33" s="11"/>
      <c r="CT33" s="11"/>
      <c r="CU33" s="11"/>
      <c r="CV33" s="11"/>
      <c r="CW33" s="11"/>
      <c r="CX33" s="11">
        <f t="shared" si="2"/>
        <v>85.35</v>
      </c>
      <c r="CY33" s="24"/>
      <c r="CZ33" s="8"/>
      <c r="DA33" s="8"/>
      <c r="DB33" s="8"/>
      <c r="DC33" s="8"/>
      <c r="DD33" s="8"/>
      <c r="DE33" s="8"/>
      <c r="DF33" s="8"/>
      <c r="DG33" s="10"/>
      <c r="DH33" s="10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8"/>
      <c r="EJ33" s="8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8">
        <f>SUM(EJ33:EN33)</f>
        <v>0</v>
      </c>
      <c r="EY33" s="8">
        <f t="shared" si="3"/>
        <v>0</v>
      </c>
      <c r="EZ33" s="10"/>
      <c r="FA33" s="10"/>
      <c r="FB33" s="10"/>
      <c r="FC33" s="10"/>
      <c r="FD33" s="10"/>
      <c r="FE33" s="10"/>
      <c r="FF33" s="10"/>
      <c r="FG33" s="10"/>
      <c r="FH33" s="10"/>
      <c r="FI33" s="8">
        <f t="shared" si="4"/>
        <v>0</v>
      </c>
    </row>
    <row r="34" spans="1:165" x14ac:dyDescent="0.25">
      <c r="A34">
        <v>24</v>
      </c>
      <c r="B34" s="8" t="s">
        <v>208</v>
      </c>
      <c r="C34" s="8" t="s">
        <v>214</v>
      </c>
      <c r="D34" s="8" t="s">
        <v>23</v>
      </c>
      <c r="E34" s="8" t="s">
        <v>16</v>
      </c>
      <c r="F34" s="8"/>
      <c r="G34" s="8"/>
      <c r="H34" s="8"/>
      <c r="I34" s="8"/>
      <c r="J34" s="10">
        <v>5</v>
      </c>
      <c r="K34" s="10"/>
      <c r="L34" s="10"/>
      <c r="M34" s="10"/>
      <c r="N34" s="10"/>
      <c r="O34" s="10"/>
      <c r="P34" s="10"/>
      <c r="Q34" s="10"/>
      <c r="R34" s="10">
        <v>5</v>
      </c>
      <c r="S34" s="10"/>
      <c r="T34" s="10"/>
      <c r="U34" s="10"/>
      <c r="V34" s="10"/>
      <c r="W34" s="10"/>
      <c r="X34" s="10"/>
      <c r="Y34" s="10"/>
      <c r="Z34" s="10">
        <v>3</v>
      </c>
      <c r="AA34" s="10"/>
      <c r="AB34" s="10"/>
      <c r="AC34" s="10">
        <v>33.6</v>
      </c>
      <c r="AD34" s="10"/>
      <c r="AE34" s="10">
        <v>5</v>
      </c>
      <c r="AF34" s="10"/>
      <c r="AG34" s="11">
        <f>SUM(F34:AF34)</f>
        <v>51.6</v>
      </c>
      <c r="AH34" s="11">
        <f>AG34/2</f>
        <v>25.8</v>
      </c>
      <c r="AI34" s="11"/>
      <c r="AJ34" s="11"/>
      <c r="AK34" s="11"/>
      <c r="AL34" s="11">
        <v>5</v>
      </c>
      <c r="AM34" s="11"/>
      <c r="AN34" s="11">
        <v>3</v>
      </c>
      <c r="AO34" s="11"/>
      <c r="AP34" s="11"/>
      <c r="AQ34" s="11">
        <v>56</v>
      </c>
      <c r="AR34" s="11"/>
      <c r="AS34" s="11">
        <v>50</v>
      </c>
      <c r="AT34" s="11"/>
      <c r="AU34" s="11">
        <v>33.6</v>
      </c>
      <c r="AV34" s="11"/>
      <c r="AW34" s="11"/>
      <c r="AX34" s="11"/>
      <c r="AY34" s="11">
        <v>26</v>
      </c>
      <c r="AZ34" s="11"/>
      <c r="BA34" s="11"/>
      <c r="BB34" s="11"/>
      <c r="BC34" s="11"/>
      <c r="BD34" s="11"/>
      <c r="BE34" s="11">
        <v>7.5</v>
      </c>
      <c r="BF34" s="11">
        <f>SUM(AH34:BE34)</f>
        <v>206.9</v>
      </c>
      <c r="BG34" s="11">
        <f>(BF34-AH34)/2</f>
        <v>90.55</v>
      </c>
      <c r="BH34" s="11"/>
      <c r="BI34" s="11"/>
      <c r="BJ34" s="11"/>
      <c r="BK34" s="11"/>
      <c r="BL34" s="11">
        <v>3</v>
      </c>
      <c r="BM34" s="11"/>
      <c r="BN34" s="11"/>
      <c r="BO34" s="11"/>
      <c r="BP34" s="11"/>
      <c r="BQ34" s="11"/>
      <c r="BR34" s="11">
        <v>54</v>
      </c>
      <c r="BS34" s="11"/>
      <c r="BT34" s="11">
        <v>5</v>
      </c>
      <c r="BU34" s="11"/>
      <c r="BV34" s="11">
        <v>4</v>
      </c>
      <c r="BW34" s="11"/>
      <c r="BX34" s="11">
        <v>24</v>
      </c>
      <c r="BY34" s="11">
        <v>3</v>
      </c>
      <c r="BZ34" s="11"/>
      <c r="CA34" s="11"/>
      <c r="CB34" s="11"/>
      <c r="CC34" s="11"/>
      <c r="CD34" s="11"/>
      <c r="CE34" s="11"/>
      <c r="CF34" s="11"/>
      <c r="CG34" s="11">
        <v>72</v>
      </c>
      <c r="CH34" s="11">
        <f>SUM(BG34:CG34)</f>
        <v>255.55</v>
      </c>
      <c r="CI34" s="11">
        <f>(CH34-BG34)/2</f>
        <v>82.5</v>
      </c>
      <c r="CJ34" s="11">
        <v>30</v>
      </c>
      <c r="CK34" s="11"/>
      <c r="CL34" s="11">
        <v>7.5</v>
      </c>
      <c r="CM34" s="11">
        <v>7.5</v>
      </c>
      <c r="CN34" s="11">
        <v>5</v>
      </c>
      <c r="CO34" s="11"/>
      <c r="CP34" s="11">
        <f t="shared" si="6"/>
        <v>132.5</v>
      </c>
      <c r="CQ34" s="11">
        <f t="shared" si="7"/>
        <v>25</v>
      </c>
      <c r="CR34" s="11">
        <v>21.6</v>
      </c>
      <c r="CS34" s="11">
        <v>4</v>
      </c>
      <c r="CT34" s="11">
        <v>7.5</v>
      </c>
      <c r="CU34" s="11">
        <v>5</v>
      </c>
      <c r="CV34" s="11">
        <v>21.6</v>
      </c>
      <c r="CW34" s="11"/>
      <c r="CX34" s="11">
        <f t="shared" si="2"/>
        <v>84.7</v>
      </c>
      <c r="CY34" s="24"/>
      <c r="CZ34" s="10">
        <f>SUM(DC34:DH34)/2</f>
        <v>0</v>
      </c>
      <c r="DA34" s="10">
        <f>BF34/4</f>
        <v>51.725000000000001</v>
      </c>
      <c r="DB34" s="10">
        <f>AG34/2</f>
        <v>25.8</v>
      </c>
      <c r="DC34" s="10"/>
      <c r="DD34" s="10"/>
      <c r="DE34" s="10"/>
      <c r="DF34" s="10"/>
      <c r="DG34" s="10"/>
      <c r="DH34" s="10"/>
      <c r="DI34" s="10">
        <f>SUM(DB34:DD34)</f>
        <v>25.8</v>
      </c>
      <c r="DJ34" s="10"/>
      <c r="DK34" s="10"/>
      <c r="DL34" s="10"/>
      <c r="DM34" s="10"/>
      <c r="DN34" s="10"/>
      <c r="DO34" s="10"/>
      <c r="DP34" s="10"/>
      <c r="DQ34" s="10">
        <v>36</v>
      </c>
      <c r="DR34" s="10"/>
      <c r="DS34" s="10">
        <f>SUM(CZ34:DA34)+SUM(DJ34:DQ34)</f>
        <v>87.724999999999994</v>
      </c>
      <c r="DT34" s="8">
        <f>(DS34-CZ34)/2</f>
        <v>43.862499999999997</v>
      </c>
      <c r="DU34" s="8">
        <f>CH34/4</f>
        <v>63.887500000000003</v>
      </c>
      <c r="DV34" s="8"/>
      <c r="DW34" s="8"/>
      <c r="DX34" s="8"/>
      <c r="DY34" s="10">
        <v>15</v>
      </c>
      <c r="DZ34" s="10"/>
      <c r="EA34" s="10"/>
      <c r="EB34" s="10"/>
      <c r="EC34" s="10"/>
      <c r="ED34" s="10">
        <v>54</v>
      </c>
      <c r="EE34" s="10"/>
      <c r="EF34" s="10"/>
      <c r="EG34" s="10"/>
      <c r="EH34" s="10">
        <v>2.5</v>
      </c>
      <c r="EI34" s="8">
        <f>SUM(DT34:EH34)</f>
        <v>179.25</v>
      </c>
      <c r="EJ34" s="8">
        <f>(EI34-DT34)/2</f>
        <v>67.693749999999994</v>
      </c>
      <c r="EK34" s="10">
        <v>1.75</v>
      </c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8">
        <f>SUM(EJ34:EN34)</f>
        <v>69.443749999999994</v>
      </c>
      <c r="EY34" s="8">
        <f t="shared" si="3"/>
        <v>0.875</v>
      </c>
      <c r="EZ34" s="10"/>
      <c r="FA34" s="10"/>
      <c r="FB34" s="10"/>
      <c r="FC34" s="10"/>
      <c r="FD34" s="10"/>
      <c r="FE34" s="10"/>
      <c r="FF34" s="10"/>
      <c r="FG34" s="10"/>
      <c r="FH34" s="10"/>
      <c r="FI34" s="8">
        <f t="shared" si="4"/>
        <v>0.875</v>
      </c>
    </row>
    <row r="35" spans="1:165" x14ac:dyDescent="0.25">
      <c r="A35">
        <v>25</v>
      </c>
      <c r="B35" s="8" t="s">
        <v>494</v>
      </c>
      <c r="C35" s="8"/>
      <c r="D35" s="8" t="s">
        <v>34</v>
      </c>
      <c r="E35" s="8" t="s">
        <v>16</v>
      </c>
      <c r="F35" s="8"/>
      <c r="G35" s="8"/>
      <c r="H35" s="8"/>
      <c r="I35" s="8"/>
      <c r="J35" s="8"/>
      <c r="K35" s="8"/>
      <c r="L35" s="8"/>
      <c r="M35" s="10"/>
      <c r="N35" s="8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10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8"/>
      <c r="CI35" s="8"/>
      <c r="CJ35" s="10">
        <v>60</v>
      </c>
      <c r="CK35" s="10"/>
      <c r="CL35" s="10">
        <v>7.5</v>
      </c>
      <c r="CM35" s="10">
        <v>36</v>
      </c>
      <c r="CN35" s="10">
        <v>39</v>
      </c>
      <c r="CO35" s="10">
        <v>10</v>
      </c>
      <c r="CP35" s="11">
        <f t="shared" si="6"/>
        <v>152.5</v>
      </c>
      <c r="CQ35" s="11">
        <f t="shared" si="7"/>
        <v>76.25</v>
      </c>
      <c r="CR35" s="11"/>
      <c r="CS35" s="11"/>
      <c r="CT35" s="11"/>
      <c r="CU35" s="11"/>
      <c r="CV35" s="11"/>
      <c r="CW35" s="11"/>
      <c r="CX35" s="11">
        <f t="shared" si="2"/>
        <v>76.25</v>
      </c>
      <c r="CY35" s="24"/>
      <c r="CZ35" s="8"/>
      <c r="DA35" s="8"/>
      <c r="DB35" s="8"/>
      <c r="DC35" s="8"/>
      <c r="DD35" s="8"/>
      <c r="DE35" s="8"/>
      <c r="DF35" s="8"/>
      <c r="DG35" s="10"/>
      <c r="DH35" s="10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8"/>
      <c r="EJ35" s="8"/>
      <c r="EK35" s="10">
        <v>10.5</v>
      </c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8">
        <f>SUM(EJ35:EN35)</f>
        <v>10.5</v>
      </c>
      <c r="EY35" s="8">
        <f t="shared" si="3"/>
        <v>5.25</v>
      </c>
      <c r="EZ35" s="10"/>
      <c r="FA35" s="10"/>
      <c r="FB35" s="10"/>
      <c r="FC35" s="10"/>
      <c r="FD35" s="10"/>
      <c r="FE35" s="10"/>
      <c r="FF35" s="10"/>
      <c r="FG35" s="10"/>
      <c r="FH35" s="10"/>
      <c r="FI35" s="8">
        <f t="shared" si="4"/>
        <v>5.25</v>
      </c>
    </row>
    <row r="36" spans="1:165" x14ac:dyDescent="0.25">
      <c r="A36">
        <v>26</v>
      </c>
      <c r="B36" s="20" t="s">
        <v>100</v>
      </c>
      <c r="C36" s="20" t="s">
        <v>101</v>
      </c>
      <c r="D36" s="20" t="s">
        <v>30</v>
      </c>
      <c r="E36" s="20" t="s">
        <v>450</v>
      </c>
      <c r="F36" s="11"/>
      <c r="G36" s="11"/>
      <c r="H36" s="11"/>
      <c r="I36" s="11"/>
      <c r="J36" s="11">
        <v>50</v>
      </c>
      <c r="K36" s="11">
        <v>100</v>
      </c>
      <c r="L36" s="11"/>
      <c r="M36" s="11"/>
      <c r="N36" s="11"/>
      <c r="O36" s="11"/>
      <c r="P36" s="11"/>
      <c r="Q36" s="11"/>
      <c r="R36" s="11" t="s">
        <v>327</v>
      </c>
      <c r="S36" s="11"/>
      <c r="T36" s="11"/>
      <c r="U36" s="11"/>
      <c r="V36" s="11"/>
      <c r="W36" s="11"/>
      <c r="X36" s="11"/>
      <c r="Y36" s="11"/>
      <c r="Z36" s="11"/>
      <c r="AA36" s="11" t="s">
        <v>327</v>
      </c>
      <c r="AB36" s="11"/>
      <c r="AC36" s="11"/>
      <c r="AD36" s="11"/>
      <c r="AE36" s="11" t="s">
        <v>327</v>
      </c>
      <c r="AF36" s="11" t="s">
        <v>327</v>
      </c>
      <c r="AG36" s="11">
        <f>SUM(F36:AF36)</f>
        <v>150</v>
      </c>
      <c r="AH36" s="11">
        <f>AG36/2</f>
        <v>75</v>
      </c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 t="s">
        <v>132</v>
      </c>
      <c r="AZ36" s="11"/>
      <c r="BA36" s="11"/>
      <c r="BB36" s="11"/>
      <c r="BC36" s="11"/>
      <c r="BD36" s="11"/>
      <c r="BE36" s="11"/>
      <c r="BF36" s="11">
        <f>SUM(AH36:BE36)</f>
        <v>75</v>
      </c>
      <c r="BG36" s="11">
        <f>(BF36-AH36)/2</f>
        <v>0</v>
      </c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>
        <f>SUM(BG36:CG36)</f>
        <v>0</v>
      </c>
      <c r="CI36" s="11">
        <f>(CH36-BG36)/2</f>
        <v>0</v>
      </c>
      <c r="CJ36" s="11"/>
      <c r="CK36" s="11"/>
      <c r="CL36" s="11">
        <v>150</v>
      </c>
      <c r="CM36" s="11"/>
      <c r="CN36" s="11"/>
      <c r="CO36" s="11"/>
      <c r="CP36" s="11">
        <f t="shared" si="6"/>
        <v>150</v>
      </c>
      <c r="CQ36" s="11">
        <f t="shared" si="7"/>
        <v>75</v>
      </c>
      <c r="CR36" s="11"/>
      <c r="CS36" s="11"/>
      <c r="CT36" s="11"/>
      <c r="CU36" s="11"/>
      <c r="CV36" s="11"/>
      <c r="CW36" s="11"/>
      <c r="CX36" s="11">
        <f t="shared" si="2"/>
        <v>75</v>
      </c>
      <c r="CY36" s="24"/>
      <c r="CZ36" s="10">
        <f>SUM(DC36:DH36)/2</f>
        <v>117.5</v>
      </c>
      <c r="DA36" s="10">
        <f>BF36/4</f>
        <v>18.75</v>
      </c>
      <c r="DB36" s="10">
        <f>AG36/2</f>
        <v>75</v>
      </c>
      <c r="DC36" s="10">
        <f>20+20*1/2</f>
        <v>30</v>
      </c>
      <c r="DD36" s="10">
        <v>15</v>
      </c>
      <c r="DE36" s="10">
        <v>50</v>
      </c>
      <c r="DF36" s="10">
        <v>140</v>
      </c>
      <c r="DG36" s="10"/>
      <c r="DH36" s="10"/>
      <c r="DI36" s="10">
        <f>SUM(DB36:DH36)</f>
        <v>310</v>
      </c>
      <c r="DJ36" s="10"/>
      <c r="DK36" s="10">
        <v>50</v>
      </c>
      <c r="DL36" s="10">
        <v>26</v>
      </c>
      <c r="DM36" s="10">
        <v>100</v>
      </c>
      <c r="DN36" s="10"/>
      <c r="DO36" s="10">
        <v>15</v>
      </c>
      <c r="DP36" s="10">
        <v>210</v>
      </c>
      <c r="DQ36" s="10"/>
      <c r="DR36" s="10">
        <v>25</v>
      </c>
      <c r="DS36" s="10">
        <f>SUM(CZ36:DA36)+SUM(DJ36:DR36)</f>
        <v>562.25</v>
      </c>
      <c r="DT36" s="8">
        <f>(DS36-CZ36)/2</f>
        <v>222.375</v>
      </c>
      <c r="DU36" s="8">
        <f>CH36/4</f>
        <v>0</v>
      </c>
      <c r="DV36" s="8">
        <v>15</v>
      </c>
      <c r="DW36" s="8">
        <v>25</v>
      </c>
      <c r="DX36" s="8">
        <v>25</v>
      </c>
      <c r="DY36" s="10"/>
      <c r="DZ36" s="10">
        <v>15</v>
      </c>
      <c r="EA36" s="10">
        <v>15</v>
      </c>
      <c r="EB36" s="10">
        <v>25</v>
      </c>
      <c r="EC36" s="10">
        <v>84</v>
      </c>
      <c r="ED36" s="10">
        <v>150</v>
      </c>
      <c r="EE36" s="10">
        <v>15</v>
      </c>
      <c r="EF36" s="10">
        <v>25</v>
      </c>
      <c r="EG36" s="10">
        <v>105</v>
      </c>
      <c r="EH36" s="10"/>
      <c r="EI36" s="8">
        <f>SUM(DT36:EG36)</f>
        <v>721.375</v>
      </c>
      <c r="EJ36" s="8">
        <f>(EI36-DT36)/2</f>
        <v>249.5</v>
      </c>
      <c r="EK36" s="10"/>
      <c r="EL36" s="10">
        <v>80</v>
      </c>
      <c r="EM36" s="10">
        <v>7.5</v>
      </c>
      <c r="EN36" s="10">
        <v>15</v>
      </c>
      <c r="EO36" s="10">
        <v>15</v>
      </c>
      <c r="EP36" s="10">
        <v>18</v>
      </c>
      <c r="EQ36" s="10">
        <v>25</v>
      </c>
      <c r="ER36" s="10">
        <v>54</v>
      </c>
      <c r="ES36" s="10">
        <v>15</v>
      </c>
      <c r="ET36" s="10">
        <v>15</v>
      </c>
      <c r="EU36" s="10"/>
      <c r="EV36" s="10"/>
      <c r="EW36" s="10">
        <v>140</v>
      </c>
      <c r="EX36" s="8">
        <f>SUM(EJ36:EW36)</f>
        <v>634</v>
      </c>
      <c r="EY36" s="8">
        <f t="shared" si="3"/>
        <v>192.25</v>
      </c>
      <c r="EZ36" s="10">
        <v>15</v>
      </c>
      <c r="FA36" s="10"/>
      <c r="FB36" s="10">
        <v>15</v>
      </c>
      <c r="FC36" s="10">
        <v>54</v>
      </c>
      <c r="FD36" s="10">
        <v>75</v>
      </c>
      <c r="FE36" s="10">
        <v>100</v>
      </c>
      <c r="FF36" s="10">
        <v>15</v>
      </c>
      <c r="FG36" s="10"/>
      <c r="FH36" s="10">
        <v>25</v>
      </c>
      <c r="FI36" s="26">
        <f>SUM(EY36:FH36)</f>
        <v>491.25</v>
      </c>
    </row>
    <row r="37" spans="1:165" x14ac:dyDescent="0.25">
      <c r="A37">
        <v>27</v>
      </c>
      <c r="B37" s="8" t="s">
        <v>370</v>
      </c>
      <c r="C37" s="8"/>
      <c r="D37" s="8" t="s">
        <v>371</v>
      </c>
      <c r="E37" s="8" t="s">
        <v>372</v>
      </c>
      <c r="F37" s="8"/>
      <c r="G37" s="8"/>
      <c r="H37" s="8"/>
      <c r="I37" s="8"/>
      <c r="J37" s="8"/>
      <c r="K37" s="8"/>
      <c r="L37" s="8"/>
      <c r="M37" s="10"/>
      <c r="N37" s="8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10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>
        <v>50</v>
      </c>
      <c r="BU37" s="8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1">
        <f>SUM(BG37:CG37)</f>
        <v>50</v>
      </c>
      <c r="CI37" s="11">
        <f>(CH37-BG37)/2</f>
        <v>25</v>
      </c>
      <c r="CJ37" s="11"/>
      <c r="CK37" s="11"/>
      <c r="CL37" s="11">
        <v>7.5</v>
      </c>
      <c r="CM37" s="11">
        <v>40</v>
      </c>
      <c r="CN37" s="11"/>
      <c r="CO37" s="11"/>
      <c r="CP37" s="11">
        <f t="shared" si="6"/>
        <v>72.5</v>
      </c>
      <c r="CQ37" s="11">
        <f t="shared" si="7"/>
        <v>23.75</v>
      </c>
      <c r="CR37" s="11">
        <v>3</v>
      </c>
      <c r="CS37" s="11">
        <v>40</v>
      </c>
      <c r="CT37" s="11">
        <v>5</v>
      </c>
      <c r="CU37" s="11"/>
      <c r="CV37" s="11"/>
      <c r="CW37" s="11"/>
      <c r="CX37" s="11">
        <f t="shared" si="2"/>
        <v>71.75</v>
      </c>
      <c r="CY37" s="24"/>
      <c r="CZ37" s="8"/>
      <c r="DA37" s="8"/>
      <c r="DB37" s="8"/>
      <c r="DC37" s="8"/>
      <c r="DD37" s="8"/>
      <c r="DE37" s="8"/>
      <c r="DF37" s="8"/>
      <c r="DG37" s="10"/>
      <c r="DH37" s="10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10">
        <f>SUM(CZ37:DA37)+SUM(DJ37:DQ37)</f>
        <v>0</v>
      </c>
      <c r="DT37" s="8">
        <f>(DS37-CZ37)/2</f>
        <v>0</v>
      </c>
      <c r="DU37" s="8">
        <f>CH37/4</f>
        <v>12.5</v>
      </c>
      <c r="DV37" s="8"/>
      <c r="DW37" s="8"/>
      <c r="DX37" s="8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8">
        <f>SUM(DT37:EH37)</f>
        <v>12.5</v>
      </c>
      <c r="EJ37" s="8">
        <f>(EI37-DT37)/2</f>
        <v>6.25</v>
      </c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8">
        <f>SUM(EJ37:EN37)</f>
        <v>6.25</v>
      </c>
      <c r="EY37" s="8">
        <f t="shared" si="3"/>
        <v>0</v>
      </c>
      <c r="EZ37" s="10"/>
      <c r="FA37" s="10"/>
      <c r="FB37" s="10"/>
      <c r="FC37" s="10"/>
      <c r="FD37" s="10"/>
      <c r="FE37" s="10"/>
      <c r="FF37" s="10"/>
      <c r="FG37" s="10"/>
      <c r="FH37" s="10"/>
      <c r="FI37" s="8">
        <f t="shared" ref="FI37:FI68" si="8">SUM(EY37:FA37)</f>
        <v>0</v>
      </c>
    </row>
    <row r="38" spans="1:165" x14ac:dyDescent="0.25">
      <c r="A38">
        <v>28</v>
      </c>
      <c r="B38" s="8" t="s">
        <v>621</v>
      </c>
      <c r="C38" s="8"/>
      <c r="D38" s="8" t="s">
        <v>376</v>
      </c>
      <c r="E38" s="8" t="s">
        <v>618</v>
      </c>
      <c r="F38" s="8"/>
      <c r="G38" s="8"/>
      <c r="H38" s="8"/>
      <c r="I38" s="8"/>
      <c r="J38" s="8"/>
      <c r="K38" s="8"/>
      <c r="L38" s="8"/>
      <c r="M38" s="10"/>
      <c r="N38" s="8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10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8"/>
      <c r="CI38" s="8"/>
      <c r="CJ38" s="10">
        <v>60</v>
      </c>
      <c r="CK38" s="10">
        <v>80</v>
      </c>
      <c r="CL38" s="10"/>
      <c r="CM38" s="10"/>
      <c r="CN38" s="10"/>
      <c r="CO38" s="10"/>
      <c r="CP38" s="11">
        <f t="shared" si="6"/>
        <v>140</v>
      </c>
      <c r="CQ38" s="11">
        <f t="shared" si="7"/>
        <v>70</v>
      </c>
      <c r="CR38" s="11"/>
      <c r="CS38" s="11"/>
      <c r="CT38" s="11"/>
      <c r="CU38" s="11"/>
      <c r="CV38" s="11"/>
      <c r="CW38" s="11"/>
      <c r="CX38" s="11">
        <f t="shared" si="2"/>
        <v>70</v>
      </c>
      <c r="CY38" s="24"/>
      <c r="CZ38" s="8"/>
      <c r="DA38" s="8"/>
      <c r="DB38" s="8"/>
      <c r="DC38" s="8"/>
      <c r="DD38" s="8"/>
      <c r="DE38" s="8"/>
      <c r="DF38" s="8"/>
      <c r="DG38" s="10"/>
      <c r="DH38" s="10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8"/>
      <c r="EJ38" s="8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8">
        <f>SUM(EJ38:EN38)</f>
        <v>0</v>
      </c>
      <c r="EY38" s="8">
        <f t="shared" si="3"/>
        <v>0</v>
      </c>
      <c r="EZ38" s="10"/>
      <c r="FA38" s="10"/>
      <c r="FB38" s="10"/>
      <c r="FC38" s="10"/>
      <c r="FD38" s="10"/>
      <c r="FE38" s="10"/>
      <c r="FF38" s="10"/>
      <c r="FG38" s="10"/>
      <c r="FH38" s="10"/>
      <c r="FI38" s="8">
        <f t="shared" si="8"/>
        <v>0</v>
      </c>
    </row>
    <row r="39" spans="1:165" x14ac:dyDescent="0.25">
      <c r="A39">
        <v>29</v>
      </c>
      <c r="B39" s="8" t="s">
        <v>700</v>
      </c>
      <c r="C39" s="8"/>
      <c r="D39" s="8" t="s">
        <v>32</v>
      </c>
      <c r="E39" s="8" t="s">
        <v>368</v>
      </c>
      <c r="F39" s="8"/>
      <c r="G39" s="8"/>
      <c r="H39" s="8"/>
      <c r="I39" s="8"/>
      <c r="J39" s="8"/>
      <c r="K39" s="8"/>
      <c r="L39" s="8"/>
      <c r="M39" s="10"/>
      <c r="N39" s="8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10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8"/>
      <c r="CI39" s="8"/>
      <c r="CJ39" s="10">
        <v>33.6</v>
      </c>
      <c r="CK39" s="10"/>
      <c r="CL39" s="10">
        <v>5</v>
      </c>
      <c r="CM39" s="10"/>
      <c r="CN39" s="10"/>
      <c r="CO39" s="10"/>
      <c r="CP39" s="11">
        <f t="shared" si="6"/>
        <v>38.6</v>
      </c>
      <c r="CQ39" s="11">
        <f t="shared" si="7"/>
        <v>19.3</v>
      </c>
      <c r="CR39" s="11">
        <v>48</v>
      </c>
      <c r="CS39" s="11"/>
      <c r="CT39" s="11"/>
      <c r="CU39" s="11"/>
      <c r="CV39" s="11"/>
      <c r="CW39" s="11"/>
      <c r="CX39" s="11">
        <f t="shared" si="2"/>
        <v>67.3</v>
      </c>
      <c r="CY39" s="24"/>
      <c r="CZ39" s="8"/>
      <c r="DA39" s="8"/>
      <c r="DB39" s="8"/>
      <c r="DC39" s="8"/>
      <c r="DD39" s="8"/>
      <c r="DE39" s="8"/>
      <c r="DF39" s="8"/>
      <c r="DG39" s="10"/>
      <c r="DH39" s="10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8"/>
      <c r="EJ39" s="8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8">
        <f>SUM(EJ39:EV39)</f>
        <v>0</v>
      </c>
      <c r="EY39" s="8">
        <f t="shared" si="3"/>
        <v>0</v>
      </c>
      <c r="EZ39" s="10"/>
      <c r="FA39" s="10"/>
      <c r="FB39" s="10"/>
      <c r="FC39" s="10"/>
      <c r="FD39" s="10"/>
      <c r="FE39" s="10"/>
      <c r="FF39" s="10"/>
      <c r="FG39" s="10"/>
      <c r="FH39" s="10"/>
      <c r="FI39" s="8">
        <f t="shared" si="8"/>
        <v>0</v>
      </c>
    </row>
    <row r="40" spans="1:165" x14ac:dyDescent="0.25">
      <c r="A40">
        <v>30</v>
      </c>
      <c r="B40" s="8" t="s">
        <v>154</v>
      </c>
      <c r="C40" s="8"/>
      <c r="D40" s="8" t="s">
        <v>20</v>
      </c>
      <c r="E40" s="8" t="s">
        <v>24</v>
      </c>
      <c r="F40" s="8"/>
      <c r="G40" s="8"/>
      <c r="H40" s="8"/>
      <c r="I40" s="8"/>
      <c r="J40" s="8"/>
      <c r="K40" s="8"/>
      <c r="L40" s="8"/>
      <c r="M40" s="10"/>
      <c r="N40" s="8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10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8"/>
      <c r="CI40" s="8"/>
      <c r="CJ40" s="10">
        <v>30</v>
      </c>
      <c r="CK40" s="10">
        <v>28.8</v>
      </c>
      <c r="CL40" s="10"/>
      <c r="CM40" s="10"/>
      <c r="CN40" s="10"/>
      <c r="CO40" s="10"/>
      <c r="CP40" s="11">
        <f t="shared" si="6"/>
        <v>58.8</v>
      </c>
      <c r="CQ40" s="11">
        <f t="shared" si="7"/>
        <v>29.4</v>
      </c>
      <c r="CR40" s="11"/>
      <c r="CS40" s="11"/>
      <c r="CT40" s="11">
        <v>36</v>
      </c>
      <c r="CU40" s="11"/>
      <c r="CV40" s="11"/>
      <c r="CW40" s="11"/>
      <c r="CX40" s="11">
        <f t="shared" si="2"/>
        <v>65.400000000000006</v>
      </c>
      <c r="CY40" s="24"/>
      <c r="CZ40" s="8"/>
      <c r="DA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8"/>
      <c r="EJ40" s="8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8">
        <f>SUM(EJ40:EV40)</f>
        <v>0</v>
      </c>
      <c r="EY40" s="8">
        <f t="shared" si="3"/>
        <v>0</v>
      </c>
      <c r="EZ40" s="10"/>
      <c r="FA40" s="10"/>
      <c r="FB40" s="10"/>
      <c r="FC40" s="10"/>
      <c r="FD40" s="10"/>
      <c r="FE40" s="10"/>
      <c r="FF40" s="10"/>
      <c r="FG40" s="10"/>
      <c r="FH40" s="10"/>
      <c r="FI40" s="8">
        <f t="shared" si="8"/>
        <v>0</v>
      </c>
    </row>
    <row r="41" spans="1:165" x14ac:dyDescent="0.25">
      <c r="A41">
        <v>31</v>
      </c>
      <c r="B41" s="8" t="s">
        <v>647</v>
      </c>
      <c r="C41" s="8"/>
      <c r="D41" s="8" t="s">
        <v>188</v>
      </c>
      <c r="E41" s="8" t="s">
        <v>160</v>
      </c>
      <c r="F41" s="8"/>
      <c r="G41" s="8"/>
      <c r="H41" s="8"/>
      <c r="I41" s="8"/>
      <c r="J41" s="8"/>
      <c r="K41" s="8"/>
      <c r="L41" s="8"/>
      <c r="M41" s="10"/>
      <c r="N41" s="8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10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8"/>
      <c r="CI41" s="8"/>
      <c r="CJ41" s="10">
        <v>48</v>
      </c>
      <c r="CK41" s="10">
        <v>40</v>
      </c>
      <c r="CL41" s="10">
        <v>40</v>
      </c>
      <c r="CM41" s="10"/>
      <c r="CN41" s="10"/>
      <c r="CO41" s="10"/>
      <c r="CP41" s="11">
        <f t="shared" si="6"/>
        <v>128</v>
      </c>
      <c r="CQ41" s="11">
        <f t="shared" si="7"/>
        <v>64</v>
      </c>
      <c r="CR41" s="11"/>
      <c r="CS41" s="11"/>
      <c r="CT41" s="11"/>
      <c r="CU41" s="11"/>
      <c r="CV41" s="11"/>
      <c r="CW41" s="11"/>
      <c r="CX41" s="11">
        <f t="shared" si="2"/>
        <v>64</v>
      </c>
      <c r="CY41" s="24"/>
      <c r="CZ41" s="8"/>
      <c r="DA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8"/>
      <c r="EJ41" s="8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8">
        <f>SUM(EJ41:EN41)</f>
        <v>0</v>
      </c>
      <c r="EY41" s="8">
        <f t="shared" si="3"/>
        <v>0</v>
      </c>
      <c r="EZ41" s="10"/>
      <c r="FA41" s="10"/>
      <c r="FB41" s="10"/>
      <c r="FC41" s="10"/>
      <c r="FD41" s="10"/>
      <c r="FE41" s="10"/>
      <c r="FF41" s="10"/>
      <c r="FG41" s="10"/>
      <c r="FH41" s="10"/>
      <c r="FI41" s="8">
        <f t="shared" si="8"/>
        <v>0</v>
      </c>
    </row>
    <row r="42" spans="1:165" x14ac:dyDescent="0.25">
      <c r="A42">
        <v>32</v>
      </c>
      <c r="B42" s="8" t="s">
        <v>199</v>
      </c>
      <c r="C42" s="8" t="s">
        <v>157</v>
      </c>
      <c r="D42" s="8" t="s">
        <v>200</v>
      </c>
      <c r="E42" s="8" t="s">
        <v>17</v>
      </c>
      <c r="F42" s="8"/>
      <c r="G42" s="8"/>
      <c r="H42" s="8"/>
      <c r="I42" s="8"/>
      <c r="J42" s="8"/>
      <c r="K42" s="8"/>
      <c r="L42" s="8"/>
      <c r="M42" s="10"/>
      <c r="N42" s="8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10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>
        <v>48</v>
      </c>
      <c r="BL42" s="8"/>
      <c r="BM42" s="8"/>
      <c r="BN42" s="8"/>
      <c r="BO42" s="8"/>
      <c r="BP42" s="8"/>
      <c r="BQ42" s="8"/>
      <c r="BR42" s="8"/>
      <c r="BS42" s="8"/>
      <c r="BT42" s="8"/>
      <c r="BU42" s="8">
        <v>80</v>
      </c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1">
        <f>SUM(BG42:CG42)</f>
        <v>128</v>
      </c>
      <c r="CI42" s="11">
        <f>(CH42-BG42)/2</f>
        <v>64</v>
      </c>
      <c r="CJ42" s="11"/>
      <c r="CK42" s="11"/>
      <c r="CL42" s="11"/>
      <c r="CM42" s="11"/>
      <c r="CN42" s="11"/>
      <c r="CO42" s="11"/>
      <c r="CP42" s="11">
        <f t="shared" si="6"/>
        <v>64</v>
      </c>
      <c r="CQ42" s="11">
        <f t="shared" si="7"/>
        <v>0</v>
      </c>
      <c r="CR42" s="11">
        <v>60</v>
      </c>
      <c r="CS42" s="11"/>
      <c r="CT42" s="11"/>
      <c r="CU42" s="11"/>
      <c r="CV42" s="11"/>
      <c r="CW42" s="11"/>
      <c r="CX42" s="11">
        <f t="shared" si="2"/>
        <v>60</v>
      </c>
      <c r="CY42" s="24"/>
      <c r="CZ42" s="8"/>
      <c r="DA42" s="8"/>
      <c r="DJ42" s="8"/>
      <c r="DK42" s="8"/>
      <c r="DL42" s="8"/>
      <c r="DM42" s="8"/>
      <c r="DN42" s="8"/>
      <c r="DO42" s="8"/>
      <c r="DP42" s="8"/>
      <c r="DQ42" s="8"/>
      <c r="DR42" s="8"/>
      <c r="DS42" s="10">
        <f>SUM(CZ42:DA42)+SUM(DJ42:DQ42)</f>
        <v>0</v>
      </c>
      <c r="DT42" s="8">
        <f>(DS42-CZ42)/2</f>
        <v>0</v>
      </c>
      <c r="DU42" s="8">
        <f>CH42/4</f>
        <v>32</v>
      </c>
      <c r="DV42" s="8"/>
      <c r="DW42" s="8"/>
      <c r="DX42" s="8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8">
        <f>SUM(DT42:EH42)</f>
        <v>32</v>
      </c>
      <c r="EJ42" s="8">
        <f>(EI42-DT42)/2</f>
        <v>16</v>
      </c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8">
        <f>SUM(EJ42:EN42)</f>
        <v>16</v>
      </c>
      <c r="EY42" s="8">
        <f t="shared" si="3"/>
        <v>0</v>
      </c>
      <c r="EZ42" s="10"/>
      <c r="FA42" s="10"/>
      <c r="FB42" s="10"/>
      <c r="FC42" s="10"/>
      <c r="FD42" s="10"/>
      <c r="FE42" s="10"/>
      <c r="FF42" s="10"/>
      <c r="FG42" s="10"/>
      <c r="FH42" s="10"/>
      <c r="FI42" s="8">
        <f t="shared" si="8"/>
        <v>0</v>
      </c>
    </row>
    <row r="43" spans="1:165" x14ac:dyDescent="0.25">
      <c r="A43">
        <v>33</v>
      </c>
      <c r="B43" s="8" t="s">
        <v>107</v>
      </c>
      <c r="C43" s="8"/>
      <c r="D43" s="8" t="s">
        <v>23</v>
      </c>
      <c r="E43" s="8" t="s">
        <v>68</v>
      </c>
      <c r="F43" s="8"/>
      <c r="G43" s="8"/>
      <c r="H43" s="8"/>
      <c r="I43" s="8"/>
      <c r="J43" s="8"/>
      <c r="K43" s="8"/>
      <c r="L43" s="8"/>
      <c r="M43" s="10"/>
      <c r="N43" s="8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10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8"/>
      <c r="CI43" s="8"/>
      <c r="CJ43" s="10"/>
      <c r="CK43" s="10"/>
      <c r="CL43" s="10">
        <v>7.5</v>
      </c>
      <c r="CM43" s="10"/>
      <c r="CN43" s="10"/>
      <c r="CO43" s="10"/>
      <c r="CP43" s="11">
        <f t="shared" si="6"/>
        <v>7.5</v>
      </c>
      <c r="CQ43" s="11">
        <f t="shared" si="7"/>
        <v>3.75</v>
      </c>
      <c r="CR43" s="11"/>
      <c r="CS43" s="11">
        <v>56</v>
      </c>
      <c r="CT43" s="11"/>
      <c r="CU43" s="11"/>
      <c r="CV43" s="11"/>
      <c r="CW43" s="11"/>
      <c r="CX43" s="11">
        <f t="shared" ref="CX43:CX74" si="9">SUM(CQ43:CW43)</f>
        <v>59.75</v>
      </c>
      <c r="CY43" s="24"/>
      <c r="CZ43" s="8"/>
      <c r="DA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8"/>
      <c r="EJ43" s="8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8">
        <f>SUM(EJ43:EV43)</f>
        <v>0</v>
      </c>
      <c r="EY43" s="8">
        <f t="shared" ref="EY43:EY74" si="10">(EX43-EJ43)/2</f>
        <v>0</v>
      </c>
      <c r="EZ43" s="10"/>
      <c r="FA43" s="10"/>
      <c r="FB43" s="10"/>
      <c r="FC43" s="10"/>
      <c r="FD43" s="10"/>
      <c r="FE43" s="10"/>
      <c r="FF43" s="10"/>
      <c r="FG43" s="10"/>
      <c r="FH43" s="10"/>
      <c r="FI43" s="8">
        <f t="shared" si="8"/>
        <v>0</v>
      </c>
    </row>
    <row r="44" spans="1:165" x14ac:dyDescent="0.25">
      <c r="A44">
        <v>34</v>
      </c>
      <c r="B44" s="8" t="s">
        <v>633</v>
      </c>
      <c r="C44" s="8"/>
      <c r="D44" s="8" t="s">
        <v>634</v>
      </c>
      <c r="E44" s="8" t="s">
        <v>248</v>
      </c>
      <c r="F44" s="8"/>
      <c r="G44" s="8"/>
      <c r="H44" s="8"/>
      <c r="I44" s="8"/>
      <c r="J44" s="8"/>
      <c r="K44" s="8"/>
      <c r="L44" s="8"/>
      <c r="M44" s="10"/>
      <c r="N44" s="8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10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8"/>
      <c r="CI44" s="8"/>
      <c r="CJ44" s="10">
        <v>48</v>
      </c>
      <c r="CK44" s="10">
        <v>4</v>
      </c>
      <c r="CL44" s="10">
        <v>7.5</v>
      </c>
      <c r="CM44" s="10">
        <v>48</v>
      </c>
      <c r="CN44" s="10"/>
      <c r="CO44" s="10"/>
      <c r="CP44" s="11">
        <f t="shared" si="6"/>
        <v>107.5</v>
      </c>
      <c r="CQ44" s="11">
        <f t="shared" si="7"/>
        <v>53.75</v>
      </c>
      <c r="CR44" s="11">
        <v>3</v>
      </c>
      <c r="CS44" s="11"/>
      <c r="CT44" s="11"/>
      <c r="CU44" s="11"/>
      <c r="CV44" s="11"/>
      <c r="CW44" s="11"/>
      <c r="CX44" s="11">
        <f t="shared" si="9"/>
        <v>56.75</v>
      </c>
      <c r="CY44" s="24"/>
      <c r="CZ44" s="8"/>
      <c r="DA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8"/>
      <c r="EJ44" s="8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8">
        <f>SUM(EJ44:EN44)</f>
        <v>0</v>
      </c>
      <c r="EY44" s="8">
        <f t="shared" si="10"/>
        <v>0</v>
      </c>
      <c r="EZ44" s="10"/>
      <c r="FA44" s="10"/>
      <c r="FB44" s="10"/>
      <c r="FC44" s="10"/>
      <c r="FD44" s="10"/>
      <c r="FE44" s="10"/>
      <c r="FF44" s="10"/>
      <c r="FG44" s="10"/>
      <c r="FH44" s="10"/>
      <c r="FI44" s="8">
        <f t="shared" si="8"/>
        <v>0</v>
      </c>
    </row>
    <row r="45" spans="1:165" x14ac:dyDescent="0.25">
      <c r="A45">
        <v>35</v>
      </c>
      <c r="B45" s="8" t="s">
        <v>191</v>
      </c>
      <c r="C45" s="8"/>
      <c r="D45" s="8" t="s">
        <v>21</v>
      </c>
      <c r="E45" s="8" t="s">
        <v>43</v>
      </c>
      <c r="F45" s="8"/>
      <c r="G45" s="8"/>
      <c r="H45" s="8"/>
      <c r="I45" s="8"/>
      <c r="J45" s="8"/>
      <c r="K45" s="8"/>
      <c r="L45" s="8"/>
      <c r="M45" s="10"/>
      <c r="N45" s="8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10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8"/>
      <c r="CI45" s="8"/>
      <c r="CJ45" s="10"/>
      <c r="CK45" s="10"/>
      <c r="CL45" s="10"/>
      <c r="CM45" s="10"/>
      <c r="CN45" s="10"/>
      <c r="CO45" s="10"/>
      <c r="CP45" s="8"/>
      <c r="CQ45" s="8"/>
      <c r="CR45" s="10">
        <v>48</v>
      </c>
      <c r="CS45" s="10"/>
      <c r="CT45" s="10">
        <v>7.5</v>
      </c>
      <c r="CU45" s="8"/>
      <c r="CV45" s="8"/>
      <c r="CW45" s="8"/>
      <c r="CX45" s="11">
        <f t="shared" si="9"/>
        <v>55.5</v>
      </c>
      <c r="CZ45" s="8"/>
      <c r="DA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8"/>
      <c r="EJ45" s="8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8">
        <f>SUM(EJ45:EV45)</f>
        <v>0</v>
      </c>
      <c r="EY45" s="8">
        <f t="shared" si="10"/>
        <v>0</v>
      </c>
      <c r="EZ45" s="10"/>
      <c r="FA45" s="10"/>
      <c r="FB45" s="10"/>
      <c r="FC45" s="10"/>
      <c r="FD45" s="10"/>
      <c r="FE45" s="10"/>
      <c r="FF45" s="10"/>
      <c r="FG45" s="10"/>
      <c r="FH45" s="10"/>
      <c r="FI45" s="8">
        <f t="shared" si="8"/>
        <v>0</v>
      </c>
    </row>
    <row r="46" spans="1:165" x14ac:dyDescent="0.25">
      <c r="A46">
        <v>36</v>
      </c>
      <c r="B46" s="8" t="s">
        <v>619</v>
      </c>
      <c r="C46" s="8"/>
      <c r="D46" s="8" t="s">
        <v>20</v>
      </c>
      <c r="E46" s="8" t="s">
        <v>19</v>
      </c>
      <c r="F46" s="8"/>
      <c r="G46" s="8"/>
      <c r="H46" s="8"/>
      <c r="I46" s="8"/>
      <c r="J46" s="8"/>
      <c r="K46" s="8"/>
      <c r="L46" s="8"/>
      <c r="M46" s="10"/>
      <c r="N46" s="8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10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8"/>
      <c r="CI46" s="8"/>
      <c r="CJ46" s="10"/>
      <c r="CK46" s="10"/>
      <c r="CL46" s="10"/>
      <c r="CM46" s="10"/>
      <c r="CN46" s="10"/>
      <c r="CO46" s="10"/>
      <c r="CP46" s="8"/>
      <c r="CQ46" s="8"/>
      <c r="CR46" s="10">
        <v>3</v>
      </c>
      <c r="CS46" s="10"/>
      <c r="CT46" s="10">
        <v>50</v>
      </c>
      <c r="CU46" s="8"/>
      <c r="CV46" s="8"/>
      <c r="CW46" s="8"/>
      <c r="CX46" s="11">
        <f t="shared" si="9"/>
        <v>53</v>
      </c>
      <c r="CZ46" s="8"/>
      <c r="DA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8"/>
      <c r="EJ46" s="8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8">
        <f>SUM(EJ46:EV46)</f>
        <v>0</v>
      </c>
      <c r="EY46" s="8">
        <f t="shared" si="10"/>
        <v>0</v>
      </c>
      <c r="EZ46" s="10"/>
      <c r="FA46" s="10"/>
      <c r="FB46" s="10"/>
      <c r="FC46" s="10"/>
      <c r="FD46" s="10"/>
      <c r="FE46" s="10"/>
      <c r="FF46" s="10"/>
      <c r="FG46" s="10"/>
      <c r="FH46" s="10"/>
      <c r="FI46" s="8">
        <f t="shared" si="8"/>
        <v>0</v>
      </c>
    </row>
    <row r="47" spans="1:165" x14ac:dyDescent="0.25">
      <c r="A47">
        <v>37</v>
      </c>
      <c r="B47" s="18" t="s">
        <v>122</v>
      </c>
      <c r="C47" s="18" t="s">
        <v>293</v>
      </c>
      <c r="D47" s="18" t="s">
        <v>26</v>
      </c>
      <c r="E47" s="18" t="s">
        <v>245</v>
      </c>
      <c r="F47" s="8"/>
      <c r="G47" s="8"/>
      <c r="H47" s="8"/>
      <c r="I47" s="8"/>
      <c r="J47" s="8"/>
      <c r="K47" s="10">
        <v>5</v>
      </c>
      <c r="L47" s="10"/>
      <c r="M47" s="10">
        <v>60</v>
      </c>
      <c r="N47" s="10"/>
      <c r="O47" s="10"/>
      <c r="P47" s="10"/>
      <c r="Q47" s="10">
        <v>40</v>
      </c>
      <c r="R47" s="10">
        <v>36</v>
      </c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1">
        <f>SUM(F47:AF47)</f>
        <v>141</v>
      </c>
      <c r="AH47" s="11">
        <f>AG47/2</f>
        <v>70.5</v>
      </c>
      <c r="AI47" s="11"/>
      <c r="AJ47" s="11"/>
      <c r="AK47" s="11"/>
      <c r="AL47" s="11">
        <v>100</v>
      </c>
      <c r="AM47" s="11">
        <v>48</v>
      </c>
      <c r="AN47" s="11"/>
      <c r="AO47" s="11"/>
      <c r="AP47" s="11">
        <v>64</v>
      </c>
      <c r="AQ47" s="11"/>
      <c r="AR47" s="11"/>
      <c r="AS47" s="11"/>
      <c r="AT47" s="11"/>
      <c r="AU47" s="11"/>
      <c r="AV47" s="11"/>
      <c r="AW47" s="11"/>
      <c r="AX47" s="11"/>
      <c r="AY47" s="11">
        <v>70</v>
      </c>
      <c r="AZ47" s="11"/>
      <c r="BA47" s="11"/>
      <c r="BB47" s="11"/>
      <c r="BC47" s="11"/>
      <c r="BD47" s="11"/>
      <c r="BE47" s="11">
        <v>7.5</v>
      </c>
      <c r="BF47" s="11">
        <f>SUM(AH47:BE47)</f>
        <v>360</v>
      </c>
      <c r="BG47" s="11">
        <f>(BF47-AH47)/2</f>
        <v>144.75</v>
      </c>
      <c r="BH47" s="11">
        <v>48</v>
      </c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>
        <v>80</v>
      </c>
      <c r="BX47" s="11">
        <v>54</v>
      </c>
      <c r="BY47" s="11"/>
      <c r="BZ47" s="11"/>
      <c r="CA47" s="11"/>
      <c r="CB47" s="11"/>
      <c r="CC47" s="11"/>
      <c r="CD47" s="11"/>
      <c r="CE47" s="11"/>
      <c r="CF47" s="11">
        <v>75</v>
      </c>
      <c r="CG47" s="11"/>
      <c r="CH47" s="11">
        <f>SUM(BG47:CG47)</f>
        <v>401.75</v>
      </c>
      <c r="CI47" s="11">
        <f>(CH47-BG47)/2</f>
        <v>128.5</v>
      </c>
      <c r="CJ47" s="11"/>
      <c r="CK47" s="11"/>
      <c r="CL47" s="11"/>
      <c r="CM47" s="11"/>
      <c r="CN47" s="11"/>
      <c r="CO47" s="11"/>
      <c r="CP47" s="11">
        <f>SUM(CI47:CO47)</f>
        <v>128.5</v>
      </c>
      <c r="CQ47" s="11">
        <f>SUM(CP47-CI47)/2</f>
        <v>0</v>
      </c>
      <c r="CR47" s="11">
        <v>48</v>
      </c>
      <c r="CS47" s="11"/>
      <c r="CT47" s="11"/>
      <c r="CU47" s="11"/>
      <c r="CV47" s="11"/>
      <c r="CW47" s="11"/>
      <c r="CX47" s="11">
        <f t="shared" si="9"/>
        <v>48</v>
      </c>
      <c r="CY47" s="24"/>
      <c r="CZ47" s="12">
        <f>SUM(DC47:DH47)/2</f>
        <v>0</v>
      </c>
      <c r="DA47" s="12">
        <f>BF47/4</f>
        <v>90</v>
      </c>
      <c r="DB47" s="12">
        <f>AG47/2</f>
        <v>70.5</v>
      </c>
      <c r="DC47" s="12"/>
      <c r="DD47" s="12"/>
      <c r="DE47" s="12"/>
      <c r="DF47" s="12"/>
      <c r="DI47" s="12">
        <f>SUM(DB47:DD47)</f>
        <v>70.5</v>
      </c>
      <c r="DJ47" s="12"/>
      <c r="DK47" s="12"/>
      <c r="DL47" s="12"/>
      <c r="DM47" s="12"/>
      <c r="DN47" s="12"/>
      <c r="DO47" s="12"/>
      <c r="DP47" s="12"/>
      <c r="DQ47" s="12"/>
      <c r="DR47" s="12"/>
      <c r="DS47" s="10">
        <f>SUM(CZ47:DA47)+SUM(DJ47:DL47)</f>
        <v>90</v>
      </c>
      <c r="DT47" s="8">
        <f>(DS47-CZ47)/2</f>
        <v>45</v>
      </c>
      <c r="DU47" s="8">
        <f>CH47/4</f>
        <v>100.4375</v>
      </c>
      <c r="DV47" s="8"/>
      <c r="DW47" s="8"/>
      <c r="DX47" s="8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8">
        <f>SUM(DT47:DV47)</f>
        <v>145.4375</v>
      </c>
      <c r="EJ47" s="8">
        <f>(EI47-DT47)/2</f>
        <v>50.21875</v>
      </c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8">
        <f>SUM(EJ47:EN47)</f>
        <v>50.21875</v>
      </c>
      <c r="EY47" s="8">
        <f t="shared" si="10"/>
        <v>0</v>
      </c>
      <c r="EZ47" s="10"/>
      <c r="FA47" s="10"/>
      <c r="FB47" s="10"/>
      <c r="FC47" s="10"/>
      <c r="FD47" s="10"/>
      <c r="FE47" s="10"/>
      <c r="FF47" s="10"/>
      <c r="FG47" s="10"/>
      <c r="FH47" s="10"/>
      <c r="FI47" s="8">
        <f t="shared" si="8"/>
        <v>0</v>
      </c>
    </row>
    <row r="48" spans="1:165" x14ac:dyDescent="0.25">
      <c r="A48">
        <v>38</v>
      </c>
      <c r="B48" s="8" t="s">
        <v>117</v>
      </c>
      <c r="C48" s="8"/>
      <c r="D48" s="8" t="s">
        <v>32</v>
      </c>
      <c r="E48" s="8" t="s">
        <v>581</v>
      </c>
      <c r="F48" s="8"/>
      <c r="G48" s="8"/>
      <c r="H48" s="8"/>
      <c r="I48" s="8"/>
      <c r="J48" s="8"/>
      <c r="K48" s="8"/>
      <c r="L48" s="8"/>
      <c r="M48" s="10"/>
      <c r="N48" s="8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10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10"/>
      <c r="BW48" s="10"/>
      <c r="BX48" s="10">
        <v>7.5</v>
      </c>
      <c r="BY48" s="10"/>
      <c r="BZ48" s="10"/>
      <c r="CA48" s="10"/>
      <c r="CB48" s="10"/>
      <c r="CC48" s="10"/>
      <c r="CD48" s="10"/>
      <c r="CE48" s="10"/>
      <c r="CF48" s="10"/>
      <c r="CG48" s="10"/>
      <c r="CH48" s="11">
        <f>SUM(BG48:CG48)</f>
        <v>7.5</v>
      </c>
      <c r="CI48" s="11">
        <f>(CH48-BG48)/2</f>
        <v>3.75</v>
      </c>
      <c r="CJ48" s="11"/>
      <c r="CK48" s="11">
        <v>32</v>
      </c>
      <c r="CL48" s="11"/>
      <c r="CM48" s="11"/>
      <c r="CN48" s="11"/>
      <c r="CO48" s="11"/>
      <c r="CP48" s="11">
        <f>SUM(CI48:CO48)</f>
        <v>35.75</v>
      </c>
      <c r="CQ48" s="11">
        <f>SUM(CP48-CI48)/2</f>
        <v>16</v>
      </c>
      <c r="CR48" s="11">
        <v>30</v>
      </c>
      <c r="CS48" s="11"/>
      <c r="CT48" s="11"/>
      <c r="CU48" s="11"/>
      <c r="CV48" s="11"/>
      <c r="CW48" s="11"/>
      <c r="CX48" s="11">
        <f t="shared" si="9"/>
        <v>46</v>
      </c>
      <c r="CY48" s="24"/>
      <c r="DS48" s="10">
        <f>SUM(CZ48:DA48)+SUM(DJ48:DQ48)</f>
        <v>0</v>
      </c>
      <c r="DT48" s="8">
        <f>(DS48-CZ48)/2</f>
        <v>0</v>
      </c>
      <c r="DU48" s="8">
        <f>CH48/4</f>
        <v>1.875</v>
      </c>
      <c r="DV48" s="8"/>
      <c r="DW48" s="8"/>
      <c r="DX48" s="8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8">
        <f>SUM(DT48:EH48)</f>
        <v>1.875</v>
      </c>
      <c r="EJ48" s="8">
        <f>(EI48-DT48)/2</f>
        <v>0.9375</v>
      </c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8">
        <f>SUM(EJ48:EV48)</f>
        <v>0.9375</v>
      </c>
      <c r="EY48" s="8">
        <f t="shared" si="10"/>
        <v>0</v>
      </c>
      <c r="EZ48" s="10"/>
      <c r="FA48" s="10"/>
      <c r="FB48" s="10"/>
      <c r="FC48" s="10"/>
      <c r="FD48" s="10"/>
      <c r="FE48" s="10"/>
      <c r="FF48" s="10"/>
      <c r="FG48" s="10"/>
      <c r="FH48" s="10"/>
      <c r="FI48" s="8">
        <f t="shared" si="8"/>
        <v>0</v>
      </c>
    </row>
    <row r="49" spans="1:165" x14ac:dyDescent="0.25">
      <c r="A49">
        <v>39</v>
      </c>
      <c r="B49" s="8" t="s">
        <v>747</v>
      </c>
      <c r="C49" s="8"/>
      <c r="D49" s="8" t="s">
        <v>21</v>
      </c>
      <c r="E49" s="8" t="s">
        <v>631</v>
      </c>
      <c r="F49" s="8"/>
      <c r="G49" s="8"/>
      <c r="H49" s="8"/>
      <c r="I49" s="8"/>
      <c r="J49" s="8"/>
      <c r="K49" s="8"/>
      <c r="L49" s="8"/>
      <c r="M49" s="10"/>
      <c r="N49" s="8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10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8"/>
      <c r="CI49" s="8"/>
      <c r="CJ49" s="10"/>
      <c r="CK49" s="10"/>
      <c r="CL49" s="10"/>
      <c r="CM49" s="10"/>
      <c r="CN49" s="10"/>
      <c r="CO49" s="10"/>
      <c r="CP49" s="8"/>
      <c r="CQ49" s="8"/>
      <c r="CR49" s="10">
        <v>42</v>
      </c>
      <c r="CS49" s="10"/>
      <c r="CT49" s="10"/>
      <c r="CU49" s="8"/>
      <c r="CV49" s="8"/>
      <c r="CW49" s="8"/>
      <c r="CX49" s="11">
        <f t="shared" si="9"/>
        <v>42</v>
      </c>
      <c r="DS49" s="8"/>
      <c r="DT49" s="8"/>
      <c r="DU49" s="8"/>
      <c r="DV49" s="8"/>
      <c r="DW49" s="8"/>
      <c r="DX49" s="8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8"/>
      <c r="EJ49" s="8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8">
        <f>SUM(EJ49:EV49)</f>
        <v>0</v>
      </c>
      <c r="EY49" s="8">
        <f t="shared" si="10"/>
        <v>0</v>
      </c>
      <c r="EZ49" s="10"/>
      <c r="FA49" s="10"/>
      <c r="FB49" s="10"/>
      <c r="FC49" s="10"/>
      <c r="FD49" s="10"/>
      <c r="FE49" s="10"/>
      <c r="FF49" s="10"/>
      <c r="FG49" s="10"/>
      <c r="FH49" s="10"/>
      <c r="FI49" s="8">
        <f t="shared" si="8"/>
        <v>0</v>
      </c>
    </row>
    <row r="50" spans="1:165" x14ac:dyDescent="0.25">
      <c r="A50">
        <v>40</v>
      </c>
      <c r="B50" s="8" t="s">
        <v>100</v>
      </c>
      <c r="C50" s="8"/>
      <c r="D50" s="8" t="s">
        <v>735</v>
      </c>
      <c r="E50" s="8" t="s">
        <v>813</v>
      </c>
      <c r="F50" s="8"/>
      <c r="G50" s="8"/>
      <c r="H50" s="8"/>
      <c r="I50" s="8"/>
      <c r="J50" s="8"/>
      <c r="K50" s="8"/>
      <c r="L50" s="8"/>
      <c r="M50" s="10"/>
      <c r="N50" s="8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10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8"/>
      <c r="CI50" s="8"/>
      <c r="CJ50" s="10"/>
      <c r="CK50" s="10"/>
      <c r="CL50" s="10"/>
      <c r="CM50" s="10"/>
      <c r="CN50" s="10"/>
      <c r="CO50" s="10"/>
      <c r="CP50" s="8"/>
      <c r="CQ50" s="8"/>
      <c r="CR50" s="10">
        <v>3</v>
      </c>
      <c r="CS50" s="10"/>
      <c r="CT50" s="10">
        <v>36</v>
      </c>
      <c r="CU50" s="8"/>
      <c r="CV50" s="8"/>
      <c r="CW50" s="8"/>
      <c r="CX50" s="11">
        <f t="shared" si="9"/>
        <v>39</v>
      </c>
      <c r="DS50" s="8"/>
      <c r="DT50" s="8"/>
      <c r="DU50" s="8"/>
      <c r="DV50" s="8"/>
      <c r="DW50" s="8"/>
      <c r="DX50" s="8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8"/>
      <c r="EJ50" s="8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8">
        <f>SUM(EJ50:EV50)</f>
        <v>0</v>
      </c>
      <c r="EY50" s="8">
        <f t="shared" si="10"/>
        <v>0</v>
      </c>
      <c r="EZ50" s="10"/>
      <c r="FA50" s="10"/>
      <c r="FB50" s="10"/>
      <c r="FC50" s="10"/>
      <c r="FD50" s="10"/>
      <c r="FE50" s="10"/>
      <c r="FF50" s="10"/>
      <c r="FG50" s="10"/>
      <c r="FH50" s="10"/>
      <c r="FI50" s="8">
        <f t="shared" si="8"/>
        <v>0</v>
      </c>
    </row>
    <row r="51" spans="1:165" x14ac:dyDescent="0.25">
      <c r="A51">
        <v>41</v>
      </c>
      <c r="B51" s="8" t="s">
        <v>426</v>
      </c>
      <c r="C51" s="8"/>
      <c r="D51" s="8" t="s">
        <v>637</v>
      </c>
      <c r="E51" s="8" t="s">
        <v>638</v>
      </c>
      <c r="F51" s="8"/>
      <c r="G51" s="8"/>
      <c r="H51" s="8"/>
      <c r="I51" s="8"/>
      <c r="J51" s="8"/>
      <c r="K51" s="8"/>
      <c r="L51" s="8"/>
      <c r="M51" s="10"/>
      <c r="N51" s="8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10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8"/>
      <c r="CI51" s="8"/>
      <c r="CJ51" s="10"/>
      <c r="CK51" s="10"/>
      <c r="CL51" s="10">
        <v>75</v>
      </c>
      <c r="CM51" s="10"/>
      <c r="CN51" s="10"/>
      <c r="CO51" s="10"/>
      <c r="CP51" s="11">
        <f>SUM(CI51:CO51)</f>
        <v>75</v>
      </c>
      <c r="CQ51" s="11">
        <f>SUM(CP51-CI51)/2</f>
        <v>37.5</v>
      </c>
      <c r="CR51" s="11"/>
      <c r="CS51" s="11"/>
      <c r="CT51" s="11"/>
      <c r="CU51" s="11"/>
      <c r="CV51" s="11"/>
      <c r="CW51" s="11"/>
      <c r="CX51" s="11">
        <f t="shared" si="9"/>
        <v>37.5</v>
      </c>
      <c r="CY51" s="24"/>
      <c r="DS51" s="8"/>
      <c r="DT51" s="8"/>
      <c r="DU51" s="8"/>
      <c r="DV51" s="8"/>
      <c r="DW51" s="8"/>
      <c r="DX51" s="8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8"/>
      <c r="EJ51" s="8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8">
        <f>SUM(EJ51:EN51)</f>
        <v>0</v>
      </c>
      <c r="EY51" s="8">
        <f t="shared" si="10"/>
        <v>0</v>
      </c>
      <c r="EZ51" s="10"/>
      <c r="FA51" s="10"/>
      <c r="FB51" s="10"/>
      <c r="FC51" s="10"/>
      <c r="FD51" s="10"/>
      <c r="FE51" s="10"/>
      <c r="FF51" s="10"/>
      <c r="FG51" s="10"/>
      <c r="FH51" s="10"/>
      <c r="FI51" s="8">
        <f t="shared" si="8"/>
        <v>0</v>
      </c>
    </row>
    <row r="52" spans="1:165" x14ac:dyDescent="0.25">
      <c r="A52">
        <v>42</v>
      </c>
      <c r="B52" s="8" t="s">
        <v>240</v>
      </c>
      <c r="C52" s="8"/>
      <c r="D52" s="8" t="s">
        <v>27</v>
      </c>
      <c r="E52" s="8" t="s">
        <v>152</v>
      </c>
      <c r="F52" s="8"/>
      <c r="G52" s="8"/>
      <c r="H52" s="8"/>
      <c r="I52" s="8"/>
      <c r="J52" s="8"/>
      <c r="K52" s="8"/>
      <c r="L52" s="8"/>
      <c r="M52" s="10"/>
      <c r="N52" s="8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10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8"/>
      <c r="CI52" s="8"/>
      <c r="CJ52" s="10"/>
      <c r="CK52" s="10"/>
      <c r="CL52" s="10"/>
      <c r="CM52" s="10"/>
      <c r="CN52" s="10"/>
      <c r="CO52" s="10"/>
      <c r="CP52" s="8"/>
      <c r="CQ52" s="8"/>
      <c r="CR52" s="10">
        <v>36</v>
      </c>
      <c r="CS52" s="10"/>
      <c r="CT52" s="10"/>
      <c r="CU52" s="8"/>
      <c r="CV52" s="8"/>
      <c r="CW52" s="8"/>
      <c r="CX52" s="11">
        <f t="shared" si="9"/>
        <v>36</v>
      </c>
      <c r="DS52" s="8"/>
      <c r="DT52" s="8"/>
      <c r="DU52" s="8"/>
      <c r="DV52" s="8"/>
      <c r="DW52" s="8"/>
      <c r="DX52" s="8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8"/>
      <c r="EJ52" s="8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8">
        <f>SUM(EJ52:EV52)</f>
        <v>0</v>
      </c>
      <c r="EY52" s="8">
        <f t="shared" si="10"/>
        <v>0</v>
      </c>
      <c r="EZ52" s="10"/>
      <c r="FA52" s="10"/>
      <c r="FB52" s="10"/>
      <c r="FC52" s="10"/>
      <c r="FD52" s="10"/>
      <c r="FE52" s="10"/>
      <c r="FF52" s="10"/>
      <c r="FG52" s="10"/>
      <c r="FH52" s="10"/>
      <c r="FI52" s="8">
        <f t="shared" si="8"/>
        <v>0</v>
      </c>
    </row>
    <row r="53" spans="1:165" x14ac:dyDescent="0.25">
      <c r="A53">
        <v>43</v>
      </c>
      <c r="B53" s="8" t="s">
        <v>260</v>
      </c>
      <c r="C53" s="8"/>
      <c r="D53" s="8" t="s">
        <v>471</v>
      </c>
      <c r="E53" s="8" t="s">
        <v>618</v>
      </c>
      <c r="F53" s="8"/>
      <c r="G53" s="8"/>
      <c r="H53" s="8"/>
      <c r="I53" s="8"/>
      <c r="J53" s="8"/>
      <c r="K53" s="8"/>
      <c r="L53" s="8"/>
      <c r="M53" s="10"/>
      <c r="N53" s="8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10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8"/>
      <c r="CI53" s="8"/>
      <c r="CJ53" s="10"/>
      <c r="CK53" s="10"/>
      <c r="CL53" s="10">
        <v>70</v>
      </c>
      <c r="CM53" s="10"/>
      <c r="CN53" s="10"/>
      <c r="CO53" s="10"/>
      <c r="CP53" s="11">
        <f>SUM(CI53:CO53)</f>
        <v>70</v>
      </c>
      <c r="CQ53" s="11">
        <f>SUM(CP53-CI53)/2</f>
        <v>35</v>
      </c>
      <c r="CR53" s="11"/>
      <c r="CS53" s="11"/>
      <c r="CT53" s="11"/>
      <c r="CU53" s="11"/>
      <c r="CV53" s="11"/>
      <c r="CW53" s="11"/>
      <c r="CX53" s="11">
        <f t="shared" si="9"/>
        <v>35</v>
      </c>
      <c r="CY53" s="24"/>
      <c r="DS53" s="8"/>
      <c r="DT53" s="8"/>
      <c r="DU53" s="8"/>
      <c r="DV53" s="8"/>
      <c r="DW53" s="8"/>
      <c r="DX53" s="8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8"/>
      <c r="EJ53" s="8"/>
      <c r="EK53" s="10"/>
      <c r="EL53" s="10"/>
      <c r="EM53" s="10"/>
      <c r="EN53" s="10"/>
      <c r="EO53" s="10"/>
      <c r="EP53" s="10"/>
      <c r="EQ53" s="10"/>
      <c r="ER53" s="10"/>
      <c r="ES53" s="10"/>
      <c r="ET53" s="10"/>
      <c r="EU53" s="10"/>
      <c r="EV53" s="10"/>
      <c r="EW53" s="10"/>
      <c r="EX53" s="8">
        <f>SUM(EJ53:EN53)</f>
        <v>0</v>
      </c>
      <c r="EY53" s="8">
        <f t="shared" si="10"/>
        <v>0</v>
      </c>
      <c r="EZ53" s="10"/>
      <c r="FA53" s="10"/>
      <c r="FB53" s="10"/>
      <c r="FC53" s="10"/>
      <c r="FD53" s="10"/>
      <c r="FE53" s="10"/>
      <c r="FF53" s="10"/>
      <c r="FG53" s="10"/>
      <c r="FH53" s="10"/>
      <c r="FI53" s="8">
        <f t="shared" si="8"/>
        <v>0</v>
      </c>
    </row>
    <row r="54" spans="1:165" x14ac:dyDescent="0.25">
      <c r="A54">
        <v>44</v>
      </c>
      <c r="B54" s="8" t="s">
        <v>794</v>
      </c>
      <c r="C54" s="8"/>
      <c r="D54" s="8" t="s">
        <v>705</v>
      </c>
      <c r="E54" s="8" t="s">
        <v>229</v>
      </c>
      <c r="F54" s="8"/>
      <c r="G54" s="8"/>
      <c r="H54" s="8"/>
      <c r="I54" s="8"/>
      <c r="J54" s="8"/>
      <c r="K54" s="8"/>
      <c r="L54" s="8"/>
      <c r="M54" s="10"/>
      <c r="N54" s="8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10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8"/>
      <c r="CI54" s="8"/>
      <c r="CJ54" s="10"/>
      <c r="CK54" s="10"/>
      <c r="CL54" s="10"/>
      <c r="CM54" s="10"/>
      <c r="CN54" s="10"/>
      <c r="CO54" s="10"/>
      <c r="CP54" s="8"/>
      <c r="CQ54" s="8"/>
      <c r="CR54" s="10">
        <v>30</v>
      </c>
      <c r="CS54" s="10">
        <v>4</v>
      </c>
      <c r="CT54" s="10"/>
      <c r="CU54" s="8"/>
      <c r="CV54" s="8"/>
      <c r="CW54" s="8"/>
      <c r="CX54" s="11">
        <f t="shared" si="9"/>
        <v>34</v>
      </c>
      <c r="DS54" s="8"/>
      <c r="DT54" s="8"/>
      <c r="DU54" s="8"/>
      <c r="DV54" s="8"/>
      <c r="DW54" s="8"/>
      <c r="DX54" s="8"/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8"/>
      <c r="EJ54" s="8"/>
      <c r="EK54" s="10"/>
      <c r="EL54" s="10"/>
      <c r="EM54" s="10"/>
      <c r="EN54" s="10"/>
      <c r="EO54" s="10"/>
      <c r="EP54" s="10"/>
      <c r="EQ54" s="10"/>
      <c r="ER54" s="10"/>
      <c r="ES54" s="10"/>
      <c r="ET54" s="10"/>
      <c r="EU54" s="10"/>
      <c r="EV54" s="10"/>
      <c r="EW54" s="10"/>
      <c r="EX54" s="8">
        <f t="shared" ref="EX54:EX59" si="11">SUM(EJ54:EV54)</f>
        <v>0</v>
      </c>
      <c r="EY54" s="8">
        <f t="shared" si="10"/>
        <v>0</v>
      </c>
      <c r="EZ54" s="10"/>
      <c r="FA54" s="10"/>
      <c r="FB54" s="10"/>
      <c r="FC54" s="10"/>
      <c r="FD54" s="10"/>
      <c r="FE54" s="10"/>
      <c r="FF54" s="10"/>
      <c r="FG54" s="10"/>
      <c r="FH54" s="10"/>
      <c r="FI54" s="8">
        <f t="shared" si="8"/>
        <v>0</v>
      </c>
    </row>
    <row r="55" spans="1:165" x14ac:dyDescent="0.25">
      <c r="A55">
        <v>45</v>
      </c>
      <c r="B55" s="8" t="s">
        <v>645</v>
      </c>
      <c r="C55" s="8"/>
      <c r="D55" s="8" t="s">
        <v>857</v>
      </c>
      <c r="E55" s="8" t="s">
        <v>646</v>
      </c>
      <c r="F55" s="8"/>
      <c r="G55" s="8"/>
      <c r="H55" s="8"/>
      <c r="I55" s="8"/>
      <c r="J55" s="8"/>
      <c r="K55" s="8"/>
      <c r="L55" s="8"/>
      <c r="M55" s="10"/>
      <c r="N55" s="8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10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8"/>
      <c r="CI55" s="8"/>
      <c r="CJ55" s="10"/>
      <c r="CK55" s="10"/>
      <c r="CL55" s="10"/>
      <c r="CM55" s="10"/>
      <c r="CN55" s="10"/>
      <c r="CO55" s="10"/>
      <c r="CP55" s="8"/>
      <c r="CQ55" s="8"/>
      <c r="CR55" s="10"/>
      <c r="CS55" s="10">
        <v>28.8</v>
      </c>
      <c r="CT55" s="10">
        <v>5</v>
      </c>
      <c r="CU55" s="8"/>
      <c r="CV55" s="8"/>
      <c r="CW55" s="8"/>
      <c r="CX55" s="11">
        <f t="shared" si="9"/>
        <v>33.799999999999997</v>
      </c>
      <c r="DS55" s="8"/>
      <c r="DT55" s="8"/>
      <c r="DU55" s="8"/>
      <c r="DV55" s="8"/>
      <c r="DW55" s="8"/>
      <c r="DX55" s="8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8"/>
      <c r="EJ55" s="8"/>
      <c r="EK55" s="10"/>
      <c r="EL55" s="10"/>
      <c r="EM55" s="10"/>
      <c r="EN55" s="10"/>
      <c r="EO55" s="10"/>
      <c r="EP55" s="10"/>
      <c r="EQ55" s="10"/>
      <c r="ER55" s="10"/>
      <c r="ES55" s="10"/>
      <c r="ET55" s="10"/>
      <c r="EU55" s="10"/>
      <c r="EV55" s="10"/>
      <c r="EW55" s="10"/>
      <c r="EX55" s="8">
        <f t="shared" si="11"/>
        <v>0</v>
      </c>
      <c r="EY55" s="8">
        <f t="shared" si="10"/>
        <v>0</v>
      </c>
      <c r="EZ55" s="10"/>
      <c r="FA55" s="10"/>
      <c r="FB55" s="10"/>
      <c r="FC55" s="10"/>
      <c r="FD55" s="10"/>
      <c r="FE55" s="10"/>
      <c r="FF55" s="10"/>
      <c r="FG55" s="10"/>
      <c r="FH55" s="10"/>
      <c r="FI55" s="8">
        <f t="shared" si="8"/>
        <v>0</v>
      </c>
    </row>
    <row r="56" spans="1:165" x14ac:dyDescent="0.25">
      <c r="A56">
        <v>46</v>
      </c>
      <c r="B56" s="8" t="s">
        <v>823</v>
      </c>
      <c r="C56" s="8"/>
      <c r="D56" s="8" t="s">
        <v>824</v>
      </c>
      <c r="E56" s="8" t="s">
        <v>825</v>
      </c>
      <c r="F56" s="8"/>
      <c r="G56" s="8"/>
      <c r="H56" s="8"/>
      <c r="I56" s="8"/>
      <c r="J56" s="8"/>
      <c r="K56" s="8"/>
      <c r="L56" s="8"/>
      <c r="M56" s="10"/>
      <c r="N56" s="8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10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8"/>
      <c r="CI56" s="8"/>
      <c r="CJ56" s="10"/>
      <c r="CK56" s="10"/>
      <c r="CL56" s="10"/>
      <c r="CM56" s="10"/>
      <c r="CN56" s="10"/>
      <c r="CO56" s="10"/>
      <c r="CP56" s="8"/>
      <c r="CQ56" s="8"/>
      <c r="CR56" s="10">
        <v>33.6</v>
      </c>
      <c r="CS56" s="10"/>
      <c r="CT56" s="10"/>
      <c r="CU56" s="8"/>
      <c r="CV56" s="8"/>
      <c r="CW56" s="8"/>
      <c r="CX56" s="11">
        <f t="shared" si="9"/>
        <v>33.6</v>
      </c>
      <c r="DS56" s="8"/>
      <c r="DT56" s="8"/>
      <c r="DU56" s="8"/>
      <c r="DV56" s="8"/>
      <c r="DW56" s="8"/>
      <c r="DX56" s="8"/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8"/>
      <c r="EJ56" s="8"/>
      <c r="EK56" s="10"/>
      <c r="EL56" s="10"/>
      <c r="EM56" s="10"/>
      <c r="EN56" s="10"/>
      <c r="EO56" s="10"/>
      <c r="EP56" s="10"/>
      <c r="EQ56" s="10"/>
      <c r="ER56" s="10"/>
      <c r="ES56" s="10"/>
      <c r="ET56" s="10"/>
      <c r="EU56" s="10"/>
      <c r="EV56" s="10"/>
      <c r="EW56" s="10"/>
      <c r="EX56" s="8">
        <f t="shared" si="11"/>
        <v>0</v>
      </c>
      <c r="EY56" s="8">
        <f t="shared" si="10"/>
        <v>0</v>
      </c>
      <c r="EZ56" s="10"/>
      <c r="FA56" s="10"/>
      <c r="FB56" s="10"/>
      <c r="FC56" s="10"/>
      <c r="FD56" s="10"/>
      <c r="FE56" s="10"/>
      <c r="FF56" s="10"/>
      <c r="FG56" s="10"/>
      <c r="FH56" s="10"/>
      <c r="FI56" s="8">
        <f t="shared" si="8"/>
        <v>0</v>
      </c>
    </row>
    <row r="57" spans="1:165" x14ac:dyDescent="0.25">
      <c r="A57">
        <v>47</v>
      </c>
      <c r="B57" s="8" t="s">
        <v>139</v>
      </c>
      <c r="C57" s="8"/>
      <c r="D57" s="8" t="s">
        <v>23</v>
      </c>
      <c r="E57" s="8" t="s">
        <v>369</v>
      </c>
      <c r="F57" s="8"/>
      <c r="G57" s="8"/>
      <c r="H57" s="8"/>
      <c r="I57" s="8"/>
      <c r="J57" s="8"/>
      <c r="K57" s="8"/>
      <c r="L57" s="8"/>
      <c r="M57" s="10"/>
      <c r="N57" s="8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10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8"/>
      <c r="CI57" s="8"/>
      <c r="CJ57" s="10"/>
      <c r="CK57" s="10">
        <v>64</v>
      </c>
      <c r="CL57" s="10"/>
      <c r="CM57" s="10"/>
      <c r="CN57" s="10"/>
      <c r="CO57" s="10"/>
      <c r="CP57" s="11">
        <f>SUM(CI57:CO57)</f>
        <v>64</v>
      </c>
      <c r="CQ57" s="11">
        <f>SUM(CP57-CI57)/2</f>
        <v>32</v>
      </c>
      <c r="CR57" s="11"/>
      <c r="CS57" s="11"/>
      <c r="CT57" s="11"/>
      <c r="CU57" s="11"/>
      <c r="CV57" s="11"/>
      <c r="CW57" s="11"/>
      <c r="CX57" s="11">
        <f t="shared" si="9"/>
        <v>32</v>
      </c>
      <c r="CY57" s="24"/>
      <c r="EI57" s="8"/>
      <c r="EJ57" s="8"/>
      <c r="EK57" s="10"/>
      <c r="EL57" s="10"/>
      <c r="EM57" s="10"/>
      <c r="EN57" s="10"/>
      <c r="EO57" s="10"/>
      <c r="EP57" s="10"/>
      <c r="EQ57" s="10"/>
      <c r="ER57" s="10"/>
      <c r="ES57" s="10"/>
      <c r="ET57" s="10"/>
      <c r="EU57" s="10"/>
      <c r="EV57" s="10">
        <v>35</v>
      </c>
      <c r="EW57" s="10"/>
      <c r="EX57" s="8">
        <f t="shared" si="11"/>
        <v>35</v>
      </c>
      <c r="EY57" s="8">
        <f t="shared" si="10"/>
        <v>17.5</v>
      </c>
      <c r="EZ57" s="10"/>
      <c r="FA57" s="10"/>
      <c r="FB57" s="10"/>
      <c r="FC57" s="10"/>
      <c r="FD57" s="10"/>
      <c r="FE57" s="10"/>
      <c r="FF57" s="10"/>
      <c r="FG57" s="10"/>
      <c r="FH57" s="10"/>
      <c r="FI57" s="8">
        <f t="shared" si="8"/>
        <v>17.5</v>
      </c>
    </row>
    <row r="58" spans="1:165" x14ac:dyDescent="0.25">
      <c r="A58">
        <v>48</v>
      </c>
      <c r="B58" s="8" t="s">
        <v>112</v>
      </c>
      <c r="C58" s="8"/>
      <c r="D58" s="8" t="s">
        <v>842</v>
      </c>
      <c r="E58" s="8" t="s">
        <v>631</v>
      </c>
      <c r="F58" s="8"/>
      <c r="G58" s="8"/>
      <c r="H58" s="8"/>
      <c r="I58" s="8"/>
      <c r="J58" s="8"/>
      <c r="K58" s="8"/>
      <c r="L58" s="8"/>
      <c r="M58" s="10"/>
      <c r="N58" s="8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10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8"/>
      <c r="CI58" s="8"/>
      <c r="CJ58" s="10"/>
      <c r="CK58" s="10"/>
      <c r="CL58" s="10"/>
      <c r="CM58" s="10"/>
      <c r="CN58" s="10"/>
      <c r="CO58" s="10"/>
      <c r="CP58" s="8"/>
      <c r="CQ58" s="8"/>
      <c r="CR58" s="10">
        <v>30</v>
      </c>
      <c r="CS58" s="10"/>
      <c r="CT58" s="10"/>
      <c r="CU58" s="8"/>
      <c r="CV58" s="8"/>
      <c r="CW58" s="8"/>
      <c r="CX58" s="11">
        <f t="shared" si="9"/>
        <v>30</v>
      </c>
      <c r="EI58" s="8"/>
      <c r="EJ58" s="8"/>
      <c r="EK58" s="10"/>
      <c r="EL58" s="10"/>
      <c r="EM58" s="10"/>
      <c r="EN58" s="10"/>
      <c r="EO58" s="10"/>
      <c r="EP58" s="10"/>
      <c r="EQ58" s="10"/>
      <c r="ER58" s="10"/>
      <c r="ES58" s="10"/>
      <c r="ET58" s="10"/>
      <c r="EU58" s="10"/>
      <c r="EV58" s="10"/>
      <c r="EW58" s="10"/>
      <c r="EX58" s="8">
        <f t="shared" si="11"/>
        <v>0</v>
      </c>
      <c r="EY58" s="8">
        <f t="shared" si="10"/>
        <v>0</v>
      </c>
      <c r="EZ58" s="10"/>
      <c r="FA58" s="10"/>
      <c r="FB58" s="10"/>
      <c r="FC58" s="10"/>
      <c r="FD58" s="10"/>
      <c r="FE58" s="10"/>
      <c r="FF58" s="10"/>
      <c r="FG58" s="10"/>
      <c r="FH58" s="10"/>
      <c r="FI58" s="8">
        <f t="shared" si="8"/>
        <v>0</v>
      </c>
    </row>
    <row r="59" spans="1:165" x14ac:dyDescent="0.25">
      <c r="A59">
        <v>49</v>
      </c>
      <c r="B59" s="8" t="s">
        <v>168</v>
      </c>
      <c r="C59" s="8"/>
      <c r="D59" s="8" t="s">
        <v>203</v>
      </c>
      <c r="E59" s="8" t="s">
        <v>366</v>
      </c>
      <c r="F59" s="8"/>
      <c r="G59" s="8"/>
      <c r="H59" s="8"/>
      <c r="I59" s="8"/>
      <c r="J59" s="8"/>
      <c r="K59" s="8"/>
      <c r="L59" s="8"/>
      <c r="M59" s="10"/>
      <c r="N59" s="8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10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8"/>
      <c r="CI59" s="8"/>
      <c r="CJ59" s="10"/>
      <c r="CK59" s="10"/>
      <c r="CL59" s="10"/>
      <c r="CM59" s="10"/>
      <c r="CN59" s="10"/>
      <c r="CO59" s="10"/>
      <c r="CP59" s="8"/>
      <c r="CQ59" s="8"/>
      <c r="CR59" s="10">
        <v>30</v>
      </c>
      <c r="CS59" s="10"/>
      <c r="CT59" s="10"/>
      <c r="CU59" s="8"/>
      <c r="CV59" s="8"/>
      <c r="CW59" s="8"/>
      <c r="CX59" s="11">
        <f t="shared" si="9"/>
        <v>30</v>
      </c>
      <c r="EI59" s="8"/>
      <c r="EJ59" s="8"/>
      <c r="EK59" s="10"/>
      <c r="EL59" s="10"/>
      <c r="EM59" s="10"/>
      <c r="EN59" s="10"/>
      <c r="EO59" s="10"/>
      <c r="EP59" s="10"/>
      <c r="EQ59" s="10"/>
      <c r="ER59" s="10"/>
      <c r="ES59" s="10"/>
      <c r="ET59" s="10"/>
      <c r="EU59" s="10"/>
      <c r="EV59" s="10"/>
      <c r="EW59" s="10"/>
      <c r="EX59" s="8">
        <f t="shared" si="11"/>
        <v>0</v>
      </c>
      <c r="EY59" s="8">
        <f t="shared" si="10"/>
        <v>0</v>
      </c>
      <c r="EZ59" s="10"/>
      <c r="FA59" s="10"/>
      <c r="FB59" s="10"/>
      <c r="FC59" s="10"/>
      <c r="FD59" s="10"/>
      <c r="FE59" s="10"/>
      <c r="FF59" s="10"/>
      <c r="FG59" s="10"/>
      <c r="FH59" s="10"/>
      <c r="FI59" s="8">
        <f t="shared" si="8"/>
        <v>0</v>
      </c>
    </row>
    <row r="60" spans="1:165" x14ac:dyDescent="0.25">
      <c r="A60">
        <v>50</v>
      </c>
      <c r="B60" s="8" t="s">
        <v>517</v>
      </c>
      <c r="C60" s="8"/>
      <c r="D60" s="8" t="s">
        <v>301</v>
      </c>
      <c r="E60" s="8" t="s">
        <v>24</v>
      </c>
      <c r="F60" s="8"/>
      <c r="G60" s="8"/>
      <c r="H60" s="8"/>
      <c r="I60" s="8"/>
      <c r="J60" s="8"/>
      <c r="K60" s="8"/>
      <c r="L60" s="8"/>
      <c r="M60" s="10"/>
      <c r="N60" s="8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10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>
        <v>54</v>
      </c>
      <c r="BS60" s="8"/>
      <c r="BT60" s="8"/>
      <c r="BU60" s="8"/>
      <c r="BV60" s="10">
        <v>28.8</v>
      </c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1">
        <f>SUM(BG60:CG60)</f>
        <v>82.8</v>
      </c>
      <c r="CI60" s="11">
        <f>(CH60-BG60)/2</f>
        <v>41.4</v>
      </c>
      <c r="CJ60" s="11"/>
      <c r="CK60" s="11"/>
      <c r="CL60" s="11">
        <v>7.5</v>
      </c>
      <c r="CM60" s="11">
        <v>50</v>
      </c>
      <c r="CN60" s="11"/>
      <c r="CO60" s="11"/>
      <c r="CP60" s="11">
        <f t="shared" ref="CP60:CP67" si="12">SUM(CI60:CO60)</f>
        <v>98.9</v>
      </c>
      <c r="CQ60" s="11">
        <f t="shared" ref="CQ60:CQ67" si="13">SUM(CP60-CI60)/2</f>
        <v>28.750000000000004</v>
      </c>
      <c r="CR60" s="11"/>
      <c r="CS60" s="11"/>
      <c r="CT60" s="11"/>
      <c r="CU60" s="11"/>
      <c r="CV60" s="11"/>
      <c r="CW60" s="11"/>
      <c r="CX60" s="11">
        <f t="shared" si="9"/>
        <v>28.750000000000004</v>
      </c>
      <c r="CY60" s="24"/>
      <c r="DS60" s="12">
        <f>SUM(CZ60:DA60)+SUM(DJ60:DQ60)</f>
        <v>0</v>
      </c>
      <c r="DT60">
        <f>(DS60-CZ60)/2</f>
        <v>0</v>
      </c>
      <c r="DU60">
        <f>CH60/4</f>
        <v>20.7</v>
      </c>
      <c r="EI60" s="8">
        <f>SUM(DT60:EH60)</f>
        <v>20.7</v>
      </c>
      <c r="EJ60" s="8">
        <f>(EI60-DT60)/2</f>
        <v>10.35</v>
      </c>
      <c r="EK60" s="10"/>
      <c r="EL60" s="10"/>
      <c r="EM60" s="10"/>
      <c r="EN60" s="10"/>
      <c r="EO60" s="10"/>
      <c r="EP60" s="10"/>
      <c r="EQ60" s="10"/>
      <c r="ER60" s="10"/>
      <c r="ES60" s="10"/>
      <c r="ET60" s="10"/>
      <c r="EU60" s="10"/>
      <c r="EV60" s="10"/>
      <c r="EW60" s="10"/>
      <c r="EX60" s="8">
        <f>SUM(EJ60:EN60)</f>
        <v>10.35</v>
      </c>
      <c r="EY60" s="8">
        <f t="shared" si="10"/>
        <v>0</v>
      </c>
      <c r="EZ60" s="10"/>
      <c r="FA60" s="10"/>
      <c r="FB60" s="10"/>
      <c r="FC60" s="10"/>
      <c r="FD60" s="10"/>
      <c r="FE60" s="10"/>
      <c r="FF60" s="10"/>
      <c r="FG60" s="10"/>
      <c r="FH60" s="10"/>
      <c r="FI60" s="8">
        <f t="shared" si="8"/>
        <v>0</v>
      </c>
    </row>
    <row r="61" spans="1:165" x14ac:dyDescent="0.25">
      <c r="A61">
        <v>51</v>
      </c>
      <c r="B61" s="8" t="s">
        <v>145</v>
      </c>
      <c r="C61" s="8"/>
      <c r="D61" s="8" t="s">
        <v>514</v>
      </c>
      <c r="E61" s="8" t="s">
        <v>19</v>
      </c>
      <c r="F61" s="8"/>
      <c r="G61" s="8"/>
      <c r="H61" s="8"/>
      <c r="I61" s="8"/>
      <c r="J61" s="8"/>
      <c r="K61" s="8"/>
      <c r="L61" s="8"/>
      <c r="M61" s="10"/>
      <c r="N61" s="8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10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8"/>
      <c r="CI61" s="8"/>
      <c r="CJ61" s="10">
        <v>30</v>
      </c>
      <c r="CK61" s="10"/>
      <c r="CL61" s="10">
        <v>26</v>
      </c>
      <c r="CM61" s="10"/>
      <c r="CN61" s="10"/>
      <c r="CO61" s="10"/>
      <c r="CP61" s="11">
        <f t="shared" si="12"/>
        <v>56</v>
      </c>
      <c r="CQ61" s="11">
        <f t="shared" si="13"/>
        <v>28</v>
      </c>
      <c r="CR61" s="11"/>
      <c r="CS61" s="11"/>
      <c r="CT61" s="11"/>
      <c r="CU61" s="11"/>
      <c r="CV61" s="11"/>
      <c r="CW61" s="11"/>
      <c r="CX61" s="11">
        <f t="shared" si="9"/>
        <v>28</v>
      </c>
      <c r="CY61" s="24"/>
      <c r="EI61" s="8"/>
      <c r="EJ61" s="8"/>
      <c r="EK61" s="10"/>
      <c r="EL61" s="10"/>
      <c r="EM61" s="10"/>
      <c r="EN61" s="10"/>
      <c r="EO61" s="10"/>
      <c r="EP61" s="10"/>
      <c r="EQ61" s="10"/>
      <c r="ER61" s="10"/>
      <c r="ES61" s="10"/>
      <c r="ET61" s="10"/>
      <c r="EU61" s="10"/>
      <c r="EV61" s="10"/>
      <c r="EW61" s="10"/>
      <c r="EX61" s="8">
        <f>SUM(EJ61:EV61)</f>
        <v>0</v>
      </c>
      <c r="EY61" s="8">
        <f t="shared" si="10"/>
        <v>0</v>
      </c>
      <c r="EZ61" s="10"/>
      <c r="FA61" s="10"/>
      <c r="FB61" s="10"/>
      <c r="FC61" s="10"/>
      <c r="FD61" s="10"/>
      <c r="FE61" s="10"/>
      <c r="FF61" s="10"/>
      <c r="FG61" s="10"/>
      <c r="FH61" s="10"/>
      <c r="FI61" s="8">
        <f t="shared" si="8"/>
        <v>0</v>
      </c>
    </row>
    <row r="62" spans="1:165" x14ac:dyDescent="0.25">
      <c r="A62">
        <v>52</v>
      </c>
      <c r="B62" s="8" t="s">
        <v>146</v>
      </c>
      <c r="C62" s="8"/>
      <c r="D62" s="8" t="s">
        <v>159</v>
      </c>
      <c r="E62" s="8" t="s">
        <v>639</v>
      </c>
      <c r="F62" s="8"/>
      <c r="G62" s="8"/>
      <c r="H62" s="8"/>
      <c r="I62" s="8"/>
      <c r="J62" s="8"/>
      <c r="K62" s="8"/>
      <c r="L62" s="8"/>
      <c r="M62" s="10"/>
      <c r="N62" s="8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10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8"/>
      <c r="CI62" s="8"/>
      <c r="CJ62" s="10">
        <v>48</v>
      </c>
      <c r="CK62" s="10"/>
      <c r="CL62" s="10"/>
      <c r="CM62" s="10"/>
      <c r="CN62" s="10"/>
      <c r="CO62" s="10"/>
      <c r="CP62" s="11">
        <f t="shared" si="12"/>
        <v>48</v>
      </c>
      <c r="CQ62" s="11">
        <f t="shared" si="13"/>
        <v>24</v>
      </c>
      <c r="CR62" s="11"/>
      <c r="CS62" s="11"/>
      <c r="CT62" s="11"/>
      <c r="CU62" s="11"/>
      <c r="CV62" s="11"/>
      <c r="CW62" s="11"/>
      <c r="CX62" s="11">
        <f t="shared" si="9"/>
        <v>24</v>
      </c>
      <c r="CY62" s="24"/>
      <c r="EI62" s="8"/>
      <c r="EJ62" s="8"/>
      <c r="EK62" s="10"/>
      <c r="EL62" s="10"/>
      <c r="EM62" s="10"/>
      <c r="EN62" s="10"/>
      <c r="EO62" s="10"/>
      <c r="EP62" s="10"/>
      <c r="EQ62" s="10"/>
      <c r="ER62" s="10"/>
      <c r="ES62" s="10"/>
      <c r="ET62" s="10"/>
      <c r="EU62" s="10"/>
      <c r="EV62" s="10"/>
      <c r="EW62" s="10"/>
      <c r="EX62" s="8">
        <f>SUM(EJ62:EV62)</f>
        <v>0</v>
      </c>
      <c r="EY62" s="8">
        <f t="shared" si="10"/>
        <v>0</v>
      </c>
      <c r="EZ62" s="10"/>
      <c r="FA62" s="10"/>
      <c r="FB62" s="10"/>
      <c r="FC62" s="10"/>
      <c r="FD62" s="10"/>
      <c r="FE62" s="10"/>
      <c r="FF62" s="10"/>
      <c r="FG62" s="10"/>
      <c r="FH62" s="10"/>
      <c r="FI62" s="8">
        <f t="shared" si="8"/>
        <v>0</v>
      </c>
    </row>
    <row r="63" spans="1:165" x14ac:dyDescent="0.25">
      <c r="A63">
        <v>53</v>
      </c>
      <c r="B63" s="8" t="s">
        <v>91</v>
      </c>
      <c r="C63" s="8"/>
      <c r="D63" s="8" t="s">
        <v>34</v>
      </c>
      <c r="E63" s="8" t="s">
        <v>455</v>
      </c>
      <c r="F63" s="8"/>
      <c r="G63" s="8"/>
      <c r="H63" s="8"/>
      <c r="I63" s="8"/>
      <c r="J63" s="8"/>
      <c r="K63" s="8"/>
      <c r="L63" s="8"/>
      <c r="M63" s="10"/>
      <c r="N63" s="8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10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8"/>
      <c r="CI63" s="8"/>
      <c r="CJ63" s="10">
        <v>48</v>
      </c>
      <c r="CK63" s="10"/>
      <c r="CL63" s="10"/>
      <c r="CM63" s="10"/>
      <c r="CN63" s="10"/>
      <c r="CO63" s="10"/>
      <c r="CP63" s="11">
        <f t="shared" si="12"/>
        <v>48</v>
      </c>
      <c r="CQ63" s="11">
        <f t="shared" si="13"/>
        <v>24</v>
      </c>
      <c r="CR63" s="11"/>
      <c r="CS63" s="11"/>
      <c r="CT63" s="11"/>
      <c r="CU63" s="11"/>
      <c r="CV63" s="11"/>
      <c r="CW63" s="11"/>
      <c r="CX63" s="11">
        <f t="shared" si="9"/>
        <v>24</v>
      </c>
      <c r="CY63" s="24"/>
      <c r="EI63" s="8"/>
      <c r="EJ63" s="8"/>
      <c r="EK63" s="10"/>
      <c r="EL63" s="10"/>
      <c r="EM63" s="10"/>
      <c r="EN63" s="10"/>
      <c r="EO63" s="10"/>
      <c r="EP63" s="10"/>
      <c r="EQ63" s="10"/>
      <c r="ER63" s="10"/>
      <c r="ES63" s="10"/>
      <c r="ET63" s="10"/>
      <c r="EU63" s="10"/>
      <c r="EV63" s="10"/>
      <c r="EW63" s="10"/>
      <c r="EX63" s="8">
        <f>SUM(EJ63:EV63)</f>
        <v>0</v>
      </c>
      <c r="EY63" s="8">
        <f t="shared" si="10"/>
        <v>0</v>
      </c>
      <c r="EZ63" s="10"/>
      <c r="FA63" s="10"/>
      <c r="FB63" s="10"/>
      <c r="FC63" s="10"/>
      <c r="FD63" s="10"/>
      <c r="FE63" s="10"/>
      <c r="FF63" s="10"/>
      <c r="FG63" s="10"/>
      <c r="FH63" s="10"/>
      <c r="FI63" s="8">
        <f t="shared" si="8"/>
        <v>0</v>
      </c>
    </row>
    <row r="64" spans="1:165" x14ac:dyDescent="0.25">
      <c r="A64">
        <v>54</v>
      </c>
      <c r="B64" s="18" t="s">
        <v>226</v>
      </c>
      <c r="C64" s="18" t="s">
        <v>146</v>
      </c>
      <c r="D64" s="18" t="s">
        <v>188</v>
      </c>
      <c r="E64" s="18" t="s">
        <v>43</v>
      </c>
      <c r="F64" s="8"/>
      <c r="G64" s="8"/>
      <c r="H64" s="8"/>
      <c r="I64" s="8"/>
      <c r="J64" s="8"/>
      <c r="K64" s="10">
        <v>5</v>
      </c>
      <c r="L64" s="10"/>
      <c r="M64" s="10"/>
      <c r="N64" s="10">
        <v>36</v>
      </c>
      <c r="O64" s="10"/>
      <c r="P64" s="10"/>
      <c r="Q64" s="10"/>
      <c r="R64" s="10">
        <v>5</v>
      </c>
      <c r="S64" s="10"/>
      <c r="T64" s="10"/>
      <c r="U64" s="10"/>
      <c r="V64" s="10"/>
      <c r="W64" s="10"/>
      <c r="X64" s="10"/>
      <c r="Y64" s="10">
        <v>2.4</v>
      </c>
      <c r="Z64" s="10"/>
      <c r="AA64" s="10">
        <v>36</v>
      </c>
      <c r="AB64" s="10"/>
      <c r="AC64" s="10"/>
      <c r="AD64" s="10"/>
      <c r="AE64" s="10">
        <v>5</v>
      </c>
      <c r="AF64" s="10">
        <v>6</v>
      </c>
      <c r="AG64" s="11">
        <f>SUM(F64:AF64)</f>
        <v>95.4</v>
      </c>
      <c r="AH64" s="11">
        <f>AG64/2</f>
        <v>47.7</v>
      </c>
      <c r="AI64" s="11"/>
      <c r="AJ64" s="11"/>
      <c r="AK64" s="11"/>
      <c r="AL64" s="11">
        <v>16</v>
      </c>
      <c r="AM64" s="11"/>
      <c r="AN64" s="11"/>
      <c r="AO64" s="11"/>
      <c r="AP64" s="11"/>
      <c r="AQ64" s="11"/>
      <c r="AR64" s="11">
        <v>2.4</v>
      </c>
      <c r="AS64" s="11"/>
      <c r="AT64" s="11"/>
      <c r="AU64" s="11"/>
      <c r="AV64" s="11"/>
      <c r="AW64" s="11"/>
      <c r="AX64" s="11"/>
      <c r="AY64" s="11">
        <v>5</v>
      </c>
      <c r="AZ64" s="11">
        <v>36</v>
      </c>
      <c r="BA64" s="11"/>
      <c r="BB64" s="11"/>
      <c r="BC64" s="11"/>
      <c r="BD64" s="11"/>
      <c r="BE64" s="11">
        <v>75</v>
      </c>
      <c r="BF64" s="11">
        <f>SUM(AH64:BE64)</f>
        <v>182.10000000000002</v>
      </c>
      <c r="BG64" s="11">
        <f>(BF64-AH64)/2</f>
        <v>67.200000000000017</v>
      </c>
      <c r="BH64" s="11"/>
      <c r="BI64" s="11"/>
      <c r="BJ64" s="11"/>
      <c r="BK64" s="11"/>
      <c r="BL64" s="11"/>
      <c r="BM64" s="11"/>
      <c r="BN64" s="11">
        <v>36</v>
      </c>
      <c r="BO64" s="11"/>
      <c r="BP64" s="11"/>
      <c r="BQ64" s="11"/>
      <c r="BR64" s="11"/>
      <c r="BS64" s="11"/>
      <c r="BT64" s="11"/>
      <c r="BU64" s="11"/>
      <c r="BV64" s="11"/>
      <c r="BW64" s="11">
        <v>40</v>
      </c>
      <c r="BX64" s="11">
        <v>7.5</v>
      </c>
      <c r="BY64" s="11"/>
      <c r="BZ64" s="11"/>
      <c r="CA64" s="11"/>
      <c r="CB64" s="11"/>
      <c r="CC64" s="11"/>
      <c r="CD64" s="11">
        <v>36</v>
      </c>
      <c r="CE64" s="11"/>
      <c r="CF64" s="11">
        <v>7.5</v>
      </c>
      <c r="CG64" s="11">
        <v>10</v>
      </c>
      <c r="CH64" s="11">
        <f>SUM(BG64:CG64)</f>
        <v>204.20000000000002</v>
      </c>
      <c r="CI64" s="11">
        <f>(CH64-BG64)/2</f>
        <v>68.5</v>
      </c>
      <c r="CJ64" s="11">
        <v>36</v>
      </c>
      <c r="CK64" s="11">
        <v>3.2</v>
      </c>
      <c r="CL64" s="11">
        <v>7.5</v>
      </c>
      <c r="CM64" s="11"/>
      <c r="CN64" s="11"/>
      <c r="CO64" s="11"/>
      <c r="CP64" s="11">
        <f t="shared" si="12"/>
        <v>115.2</v>
      </c>
      <c r="CQ64" s="11">
        <f t="shared" si="13"/>
        <v>23.35</v>
      </c>
      <c r="CR64" s="11"/>
      <c r="CS64" s="11"/>
      <c r="CT64" s="11"/>
      <c r="CU64" s="11"/>
      <c r="CV64" s="11"/>
      <c r="CW64" s="11"/>
      <c r="CX64" s="11">
        <f t="shared" si="9"/>
        <v>23.35</v>
      </c>
      <c r="CY64" s="24"/>
      <c r="CZ64" s="12">
        <f>SUM(DC64:DH64)/2</f>
        <v>0</v>
      </c>
      <c r="DA64" s="12">
        <f>BF64/4</f>
        <v>45.525000000000006</v>
      </c>
      <c r="DB64" s="12">
        <f>AG64/2</f>
        <v>47.7</v>
      </c>
      <c r="DC64" s="12"/>
      <c r="DD64" s="12"/>
      <c r="DE64" s="12"/>
      <c r="DF64" s="12"/>
      <c r="DI64" s="12">
        <f>SUM(DB64:DD64)</f>
        <v>47.7</v>
      </c>
      <c r="DJ64" s="12">
        <v>1.5</v>
      </c>
      <c r="DK64" s="12"/>
      <c r="DL64" s="12"/>
      <c r="DM64" s="12"/>
      <c r="DN64" s="12"/>
      <c r="DO64" s="12"/>
      <c r="DP64" s="12"/>
      <c r="DQ64" s="12"/>
      <c r="DR64" s="12"/>
      <c r="DS64" s="12">
        <f>SUM(CZ64:DA64)+SUM(DJ64:DL64)</f>
        <v>47.025000000000006</v>
      </c>
      <c r="DT64">
        <f>(DS64-CZ64)/2</f>
        <v>23.512500000000003</v>
      </c>
      <c r="DU64">
        <f>CH64/4</f>
        <v>51.050000000000004</v>
      </c>
      <c r="EH64" s="12">
        <v>18</v>
      </c>
      <c r="EI64" s="8">
        <f>SUM(DT64:EH64)</f>
        <v>92.5625</v>
      </c>
      <c r="EJ64" s="8">
        <f>(EI64-DT64)/2</f>
        <v>34.524999999999999</v>
      </c>
      <c r="EK64" s="10"/>
      <c r="EL64" s="10"/>
      <c r="EM64" s="10"/>
      <c r="EN64" s="10"/>
      <c r="EO64" s="10"/>
      <c r="EP64" s="10"/>
      <c r="EQ64" s="10"/>
      <c r="ER64" s="10"/>
      <c r="ES64" s="10"/>
      <c r="ET64" s="10"/>
      <c r="EU64" s="10"/>
      <c r="EV64" s="10"/>
      <c r="EW64" s="10"/>
      <c r="EX64" s="8">
        <f>SUM(EJ64:EN64)</f>
        <v>34.524999999999999</v>
      </c>
      <c r="EY64" s="8">
        <f t="shared" si="10"/>
        <v>0</v>
      </c>
      <c r="EZ64" s="10"/>
      <c r="FA64" s="10"/>
      <c r="FB64" s="10"/>
      <c r="FC64" s="10"/>
      <c r="FD64" s="10"/>
      <c r="FE64" s="10"/>
      <c r="FF64" s="10"/>
      <c r="FG64" s="10"/>
      <c r="FH64" s="10"/>
      <c r="FI64" s="8">
        <f t="shared" si="8"/>
        <v>0</v>
      </c>
    </row>
    <row r="65" spans="1:165" x14ac:dyDescent="0.25">
      <c r="A65">
        <v>55</v>
      </c>
      <c r="B65" s="8" t="s">
        <v>258</v>
      </c>
      <c r="C65" s="8"/>
      <c r="D65" s="8" t="s">
        <v>657</v>
      </c>
      <c r="E65" s="8" t="s">
        <v>658</v>
      </c>
      <c r="F65" s="8"/>
      <c r="G65" s="8"/>
      <c r="H65" s="8"/>
      <c r="I65" s="8"/>
      <c r="J65" s="8"/>
      <c r="K65" s="8"/>
      <c r="L65" s="8"/>
      <c r="M65" s="10"/>
      <c r="N65" s="8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10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8"/>
      <c r="CI65" s="8"/>
      <c r="CJ65" s="10">
        <v>36</v>
      </c>
      <c r="CK65" s="10"/>
      <c r="CL65" s="10">
        <v>2.4</v>
      </c>
      <c r="CM65" s="10"/>
      <c r="CN65" s="10"/>
      <c r="CO65" s="10"/>
      <c r="CP65" s="11">
        <f t="shared" si="12"/>
        <v>38.4</v>
      </c>
      <c r="CQ65" s="11">
        <f t="shared" si="13"/>
        <v>19.2</v>
      </c>
      <c r="CR65" s="11"/>
      <c r="CS65" s="11"/>
      <c r="CT65" s="11"/>
      <c r="CU65" s="11"/>
      <c r="CV65" s="11"/>
      <c r="CW65" s="11"/>
      <c r="CX65" s="11">
        <f t="shared" si="9"/>
        <v>19.2</v>
      </c>
      <c r="CY65" s="24"/>
      <c r="EI65" s="8"/>
      <c r="EJ65" s="8"/>
      <c r="EK65" s="10"/>
      <c r="EL65" s="10"/>
      <c r="EM65" s="10"/>
      <c r="EN65" s="10"/>
      <c r="EO65" s="10"/>
      <c r="EP65" s="10"/>
      <c r="EQ65" s="10"/>
      <c r="ER65" s="10"/>
      <c r="ES65" s="10"/>
      <c r="ET65" s="10"/>
      <c r="EU65" s="10"/>
      <c r="EV65" s="10"/>
      <c r="EW65" s="10"/>
      <c r="EX65" s="8">
        <f>SUM(EJ65:EV65)</f>
        <v>0</v>
      </c>
      <c r="EY65" s="8">
        <f t="shared" si="10"/>
        <v>0</v>
      </c>
      <c r="EZ65" s="10"/>
      <c r="FA65" s="10"/>
      <c r="FB65" s="10"/>
      <c r="FC65" s="10"/>
      <c r="FD65" s="10"/>
      <c r="FE65" s="10"/>
      <c r="FF65" s="10"/>
      <c r="FG65" s="10"/>
      <c r="FH65" s="10"/>
      <c r="FI65" s="8">
        <f t="shared" si="8"/>
        <v>0</v>
      </c>
    </row>
    <row r="66" spans="1:165" x14ac:dyDescent="0.25">
      <c r="A66">
        <v>56</v>
      </c>
      <c r="B66" s="8" t="s">
        <v>137</v>
      </c>
      <c r="C66" s="8" t="s">
        <v>122</v>
      </c>
      <c r="D66" s="8" t="s">
        <v>136</v>
      </c>
      <c r="E66" s="8" t="s">
        <v>76</v>
      </c>
      <c r="F66" s="8"/>
      <c r="G66" s="8"/>
      <c r="H66" s="8">
        <v>33.6</v>
      </c>
      <c r="I66" s="8"/>
      <c r="J66" s="10"/>
      <c r="K66" s="10"/>
      <c r="L66" s="10"/>
      <c r="M66" s="10"/>
      <c r="N66" s="10"/>
      <c r="O66" s="10"/>
      <c r="P66" s="10"/>
      <c r="Q66" s="10">
        <v>40</v>
      </c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1">
        <f>SUM(F66:AF66)</f>
        <v>73.599999999999994</v>
      </c>
      <c r="AH66" s="11">
        <f>AG66/2</f>
        <v>36.799999999999997</v>
      </c>
      <c r="AI66" s="11">
        <v>36</v>
      </c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>
        <v>2.4</v>
      </c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>
        <f>SUM(AH66:BE66)</f>
        <v>75.2</v>
      </c>
      <c r="BG66" s="11">
        <f>(BF66-AH66)/2</f>
        <v>19.200000000000003</v>
      </c>
      <c r="BH66" s="11"/>
      <c r="BI66" s="11"/>
      <c r="BJ66" s="11"/>
      <c r="BK66" s="11"/>
      <c r="BL66" s="11"/>
      <c r="BM66" s="11"/>
      <c r="BN66" s="11"/>
      <c r="BO66" s="11"/>
      <c r="BP66" s="11"/>
      <c r="BQ66" s="11">
        <v>48</v>
      </c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>
        <f>SUM(BG66:CG66)</f>
        <v>67.2</v>
      </c>
      <c r="CI66" s="11">
        <f>(CH66-BG66)/2</f>
        <v>24</v>
      </c>
      <c r="CJ66" s="11">
        <v>36</v>
      </c>
      <c r="CK66" s="11"/>
      <c r="CL66" s="11"/>
      <c r="CM66" s="11"/>
      <c r="CN66" s="11"/>
      <c r="CO66" s="11"/>
      <c r="CP66" s="11">
        <f t="shared" si="12"/>
        <v>60</v>
      </c>
      <c r="CQ66" s="11">
        <f t="shared" si="13"/>
        <v>18</v>
      </c>
      <c r="CR66" s="11"/>
      <c r="CS66" s="11"/>
      <c r="CT66" s="11"/>
      <c r="CU66" s="11"/>
      <c r="CV66" s="11"/>
      <c r="CW66" s="11"/>
      <c r="CX66" s="11">
        <f t="shared" si="9"/>
        <v>18</v>
      </c>
      <c r="CY66" s="24"/>
      <c r="CZ66" s="12">
        <f>SUM(DC66:DH66)/2</f>
        <v>0</v>
      </c>
      <c r="DA66" s="12">
        <f>BF66/4</f>
        <v>18.8</v>
      </c>
      <c r="DB66" s="12">
        <f>AG66/2</f>
        <v>36.799999999999997</v>
      </c>
      <c r="DC66" s="12"/>
      <c r="DD66" s="12"/>
      <c r="DE66" s="12"/>
      <c r="DF66" s="12"/>
      <c r="DI66" s="12">
        <f>SUM(DB66:DD66)</f>
        <v>36.799999999999997</v>
      </c>
      <c r="DJ66" s="12"/>
      <c r="DK66" s="12"/>
      <c r="DL66" s="12"/>
      <c r="DM66" s="12"/>
      <c r="DN66" s="12"/>
      <c r="DO66" s="12"/>
      <c r="DP66" s="12"/>
      <c r="DQ66" s="12"/>
      <c r="DR66" s="12"/>
      <c r="DS66" s="12">
        <f>SUM(CZ66:DA66)+SUM(DJ66:DL66)</f>
        <v>18.8</v>
      </c>
      <c r="DT66">
        <f>(DS66-CZ66)/2</f>
        <v>9.4</v>
      </c>
      <c r="DU66">
        <f>CH66/4</f>
        <v>16.8</v>
      </c>
      <c r="EI66" s="8">
        <f>SUM(DT66:EH66)</f>
        <v>26.200000000000003</v>
      </c>
      <c r="EJ66" s="8">
        <f>(EI66-DT66)/2</f>
        <v>8.4000000000000021</v>
      </c>
      <c r="EK66" s="10"/>
      <c r="EL66" s="10"/>
      <c r="EM66" s="10"/>
      <c r="EN66" s="10"/>
      <c r="EO66" s="10"/>
      <c r="EP66" s="10"/>
      <c r="EQ66" s="10"/>
      <c r="ER66" s="10"/>
      <c r="ES66" s="10"/>
      <c r="ET66" s="10"/>
      <c r="EU66" s="10"/>
      <c r="EV66" s="10"/>
      <c r="EW66" s="10"/>
      <c r="EX66" s="8">
        <f>SUM(EJ66:EV66)</f>
        <v>8.4000000000000021</v>
      </c>
      <c r="EY66" s="8">
        <f t="shared" si="10"/>
        <v>0</v>
      </c>
      <c r="EZ66" s="10"/>
      <c r="FA66" s="10"/>
      <c r="FB66" s="10"/>
      <c r="FC66" s="10"/>
      <c r="FD66" s="10"/>
      <c r="FE66" s="10"/>
      <c r="FF66" s="10"/>
      <c r="FG66" s="10"/>
      <c r="FH66" s="10"/>
      <c r="FI66" s="8">
        <f t="shared" si="8"/>
        <v>0</v>
      </c>
    </row>
    <row r="67" spans="1:165" x14ac:dyDescent="0.25">
      <c r="A67">
        <v>57</v>
      </c>
      <c r="B67" s="8" t="s">
        <v>117</v>
      </c>
      <c r="C67" s="8"/>
      <c r="D67" s="8" t="s">
        <v>336</v>
      </c>
      <c r="E67" s="8" t="s">
        <v>16</v>
      </c>
      <c r="F67" s="8"/>
      <c r="G67" s="8"/>
      <c r="H67" s="8"/>
      <c r="I67" s="8"/>
      <c r="J67" s="8"/>
      <c r="K67" s="8"/>
      <c r="L67" s="8"/>
      <c r="M67" s="10"/>
      <c r="N67" s="8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>
        <v>50</v>
      </c>
      <c r="AF67" s="10"/>
      <c r="AG67" s="11">
        <f>SUM(F67:AF67)</f>
        <v>50</v>
      </c>
      <c r="AH67" s="11">
        <f>AG67/2</f>
        <v>25</v>
      </c>
      <c r="AI67" s="11"/>
      <c r="AJ67" s="11"/>
      <c r="AK67" s="11"/>
      <c r="AL67" s="11">
        <v>5</v>
      </c>
      <c r="AM67" s="11"/>
      <c r="AN67" s="11">
        <v>30</v>
      </c>
      <c r="AO67" s="11"/>
      <c r="AP67" s="11"/>
      <c r="AQ67" s="11">
        <v>28.8</v>
      </c>
      <c r="AR67" s="11"/>
      <c r="AS67" s="11"/>
      <c r="AT67" s="11"/>
      <c r="AU67" s="11">
        <v>48</v>
      </c>
      <c r="AV67" s="11"/>
      <c r="AW67" s="11"/>
      <c r="AX67" s="11"/>
      <c r="AY67" s="11">
        <v>5</v>
      </c>
      <c r="AZ67" s="11"/>
      <c r="BA67" s="11"/>
      <c r="BB67" s="11"/>
      <c r="BC67" s="11"/>
      <c r="BD67" s="11"/>
      <c r="BE67" s="11">
        <v>54</v>
      </c>
      <c r="BF67" s="11">
        <f>SUM(AH67:BE67)</f>
        <v>195.8</v>
      </c>
      <c r="BG67" s="11">
        <f>(BF67-AH67)/2</f>
        <v>85.4</v>
      </c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>
        <v>56</v>
      </c>
      <c r="BW67" s="11"/>
      <c r="BX67" s="11"/>
      <c r="BY67" s="11">
        <v>30</v>
      </c>
      <c r="BZ67" s="11"/>
      <c r="CA67" s="11"/>
      <c r="CB67" s="11"/>
      <c r="CC67" s="11"/>
      <c r="CD67" s="11"/>
      <c r="CE67" s="11"/>
      <c r="CF67" s="11">
        <v>39</v>
      </c>
      <c r="CG67" s="11"/>
      <c r="CH67" s="11">
        <f>SUM(BG67:CG67)</f>
        <v>210.4</v>
      </c>
      <c r="CI67" s="11">
        <f>(CH67-BG67)/2</f>
        <v>62.5</v>
      </c>
      <c r="CJ67" s="11"/>
      <c r="CK67" s="11"/>
      <c r="CL67" s="11">
        <v>5</v>
      </c>
      <c r="CM67" s="11">
        <v>7.5</v>
      </c>
      <c r="CN67" s="11"/>
      <c r="CO67" s="11"/>
      <c r="CP67" s="11">
        <f t="shared" si="12"/>
        <v>75</v>
      </c>
      <c r="CQ67" s="11">
        <f t="shared" si="13"/>
        <v>6.25</v>
      </c>
      <c r="CR67" s="11">
        <v>3</v>
      </c>
      <c r="CS67" s="11"/>
      <c r="CT67" s="11"/>
      <c r="CU67" s="11"/>
      <c r="CV67" s="11"/>
      <c r="CW67" s="11"/>
      <c r="CX67" s="11">
        <f t="shared" si="9"/>
        <v>9.25</v>
      </c>
      <c r="CY67" s="24"/>
      <c r="CZ67" s="12">
        <f>SUM(DC67:DH67)/2</f>
        <v>0</v>
      </c>
      <c r="DA67" s="12">
        <f>BF67/4</f>
        <v>48.95</v>
      </c>
      <c r="DB67" s="12">
        <f>AG67/2</f>
        <v>25</v>
      </c>
      <c r="DC67" s="12"/>
      <c r="DD67" s="12"/>
      <c r="DE67" s="12"/>
      <c r="DF67" s="12"/>
      <c r="DI67" s="12">
        <f>SUM(DB67:DD67)</f>
        <v>25</v>
      </c>
      <c r="DJ67" s="12"/>
      <c r="DK67" s="12"/>
      <c r="DL67" s="12"/>
      <c r="DM67" s="12"/>
      <c r="DN67" s="12"/>
      <c r="DO67" s="12"/>
      <c r="DP67" s="12"/>
      <c r="DQ67" s="12"/>
      <c r="DR67" s="12"/>
      <c r="DS67" s="12">
        <f>SUM(CZ67:DA67)+SUM(DJ67:DL67)</f>
        <v>48.95</v>
      </c>
      <c r="DT67">
        <f>(DS67-CZ67)/2</f>
        <v>24.475000000000001</v>
      </c>
      <c r="DU67">
        <f>CH67/4</f>
        <v>52.6</v>
      </c>
      <c r="DY67" s="12">
        <v>1.5</v>
      </c>
      <c r="EH67" s="12">
        <v>2.5</v>
      </c>
      <c r="EI67">
        <f>SUM(DT67:EH67)</f>
        <v>81.075000000000003</v>
      </c>
      <c r="EJ67">
        <f>(EI67-DT67)/2</f>
        <v>28.3</v>
      </c>
      <c r="EK67" s="12">
        <v>21</v>
      </c>
      <c r="EX67" s="8">
        <f>SUM(EJ67:EN67)</f>
        <v>49.3</v>
      </c>
      <c r="EY67" s="8">
        <f t="shared" si="10"/>
        <v>10.499999999999998</v>
      </c>
      <c r="EZ67" s="10"/>
      <c r="FA67" s="10"/>
      <c r="FB67" s="10"/>
      <c r="FC67" s="10"/>
      <c r="FD67" s="10"/>
      <c r="FE67" s="10"/>
      <c r="FF67" s="10"/>
      <c r="FG67" s="10"/>
      <c r="FH67" s="10"/>
      <c r="FI67" s="8">
        <f t="shared" si="8"/>
        <v>10.499999999999998</v>
      </c>
    </row>
    <row r="68" spans="1:165" x14ac:dyDescent="0.25">
      <c r="A68">
        <v>58</v>
      </c>
      <c r="B68" s="8" t="s">
        <v>191</v>
      </c>
      <c r="C68" s="8"/>
      <c r="D68" s="8" t="s">
        <v>23</v>
      </c>
      <c r="E68" s="8" t="s">
        <v>547</v>
      </c>
      <c r="F68" s="8"/>
      <c r="G68" s="8"/>
      <c r="H68" s="8"/>
      <c r="I68" s="8"/>
      <c r="J68" s="8"/>
      <c r="K68" s="8"/>
      <c r="L68" s="8"/>
      <c r="M68" s="10"/>
      <c r="N68" s="8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10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8"/>
      <c r="CI68" s="8"/>
      <c r="CJ68" s="10"/>
      <c r="CK68" s="10"/>
      <c r="CL68" s="10"/>
      <c r="CM68" s="10"/>
      <c r="CN68" s="10"/>
      <c r="CO68" s="10"/>
      <c r="CP68" s="8"/>
      <c r="CQ68" s="8"/>
      <c r="CR68" s="10"/>
      <c r="CS68" s="10"/>
      <c r="CT68" s="10">
        <v>7.5</v>
      </c>
      <c r="CU68" s="8"/>
      <c r="CV68" s="8"/>
      <c r="CW68" s="8"/>
      <c r="CX68" s="11">
        <f t="shared" si="9"/>
        <v>7.5</v>
      </c>
      <c r="EX68" s="8">
        <f t="shared" ref="EX68:EX80" si="14">SUM(EJ68:EV68)</f>
        <v>0</v>
      </c>
      <c r="EY68" s="8">
        <f t="shared" si="10"/>
        <v>0</v>
      </c>
      <c r="EZ68" s="10"/>
      <c r="FA68" s="10"/>
      <c r="FB68" s="10"/>
      <c r="FC68" s="10"/>
      <c r="FD68" s="10"/>
      <c r="FE68" s="10"/>
      <c r="FF68" s="10"/>
      <c r="FG68" s="10"/>
      <c r="FH68" s="10"/>
      <c r="FI68" s="8">
        <f t="shared" si="8"/>
        <v>0</v>
      </c>
    </row>
    <row r="69" spans="1:165" x14ac:dyDescent="0.25">
      <c r="A69">
        <v>59</v>
      </c>
      <c r="B69" s="8" t="s">
        <v>846</v>
      </c>
      <c r="C69" s="8"/>
      <c r="D69" s="8" t="s">
        <v>847</v>
      </c>
      <c r="E69" s="8" t="s">
        <v>442</v>
      </c>
      <c r="F69" s="8"/>
      <c r="G69" s="8"/>
      <c r="H69" s="8"/>
      <c r="I69" s="8"/>
      <c r="J69" s="8"/>
      <c r="K69" s="8"/>
      <c r="L69" s="8"/>
      <c r="M69" s="10"/>
      <c r="N69" s="8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10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8"/>
      <c r="CI69" s="8"/>
      <c r="CJ69" s="10"/>
      <c r="CK69" s="10"/>
      <c r="CL69" s="10"/>
      <c r="CM69" s="10"/>
      <c r="CN69" s="10"/>
      <c r="CO69" s="10"/>
      <c r="CP69" s="8"/>
      <c r="CQ69" s="8"/>
      <c r="CR69" s="10"/>
      <c r="CS69" s="10"/>
      <c r="CT69" s="10">
        <v>7.5</v>
      </c>
      <c r="CU69" s="8"/>
      <c r="CV69" s="8"/>
      <c r="CW69" s="8"/>
      <c r="CX69" s="11">
        <f t="shared" si="9"/>
        <v>7.5</v>
      </c>
      <c r="EX69" s="8">
        <f t="shared" si="14"/>
        <v>0</v>
      </c>
      <c r="EY69" s="8">
        <f t="shared" si="10"/>
        <v>0</v>
      </c>
      <c r="EZ69" s="10"/>
      <c r="FA69" s="10"/>
      <c r="FB69" s="10"/>
      <c r="FC69" s="10"/>
      <c r="FD69" s="10"/>
      <c r="FE69" s="10"/>
      <c r="FF69" s="10"/>
      <c r="FG69" s="10"/>
      <c r="FH69" s="10"/>
      <c r="FI69" s="8">
        <f t="shared" ref="FI69:FI93" si="15">SUM(EY69:FA69)</f>
        <v>0</v>
      </c>
    </row>
    <row r="70" spans="1:165" x14ac:dyDescent="0.25">
      <c r="A70">
        <v>60</v>
      </c>
      <c r="B70" s="8" t="s">
        <v>802</v>
      </c>
      <c r="C70" s="8"/>
      <c r="D70" s="8" t="s">
        <v>73</v>
      </c>
      <c r="E70" s="8" t="s">
        <v>581</v>
      </c>
      <c r="F70" s="8"/>
      <c r="G70" s="8"/>
      <c r="H70" s="8"/>
      <c r="I70" s="8"/>
      <c r="J70" s="8"/>
      <c r="K70" s="8"/>
      <c r="L70" s="8"/>
      <c r="M70" s="10"/>
      <c r="N70" s="8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10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8"/>
      <c r="CI70" s="8"/>
      <c r="CJ70" s="10"/>
      <c r="CK70" s="10"/>
      <c r="CL70" s="10"/>
      <c r="CM70" s="10"/>
      <c r="CN70" s="10"/>
      <c r="CO70" s="10"/>
      <c r="CP70" s="8"/>
      <c r="CQ70" s="8"/>
      <c r="CR70" s="10">
        <v>3</v>
      </c>
      <c r="CS70" s="10"/>
      <c r="CT70" s="10">
        <v>2.4</v>
      </c>
      <c r="CU70" s="8"/>
      <c r="CV70" s="8"/>
      <c r="CW70" s="8"/>
      <c r="CX70" s="11">
        <f t="shared" si="9"/>
        <v>5.4</v>
      </c>
      <c r="EX70" s="8">
        <f t="shared" si="14"/>
        <v>0</v>
      </c>
      <c r="EY70" s="8">
        <f t="shared" si="10"/>
        <v>0</v>
      </c>
      <c r="EZ70" s="10"/>
      <c r="FA70" s="10"/>
      <c r="FB70" s="10"/>
      <c r="FC70" s="10"/>
      <c r="FD70" s="10"/>
      <c r="FE70" s="10"/>
      <c r="FF70" s="10"/>
      <c r="FG70" s="10"/>
      <c r="FH70" s="10"/>
      <c r="FI70" s="8">
        <f t="shared" si="15"/>
        <v>0</v>
      </c>
    </row>
    <row r="71" spans="1:165" x14ac:dyDescent="0.25">
      <c r="A71">
        <v>61</v>
      </c>
      <c r="B71" s="8" t="s">
        <v>620</v>
      </c>
      <c r="C71" s="8"/>
      <c r="D71" s="8" t="s">
        <v>482</v>
      </c>
      <c r="E71" s="8" t="s">
        <v>229</v>
      </c>
      <c r="F71" s="8"/>
      <c r="G71" s="8"/>
      <c r="H71" s="8"/>
      <c r="I71" s="8"/>
      <c r="J71" s="8"/>
      <c r="K71" s="8"/>
      <c r="L71" s="8"/>
      <c r="M71" s="10"/>
      <c r="N71" s="8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10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8"/>
      <c r="CI71" s="8"/>
      <c r="CJ71" s="10"/>
      <c r="CK71" s="10"/>
      <c r="CL71" s="10"/>
      <c r="CM71" s="10"/>
      <c r="CN71" s="10"/>
      <c r="CO71" s="10"/>
      <c r="CP71" s="8"/>
      <c r="CQ71" s="8"/>
      <c r="CR71" s="10"/>
      <c r="CS71" s="10"/>
      <c r="CT71" s="10">
        <v>5</v>
      </c>
      <c r="CU71" s="8"/>
      <c r="CV71" s="8"/>
      <c r="CW71" s="8"/>
      <c r="CX71" s="11">
        <f t="shared" si="9"/>
        <v>5</v>
      </c>
      <c r="EX71" s="8">
        <f t="shared" si="14"/>
        <v>0</v>
      </c>
      <c r="EY71" s="8">
        <f t="shared" si="10"/>
        <v>0</v>
      </c>
      <c r="EZ71" s="10"/>
      <c r="FA71" s="10"/>
      <c r="FB71" s="10"/>
      <c r="FC71" s="10"/>
      <c r="FD71" s="10"/>
      <c r="FE71" s="10"/>
      <c r="FF71" s="10"/>
      <c r="FG71" s="10"/>
      <c r="FH71" s="10"/>
      <c r="FI71" s="8">
        <f t="shared" si="15"/>
        <v>0</v>
      </c>
    </row>
    <row r="72" spans="1:165" x14ac:dyDescent="0.25">
      <c r="A72">
        <v>62</v>
      </c>
      <c r="B72" s="8" t="s">
        <v>490</v>
      </c>
      <c r="C72" s="8"/>
      <c r="D72" s="8" t="s">
        <v>282</v>
      </c>
      <c r="E72" s="8" t="s">
        <v>24</v>
      </c>
      <c r="F72" s="8"/>
      <c r="G72" s="8"/>
      <c r="H72" s="8"/>
      <c r="I72" s="8"/>
      <c r="J72" s="8"/>
      <c r="K72" s="8"/>
      <c r="L72" s="8"/>
      <c r="M72" s="10"/>
      <c r="N72" s="8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10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8"/>
      <c r="CI72" s="8"/>
      <c r="CJ72" s="10"/>
      <c r="CK72" s="10"/>
      <c r="CL72" s="10"/>
      <c r="CM72" s="10"/>
      <c r="CN72" s="10"/>
      <c r="CO72" s="10"/>
      <c r="CP72" s="8"/>
      <c r="CQ72" s="8"/>
      <c r="CR72" s="10"/>
      <c r="CS72" s="10"/>
      <c r="CT72" s="10">
        <v>5</v>
      </c>
      <c r="CU72" s="8"/>
      <c r="CV72" s="8"/>
      <c r="CW72" s="8"/>
      <c r="CX72" s="11">
        <f t="shared" si="9"/>
        <v>5</v>
      </c>
      <c r="EX72" s="8">
        <f t="shared" si="14"/>
        <v>0</v>
      </c>
      <c r="EY72" s="8">
        <f t="shared" si="10"/>
        <v>0</v>
      </c>
      <c r="EZ72" s="10"/>
      <c r="FA72" s="10"/>
      <c r="FB72" s="10"/>
      <c r="FC72" s="10"/>
      <c r="FD72" s="10"/>
      <c r="FE72" s="10"/>
      <c r="FF72" s="10"/>
      <c r="FG72" s="10"/>
      <c r="FH72" s="10"/>
      <c r="FI72" s="8">
        <f t="shared" si="15"/>
        <v>0</v>
      </c>
    </row>
    <row r="73" spans="1:165" x14ac:dyDescent="0.25">
      <c r="A73">
        <v>63</v>
      </c>
      <c r="B73" s="8" t="s">
        <v>669</v>
      </c>
      <c r="C73" s="8"/>
      <c r="D73" s="8" t="s">
        <v>37</v>
      </c>
      <c r="E73" s="8" t="s">
        <v>24</v>
      </c>
      <c r="F73" s="8"/>
      <c r="G73" s="8"/>
      <c r="H73" s="8"/>
      <c r="I73" s="8"/>
      <c r="J73" s="8"/>
      <c r="K73" s="8"/>
      <c r="L73" s="8"/>
      <c r="M73" s="10"/>
      <c r="N73" s="8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10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8"/>
      <c r="CI73" s="8"/>
      <c r="CJ73" s="10"/>
      <c r="CK73" s="10"/>
      <c r="CL73" s="10"/>
      <c r="CM73" s="10"/>
      <c r="CN73" s="10"/>
      <c r="CO73" s="10"/>
      <c r="CP73" s="8"/>
      <c r="CQ73" s="8"/>
      <c r="CR73" s="10"/>
      <c r="CS73" s="10"/>
      <c r="CT73" s="10">
        <v>5</v>
      </c>
      <c r="CU73" s="8"/>
      <c r="CV73" s="8"/>
      <c r="CW73" s="8"/>
      <c r="CX73" s="11">
        <f t="shared" si="9"/>
        <v>5</v>
      </c>
      <c r="EX73" s="8">
        <f t="shared" si="14"/>
        <v>0</v>
      </c>
      <c r="EY73" s="8">
        <f t="shared" si="10"/>
        <v>0</v>
      </c>
      <c r="EZ73" s="10"/>
      <c r="FA73" s="10"/>
      <c r="FB73" s="10"/>
      <c r="FC73" s="10"/>
      <c r="FD73" s="10"/>
      <c r="FE73" s="10"/>
      <c r="FF73" s="10"/>
      <c r="FG73" s="10"/>
      <c r="FH73" s="10"/>
      <c r="FI73" s="8">
        <f t="shared" si="15"/>
        <v>0</v>
      </c>
    </row>
    <row r="74" spans="1:165" x14ac:dyDescent="0.25">
      <c r="A74">
        <v>64</v>
      </c>
      <c r="B74" s="8" t="s">
        <v>164</v>
      </c>
      <c r="C74" s="8"/>
      <c r="D74" s="8" t="s">
        <v>613</v>
      </c>
      <c r="E74" s="8" t="s">
        <v>17</v>
      </c>
      <c r="F74" s="8"/>
      <c r="G74" s="8"/>
      <c r="H74" s="8"/>
      <c r="I74" s="8"/>
      <c r="J74" s="8"/>
      <c r="K74" s="8"/>
      <c r="L74" s="8"/>
      <c r="M74" s="10"/>
      <c r="N74" s="8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10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8"/>
      <c r="CI74" s="8"/>
      <c r="CJ74" s="10"/>
      <c r="CK74" s="10"/>
      <c r="CL74" s="10"/>
      <c r="CM74" s="10"/>
      <c r="CN74" s="10"/>
      <c r="CO74" s="10"/>
      <c r="CP74" s="8"/>
      <c r="CQ74" s="8"/>
      <c r="CR74" s="10"/>
      <c r="CS74" s="10">
        <v>4</v>
      </c>
      <c r="CT74" s="10"/>
      <c r="CU74" s="8"/>
      <c r="CV74" s="8"/>
      <c r="CW74" s="8"/>
      <c r="CX74" s="11">
        <f t="shared" si="9"/>
        <v>4</v>
      </c>
      <c r="EX74" s="8">
        <f t="shared" si="14"/>
        <v>0</v>
      </c>
      <c r="EY74" s="8">
        <f t="shared" si="10"/>
        <v>0</v>
      </c>
      <c r="EZ74" s="10"/>
      <c r="FA74" s="10"/>
      <c r="FB74" s="10"/>
      <c r="FC74" s="10"/>
      <c r="FD74" s="10"/>
      <c r="FE74" s="10"/>
      <c r="FF74" s="10"/>
      <c r="FG74" s="10"/>
      <c r="FH74" s="10"/>
      <c r="FI74" s="8">
        <f t="shared" si="15"/>
        <v>0</v>
      </c>
    </row>
    <row r="75" spans="1:165" x14ac:dyDescent="0.25">
      <c r="A75">
        <v>65</v>
      </c>
      <c r="B75" s="8" t="s">
        <v>495</v>
      </c>
      <c r="C75" s="8"/>
      <c r="D75" s="8" t="s">
        <v>866</v>
      </c>
      <c r="E75" s="8" t="s">
        <v>392</v>
      </c>
      <c r="F75" s="8"/>
      <c r="G75" s="8"/>
      <c r="H75" s="8"/>
      <c r="I75" s="8"/>
      <c r="J75" s="8"/>
      <c r="K75" s="8"/>
      <c r="L75" s="8"/>
      <c r="M75" s="10"/>
      <c r="N75" s="8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10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8"/>
      <c r="CI75" s="8"/>
      <c r="CJ75" s="10"/>
      <c r="CK75" s="10"/>
      <c r="CL75" s="10"/>
      <c r="CM75" s="10"/>
      <c r="CN75" s="10"/>
      <c r="CO75" s="10"/>
      <c r="CP75" s="8"/>
      <c r="CQ75" s="8"/>
      <c r="CR75" s="10"/>
      <c r="CS75" s="10">
        <v>4</v>
      </c>
      <c r="CT75" s="10"/>
      <c r="CU75" s="8"/>
      <c r="CV75" s="8"/>
      <c r="CW75" s="8"/>
      <c r="CX75" s="11">
        <f t="shared" ref="CX75:CX106" si="16">SUM(CQ75:CW75)</f>
        <v>4</v>
      </c>
      <c r="EX75" s="8">
        <f t="shared" si="14"/>
        <v>0</v>
      </c>
      <c r="EY75" s="8">
        <f t="shared" ref="EY75:EY106" si="17">(EX75-EJ75)/2</f>
        <v>0</v>
      </c>
      <c r="EZ75" s="10"/>
      <c r="FA75" s="10"/>
      <c r="FB75" s="10"/>
      <c r="FC75" s="10"/>
      <c r="FD75" s="10"/>
      <c r="FE75" s="10"/>
      <c r="FF75" s="10"/>
      <c r="FG75" s="10"/>
      <c r="FH75" s="10"/>
      <c r="FI75" s="8">
        <f t="shared" si="15"/>
        <v>0</v>
      </c>
    </row>
    <row r="76" spans="1:165" x14ac:dyDescent="0.25">
      <c r="A76">
        <v>66</v>
      </c>
      <c r="B76" s="8" t="s">
        <v>875</v>
      </c>
      <c r="C76" s="8"/>
      <c r="D76" s="8" t="s">
        <v>441</v>
      </c>
      <c r="E76" s="8" t="s">
        <v>68</v>
      </c>
      <c r="F76" s="8"/>
      <c r="G76" s="8"/>
      <c r="H76" s="8"/>
      <c r="I76" s="8"/>
      <c r="J76" s="8"/>
      <c r="K76" s="8"/>
      <c r="L76" s="8"/>
      <c r="M76" s="10"/>
      <c r="N76" s="8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10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8"/>
      <c r="CI76" s="8"/>
      <c r="CJ76" s="10"/>
      <c r="CK76" s="10"/>
      <c r="CL76" s="10"/>
      <c r="CM76" s="10"/>
      <c r="CN76" s="10"/>
      <c r="CO76" s="10"/>
      <c r="CP76" s="8"/>
      <c r="CQ76" s="8"/>
      <c r="CR76" s="10"/>
      <c r="CS76" s="10">
        <v>4</v>
      </c>
      <c r="CT76" s="10"/>
      <c r="CU76" s="8"/>
      <c r="CV76" s="8"/>
      <c r="CW76" s="8"/>
      <c r="CX76" s="11">
        <f t="shared" si="16"/>
        <v>4</v>
      </c>
      <c r="EX76" s="8">
        <f t="shared" si="14"/>
        <v>0</v>
      </c>
      <c r="EY76" s="8">
        <f t="shared" si="17"/>
        <v>0</v>
      </c>
      <c r="EZ76" s="10"/>
      <c r="FA76" s="10"/>
      <c r="FB76" s="10"/>
      <c r="FC76" s="10"/>
      <c r="FD76" s="10"/>
      <c r="FE76" s="10"/>
      <c r="FF76" s="10"/>
      <c r="FG76" s="10"/>
      <c r="FH76" s="10"/>
      <c r="FI76" s="8">
        <f t="shared" si="15"/>
        <v>0</v>
      </c>
    </row>
    <row r="77" spans="1:165" x14ac:dyDescent="0.25">
      <c r="A77">
        <v>67</v>
      </c>
      <c r="B77" s="8" t="s">
        <v>535</v>
      </c>
      <c r="C77" s="8"/>
      <c r="D77" s="8" t="s">
        <v>536</v>
      </c>
      <c r="E77" s="8" t="s">
        <v>229</v>
      </c>
      <c r="F77" s="8"/>
      <c r="G77" s="8"/>
      <c r="H77" s="8"/>
      <c r="I77" s="8"/>
      <c r="J77" s="8"/>
      <c r="K77" s="8"/>
      <c r="L77" s="8"/>
      <c r="M77" s="10"/>
      <c r="N77" s="8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10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10">
        <v>28.8</v>
      </c>
      <c r="BW77" s="10"/>
      <c r="BX77" s="10"/>
      <c r="BY77" s="10"/>
      <c r="BZ77" s="10"/>
      <c r="CA77" s="10"/>
      <c r="CB77" s="10"/>
      <c r="CC77" s="10"/>
      <c r="CD77" s="10"/>
      <c r="CE77" s="10"/>
      <c r="CF77" s="10">
        <v>7.5</v>
      </c>
      <c r="CG77" s="10"/>
      <c r="CH77" s="11">
        <f>SUM(BG77:CG77)</f>
        <v>36.299999999999997</v>
      </c>
      <c r="CI77" s="11">
        <f>(CH77-BG77)/2</f>
        <v>18.149999999999999</v>
      </c>
      <c r="CJ77" s="11">
        <v>2.4</v>
      </c>
      <c r="CK77" s="11"/>
      <c r="CL77" s="11"/>
      <c r="CM77" s="11"/>
      <c r="CN77" s="11"/>
      <c r="CO77" s="11"/>
      <c r="CP77" s="11">
        <f>SUM(CI77:CO77)</f>
        <v>20.549999999999997</v>
      </c>
      <c r="CQ77" s="11">
        <f>SUM(CP77-CI77)/2</f>
        <v>1.1999999999999993</v>
      </c>
      <c r="CR77" s="11">
        <v>2.4</v>
      </c>
      <c r="CS77" s="11"/>
      <c r="CT77" s="11"/>
      <c r="CU77" s="11"/>
      <c r="CV77" s="11"/>
      <c r="CW77" s="11"/>
      <c r="CX77" s="11">
        <f t="shared" si="16"/>
        <v>3.5999999999999992</v>
      </c>
      <c r="CY77" s="24"/>
      <c r="DS77" s="12">
        <f>SUM(CZ77:DA77)+SUM(DJ77:DQ77)</f>
        <v>0</v>
      </c>
      <c r="DT77">
        <f>(DS77-CZ77)/2</f>
        <v>0</v>
      </c>
      <c r="DU77">
        <f>CH77/4</f>
        <v>9.0749999999999993</v>
      </c>
      <c r="EI77">
        <f>SUM(DT77:EH77)</f>
        <v>9.0749999999999993</v>
      </c>
      <c r="EJ77">
        <f>(EI77-DT77)/2</f>
        <v>4.5374999999999996</v>
      </c>
      <c r="EX77" s="8">
        <f t="shared" si="14"/>
        <v>4.5374999999999996</v>
      </c>
      <c r="EY77" s="8">
        <f t="shared" si="17"/>
        <v>0</v>
      </c>
      <c r="EZ77" s="10"/>
      <c r="FA77" s="10"/>
      <c r="FB77" s="10"/>
      <c r="FC77" s="10"/>
      <c r="FD77" s="10"/>
      <c r="FE77" s="10"/>
      <c r="FF77" s="10"/>
      <c r="FG77" s="10"/>
      <c r="FH77" s="10"/>
      <c r="FI77" s="8">
        <f t="shared" si="15"/>
        <v>0</v>
      </c>
    </row>
    <row r="78" spans="1:165" x14ac:dyDescent="0.25">
      <c r="A78">
        <v>68</v>
      </c>
      <c r="B78" s="8" t="s">
        <v>626</v>
      </c>
      <c r="C78" s="8"/>
      <c r="D78" s="8" t="s">
        <v>344</v>
      </c>
      <c r="E78" s="8" t="s">
        <v>549</v>
      </c>
      <c r="F78" s="8"/>
      <c r="G78" s="8"/>
      <c r="H78" s="8"/>
      <c r="I78" s="8"/>
      <c r="J78" s="8"/>
      <c r="K78" s="8"/>
      <c r="L78" s="8"/>
      <c r="M78" s="10"/>
      <c r="N78" s="8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10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8"/>
      <c r="CI78" s="8"/>
      <c r="CJ78" s="10">
        <v>3</v>
      </c>
      <c r="CK78" s="10">
        <v>4</v>
      </c>
      <c r="CL78" s="10"/>
      <c r="CM78" s="10"/>
      <c r="CN78" s="10"/>
      <c r="CO78" s="10"/>
      <c r="CP78" s="11">
        <f>SUM(CI78:CO78)</f>
        <v>7</v>
      </c>
      <c r="CQ78" s="11">
        <f>SUM(CP78-CI78)/2</f>
        <v>3.5</v>
      </c>
      <c r="CR78" s="11"/>
      <c r="CS78" s="11"/>
      <c r="CT78" s="11"/>
      <c r="CU78" s="11"/>
      <c r="CV78" s="11"/>
      <c r="CW78" s="11"/>
      <c r="CX78" s="11">
        <f t="shared" si="16"/>
        <v>3.5</v>
      </c>
      <c r="CY78" s="24"/>
      <c r="EX78" s="8">
        <f t="shared" si="14"/>
        <v>0</v>
      </c>
      <c r="EY78" s="8">
        <f t="shared" si="17"/>
        <v>0</v>
      </c>
      <c r="EZ78" s="10"/>
      <c r="FA78" s="10"/>
      <c r="FB78" s="10"/>
      <c r="FC78" s="10"/>
      <c r="FD78" s="10"/>
      <c r="FE78" s="10"/>
      <c r="FF78" s="10"/>
      <c r="FG78" s="10"/>
      <c r="FH78" s="10"/>
      <c r="FI78" s="8">
        <f t="shared" si="15"/>
        <v>0</v>
      </c>
    </row>
    <row r="79" spans="1:165" x14ac:dyDescent="0.25">
      <c r="A79">
        <v>69</v>
      </c>
      <c r="B79" s="8" t="s">
        <v>812</v>
      </c>
      <c r="C79" s="8"/>
      <c r="D79" s="8" t="s">
        <v>34</v>
      </c>
      <c r="E79" s="8" t="s">
        <v>16</v>
      </c>
      <c r="F79" s="8"/>
      <c r="G79" s="8"/>
      <c r="H79" s="8"/>
      <c r="I79" s="8"/>
      <c r="J79" s="8"/>
      <c r="K79" s="8"/>
      <c r="L79" s="8"/>
      <c r="M79" s="10"/>
      <c r="N79" s="8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10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8"/>
      <c r="CI79" s="8"/>
      <c r="CJ79" s="10"/>
      <c r="CK79" s="10"/>
      <c r="CL79" s="10"/>
      <c r="CM79" s="10"/>
      <c r="CN79" s="10"/>
      <c r="CO79" s="10"/>
      <c r="CP79" s="8"/>
      <c r="CQ79" s="8"/>
      <c r="CR79" s="10">
        <v>3</v>
      </c>
      <c r="CS79" s="10"/>
      <c r="CT79" s="10"/>
      <c r="CU79" s="8"/>
      <c r="CV79" s="8"/>
      <c r="CW79" s="8"/>
      <c r="CX79" s="11">
        <f t="shared" si="16"/>
        <v>3</v>
      </c>
      <c r="EX79" s="8">
        <f t="shared" si="14"/>
        <v>0</v>
      </c>
      <c r="EY79" s="8">
        <f t="shared" si="17"/>
        <v>0</v>
      </c>
      <c r="EZ79" s="10"/>
      <c r="FA79" s="10"/>
      <c r="FB79" s="10"/>
      <c r="FC79" s="10"/>
      <c r="FD79" s="10"/>
      <c r="FE79" s="10"/>
      <c r="FF79" s="10"/>
      <c r="FG79" s="10"/>
      <c r="FH79" s="10"/>
      <c r="FI79" s="8">
        <f t="shared" si="15"/>
        <v>0</v>
      </c>
    </row>
    <row r="80" spans="1:165" x14ac:dyDescent="0.25">
      <c r="A80">
        <v>70</v>
      </c>
      <c r="B80" s="8" t="s">
        <v>843</v>
      </c>
      <c r="C80" s="8"/>
      <c r="D80" s="8" t="s">
        <v>376</v>
      </c>
      <c r="E80" s="8" t="s">
        <v>631</v>
      </c>
      <c r="F80" s="8"/>
      <c r="G80" s="8"/>
      <c r="H80" s="8"/>
      <c r="I80" s="8"/>
      <c r="J80" s="8"/>
      <c r="K80" s="8"/>
      <c r="L80" s="8"/>
      <c r="M80" s="10"/>
      <c r="N80" s="8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10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8"/>
      <c r="CI80" s="8"/>
      <c r="CJ80" s="10"/>
      <c r="CK80" s="10"/>
      <c r="CL80" s="10"/>
      <c r="CM80" s="10"/>
      <c r="CN80" s="10"/>
      <c r="CO80" s="10"/>
      <c r="CP80" s="8"/>
      <c r="CQ80" s="8"/>
      <c r="CR80" s="10">
        <v>3</v>
      </c>
      <c r="CS80" s="10"/>
      <c r="CT80" s="10"/>
      <c r="CU80" s="8"/>
      <c r="CV80" s="8"/>
      <c r="CW80" s="8"/>
      <c r="CX80" s="11">
        <f t="shared" si="16"/>
        <v>3</v>
      </c>
      <c r="EX80" s="8">
        <f t="shared" si="14"/>
        <v>0</v>
      </c>
      <c r="EY80" s="8">
        <f t="shared" si="17"/>
        <v>0</v>
      </c>
      <c r="EZ80" s="10"/>
      <c r="FA80" s="10"/>
      <c r="FB80" s="10"/>
      <c r="FC80" s="10"/>
      <c r="FD80" s="10"/>
      <c r="FE80" s="10"/>
      <c r="FF80" s="10"/>
      <c r="FG80" s="10"/>
      <c r="FH80" s="10"/>
      <c r="FI80" s="8">
        <f t="shared" si="15"/>
        <v>0</v>
      </c>
    </row>
    <row r="81" spans="1:165" x14ac:dyDescent="0.25">
      <c r="A81">
        <v>71</v>
      </c>
      <c r="B81" s="8" t="s">
        <v>913</v>
      </c>
      <c r="C81" s="8"/>
      <c r="D81" s="8" t="s">
        <v>914</v>
      </c>
      <c r="E81" s="8" t="s">
        <v>229</v>
      </c>
      <c r="F81" s="8"/>
      <c r="G81" s="8"/>
      <c r="H81" s="8"/>
      <c r="I81" s="8"/>
      <c r="J81" s="8"/>
      <c r="K81" s="8"/>
      <c r="L81" s="8"/>
      <c r="M81" s="10"/>
      <c r="N81" s="8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10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8"/>
      <c r="CI81" s="8"/>
      <c r="CJ81" s="10"/>
      <c r="CK81" s="10"/>
      <c r="CL81" s="10"/>
      <c r="CM81" s="10"/>
      <c r="CN81" s="10"/>
      <c r="CO81" s="10"/>
      <c r="CP81" s="8"/>
      <c r="CQ81" s="8"/>
      <c r="CR81" s="10">
        <v>3</v>
      </c>
      <c r="CS81" s="10"/>
      <c r="CT81" s="10"/>
      <c r="CU81" s="8"/>
      <c r="CV81" s="8"/>
      <c r="CW81" s="8"/>
      <c r="CX81" s="11">
        <f t="shared" si="16"/>
        <v>3</v>
      </c>
      <c r="EX81" s="8"/>
      <c r="EY81" s="8"/>
      <c r="EZ81" s="10"/>
      <c r="FA81" s="10"/>
      <c r="FB81" s="10"/>
      <c r="FC81" s="10"/>
      <c r="FD81" s="10"/>
      <c r="FE81" s="10"/>
      <c r="FF81" s="10"/>
      <c r="FG81" s="10"/>
      <c r="FH81" s="10"/>
      <c r="FI81" s="8">
        <f t="shared" si="15"/>
        <v>0</v>
      </c>
    </row>
    <row r="82" spans="1:165" x14ac:dyDescent="0.25">
      <c r="A82">
        <v>72</v>
      </c>
      <c r="B82" s="8" t="s">
        <v>252</v>
      </c>
      <c r="C82" s="8"/>
      <c r="D82" s="8" t="s">
        <v>32</v>
      </c>
      <c r="E82" s="8" t="s">
        <v>17</v>
      </c>
      <c r="F82" s="8"/>
      <c r="G82" s="8"/>
      <c r="H82" s="8"/>
      <c r="I82" s="8"/>
      <c r="J82" s="8"/>
      <c r="K82" s="8"/>
      <c r="L82" s="8"/>
      <c r="M82" s="10"/>
      <c r="N82" s="8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8"/>
      <c r="AH82" s="8"/>
      <c r="AI82" s="8"/>
      <c r="AJ82" s="8">
        <v>36</v>
      </c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10"/>
      <c r="AX82" s="8"/>
      <c r="AY82" s="8"/>
      <c r="AZ82" s="8"/>
      <c r="BA82" s="8"/>
      <c r="BB82" s="8"/>
      <c r="BC82" s="8"/>
      <c r="BD82" s="8"/>
      <c r="BE82" s="8"/>
      <c r="BF82" s="11">
        <f>SUM(AH82:BE82)</f>
        <v>36</v>
      </c>
      <c r="BG82" s="11">
        <f>(BF82-AH82)/2</f>
        <v>18</v>
      </c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>
        <v>100</v>
      </c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>
        <f>SUM(BG82:CG82)</f>
        <v>118</v>
      </c>
      <c r="CI82" s="11">
        <f>(CH82-BG82)/2</f>
        <v>50</v>
      </c>
      <c r="CJ82" s="11"/>
      <c r="CK82" s="11"/>
      <c r="CL82" s="11">
        <v>5</v>
      </c>
      <c r="CM82" s="11"/>
      <c r="CN82" s="11"/>
      <c r="CO82" s="11"/>
      <c r="CP82" s="11">
        <f>SUM(CI82:CO82)</f>
        <v>55</v>
      </c>
      <c r="CQ82" s="11">
        <f>SUM(CP82-CI82)/2</f>
        <v>2.5</v>
      </c>
      <c r="CR82" s="11"/>
      <c r="CS82" s="11"/>
      <c r="CT82" s="11"/>
      <c r="CU82" s="11"/>
      <c r="CV82" s="11"/>
      <c r="CW82" s="11"/>
      <c r="CX82" s="11">
        <f t="shared" si="16"/>
        <v>2.5</v>
      </c>
      <c r="CY82" s="24"/>
      <c r="CZ82" s="12">
        <f>SUM(DC82:DH82)/2</f>
        <v>0</v>
      </c>
      <c r="DA82" s="12">
        <f>BF82/4</f>
        <v>9</v>
      </c>
      <c r="DB82" s="12">
        <f>AG82/2</f>
        <v>0</v>
      </c>
      <c r="DC82" s="12"/>
      <c r="DD82" s="12"/>
      <c r="DE82" s="12"/>
      <c r="DF82" s="12"/>
      <c r="DI82" s="12">
        <f>SUM(DB82:DD82)</f>
        <v>0</v>
      </c>
      <c r="DJ82" s="12"/>
      <c r="DK82" s="12"/>
      <c r="DL82" s="12"/>
      <c r="DM82" s="12"/>
      <c r="DN82" s="12"/>
      <c r="DO82" s="12"/>
      <c r="DP82" s="12"/>
      <c r="DQ82" s="12"/>
      <c r="DR82" s="12"/>
      <c r="DS82" s="12">
        <f>SUM(CZ82:DA82)+SUM(DJ82:DL82)</f>
        <v>9</v>
      </c>
      <c r="DT82">
        <f>(DS82-CZ82)/2</f>
        <v>4.5</v>
      </c>
      <c r="DU82">
        <f>CH82/4</f>
        <v>29.5</v>
      </c>
      <c r="EI82">
        <f>SUM(DT82:EH82)</f>
        <v>34</v>
      </c>
      <c r="EJ82">
        <f>(EI82-DT82)/2</f>
        <v>14.75</v>
      </c>
      <c r="EX82" s="8">
        <f t="shared" ref="EX82:EX90" si="18">SUM(EJ82:EV82)</f>
        <v>14.75</v>
      </c>
      <c r="EY82" s="8">
        <f t="shared" ref="EY82:EY93" si="19">(EX82-EJ82)/2</f>
        <v>0</v>
      </c>
      <c r="EZ82" s="10"/>
      <c r="FA82" s="10"/>
      <c r="FB82" s="10"/>
      <c r="FC82" s="10"/>
      <c r="FD82" s="10"/>
      <c r="FE82" s="10"/>
      <c r="FF82" s="10"/>
      <c r="FG82" s="10"/>
      <c r="FH82" s="10"/>
      <c r="FI82" s="8">
        <f t="shared" si="15"/>
        <v>0</v>
      </c>
    </row>
    <row r="83" spans="1:165" x14ac:dyDescent="0.25">
      <c r="A83">
        <v>73</v>
      </c>
      <c r="B83" s="8" t="s">
        <v>252</v>
      </c>
      <c r="C83" s="8"/>
      <c r="D83" s="8" t="s">
        <v>263</v>
      </c>
      <c r="E83" s="8" t="s">
        <v>553</v>
      </c>
      <c r="F83" s="8"/>
      <c r="G83" s="8"/>
      <c r="H83" s="8"/>
      <c r="I83" s="8"/>
      <c r="J83" s="8"/>
      <c r="K83" s="8"/>
      <c r="L83" s="8"/>
      <c r="M83" s="10"/>
      <c r="N83" s="8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10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8"/>
      <c r="CI83" s="8"/>
      <c r="CJ83" s="10"/>
      <c r="CK83" s="10"/>
      <c r="CL83" s="10">
        <v>5</v>
      </c>
      <c r="CM83" s="10"/>
      <c r="CN83" s="10"/>
      <c r="CO83" s="10"/>
      <c r="CP83" s="11">
        <f>SUM(CI83:CO83)</f>
        <v>5</v>
      </c>
      <c r="CQ83" s="11">
        <f>SUM(CP83-CI83)/2</f>
        <v>2.5</v>
      </c>
      <c r="CR83" s="11"/>
      <c r="CS83" s="11"/>
      <c r="CT83" s="11"/>
      <c r="CU83" s="11"/>
      <c r="CV83" s="11"/>
      <c r="CW83" s="11"/>
      <c r="CX83" s="11">
        <f t="shared" si="16"/>
        <v>2.5</v>
      </c>
      <c r="CY83" s="24"/>
      <c r="EX83" s="8">
        <f t="shared" si="18"/>
        <v>0</v>
      </c>
      <c r="EY83" s="8">
        <f t="shared" si="19"/>
        <v>0</v>
      </c>
      <c r="EZ83" s="10"/>
      <c r="FA83" s="10"/>
      <c r="FB83" s="10"/>
      <c r="FC83" s="10"/>
      <c r="FD83" s="10"/>
      <c r="FE83" s="10"/>
      <c r="FF83" s="10"/>
      <c r="FG83" s="10"/>
      <c r="FH83" s="10"/>
      <c r="FI83" s="8">
        <f t="shared" si="15"/>
        <v>0</v>
      </c>
    </row>
    <row r="84" spans="1:165" x14ac:dyDescent="0.25">
      <c r="A84">
        <v>74</v>
      </c>
      <c r="B84" s="8" t="s">
        <v>145</v>
      </c>
      <c r="C84" s="8"/>
      <c r="D84" s="8" t="s">
        <v>301</v>
      </c>
      <c r="E84" s="8" t="s">
        <v>825</v>
      </c>
      <c r="F84" s="8"/>
      <c r="G84" s="8"/>
      <c r="H84" s="8"/>
      <c r="I84" s="8"/>
      <c r="J84" s="8"/>
      <c r="K84" s="8"/>
      <c r="L84" s="8"/>
      <c r="M84" s="10"/>
      <c r="N84" s="8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10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8"/>
      <c r="CI84" s="8"/>
      <c r="CJ84" s="10"/>
      <c r="CK84" s="10"/>
      <c r="CL84" s="10"/>
      <c r="CM84" s="10"/>
      <c r="CN84" s="10"/>
      <c r="CO84" s="10"/>
      <c r="CP84" s="8"/>
      <c r="CQ84" s="8"/>
      <c r="CR84" s="10">
        <v>2.4</v>
      </c>
      <c r="CS84" s="10"/>
      <c r="CT84" s="10"/>
      <c r="CU84" s="8"/>
      <c r="CV84" s="8"/>
      <c r="CW84" s="8"/>
      <c r="CX84" s="11">
        <f t="shared" si="16"/>
        <v>2.4</v>
      </c>
      <c r="EX84" s="8">
        <f t="shared" si="18"/>
        <v>0</v>
      </c>
      <c r="EY84" s="8">
        <f t="shared" si="19"/>
        <v>0</v>
      </c>
      <c r="EZ84" s="10"/>
      <c r="FA84" s="10"/>
      <c r="FB84" s="10"/>
      <c r="FC84" s="10"/>
      <c r="FD84" s="10"/>
      <c r="FE84" s="10"/>
      <c r="FF84" s="10"/>
      <c r="FG84" s="10"/>
      <c r="FH84" s="10"/>
      <c r="FI84" s="8">
        <f t="shared" si="15"/>
        <v>0</v>
      </c>
    </row>
    <row r="85" spans="1:165" x14ac:dyDescent="0.25">
      <c r="A85">
        <v>75</v>
      </c>
      <c r="B85" s="8" t="s">
        <v>201</v>
      </c>
      <c r="C85" s="8"/>
      <c r="D85" s="8" t="s">
        <v>519</v>
      </c>
      <c r="E85" s="8" t="s">
        <v>751</v>
      </c>
      <c r="F85" s="8"/>
      <c r="G85" s="8"/>
      <c r="H85" s="8"/>
      <c r="I85" s="8"/>
      <c r="J85" s="8"/>
      <c r="K85" s="8"/>
      <c r="L85" s="8"/>
      <c r="M85" s="10"/>
      <c r="N85" s="8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10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>
        <v>7.5</v>
      </c>
      <c r="BS85" s="8"/>
      <c r="BT85" s="8"/>
      <c r="BU85" s="8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1">
        <f>SUM(BG85:CG85)</f>
        <v>7.5</v>
      </c>
      <c r="CI85" s="11">
        <f>(CH85-BG85)/2</f>
        <v>3.75</v>
      </c>
      <c r="CJ85" s="11"/>
      <c r="CK85" s="11">
        <v>4</v>
      </c>
      <c r="CL85" s="11"/>
      <c r="CM85" s="11"/>
      <c r="CN85" s="11"/>
      <c r="CO85" s="11"/>
      <c r="CP85" s="11">
        <f t="shared" ref="CP85:CP93" si="20">SUM(CI85:CO85)</f>
        <v>7.75</v>
      </c>
      <c r="CQ85" s="11">
        <f t="shared" ref="CQ85:CQ93" si="21">SUM(CP85-CI85)/2</f>
        <v>2</v>
      </c>
      <c r="CR85" s="11"/>
      <c r="CS85" s="11"/>
      <c r="CT85" s="11"/>
      <c r="CU85" s="11"/>
      <c r="CV85" s="11"/>
      <c r="CW85" s="11"/>
      <c r="CX85" s="11">
        <f t="shared" si="16"/>
        <v>2</v>
      </c>
      <c r="CY85" s="24"/>
      <c r="DS85" s="12">
        <f>SUM(CZ85:DA85)+SUM(DJ85:DQ85)</f>
        <v>0</v>
      </c>
      <c r="DT85">
        <f>(DS85-CZ85)/2</f>
        <v>0</v>
      </c>
      <c r="DU85">
        <f>CH85/4</f>
        <v>1.875</v>
      </c>
      <c r="EH85" s="12">
        <v>2.5</v>
      </c>
      <c r="EI85">
        <f>SUM(DT85:EH85)</f>
        <v>4.375</v>
      </c>
      <c r="EJ85">
        <f>(EI85-DT85)/2</f>
        <v>2.1875</v>
      </c>
      <c r="EK85" s="12">
        <v>14</v>
      </c>
      <c r="EX85" s="8">
        <f t="shared" si="18"/>
        <v>16.1875</v>
      </c>
      <c r="EY85" s="8">
        <f t="shared" si="19"/>
        <v>7</v>
      </c>
      <c r="EZ85" s="10"/>
      <c r="FA85" s="10"/>
      <c r="FB85" s="10"/>
      <c r="FC85" s="10"/>
      <c r="FD85" s="10"/>
      <c r="FE85" s="10"/>
      <c r="FF85" s="10"/>
      <c r="FG85" s="10"/>
      <c r="FH85" s="10"/>
      <c r="FI85" s="8">
        <f t="shared" si="15"/>
        <v>7</v>
      </c>
    </row>
    <row r="86" spans="1:165" x14ac:dyDescent="0.25">
      <c r="A86">
        <v>76</v>
      </c>
      <c r="B86" s="8" t="s">
        <v>743</v>
      </c>
      <c r="C86" s="8"/>
      <c r="D86" s="8" t="s">
        <v>744</v>
      </c>
      <c r="E86" s="8" t="s">
        <v>13</v>
      </c>
      <c r="F86" s="8"/>
      <c r="G86" s="8"/>
      <c r="H86" s="8"/>
      <c r="I86" s="8"/>
      <c r="J86" s="8"/>
      <c r="K86" s="8"/>
      <c r="L86" s="8"/>
      <c r="M86" s="10"/>
      <c r="N86" s="8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10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8"/>
      <c r="CI86" s="8"/>
      <c r="CJ86" s="10">
        <v>3</v>
      </c>
      <c r="CK86" s="10"/>
      <c r="CL86" s="10"/>
      <c r="CM86" s="10"/>
      <c r="CN86" s="10"/>
      <c r="CO86" s="10"/>
      <c r="CP86" s="11">
        <f t="shared" si="20"/>
        <v>3</v>
      </c>
      <c r="CQ86" s="11">
        <f t="shared" si="21"/>
        <v>1.5</v>
      </c>
      <c r="CR86" s="11"/>
      <c r="CS86" s="11"/>
      <c r="CT86" s="11"/>
      <c r="CU86" s="11"/>
      <c r="CV86" s="11"/>
      <c r="CW86" s="11"/>
      <c r="CX86" s="11">
        <f t="shared" si="16"/>
        <v>1.5</v>
      </c>
      <c r="CY86" s="24"/>
      <c r="EX86" s="8">
        <f t="shared" si="18"/>
        <v>0</v>
      </c>
      <c r="EY86" s="8">
        <f t="shared" si="19"/>
        <v>0</v>
      </c>
      <c r="EZ86" s="10"/>
      <c r="FA86" s="10"/>
      <c r="FB86" s="10"/>
      <c r="FC86" s="10"/>
      <c r="FD86" s="10"/>
      <c r="FE86" s="10"/>
      <c r="FF86" s="10"/>
      <c r="FG86" s="10"/>
      <c r="FH86" s="10"/>
      <c r="FI86" s="8">
        <f t="shared" si="15"/>
        <v>0</v>
      </c>
    </row>
    <row r="87" spans="1:165" x14ac:dyDescent="0.25">
      <c r="A87">
        <v>77</v>
      </c>
      <c r="B87" s="8" t="s">
        <v>139</v>
      </c>
      <c r="C87" s="8"/>
      <c r="D87" s="8" t="s">
        <v>26</v>
      </c>
      <c r="E87" s="8" t="s">
        <v>229</v>
      </c>
      <c r="F87" s="8"/>
      <c r="G87" s="8"/>
      <c r="H87" s="8"/>
      <c r="I87" s="8"/>
      <c r="J87" s="8"/>
      <c r="K87" s="8"/>
      <c r="L87" s="8"/>
      <c r="M87" s="10"/>
      <c r="N87" s="8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10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>
        <v>5</v>
      </c>
      <c r="BU87" s="8"/>
      <c r="BV87" s="10">
        <v>4</v>
      </c>
      <c r="BW87" s="10"/>
      <c r="BX87" s="10">
        <v>7.5</v>
      </c>
      <c r="BY87" s="10"/>
      <c r="BZ87" s="10"/>
      <c r="CA87" s="10"/>
      <c r="CB87" s="10"/>
      <c r="CC87" s="10"/>
      <c r="CD87" s="10"/>
      <c r="CE87" s="10"/>
      <c r="CF87" s="10"/>
      <c r="CG87" s="10"/>
      <c r="CH87" s="11">
        <f>SUM(BG87:CG87)</f>
        <v>16.5</v>
      </c>
      <c r="CI87" s="11">
        <f>(CH87-BG87)/2</f>
        <v>8.25</v>
      </c>
      <c r="CJ87" s="11">
        <v>2.4</v>
      </c>
      <c r="CK87" s="11"/>
      <c r="CL87" s="11"/>
      <c r="CM87" s="11"/>
      <c r="CN87" s="11"/>
      <c r="CO87" s="11"/>
      <c r="CP87" s="11">
        <f t="shared" si="20"/>
        <v>10.65</v>
      </c>
      <c r="CQ87" s="11">
        <f t="shared" si="21"/>
        <v>1.2000000000000002</v>
      </c>
      <c r="CR87" s="11"/>
      <c r="CS87" s="11"/>
      <c r="CT87" s="11"/>
      <c r="CU87" s="11"/>
      <c r="CV87" s="11"/>
      <c r="CW87" s="11"/>
      <c r="CX87" s="11">
        <f t="shared" si="16"/>
        <v>1.2000000000000002</v>
      </c>
      <c r="CY87" s="24"/>
      <c r="DS87" s="12">
        <f>SUM(CZ87:DA87)+SUM(DJ87:DQ87)</f>
        <v>0</v>
      </c>
      <c r="DT87">
        <f>(DS87-CZ87)/2</f>
        <v>0</v>
      </c>
      <c r="DU87">
        <f>CH87/4</f>
        <v>4.125</v>
      </c>
      <c r="EI87">
        <f>SUM(DT87:EH87)</f>
        <v>4.125</v>
      </c>
      <c r="EJ87">
        <f>(EI87-DT87)/2</f>
        <v>2.0625</v>
      </c>
      <c r="EX87" s="8">
        <f t="shared" si="18"/>
        <v>2.0625</v>
      </c>
      <c r="EY87" s="8">
        <f t="shared" si="19"/>
        <v>0</v>
      </c>
      <c r="EZ87" s="10"/>
      <c r="FA87" s="10"/>
      <c r="FB87" s="10"/>
      <c r="FC87" s="10"/>
      <c r="FD87" s="10"/>
      <c r="FE87" s="10"/>
      <c r="FF87" s="10"/>
      <c r="FG87" s="10"/>
      <c r="FH87" s="10"/>
      <c r="FI87" s="8">
        <f t="shared" si="15"/>
        <v>0</v>
      </c>
    </row>
    <row r="88" spans="1:165" x14ac:dyDescent="0.25">
      <c r="A88">
        <v>78</v>
      </c>
      <c r="B88" s="8" t="s">
        <v>161</v>
      </c>
      <c r="C88" s="8"/>
      <c r="D88" s="8" t="s">
        <v>155</v>
      </c>
      <c r="E88" s="8" t="s">
        <v>392</v>
      </c>
      <c r="F88" s="8"/>
      <c r="G88" s="8"/>
      <c r="H88" s="8"/>
      <c r="I88" s="8"/>
      <c r="J88" s="8"/>
      <c r="K88" s="8"/>
      <c r="L88" s="8"/>
      <c r="M88" s="10"/>
      <c r="N88" s="8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10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8"/>
      <c r="CI88" s="8"/>
      <c r="CJ88" s="10">
        <v>2.4</v>
      </c>
      <c r="CK88" s="10"/>
      <c r="CL88" s="10"/>
      <c r="CM88" s="10"/>
      <c r="CN88" s="10"/>
      <c r="CO88" s="10"/>
      <c r="CP88" s="11">
        <f t="shared" si="20"/>
        <v>2.4</v>
      </c>
      <c r="CQ88" s="11">
        <f t="shared" si="21"/>
        <v>1.2</v>
      </c>
      <c r="CR88" s="11"/>
      <c r="CS88" s="11"/>
      <c r="CT88" s="11"/>
      <c r="CU88" s="11"/>
      <c r="CV88" s="11"/>
      <c r="CW88" s="11"/>
      <c r="CX88" s="11">
        <f t="shared" si="16"/>
        <v>1.2</v>
      </c>
      <c r="CY88" s="24"/>
      <c r="EX88" s="8">
        <f t="shared" si="18"/>
        <v>0</v>
      </c>
      <c r="EY88" s="8">
        <f t="shared" si="19"/>
        <v>0</v>
      </c>
      <c r="EZ88" s="10"/>
      <c r="FA88" s="10"/>
      <c r="FB88" s="10"/>
      <c r="FC88" s="10"/>
      <c r="FD88" s="10"/>
      <c r="FE88" s="10"/>
      <c r="FF88" s="10"/>
      <c r="FG88" s="10"/>
      <c r="FH88" s="10"/>
      <c r="FI88" s="8">
        <f t="shared" si="15"/>
        <v>0</v>
      </c>
    </row>
    <row r="89" spans="1:165" x14ac:dyDescent="0.25">
      <c r="A89">
        <v>79</v>
      </c>
      <c r="B89" s="8" t="s">
        <v>747</v>
      </c>
      <c r="C89" s="8"/>
      <c r="D89" s="8" t="s">
        <v>158</v>
      </c>
      <c r="E89" s="8" t="s">
        <v>581</v>
      </c>
      <c r="F89" s="8"/>
      <c r="G89" s="8"/>
      <c r="H89" s="8"/>
      <c r="I89" s="8"/>
      <c r="J89" s="8"/>
      <c r="K89" s="8"/>
      <c r="L89" s="8"/>
      <c r="M89" s="10"/>
      <c r="N89" s="8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10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8"/>
      <c r="CI89" s="8"/>
      <c r="CJ89" s="10">
        <v>2.4</v>
      </c>
      <c r="CK89" s="10"/>
      <c r="CL89" s="10"/>
      <c r="CM89" s="10"/>
      <c r="CN89" s="10"/>
      <c r="CO89" s="10"/>
      <c r="CP89" s="11">
        <f t="shared" si="20"/>
        <v>2.4</v>
      </c>
      <c r="CQ89" s="11">
        <f t="shared" si="21"/>
        <v>1.2</v>
      </c>
      <c r="CR89" s="11"/>
      <c r="CS89" s="11"/>
      <c r="CT89" s="11"/>
      <c r="CU89" s="11"/>
      <c r="CV89" s="11"/>
      <c r="CW89" s="11"/>
      <c r="CX89" s="11">
        <f t="shared" si="16"/>
        <v>1.2</v>
      </c>
      <c r="CY89" s="24"/>
      <c r="EX89" s="8">
        <f t="shared" si="18"/>
        <v>0</v>
      </c>
      <c r="EY89" s="8">
        <f t="shared" si="19"/>
        <v>0</v>
      </c>
      <c r="EZ89" s="10"/>
      <c r="FA89" s="10"/>
      <c r="FB89" s="10"/>
      <c r="FC89" s="10"/>
      <c r="FD89" s="10"/>
      <c r="FE89" s="10"/>
      <c r="FF89" s="10"/>
      <c r="FG89" s="10"/>
      <c r="FH89" s="10"/>
      <c r="FI89" s="8">
        <f t="shared" si="15"/>
        <v>0</v>
      </c>
    </row>
    <row r="90" spans="1:165" x14ac:dyDescent="0.25">
      <c r="A90">
        <v>80</v>
      </c>
      <c r="B90" s="8" t="s">
        <v>380</v>
      </c>
      <c r="C90" s="8"/>
      <c r="D90" s="8" t="s">
        <v>772</v>
      </c>
      <c r="E90" s="8" t="s">
        <v>773</v>
      </c>
      <c r="F90" s="8"/>
      <c r="G90" s="8"/>
      <c r="H90" s="8"/>
      <c r="I90" s="8"/>
      <c r="J90" s="8"/>
      <c r="K90" s="8"/>
      <c r="L90" s="8"/>
      <c r="M90" s="10"/>
      <c r="N90" s="8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10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8"/>
      <c r="CI90" s="8"/>
      <c r="CJ90" s="10">
        <v>2.4</v>
      </c>
      <c r="CK90" s="10"/>
      <c r="CL90" s="10"/>
      <c r="CM90" s="10"/>
      <c r="CN90" s="10"/>
      <c r="CO90" s="10"/>
      <c r="CP90" s="11">
        <f t="shared" si="20"/>
        <v>2.4</v>
      </c>
      <c r="CQ90" s="11">
        <f t="shared" si="21"/>
        <v>1.2</v>
      </c>
      <c r="CR90" s="11"/>
      <c r="CS90" s="11"/>
      <c r="CT90" s="11"/>
      <c r="CU90" s="11"/>
      <c r="CV90" s="11"/>
      <c r="CW90" s="11"/>
      <c r="CX90" s="11">
        <f t="shared" si="16"/>
        <v>1.2</v>
      </c>
      <c r="CY90" s="24"/>
      <c r="EX90" s="8">
        <f t="shared" si="18"/>
        <v>0</v>
      </c>
      <c r="EY90" s="8">
        <f t="shared" si="19"/>
        <v>0</v>
      </c>
      <c r="EZ90" s="10"/>
      <c r="FA90" s="10"/>
      <c r="FB90" s="10"/>
      <c r="FC90" s="10"/>
      <c r="FD90" s="10"/>
      <c r="FE90" s="10"/>
      <c r="FF90" s="10"/>
      <c r="FG90" s="10"/>
      <c r="FH90" s="10"/>
      <c r="FI90" s="8">
        <f t="shared" si="15"/>
        <v>0</v>
      </c>
    </row>
    <row r="91" spans="1:165" x14ac:dyDescent="0.25">
      <c r="A91">
        <v>81</v>
      </c>
      <c r="B91" s="8" t="s">
        <v>504</v>
      </c>
      <c r="C91" s="8"/>
      <c r="D91" s="8" t="s">
        <v>22</v>
      </c>
      <c r="E91" s="8" t="s">
        <v>38</v>
      </c>
      <c r="F91" s="8"/>
      <c r="G91" s="8"/>
      <c r="H91" s="8"/>
      <c r="I91" s="8"/>
      <c r="J91" s="8"/>
      <c r="K91" s="8"/>
      <c r="L91" s="8"/>
      <c r="M91" s="10"/>
      <c r="N91" s="8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10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>
        <v>105</v>
      </c>
      <c r="BS91" s="8"/>
      <c r="BT91" s="8"/>
      <c r="BU91" s="8"/>
      <c r="BV91" s="10"/>
      <c r="BW91" s="10">
        <v>56</v>
      </c>
      <c r="BX91" s="10"/>
      <c r="BY91" s="10"/>
      <c r="BZ91" s="10"/>
      <c r="CA91" s="10"/>
      <c r="CB91" s="10"/>
      <c r="CC91" s="10"/>
      <c r="CD91" s="10"/>
      <c r="CE91" s="10"/>
      <c r="CF91" s="10">
        <v>39</v>
      </c>
      <c r="CG91" s="10"/>
      <c r="CH91" s="11">
        <f>SUM(BG91:CG91)</f>
        <v>200</v>
      </c>
      <c r="CI91" s="11">
        <f>(CH91-BG91)/2</f>
        <v>100</v>
      </c>
      <c r="CJ91" s="11"/>
      <c r="CK91" s="11"/>
      <c r="CL91" s="11"/>
      <c r="CM91" s="11"/>
      <c r="CN91" s="11"/>
      <c r="CO91" s="11"/>
      <c r="CP91" s="11">
        <f t="shared" si="20"/>
        <v>100</v>
      </c>
      <c r="CQ91" s="11">
        <f t="shared" si="21"/>
        <v>0</v>
      </c>
      <c r="CR91" s="11"/>
      <c r="CS91" s="11"/>
      <c r="CT91" s="11"/>
      <c r="CU91" s="11"/>
      <c r="CV91" s="11"/>
      <c r="CW91" s="11"/>
      <c r="CX91" s="11">
        <f t="shared" si="16"/>
        <v>0</v>
      </c>
      <c r="CY91" s="24"/>
      <c r="DS91" s="12">
        <f>SUM(CZ91:DA91)+SUM(DJ91:DQ91)</f>
        <v>0</v>
      </c>
      <c r="DT91">
        <f>(DS91-CZ91)/2</f>
        <v>0</v>
      </c>
      <c r="DU91">
        <f>CH91/4</f>
        <v>50</v>
      </c>
      <c r="EI91">
        <f>SUM(DT91:DY91)</f>
        <v>50</v>
      </c>
      <c r="EJ91">
        <f>(EI91-DT91)/2</f>
        <v>25</v>
      </c>
      <c r="EX91" s="8">
        <f>SUM(EJ91:EN91)</f>
        <v>25</v>
      </c>
      <c r="EY91" s="8">
        <f t="shared" si="19"/>
        <v>0</v>
      </c>
      <c r="EZ91" s="10"/>
      <c r="FA91" s="10"/>
      <c r="FB91" s="10"/>
      <c r="FC91" s="10"/>
      <c r="FD91" s="10"/>
      <c r="FE91" s="10"/>
      <c r="FF91" s="10"/>
      <c r="FG91" s="10"/>
      <c r="FH91" s="10"/>
      <c r="FI91" s="8">
        <f t="shared" si="15"/>
        <v>0</v>
      </c>
    </row>
    <row r="92" spans="1:165" x14ac:dyDescent="0.25">
      <c r="A92">
        <v>82</v>
      </c>
      <c r="B92" s="8" t="s">
        <v>90</v>
      </c>
      <c r="C92" s="8"/>
      <c r="D92" s="8" t="s">
        <v>228</v>
      </c>
      <c r="E92" s="8" t="s">
        <v>366</v>
      </c>
      <c r="F92" s="8"/>
      <c r="G92" s="8"/>
      <c r="H92" s="8"/>
      <c r="I92" s="8"/>
      <c r="J92" s="8"/>
      <c r="K92" s="8"/>
      <c r="L92" s="8"/>
      <c r="M92" s="10"/>
      <c r="N92" s="8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10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>
        <v>21.6</v>
      </c>
      <c r="BM92" s="8"/>
      <c r="BN92" s="8"/>
      <c r="BO92" s="8"/>
      <c r="BP92" s="8"/>
      <c r="BQ92" s="8"/>
      <c r="BR92" s="8"/>
      <c r="BS92" s="8"/>
      <c r="BT92" s="8">
        <v>5</v>
      </c>
      <c r="BU92" s="8"/>
      <c r="BV92" s="10">
        <v>4</v>
      </c>
      <c r="BW92" s="10"/>
      <c r="BX92" s="10">
        <v>7.5</v>
      </c>
      <c r="BY92" s="10">
        <v>30</v>
      </c>
      <c r="BZ92" s="10"/>
      <c r="CA92" s="10"/>
      <c r="CB92" s="10"/>
      <c r="CC92" s="10"/>
      <c r="CD92" s="10"/>
      <c r="CE92" s="10"/>
      <c r="CF92" s="10"/>
      <c r="CG92" s="10"/>
      <c r="CH92" s="11">
        <f>SUM(BG92:CG92)</f>
        <v>68.099999999999994</v>
      </c>
      <c r="CI92" s="11">
        <f>(CH92-BG92)/2</f>
        <v>34.049999999999997</v>
      </c>
      <c r="CJ92" s="11"/>
      <c r="CK92" s="11"/>
      <c r="CL92" s="11"/>
      <c r="CM92" s="11"/>
      <c r="CN92" s="11"/>
      <c r="CO92" s="11"/>
      <c r="CP92" s="11">
        <f t="shared" si="20"/>
        <v>34.049999999999997</v>
      </c>
      <c r="CQ92" s="11">
        <f t="shared" si="21"/>
        <v>0</v>
      </c>
      <c r="CR92" s="11"/>
      <c r="CS92" s="11"/>
      <c r="CT92" s="11"/>
      <c r="CU92" s="11"/>
      <c r="CV92" s="11"/>
      <c r="CW92" s="11"/>
      <c r="CX92" s="11">
        <f t="shared" si="16"/>
        <v>0</v>
      </c>
      <c r="CY92" s="24"/>
      <c r="DS92" s="12">
        <f>SUM(CZ92:DA92)+SUM(DJ92:DQ92)</f>
        <v>0</v>
      </c>
      <c r="DT92">
        <f>(DS92-CZ92)/2</f>
        <v>0</v>
      </c>
      <c r="DU92">
        <f>CH92/4</f>
        <v>17.024999999999999</v>
      </c>
      <c r="EH92" s="12">
        <v>18</v>
      </c>
      <c r="EI92">
        <f>SUM(DT92:EH92)</f>
        <v>35.024999999999999</v>
      </c>
      <c r="EJ92">
        <f>(EI92-DT92)/2</f>
        <v>17.512499999999999</v>
      </c>
      <c r="EK92" s="12">
        <v>1.75</v>
      </c>
      <c r="EX92" s="8">
        <f>SUM(EJ92:EV92)</f>
        <v>19.262499999999999</v>
      </c>
      <c r="EY92" s="8">
        <f t="shared" si="19"/>
        <v>0.875</v>
      </c>
      <c r="EZ92" s="10"/>
      <c r="FA92" s="10"/>
      <c r="FB92" s="10"/>
      <c r="FC92" s="10"/>
      <c r="FD92" s="10"/>
      <c r="FE92" s="10"/>
      <c r="FF92" s="10"/>
      <c r="FG92" s="10"/>
      <c r="FH92" s="10"/>
      <c r="FI92" s="8">
        <f t="shared" si="15"/>
        <v>0.875</v>
      </c>
    </row>
    <row r="93" spans="1:165" x14ac:dyDescent="0.25">
      <c r="A93">
        <v>83</v>
      </c>
      <c r="B93" s="8" t="s">
        <v>780</v>
      </c>
      <c r="C93" s="8"/>
      <c r="D93" s="8" t="s">
        <v>194</v>
      </c>
      <c r="E93" s="8" t="s">
        <v>53</v>
      </c>
      <c r="F93" s="8"/>
      <c r="G93" s="8"/>
      <c r="H93" s="8"/>
      <c r="I93" s="8"/>
      <c r="J93" s="8"/>
      <c r="K93" s="8"/>
      <c r="L93" s="8"/>
      <c r="M93" s="10"/>
      <c r="N93" s="8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10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8"/>
      <c r="CI93" s="8"/>
      <c r="CJ93" s="10"/>
      <c r="CK93" s="10"/>
      <c r="CL93" s="10"/>
      <c r="CM93" s="10"/>
      <c r="CN93" s="10"/>
      <c r="CO93" s="10"/>
      <c r="CP93" s="11">
        <f t="shared" si="20"/>
        <v>0</v>
      </c>
      <c r="CQ93" s="11">
        <f t="shared" si="21"/>
        <v>0</v>
      </c>
      <c r="CR93" s="11"/>
      <c r="CS93" s="11"/>
      <c r="CT93" s="11"/>
      <c r="CU93" s="11"/>
      <c r="CV93" s="11"/>
      <c r="CW93" s="11"/>
      <c r="CX93" s="11">
        <f t="shared" si="16"/>
        <v>0</v>
      </c>
      <c r="CY93" s="24"/>
      <c r="EV93" s="12">
        <v>2.5</v>
      </c>
      <c r="EX93" s="8">
        <f>SUM(EJ93:EV93)</f>
        <v>2.5</v>
      </c>
      <c r="EY93" s="8">
        <f t="shared" si="19"/>
        <v>1.25</v>
      </c>
      <c r="EZ93" s="10"/>
      <c r="FA93" s="10"/>
      <c r="FB93" s="10"/>
      <c r="FC93" s="10"/>
      <c r="FD93" s="10"/>
      <c r="FE93" s="10"/>
      <c r="FF93" s="10"/>
      <c r="FG93" s="10"/>
      <c r="FH93" s="10"/>
      <c r="FI93" s="8">
        <f t="shared" si="15"/>
        <v>1.25</v>
      </c>
    </row>
  </sheetData>
  <sortState xmlns:xlrd2="http://schemas.microsoft.com/office/spreadsheetml/2017/richdata2" ref="B11:FI93">
    <sortCondition descending="1" ref="CX11:CX93"/>
  </sortState>
  <mergeCells count="6">
    <mergeCell ref="B1:FI1"/>
    <mergeCell ref="B8:C10"/>
    <mergeCell ref="CL9:CO9"/>
    <mergeCell ref="CT9:CW9"/>
    <mergeCell ref="D4:CX5"/>
    <mergeCell ref="CZ4:FI5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L68"/>
  <sheetViews>
    <sheetView zoomScale="80" zoomScaleNormal="80" workbookViewId="0">
      <selection activeCell="EO17" sqref="EO17"/>
    </sheetView>
  </sheetViews>
  <sheetFormatPr baseColWidth="10" defaultRowHeight="15" x14ac:dyDescent="0.25"/>
  <cols>
    <col min="1" max="1" width="3.140625" bestFit="1" customWidth="1"/>
    <col min="2" max="2" width="15.5703125" bestFit="1" customWidth="1"/>
    <col min="3" max="3" width="13.5703125" bestFit="1" customWidth="1"/>
    <col min="4" max="4" width="13.42578125" bestFit="1" customWidth="1"/>
    <col min="5" max="5" width="19.28515625" bestFit="1" customWidth="1"/>
    <col min="6" max="10" width="6.42578125" hidden="1" customWidth="1"/>
    <col min="11" max="12" width="7.28515625" style="12" hidden="1" customWidth="1"/>
    <col min="13" max="13" width="7" style="12" hidden="1" customWidth="1"/>
    <col min="14" max="16" width="6.42578125" style="12" hidden="1" customWidth="1"/>
    <col min="17" max="18" width="6.140625" style="12" hidden="1" customWidth="1"/>
    <col min="19" max="21" width="6.7109375" style="12" hidden="1" customWidth="1"/>
    <col min="22" max="29" width="7.28515625" style="12" hidden="1" customWidth="1"/>
    <col min="30" max="31" width="0" hidden="1" customWidth="1"/>
    <col min="32" max="36" width="6" hidden="1" customWidth="1"/>
    <col min="37" max="51" width="6" style="12" hidden="1" customWidth="1"/>
    <col min="52" max="53" width="0" hidden="1" customWidth="1"/>
    <col min="54" max="70" width="6" hidden="1" customWidth="1"/>
    <col min="71" max="71" width="10.28515625" hidden="1" customWidth="1"/>
    <col min="72" max="77" width="6.140625" hidden="1" customWidth="1"/>
    <col min="78" max="78" width="10" hidden="1" customWidth="1"/>
    <col min="79" max="79" width="9.28515625" hidden="1" customWidth="1"/>
    <col min="80" max="80" width="6.42578125" style="12" hidden="1" customWidth="1"/>
    <col min="81" max="81" width="7.7109375" style="12" hidden="1" customWidth="1"/>
    <col min="82" max="82" width="8.28515625" style="12" hidden="1" customWidth="1"/>
    <col min="83" max="84" width="8.140625" style="12" hidden="1" customWidth="1"/>
    <col min="85" max="85" width="8.28515625" style="12" hidden="1" customWidth="1"/>
    <col min="87" max="90" width="0" hidden="1" customWidth="1"/>
    <col min="91" max="92" width="6.42578125" hidden="1" customWidth="1"/>
    <col min="93" max="93" width="8.7109375" hidden="1" customWidth="1"/>
    <col min="94" max="97" width="7.28515625" hidden="1" customWidth="1"/>
    <col min="98" max="99" width="0" hidden="1" customWidth="1"/>
    <col min="100" max="104" width="9.7109375" hidden="1" customWidth="1"/>
    <col min="105" max="105" width="7.140625" hidden="1" customWidth="1"/>
    <col min="106" max="108" width="7.5703125" hidden="1" customWidth="1"/>
    <col min="109" max="109" width="7.5703125" customWidth="1"/>
    <col min="110" max="115" width="7.5703125" style="12" customWidth="1"/>
    <col min="116" max="117" width="7.5703125" customWidth="1"/>
    <col min="118" max="120" width="0" hidden="1" customWidth="1"/>
    <col min="121" max="126" width="6" style="12" hidden="1" customWidth="1"/>
    <col min="127" max="127" width="0" hidden="1" customWidth="1"/>
    <col min="128" max="128" width="7.42578125" hidden="1" customWidth="1"/>
    <col min="129" max="129" width="7.5703125" style="12" hidden="1" customWidth="1"/>
    <col min="130" max="134" width="6" style="12" hidden="1" customWidth="1"/>
    <col min="137" max="137" width="11.42578125" style="12"/>
    <col min="138" max="138" width="6" style="12" bestFit="1" customWidth="1"/>
    <col min="139" max="141" width="6" style="12" customWidth="1"/>
  </cols>
  <sheetData>
    <row r="1" spans="1:142" ht="26.25" x14ac:dyDescent="0.4">
      <c r="B1" s="80" t="s">
        <v>3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  <c r="CG1" s="80"/>
      <c r="CH1" s="80"/>
      <c r="CI1" s="80"/>
      <c r="CJ1" s="80"/>
      <c r="CK1" s="80"/>
      <c r="CL1" s="80"/>
      <c r="CM1" s="80"/>
      <c r="CN1" s="80"/>
      <c r="CO1" s="80"/>
      <c r="CP1" s="80"/>
      <c r="CQ1" s="80"/>
      <c r="CR1" s="80"/>
      <c r="CS1" s="80"/>
      <c r="CT1" s="80"/>
      <c r="CU1" s="80"/>
      <c r="CV1" s="80"/>
      <c r="CW1" s="80"/>
      <c r="CX1" s="80"/>
      <c r="CY1" s="80"/>
      <c r="CZ1" s="80"/>
      <c r="DA1" s="80"/>
      <c r="DB1" s="80"/>
      <c r="DC1" s="80"/>
      <c r="DD1" s="80"/>
      <c r="DE1" s="80"/>
      <c r="DF1" s="80"/>
      <c r="DG1" s="80"/>
      <c r="DH1" s="80"/>
      <c r="DI1" s="80"/>
      <c r="DJ1" s="80"/>
      <c r="DK1" s="80"/>
      <c r="DL1" s="80"/>
      <c r="DM1" s="80"/>
      <c r="DN1" s="80"/>
      <c r="DO1" s="80"/>
      <c r="DP1" s="80"/>
      <c r="DQ1" s="80"/>
      <c r="DR1" s="80"/>
      <c r="DS1" s="80"/>
      <c r="DT1" s="80"/>
      <c r="DU1" s="80"/>
      <c r="DV1" s="80"/>
      <c r="DW1" s="80"/>
      <c r="DX1" s="80"/>
      <c r="DY1" s="80"/>
      <c r="DZ1" s="80"/>
      <c r="EA1" s="80"/>
      <c r="EB1" s="80"/>
      <c r="EC1" s="80"/>
      <c r="ED1" s="80"/>
      <c r="EE1" s="80"/>
      <c r="EF1" s="80"/>
      <c r="EG1" s="80"/>
      <c r="EH1" s="80"/>
      <c r="EI1" s="80"/>
      <c r="EJ1" s="80"/>
      <c r="EK1" s="80"/>
      <c r="EL1" s="80"/>
    </row>
    <row r="2" spans="1:142" ht="15.75" thickBot="1" x14ac:dyDescent="0.3">
      <c r="C2" s="12"/>
      <c r="D2" s="12"/>
      <c r="E2" s="12"/>
      <c r="F2" s="12"/>
    </row>
    <row r="3" spans="1:142" ht="15.75" thickTop="1" x14ac:dyDescent="0.25">
      <c r="B3" s="1" t="s">
        <v>0</v>
      </c>
      <c r="C3" s="1" t="s">
        <v>10</v>
      </c>
    </row>
    <row r="4" spans="1:142" ht="15.6" customHeight="1" x14ac:dyDescent="0.25">
      <c r="B4" s="2" t="s">
        <v>1</v>
      </c>
      <c r="C4" s="2" t="s">
        <v>84</v>
      </c>
      <c r="D4" s="81" t="s">
        <v>791</v>
      </c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2"/>
      <c r="BK4" s="82"/>
      <c r="BL4" s="82"/>
      <c r="BM4" s="82"/>
      <c r="BN4" s="82"/>
      <c r="BO4" s="82"/>
      <c r="BP4" s="82"/>
      <c r="BQ4" s="82"/>
      <c r="BR4" s="82"/>
      <c r="BS4" s="82"/>
      <c r="BT4" s="82"/>
      <c r="BU4" s="82"/>
      <c r="BV4" s="82"/>
      <c r="BW4" s="82"/>
      <c r="BX4" s="82"/>
      <c r="BY4" s="82"/>
      <c r="BZ4" s="82"/>
      <c r="CA4" s="82"/>
      <c r="CB4" s="82"/>
      <c r="CC4" s="82"/>
      <c r="CD4" s="82"/>
      <c r="CE4" s="82"/>
      <c r="CF4" s="82"/>
      <c r="CG4" s="82"/>
      <c r="CH4" s="82"/>
      <c r="CI4" s="82"/>
      <c r="CJ4" s="82"/>
      <c r="CK4" s="82"/>
      <c r="CL4" s="82"/>
      <c r="CM4" s="82"/>
      <c r="CN4" s="82"/>
      <c r="CO4" s="82"/>
      <c r="CP4" s="82"/>
      <c r="CQ4" s="82"/>
      <c r="CR4" s="82"/>
      <c r="CS4" s="82"/>
      <c r="CT4" s="82"/>
      <c r="CU4" s="82"/>
      <c r="CV4" s="82"/>
      <c r="CW4" s="82"/>
      <c r="CX4" s="82"/>
      <c r="CY4" s="82"/>
      <c r="CZ4" s="82"/>
      <c r="DA4" s="82"/>
      <c r="DB4" s="82"/>
      <c r="DC4" s="82"/>
      <c r="DD4" s="82"/>
      <c r="DE4" s="82"/>
      <c r="DF4" s="82"/>
      <c r="DG4" s="82"/>
      <c r="DH4" s="82"/>
      <c r="DI4" s="82"/>
      <c r="DJ4" s="82"/>
      <c r="DK4" s="82"/>
      <c r="DL4" s="82"/>
      <c r="DM4" s="41"/>
      <c r="DN4" s="41"/>
      <c r="DO4" s="41"/>
      <c r="DP4" s="41"/>
      <c r="DQ4" s="41"/>
      <c r="DR4" s="41"/>
      <c r="DS4" s="41"/>
      <c r="DT4" s="41"/>
      <c r="DU4" s="41"/>
      <c r="DV4" s="41"/>
      <c r="DW4" s="82" t="s">
        <v>792</v>
      </c>
      <c r="DX4" s="82"/>
      <c r="DY4" s="82"/>
      <c r="DZ4" s="82"/>
      <c r="EA4" s="82"/>
      <c r="EB4" s="82"/>
      <c r="EC4" s="82"/>
      <c r="ED4" s="82"/>
      <c r="EE4" s="82"/>
      <c r="EF4" s="82"/>
      <c r="EG4" s="82"/>
      <c r="EH4" s="82"/>
      <c r="EI4" s="82"/>
      <c r="EJ4" s="82"/>
      <c r="EK4" s="82"/>
      <c r="EL4" s="82"/>
    </row>
    <row r="5" spans="1:142" ht="16.149999999999999" customHeight="1" thickBot="1" x14ac:dyDescent="0.3">
      <c r="B5" s="3" t="s">
        <v>2</v>
      </c>
      <c r="C5" s="6">
        <v>-90</v>
      </c>
      <c r="D5" s="81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2"/>
      <c r="BI5" s="82"/>
      <c r="BJ5" s="82"/>
      <c r="BK5" s="82"/>
      <c r="BL5" s="82"/>
      <c r="BM5" s="82"/>
      <c r="BN5" s="82"/>
      <c r="BO5" s="82"/>
      <c r="BP5" s="82"/>
      <c r="BQ5" s="82"/>
      <c r="BR5" s="82"/>
      <c r="BS5" s="82"/>
      <c r="BT5" s="82"/>
      <c r="BU5" s="82"/>
      <c r="BV5" s="82"/>
      <c r="BW5" s="82"/>
      <c r="BX5" s="82"/>
      <c r="BY5" s="82"/>
      <c r="BZ5" s="82"/>
      <c r="CA5" s="82"/>
      <c r="CB5" s="82"/>
      <c r="CC5" s="82"/>
      <c r="CD5" s="82"/>
      <c r="CE5" s="82"/>
      <c r="CF5" s="82"/>
      <c r="CG5" s="82"/>
      <c r="CH5" s="82"/>
      <c r="CI5" s="82"/>
      <c r="CJ5" s="82"/>
      <c r="CK5" s="82"/>
      <c r="CL5" s="82"/>
      <c r="CM5" s="82"/>
      <c r="CN5" s="82"/>
      <c r="CO5" s="82"/>
      <c r="CP5" s="82"/>
      <c r="CQ5" s="82"/>
      <c r="CR5" s="82"/>
      <c r="CS5" s="82"/>
      <c r="CT5" s="82"/>
      <c r="CU5" s="82"/>
      <c r="CV5" s="82"/>
      <c r="CW5" s="82"/>
      <c r="CX5" s="82"/>
      <c r="CY5" s="82"/>
      <c r="CZ5" s="82"/>
      <c r="DA5" s="82"/>
      <c r="DB5" s="82"/>
      <c r="DC5" s="82"/>
      <c r="DD5" s="82"/>
      <c r="DE5" s="82"/>
      <c r="DF5" s="82"/>
      <c r="DG5" s="82"/>
      <c r="DH5" s="82"/>
      <c r="DI5" s="82"/>
      <c r="DJ5" s="82"/>
      <c r="DK5" s="82"/>
      <c r="DL5" s="82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82"/>
      <c r="DX5" s="82"/>
      <c r="DY5" s="82"/>
      <c r="DZ5" s="82"/>
      <c r="EA5" s="82"/>
      <c r="EB5" s="82"/>
      <c r="EC5" s="82"/>
      <c r="ED5" s="82"/>
      <c r="EE5" s="82"/>
      <c r="EF5" s="82"/>
      <c r="EG5" s="82"/>
      <c r="EH5" s="82"/>
      <c r="EI5" s="82"/>
      <c r="EJ5" s="82"/>
      <c r="EK5" s="82"/>
      <c r="EL5" s="82"/>
    </row>
    <row r="6" spans="1:142" ht="15.75" thickTop="1" x14ac:dyDescent="0.25"/>
    <row r="7" spans="1:142" ht="15.75" thickBot="1" x14ac:dyDescent="0.3"/>
    <row r="8" spans="1:142" ht="15.75" thickTop="1" x14ac:dyDescent="0.25">
      <c r="B8" s="73" t="s">
        <v>61</v>
      </c>
      <c r="C8" s="74"/>
      <c r="D8" s="1"/>
      <c r="E8" s="1"/>
      <c r="F8" s="4" t="s">
        <v>82</v>
      </c>
      <c r="G8" s="4" t="s">
        <v>82</v>
      </c>
      <c r="H8" s="4" t="s">
        <v>82</v>
      </c>
      <c r="I8" s="4" t="s">
        <v>82</v>
      </c>
      <c r="J8" s="4" t="s">
        <v>170</v>
      </c>
      <c r="K8" s="4" t="s">
        <v>224</v>
      </c>
      <c r="L8" s="4" t="s">
        <v>82</v>
      </c>
      <c r="M8" s="4" t="s">
        <v>82</v>
      </c>
      <c r="N8" s="4" t="s">
        <v>287</v>
      </c>
      <c r="O8" s="4" t="s">
        <v>286</v>
      </c>
      <c r="P8" s="4" t="s">
        <v>289</v>
      </c>
      <c r="Q8" s="4" t="s">
        <v>296</v>
      </c>
      <c r="R8" s="4" t="s">
        <v>82</v>
      </c>
      <c r="S8" s="4" t="s">
        <v>82</v>
      </c>
      <c r="T8" s="4" t="s">
        <v>82</v>
      </c>
      <c r="U8" s="4" t="s">
        <v>82</v>
      </c>
      <c r="V8" s="4" t="s">
        <v>82</v>
      </c>
      <c r="W8" s="4" t="s">
        <v>82</v>
      </c>
      <c r="X8" s="4" t="s">
        <v>82</v>
      </c>
      <c r="Y8" s="4" t="s">
        <v>316</v>
      </c>
      <c r="Z8" s="4" t="s">
        <v>82</v>
      </c>
      <c r="AA8" s="4" t="s">
        <v>82</v>
      </c>
      <c r="AB8" s="4" t="s">
        <v>334</v>
      </c>
      <c r="AC8" s="4" t="s">
        <v>334</v>
      </c>
      <c r="AD8" s="1"/>
      <c r="AE8" s="25">
        <v>44927</v>
      </c>
      <c r="AF8" s="29" t="s">
        <v>82</v>
      </c>
      <c r="AG8" s="29" t="s">
        <v>82</v>
      </c>
      <c r="AH8" s="29" t="s">
        <v>334</v>
      </c>
      <c r="AI8" s="29" t="s">
        <v>82</v>
      </c>
      <c r="AJ8" s="29" t="s">
        <v>387</v>
      </c>
      <c r="AK8" s="29" t="s">
        <v>387</v>
      </c>
      <c r="AL8" s="29" t="s">
        <v>387</v>
      </c>
      <c r="AM8" s="29" t="s">
        <v>82</v>
      </c>
      <c r="AN8" s="29" t="s">
        <v>334</v>
      </c>
      <c r="AO8" s="29" t="s">
        <v>82</v>
      </c>
      <c r="AP8" s="29" t="s">
        <v>82</v>
      </c>
      <c r="AQ8" s="29" t="s">
        <v>82</v>
      </c>
      <c r="AR8" s="29" t="s">
        <v>82</v>
      </c>
      <c r="AS8" s="29" t="s">
        <v>82</v>
      </c>
      <c r="AT8" s="29" t="s">
        <v>334</v>
      </c>
      <c r="AU8" s="29" t="s">
        <v>82</v>
      </c>
      <c r="AV8" s="29" t="s">
        <v>82</v>
      </c>
      <c r="AW8" s="29" t="s">
        <v>82</v>
      </c>
      <c r="AX8" s="29" t="s">
        <v>82</v>
      </c>
      <c r="AY8" s="29" t="s">
        <v>339</v>
      </c>
      <c r="AZ8" s="1" t="s">
        <v>9</v>
      </c>
      <c r="BA8" s="29">
        <v>45292</v>
      </c>
      <c r="BB8" s="29" t="s">
        <v>82</v>
      </c>
      <c r="BC8" s="29" t="s">
        <v>82</v>
      </c>
      <c r="BD8" s="29" t="s">
        <v>82</v>
      </c>
      <c r="BE8" s="29" t="s">
        <v>82</v>
      </c>
      <c r="BF8" s="29" t="s">
        <v>82</v>
      </c>
      <c r="BG8" s="29" t="s">
        <v>82</v>
      </c>
      <c r="BH8" s="29" t="s">
        <v>82</v>
      </c>
      <c r="BI8" s="29" t="s">
        <v>334</v>
      </c>
      <c r="BJ8" s="29" t="s">
        <v>334</v>
      </c>
      <c r="BK8" s="29" t="s">
        <v>387</v>
      </c>
      <c r="BL8" s="29" t="s">
        <v>387</v>
      </c>
      <c r="BM8" s="29" t="s">
        <v>387</v>
      </c>
      <c r="BN8" s="29" t="s">
        <v>334</v>
      </c>
      <c r="BO8" s="29" t="s">
        <v>82</v>
      </c>
      <c r="BP8" s="29" t="s">
        <v>82</v>
      </c>
      <c r="BQ8" s="29" t="s">
        <v>82</v>
      </c>
      <c r="BR8" s="29" t="s">
        <v>82</v>
      </c>
      <c r="BS8" s="29" t="s">
        <v>82</v>
      </c>
      <c r="BT8" s="29" t="s">
        <v>82</v>
      </c>
      <c r="BU8" s="29" t="s">
        <v>82</v>
      </c>
      <c r="BV8" s="29" t="s">
        <v>82</v>
      </c>
      <c r="BW8" s="29" t="s">
        <v>82</v>
      </c>
      <c r="BX8" s="29" t="s">
        <v>334</v>
      </c>
      <c r="BY8" s="29" t="s">
        <v>339</v>
      </c>
      <c r="BZ8" s="29" t="s">
        <v>9</v>
      </c>
      <c r="CA8" s="29">
        <v>45658</v>
      </c>
      <c r="CB8" s="29"/>
      <c r="CC8" s="29"/>
      <c r="CD8" s="59"/>
      <c r="CE8" s="60"/>
      <c r="CF8" s="60"/>
      <c r="CG8" s="61"/>
      <c r="CH8" s="29" t="s">
        <v>9</v>
      </c>
      <c r="CI8" s="25">
        <v>44927</v>
      </c>
      <c r="CJ8" s="1" t="s">
        <v>59</v>
      </c>
      <c r="CK8" s="1" t="s">
        <v>59</v>
      </c>
      <c r="CL8" s="4" t="s">
        <v>58</v>
      </c>
      <c r="CM8" s="4" t="s">
        <v>120</v>
      </c>
      <c r="CN8" s="4" t="s">
        <v>291</v>
      </c>
      <c r="CO8" s="4" t="s">
        <v>79</v>
      </c>
      <c r="CP8" s="4" t="s">
        <v>79</v>
      </c>
      <c r="CQ8" s="4" t="s">
        <v>325</v>
      </c>
      <c r="CR8" s="4" t="s">
        <v>331</v>
      </c>
      <c r="CS8" s="4" t="s">
        <v>79</v>
      </c>
      <c r="CT8" s="1" t="s">
        <v>9</v>
      </c>
      <c r="CU8" s="1" t="s">
        <v>58</v>
      </c>
      <c r="CV8" s="1" t="s">
        <v>349</v>
      </c>
      <c r="CW8" s="32" t="s">
        <v>381</v>
      </c>
      <c r="CX8" s="32" t="s">
        <v>385</v>
      </c>
      <c r="CY8" s="32" t="s">
        <v>399</v>
      </c>
      <c r="CZ8" s="32" t="s">
        <v>405</v>
      </c>
      <c r="DA8" s="4" t="s">
        <v>331</v>
      </c>
      <c r="DB8" s="4" t="s">
        <v>120</v>
      </c>
      <c r="DC8" s="4" t="s">
        <v>443</v>
      </c>
      <c r="DD8" s="4" t="s">
        <v>335</v>
      </c>
      <c r="DE8" s="29">
        <v>46023</v>
      </c>
      <c r="DF8" s="29"/>
      <c r="DG8" s="29"/>
      <c r="DH8" s="59"/>
      <c r="DI8" s="60"/>
      <c r="DJ8" s="60"/>
      <c r="DK8" s="61"/>
      <c r="DL8" s="29" t="s">
        <v>612</v>
      </c>
      <c r="DM8" s="12"/>
      <c r="DN8" s="1" t="s">
        <v>9</v>
      </c>
      <c r="DO8" s="29">
        <v>45292</v>
      </c>
      <c r="DP8" s="4" t="s">
        <v>59</v>
      </c>
      <c r="DQ8" s="4" t="s">
        <v>464</v>
      </c>
      <c r="DR8" s="4" t="s">
        <v>120</v>
      </c>
      <c r="DS8" s="4" t="s">
        <v>505</v>
      </c>
      <c r="DT8" s="4" t="s">
        <v>505</v>
      </c>
      <c r="DU8" s="4" t="s">
        <v>331</v>
      </c>
      <c r="DV8" s="4" t="s">
        <v>335</v>
      </c>
      <c r="DW8" s="4" t="s">
        <v>9</v>
      </c>
      <c r="DX8" s="25">
        <v>45658</v>
      </c>
      <c r="DY8" s="4" t="s">
        <v>464</v>
      </c>
      <c r="DZ8" s="4" t="s">
        <v>120</v>
      </c>
      <c r="EA8" s="4" t="s">
        <v>505</v>
      </c>
      <c r="EB8" s="4" t="s">
        <v>331</v>
      </c>
      <c r="EC8" s="4" t="s">
        <v>335</v>
      </c>
      <c r="ED8" s="4" t="s">
        <v>443</v>
      </c>
      <c r="EE8" s="4" t="s">
        <v>612</v>
      </c>
      <c r="EF8" s="29">
        <v>46023</v>
      </c>
      <c r="EG8" s="4" t="s">
        <v>58</v>
      </c>
      <c r="EH8" s="4" t="s">
        <v>120</v>
      </c>
      <c r="EI8" s="4" t="s">
        <v>505</v>
      </c>
      <c r="EJ8" s="4" t="s">
        <v>505</v>
      </c>
      <c r="EK8" s="4" t="s">
        <v>331</v>
      </c>
      <c r="EL8" s="1" t="s">
        <v>9</v>
      </c>
    </row>
    <row r="9" spans="1:142" x14ac:dyDescent="0.25">
      <c r="B9" s="75"/>
      <c r="C9" s="76"/>
      <c r="D9" s="2"/>
      <c r="E9" s="2"/>
      <c r="F9" s="14" t="s">
        <v>156</v>
      </c>
      <c r="G9" s="14" t="s">
        <v>85</v>
      </c>
      <c r="H9" s="14" t="s">
        <v>132</v>
      </c>
      <c r="I9" s="14" t="s">
        <v>167</v>
      </c>
      <c r="J9" s="14" t="s">
        <v>171</v>
      </c>
      <c r="K9" s="14" t="s">
        <v>225</v>
      </c>
      <c r="L9" s="14" t="s">
        <v>266</v>
      </c>
      <c r="M9" s="14" t="s">
        <v>261</v>
      </c>
      <c r="N9" s="14" t="s">
        <v>278</v>
      </c>
      <c r="O9" s="14" t="s">
        <v>284</v>
      </c>
      <c r="P9" s="14" t="s">
        <v>290</v>
      </c>
      <c r="Q9" s="14" t="s">
        <v>171</v>
      </c>
      <c r="R9" s="14" t="s">
        <v>304</v>
      </c>
      <c r="S9" s="14" t="s">
        <v>85</v>
      </c>
      <c r="T9" s="14" t="s">
        <v>308</v>
      </c>
      <c r="U9" s="14" t="s">
        <v>266</v>
      </c>
      <c r="V9" s="14" t="s">
        <v>156</v>
      </c>
      <c r="W9" s="14" t="s">
        <v>261</v>
      </c>
      <c r="X9" s="14" t="s">
        <v>314</v>
      </c>
      <c r="Y9" s="14" t="s">
        <v>317</v>
      </c>
      <c r="Z9" s="14" t="s">
        <v>259</v>
      </c>
      <c r="AA9" s="14" t="s">
        <v>314</v>
      </c>
      <c r="AB9" s="14" t="s">
        <v>335</v>
      </c>
      <c r="AC9" s="14" t="s">
        <v>339</v>
      </c>
      <c r="AD9" s="2" t="s">
        <v>9</v>
      </c>
      <c r="AE9" s="2"/>
      <c r="AF9" s="5" t="s">
        <v>132</v>
      </c>
      <c r="AG9" s="5" t="s">
        <v>304</v>
      </c>
      <c r="AH9" s="5" t="s">
        <v>287</v>
      </c>
      <c r="AI9" s="5" t="s">
        <v>266</v>
      </c>
      <c r="AJ9" s="5" t="s">
        <v>286</v>
      </c>
      <c r="AK9" s="5" t="s">
        <v>289</v>
      </c>
      <c r="AL9" s="5" t="s">
        <v>287</v>
      </c>
      <c r="AM9" s="5" t="s">
        <v>261</v>
      </c>
      <c r="AN9" s="5" t="s">
        <v>286</v>
      </c>
      <c r="AO9" s="5" t="s">
        <v>420</v>
      </c>
      <c r="AP9" s="5" t="s">
        <v>132</v>
      </c>
      <c r="AQ9" s="5" t="s">
        <v>314</v>
      </c>
      <c r="AR9" s="5" t="s">
        <v>266</v>
      </c>
      <c r="AS9" s="5" t="s">
        <v>304</v>
      </c>
      <c r="AT9" s="5" t="s">
        <v>289</v>
      </c>
      <c r="AU9" s="5" t="s">
        <v>261</v>
      </c>
      <c r="AV9" s="5" t="s">
        <v>434</v>
      </c>
      <c r="AW9" s="5" t="s">
        <v>308</v>
      </c>
      <c r="AX9" s="5" t="s">
        <v>420</v>
      </c>
      <c r="AY9" s="5"/>
      <c r="AZ9" s="2"/>
      <c r="BA9" s="5"/>
      <c r="BB9" s="5" t="s">
        <v>266</v>
      </c>
      <c r="BC9" s="5" t="s">
        <v>304</v>
      </c>
      <c r="BD9" s="5" t="s">
        <v>492</v>
      </c>
      <c r="BE9" s="5" t="s">
        <v>261</v>
      </c>
      <c r="BF9" s="5" t="s">
        <v>420</v>
      </c>
      <c r="BG9" s="5" t="s">
        <v>308</v>
      </c>
      <c r="BH9" s="5" t="s">
        <v>132</v>
      </c>
      <c r="BI9" s="5" t="s">
        <v>286</v>
      </c>
      <c r="BJ9" s="5" t="s">
        <v>524</v>
      </c>
      <c r="BK9" s="5" t="s">
        <v>286</v>
      </c>
      <c r="BL9" s="5" t="s">
        <v>287</v>
      </c>
      <c r="BM9" s="5" t="s">
        <v>289</v>
      </c>
      <c r="BN9" s="5" t="s">
        <v>287</v>
      </c>
      <c r="BO9" s="5" t="s">
        <v>266</v>
      </c>
      <c r="BP9" s="5" t="s">
        <v>85</v>
      </c>
      <c r="BQ9" s="5" t="s">
        <v>492</v>
      </c>
      <c r="BR9" s="5" t="s">
        <v>420</v>
      </c>
      <c r="BS9" s="5" t="s">
        <v>486</v>
      </c>
      <c r="BT9" s="5" t="s">
        <v>132</v>
      </c>
      <c r="BU9" s="5" t="s">
        <v>308</v>
      </c>
      <c r="BV9" s="5" t="s">
        <v>261</v>
      </c>
      <c r="BW9" s="5" t="s">
        <v>578</v>
      </c>
      <c r="BX9" s="5" t="s">
        <v>289</v>
      </c>
      <c r="BY9" s="5" t="s">
        <v>606</v>
      </c>
      <c r="BZ9" s="5"/>
      <c r="CA9" s="5"/>
      <c r="CB9" s="14" t="s">
        <v>82</v>
      </c>
      <c r="CC9" s="14" t="s">
        <v>387</v>
      </c>
      <c r="CD9" s="77" t="s">
        <v>608</v>
      </c>
      <c r="CE9" s="78"/>
      <c r="CF9" s="78"/>
      <c r="CG9" s="79"/>
      <c r="CH9" s="5"/>
      <c r="CI9" s="2"/>
      <c r="CJ9" s="2" t="s">
        <v>60</v>
      </c>
      <c r="CK9" s="2" t="s">
        <v>60</v>
      </c>
      <c r="CL9" s="5"/>
      <c r="CM9" s="5" t="s">
        <v>121</v>
      </c>
      <c r="CN9" s="5" t="s">
        <v>292</v>
      </c>
      <c r="CO9" s="5" t="s">
        <v>312</v>
      </c>
      <c r="CP9" s="5" t="s">
        <v>121</v>
      </c>
      <c r="CQ9" s="5" t="s">
        <v>326</v>
      </c>
      <c r="CR9" s="5" t="s">
        <v>332</v>
      </c>
      <c r="CS9" s="5" t="s">
        <v>332</v>
      </c>
      <c r="CT9" s="2"/>
      <c r="CU9" s="2"/>
      <c r="CV9" s="2"/>
      <c r="CW9" s="33"/>
      <c r="CX9" s="33"/>
      <c r="CY9" s="33"/>
      <c r="CZ9" s="33"/>
      <c r="DA9" s="5" t="s">
        <v>326</v>
      </c>
      <c r="DB9" s="5" t="s">
        <v>430</v>
      </c>
      <c r="DC9" s="5" t="s">
        <v>444</v>
      </c>
      <c r="DD9" s="5" t="s">
        <v>444</v>
      </c>
      <c r="DE9" s="5"/>
      <c r="DF9" s="14" t="s">
        <v>82</v>
      </c>
      <c r="DG9" s="14" t="s">
        <v>387</v>
      </c>
      <c r="DH9" s="77" t="s">
        <v>608</v>
      </c>
      <c r="DI9" s="78"/>
      <c r="DJ9" s="78"/>
      <c r="DK9" s="79"/>
      <c r="DL9" s="14"/>
      <c r="DM9" s="12"/>
      <c r="DN9" s="2"/>
      <c r="DO9" s="12"/>
      <c r="DP9" s="5" t="s">
        <v>60</v>
      </c>
      <c r="DQ9" s="5"/>
      <c r="DR9" s="5" t="s">
        <v>501</v>
      </c>
      <c r="DS9" s="5" t="s">
        <v>444</v>
      </c>
      <c r="DT9" s="5" t="s">
        <v>292</v>
      </c>
      <c r="DU9" s="5" t="s">
        <v>292</v>
      </c>
      <c r="DV9" s="5" t="s">
        <v>171</v>
      </c>
      <c r="DW9" s="5"/>
      <c r="DX9" s="2"/>
      <c r="DY9" s="5"/>
      <c r="DZ9" s="5" t="s">
        <v>444</v>
      </c>
      <c r="EA9" s="5" t="s">
        <v>584</v>
      </c>
      <c r="EB9" s="5" t="s">
        <v>326</v>
      </c>
      <c r="EC9" s="5" t="s">
        <v>171</v>
      </c>
      <c r="ED9" s="5" t="s">
        <v>544</v>
      </c>
      <c r="EE9" s="5"/>
      <c r="EF9" s="5"/>
      <c r="EG9" s="5"/>
      <c r="EH9" s="5" t="s">
        <v>225</v>
      </c>
      <c r="EI9" s="5" t="s">
        <v>332</v>
      </c>
      <c r="EJ9" s="5" t="s">
        <v>444</v>
      </c>
      <c r="EK9" s="5" t="s">
        <v>444</v>
      </c>
      <c r="EL9" s="2"/>
    </row>
    <row r="10" spans="1:142" x14ac:dyDescent="0.25">
      <c r="B10" s="75"/>
      <c r="C10" s="76"/>
      <c r="D10" s="2" t="s">
        <v>4</v>
      </c>
      <c r="E10" s="2" t="s">
        <v>5</v>
      </c>
      <c r="F10" s="15">
        <v>44654</v>
      </c>
      <c r="G10" s="15">
        <v>44660</v>
      </c>
      <c r="H10" s="15">
        <v>44660</v>
      </c>
      <c r="I10" s="15">
        <v>44674</v>
      </c>
      <c r="J10" s="5" t="s">
        <v>172</v>
      </c>
      <c r="K10" s="15">
        <v>44695</v>
      </c>
      <c r="L10" s="15">
        <v>44709</v>
      </c>
      <c r="M10" s="15">
        <v>44709</v>
      </c>
      <c r="N10" s="15">
        <v>44730</v>
      </c>
      <c r="O10" s="15">
        <v>44730</v>
      </c>
      <c r="P10" s="15">
        <v>44737</v>
      </c>
      <c r="Q10" s="15">
        <v>44758</v>
      </c>
      <c r="R10" s="15">
        <v>44765</v>
      </c>
      <c r="S10" s="15">
        <v>44793</v>
      </c>
      <c r="T10" s="15">
        <v>44800</v>
      </c>
      <c r="U10" s="15">
        <v>44800</v>
      </c>
      <c r="V10" s="15">
        <v>44807</v>
      </c>
      <c r="W10" s="15">
        <v>44814</v>
      </c>
      <c r="X10" s="15">
        <v>44814</v>
      </c>
      <c r="Y10" s="15">
        <v>44828</v>
      </c>
      <c r="Z10" s="15">
        <v>44849</v>
      </c>
      <c r="AA10" s="15">
        <v>44856</v>
      </c>
      <c r="AB10" s="15">
        <v>44891</v>
      </c>
      <c r="AC10" s="15">
        <v>44905</v>
      </c>
      <c r="AD10" s="2">
        <v>2022</v>
      </c>
      <c r="AE10" s="2"/>
      <c r="AF10" s="5" t="s">
        <v>353</v>
      </c>
      <c r="AG10" s="5" t="s">
        <v>357</v>
      </c>
      <c r="AH10" s="5" t="s">
        <v>172</v>
      </c>
      <c r="AI10" s="5" t="s">
        <v>382</v>
      </c>
      <c r="AJ10" s="5" t="s">
        <v>388</v>
      </c>
      <c r="AK10" s="5" t="s">
        <v>396</v>
      </c>
      <c r="AL10" s="5" t="s">
        <v>400</v>
      </c>
      <c r="AM10" s="5" t="s">
        <v>408</v>
      </c>
      <c r="AN10" s="5" t="s">
        <v>412</v>
      </c>
      <c r="AO10" s="5" t="s">
        <v>421</v>
      </c>
      <c r="AP10" s="5" t="s">
        <v>422</v>
      </c>
      <c r="AQ10" s="5" t="s">
        <v>424</v>
      </c>
      <c r="AR10" s="5" t="s">
        <v>424</v>
      </c>
      <c r="AS10" s="5" t="s">
        <v>428</v>
      </c>
      <c r="AT10" s="5" t="s">
        <v>432</v>
      </c>
      <c r="AU10" s="5" t="s">
        <v>433</v>
      </c>
      <c r="AV10" s="5" t="s">
        <v>435</v>
      </c>
      <c r="AW10" s="5" t="s">
        <v>439</v>
      </c>
      <c r="AX10" s="5" t="s">
        <v>446</v>
      </c>
      <c r="AY10" s="5" t="s">
        <v>453</v>
      </c>
      <c r="AZ10" s="2">
        <v>2023</v>
      </c>
      <c r="BA10" s="35"/>
      <c r="BB10" s="35" t="s">
        <v>479</v>
      </c>
      <c r="BC10" s="35" t="s">
        <v>479</v>
      </c>
      <c r="BD10" s="35" t="s">
        <v>479</v>
      </c>
      <c r="BE10" s="35" t="s">
        <v>479</v>
      </c>
      <c r="BF10" s="35" t="s">
        <v>479</v>
      </c>
      <c r="BG10" s="35" t="s">
        <v>479</v>
      </c>
      <c r="BH10" s="35" t="s">
        <v>503</v>
      </c>
      <c r="BI10" s="35" t="s">
        <v>513</v>
      </c>
      <c r="BJ10" s="35" t="s">
        <v>525</v>
      </c>
      <c r="BK10" s="35" t="s">
        <v>534</v>
      </c>
      <c r="BL10" s="35" t="s">
        <v>534</v>
      </c>
      <c r="BM10" s="35" t="s">
        <v>546</v>
      </c>
      <c r="BN10" s="35" t="s">
        <v>550</v>
      </c>
      <c r="BO10" s="35" t="s">
        <v>558</v>
      </c>
      <c r="BP10" s="35" t="s">
        <v>564</v>
      </c>
      <c r="BQ10" s="35" t="s">
        <v>564</v>
      </c>
      <c r="BR10" s="35" t="s">
        <v>559</v>
      </c>
      <c r="BS10" s="35" t="s">
        <v>567</v>
      </c>
      <c r="BT10" s="35" t="s">
        <v>567</v>
      </c>
      <c r="BU10" s="35" t="s">
        <v>567</v>
      </c>
      <c r="BV10" s="35" t="s">
        <v>573</v>
      </c>
      <c r="BW10" s="35" t="s">
        <v>579</v>
      </c>
      <c r="BX10" s="35" t="s">
        <v>587</v>
      </c>
      <c r="BY10" s="35" t="s">
        <v>607</v>
      </c>
      <c r="BZ10" s="35">
        <v>2024</v>
      </c>
      <c r="CA10" s="5"/>
      <c r="CB10" s="5"/>
      <c r="CC10" s="5"/>
      <c r="CD10" s="5">
        <v>1</v>
      </c>
      <c r="CE10" s="5">
        <v>2</v>
      </c>
      <c r="CF10" s="5">
        <v>3</v>
      </c>
      <c r="CG10" s="5">
        <v>4</v>
      </c>
      <c r="CH10" s="5">
        <v>2025</v>
      </c>
      <c r="CI10" s="2"/>
      <c r="CJ10" s="2"/>
      <c r="CK10" s="2"/>
      <c r="CL10" s="14">
        <v>44562</v>
      </c>
      <c r="CM10" s="14">
        <v>44652</v>
      </c>
      <c r="CN10" s="14">
        <v>44737</v>
      </c>
      <c r="CO10" s="14">
        <v>44805</v>
      </c>
      <c r="CP10" s="14">
        <v>44821</v>
      </c>
      <c r="CQ10" s="14">
        <v>44835</v>
      </c>
      <c r="CR10" s="14">
        <v>44868</v>
      </c>
      <c r="CS10" s="14">
        <v>44866</v>
      </c>
      <c r="CT10" s="2">
        <v>2022</v>
      </c>
      <c r="CU10" s="7">
        <v>44927</v>
      </c>
      <c r="CV10" s="7">
        <v>44986</v>
      </c>
      <c r="CW10" s="34">
        <v>45078</v>
      </c>
      <c r="CX10" s="34">
        <v>45088</v>
      </c>
      <c r="CY10" s="34">
        <v>45108</v>
      </c>
      <c r="CZ10" s="34" t="s">
        <v>407</v>
      </c>
      <c r="DA10" s="14">
        <v>45139</v>
      </c>
      <c r="DB10" s="14">
        <v>45184</v>
      </c>
      <c r="DC10" s="14">
        <v>45227</v>
      </c>
      <c r="DD10" s="14">
        <v>45255</v>
      </c>
      <c r="DE10" s="5"/>
      <c r="DF10" s="5"/>
      <c r="DG10" s="5"/>
      <c r="DH10" s="5">
        <v>1</v>
      </c>
      <c r="DI10" s="5">
        <v>2</v>
      </c>
      <c r="DJ10" s="5">
        <v>3</v>
      </c>
      <c r="DK10" s="5">
        <v>4</v>
      </c>
      <c r="DL10" s="5">
        <v>2026</v>
      </c>
      <c r="DM10" s="42"/>
      <c r="DN10" s="2">
        <v>2023</v>
      </c>
      <c r="DO10" s="12"/>
      <c r="DP10" s="5"/>
      <c r="DQ10" s="5" t="s">
        <v>465</v>
      </c>
      <c r="DR10" s="5" t="s">
        <v>503</v>
      </c>
      <c r="DS10" s="5" t="s">
        <v>507</v>
      </c>
      <c r="DT10" s="5" t="s">
        <v>572</v>
      </c>
      <c r="DU10" s="5" t="s">
        <v>587</v>
      </c>
      <c r="DV10" s="5" t="s">
        <v>600</v>
      </c>
      <c r="DW10" s="5">
        <v>2024</v>
      </c>
      <c r="DX10" s="2"/>
      <c r="DY10" s="5" t="s">
        <v>610</v>
      </c>
      <c r="DZ10" s="5" t="s">
        <v>649</v>
      </c>
      <c r="EA10" s="5" t="s">
        <v>729</v>
      </c>
      <c r="EB10" s="5" t="s">
        <v>769</v>
      </c>
      <c r="EC10" s="5" t="s">
        <v>600</v>
      </c>
      <c r="ED10" s="5" t="s">
        <v>789</v>
      </c>
      <c r="EE10" s="5">
        <v>2025</v>
      </c>
      <c r="EF10" s="5"/>
      <c r="EG10" s="5" t="s">
        <v>849</v>
      </c>
      <c r="EH10" s="5" t="s">
        <v>851</v>
      </c>
      <c r="EI10" s="5" t="s">
        <v>545</v>
      </c>
      <c r="EJ10" s="5" t="s">
        <v>880</v>
      </c>
      <c r="EK10" s="5" t="s">
        <v>729</v>
      </c>
      <c r="EL10" s="2">
        <v>2026</v>
      </c>
    </row>
    <row r="11" spans="1:142" x14ac:dyDescent="0.25">
      <c r="A11">
        <v>1</v>
      </c>
      <c r="B11" s="21" t="s">
        <v>118</v>
      </c>
      <c r="C11" s="21" t="s">
        <v>119</v>
      </c>
      <c r="D11" s="21" t="s">
        <v>74</v>
      </c>
      <c r="E11" s="21" t="s">
        <v>427</v>
      </c>
      <c r="F11" s="8"/>
      <c r="G11" s="11"/>
      <c r="H11" s="11"/>
      <c r="I11" s="11"/>
      <c r="J11" s="11"/>
      <c r="K11" s="11">
        <v>70</v>
      </c>
      <c r="L11" s="11"/>
      <c r="M11" s="11"/>
      <c r="N11" s="11">
        <v>64</v>
      </c>
      <c r="O11" s="11"/>
      <c r="P11" s="11"/>
      <c r="Q11" s="11">
        <v>70</v>
      </c>
      <c r="R11" s="11"/>
      <c r="S11" s="11"/>
      <c r="T11" s="11"/>
      <c r="U11" s="11"/>
      <c r="V11" s="11"/>
      <c r="W11" s="11"/>
      <c r="X11" s="11">
        <v>48</v>
      </c>
      <c r="Y11" s="11">
        <v>80</v>
      </c>
      <c r="Z11" s="11"/>
      <c r="AA11" s="11">
        <v>42</v>
      </c>
      <c r="AB11" s="11"/>
      <c r="AC11" s="11"/>
      <c r="AD11" s="11">
        <f>SUM(F11:AC11)</f>
        <v>374</v>
      </c>
      <c r="AE11" s="11">
        <f>AD11/2</f>
        <v>187</v>
      </c>
      <c r="AF11" s="11"/>
      <c r="AG11" s="11"/>
      <c r="AH11" s="11">
        <v>36</v>
      </c>
      <c r="AI11" s="11"/>
      <c r="AJ11" s="11"/>
      <c r="AK11" s="11"/>
      <c r="AL11" s="11"/>
      <c r="AM11" s="11"/>
      <c r="AN11" s="11" t="s">
        <v>132</v>
      </c>
      <c r="AO11" s="11"/>
      <c r="AP11" s="11"/>
      <c r="AQ11" s="11" t="s">
        <v>132</v>
      </c>
      <c r="AR11" s="11"/>
      <c r="AS11" s="11"/>
      <c r="AT11" s="11">
        <v>100</v>
      </c>
      <c r="AU11" s="11"/>
      <c r="AV11" s="11"/>
      <c r="AW11" s="11"/>
      <c r="AX11" s="11"/>
      <c r="AY11" s="11">
        <v>150</v>
      </c>
      <c r="AZ11" s="11">
        <f>SUM(AE11:AY11)</f>
        <v>473</v>
      </c>
      <c r="BA11" s="11">
        <f>(AZ11-AE11)/2</f>
        <v>143</v>
      </c>
      <c r="BB11" s="11"/>
      <c r="BC11" s="11"/>
      <c r="BD11" s="11">
        <v>48</v>
      </c>
      <c r="BE11" s="11"/>
      <c r="BF11" s="11"/>
      <c r="BG11" s="11"/>
      <c r="BH11" s="11"/>
      <c r="BI11" s="11"/>
      <c r="BJ11" s="11"/>
      <c r="BK11" s="11"/>
      <c r="BL11" s="11"/>
      <c r="BM11" s="11"/>
      <c r="BN11" s="11">
        <v>150</v>
      </c>
      <c r="BO11" s="11"/>
      <c r="BP11" s="11"/>
      <c r="BQ11" s="11"/>
      <c r="BR11" s="11"/>
      <c r="BS11" s="11"/>
      <c r="BT11" s="11"/>
      <c r="BU11" s="11"/>
      <c r="BV11" s="11"/>
      <c r="BW11" s="11"/>
      <c r="BX11" s="11" t="s">
        <v>132</v>
      </c>
      <c r="BY11" s="11">
        <v>200</v>
      </c>
      <c r="BZ11" s="11">
        <f>SUM(BA11:BY11)</f>
        <v>541</v>
      </c>
      <c r="CA11" s="11">
        <f>(BZ11-BA11)/2</f>
        <v>199</v>
      </c>
      <c r="CB11" s="11">
        <v>48</v>
      </c>
      <c r="CC11" s="11">
        <v>56</v>
      </c>
      <c r="CD11" s="11">
        <v>150</v>
      </c>
      <c r="CE11" s="11">
        <v>54</v>
      </c>
      <c r="CF11" s="11">
        <v>150</v>
      </c>
      <c r="CG11" s="11"/>
      <c r="CH11" s="8">
        <f>SUM(CA11:CG11)</f>
        <v>657</v>
      </c>
      <c r="CI11" s="57">
        <f>SUM(CL11:CS11)/2</f>
        <v>61.5</v>
      </c>
      <c r="CJ11" s="10">
        <f>AZ11/4</f>
        <v>118.25</v>
      </c>
      <c r="CK11" s="10">
        <f>AD11/2</f>
        <v>187</v>
      </c>
      <c r="CL11" s="10">
        <f>12+12*1/2</f>
        <v>18</v>
      </c>
      <c r="CM11" s="10"/>
      <c r="CN11" s="10"/>
      <c r="CO11" s="10"/>
      <c r="CP11" s="10"/>
      <c r="CQ11" s="10"/>
      <c r="CR11" s="10">
        <v>100</v>
      </c>
      <c r="CS11" s="10">
        <v>5</v>
      </c>
      <c r="CT11" s="10">
        <f>SUM(CK11:CS11)</f>
        <v>310</v>
      </c>
      <c r="CU11" s="10">
        <v>30</v>
      </c>
      <c r="CV11" s="10">
        <v>26</v>
      </c>
      <c r="CW11" s="10"/>
      <c r="CX11" s="10"/>
      <c r="CY11" s="10"/>
      <c r="CZ11" s="10"/>
      <c r="DA11" s="10">
        <v>90</v>
      </c>
      <c r="DB11" s="10"/>
      <c r="DC11" s="10"/>
      <c r="DD11" s="64">
        <v>100</v>
      </c>
      <c r="DE11" s="10">
        <f>(CH11-CA11)/2</f>
        <v>229</v>
      </c>
      <c r="DF11" s="10">
        <v>60</v>
      </c>
      <c r="DG11" s="10">
        <v>80</v>
      </c>
      <c r="DH11" s="10">
        <v>150</v>
      </c>
      <c r="DI11" s="10">
        <v>50</v>
      </c>
      <c r="DJ11" s="10">
        <v>60</v>
      </c>
      <c r="DK11" s="10"/>
      <c r="DL11" s="10">
        <f>SUM(DE11:DK11)</f>
        <v>629</v>
      </c>
      <c r="DM11" s="12"/>
      <c r="DN11" s="10">
        <f>SUM(CI11:CJ11)+SUM(CU11:DD11)</f>
        <v>425.75</v>
      </c>
      <c r="DO11" s="8">
        <f>(DN11-CI11)/2</f>
        <v>182.125</v>
      </c>
      <c r="DP11" s="8">
        <f>BZ11/4</f>
        <v>135.25</v>
      </c>
      <c r="DQ11" s="10">
        <v>18</v>
      </c>
      <c r="DR11" s="10"/>
      <c r="DS11" s="10">
        <v>75</v>
      </c>
      <c r="DT11" s="10">
        <v>7.5</v>
      </c>
      <c r="DU11" s="10"/>
      <c r="DV11" s="10">
        <v>50</v>
      </c>
      <c r="DW11" s="8">
        <f>SUM(DO11:DV11)</f>
        <v>467.875</v>
      </c>
      <c r="DX11" s="8">
        <f>(DW11-DO11)/2</f>
        <v>142.875</v>
      </c>
      <c r="DY11" s="10"/>
      <c r="DZ11" s="10"/>
      <c r="EA11" s="10"/>
      <c r="EB11" s="10"/>
      <c r="EC11" s="10"/>
      <c r="ED11" s="10"/>
      <c r="EE11" s="8">
        <f>SUM(DX11:DZ11)</f>
        <v>142.875</v>
      </c>
      <c r="EF11" s="8">
        <f>(EE11-DX11)/2</f>
        <v>0</v>
      </c>
      <c r="EG11" s="10">
        <v>25</v>
      </c>
      <c r="EH11" s="10">
        <v>15</v>
      </c>
      <c r="EI11" s="10">
        <v>5</v>
      </c>
      <c r="EJ11" s="10">
        <v>54</v>
      </c>
      <c r="EK11" s="10">
        <v>5</v>
      </c>
      <c r="EL11" s="27">
        <f>SUM(EF11:EK11)</f>
        <v>104</v>
      </c>
    </row>
    <row r="12" spans="1:142" x14ac:dyDescent="0.25">
      <c r="A12">
        <v>2</v>
      </c>
      <c r="B12" s="28" t="s">
        <v>393</v>
      </c>
      <c r="C12" s="28"/>
      <c r="D12" s="28" t="s">
        <v>263</v>
      </c>
      <c r="E12" s="28" t="s">
        <v>41</v>
      </c>
      <c r="F12" s="8"/>
      <c r="G12" s="8"/>
      <c r="H12" s="8"/>
      <c r="I12" s="8"/>
      <c r="J12" s="8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8"/>
      <c r="AE12" s="8"/>
      <c r="AF12" s="8"/>
      <c r="AG12" s="8"/>
      <c r="AH12" s="8"/>
      <c r="AI12" s="8"/>
      <c r="AJ12" s="8">
        <v>44.8</v>
      </c>
      <c r="AK12" s="10"/>
      <c r="AL12" s="10"/>
      <c r="AM12" s="10"/>
      <c r="AN12" s="10">
        <v>26</v>
      </c>
      <c r="AO12" s="10"/>
      <c r="AP12" s="10"/>
      <c r="AQ12" s="10"/>
      <c r="AR12" s="10"/>
      <c r="AS12" s="10">
        <v>36</v>
      </c>
      <c r="AT12" s="10"/>
      <c r="AU12" s="10"/>
      <c r="AV12" s="10"/>
      <c r="AW12" s="10"/>
      <c r="AX12" s="10"/>
      <c r="AY12" s="10">
        <v>105</v>
      </c>
      <c r="AZ12" s="11">
        <f>SUM(AE12:AY12)</f>
        <v>211.8</v>
      </c>
      <c r="BA12" s="11">
        <f>(AZ12-AE12)/2</f>
        <v>105.9</v>
      </c>
      <c r="BB12" s="11"/>
      <c r="BC12" s="11">
        <v>36</v>
      </c>
      <c r="BD12" s="11"/>
      <c r="BE12" s="11"/>
      <c r="BF12" s="11"/>
      <c r="BG12" s="11"/>
      <c r="BH12" s="11"/>
      <c r="BI12" s="11">
        <v>105</v>
      </c>
      <c r="BJ12" s="11">
        <v>100</v>
      </c>
      <c r="BK12" s="11">
        <v>48</v>
      </c>
      <c r="BL12" s="11"/>
      <c r="BM12" s="11"/>
      <c r="BN12" s="11">
        <v>7.5</v>
      </c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>
        <v>10</v>
      </c>
      <c r="BZ12" s="11">
        <f>SUM(BA12:BY12)</f>
        <v>412.4</v>
      </c>
      <c r="CA12" s="11">
        <f>(BZ12-BA12)/2</f>
        <v>153.25</v>
      </c>
      <c r="CB12" s="11"/>
      <c r="CC12" s="11">
        <v>64</v>
      </c>
      <c r="CD12" s="11">
        <v>75</v>
      </c>
      <c r="CE12" s="11">
        <v>200</v>
      </c>
      <c r="CF12" s="11">
        <v>75</v>
      </c>
      <c r="CG12" s="11">
        <v>100</v>
      </c>
      <c r="CH12" s="8">
        <f>SUM(CA12:CG12)</f>
        <v>667.25</v>
      </c>
      <c r="CI12" s="57">
        <f>SUM(CL12:CS12)/2</f>
        <v>0</v>
      </c>
      <c r="CJ12" s="10">
        <f>AZ12/4</f>
        <v>52.95</v>
      </c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10"/>
      <c r="CV12" s="10"/>
      <c r="CW12" s="10"/>
      <c r="CX12" s="10"/>
      <c r="CY12" s="10"/>
      <c r="CZ12" s="10"/>
      <c r="DA12" s="10"/>
      <c r="DB12" s="10"/>
      <c r="DC12" s="10"/>
      <c r="DD12" s="64">
        <v>5</v>
      </c>
      <c r="DE12" s="10">
        <f>(CH12-CA12)/2</f>
        <v>257</v>
      </c>
      <c r="DF12" s="10">
        <v>48</v>
      </c>
      <c r="DG12" s="10"/>
      <c r="DH12" s="10">
        <v>105</v>
      </c>
      <c r="DI12" s="10"/>
      <c r="DJ12" s="10"/>
      <c r="DK12" s="10"/>
      <c r="DL12" s="10">
        <f>SUM(DE12:DK12)</f>
        <v>410</v>
      </c>
      <c r="DM12" s="12"/>
      <c r="DN12" s="10">
        <f>SUM(CI12:CJ12)+SUM(CU12:DD12)</f>
        <v>57.95</v>
      </c>
      <c r="DO12" s="8">
        <f>(DN12-CI12)/2</f>
        <v>28.975000000000001</v>
      </c>
      <c r="DP12" s="8">
        <f>BZ12/4</f>
        <v>103.1</v>
      </c>
      <c r="DQ12" s="10">
        <v>1.5</v>
      </c>
      <c r="DR12" s="10"/>
      <c r="DS12" s="10"/>
      <c r="DT12" s="10"/>
      <c r="DU12" s="10"/>
      <c r="DV12" s="10">
        <v>35</v>
      </c>
      <c r="DW12" s="8">
        <f>SUM(DO12:DV12)</f>
        <v>168.57499999999999</v>
      </c>
      <c r="DX12" s="8">
        <f>(DW12-DO12)/2</f>
        <v>69.8</v>
      </c>
      <c r="DY12" s="10">
        <v>18.5</v>
      </c>
      <c r="DZ12" s="10"/>
      <c r="EA12" s="10"/>
      <c r="EB12" s="10">
        <v>50</v>
      </c>
      <c r="EC12" s="10"/>
      <c r="ED12" s="10"/>
      <c r="EE12" s="8">
        <f>SUM(DX12:EB12)</f>
        <v>138.30000000000001</v>
      </c>
      <c r="EF12" s="8">
        <f>(EE12-DX12)/2</f>
        <v>34.250000000000007</v>
      </c>
      <c r="EG12" s="10">
        <v>1.25</v>
      </c>
      <c r="EH12" s="10"/>
      <c r="EI12" s="10"/>
      <c r="EJ12" s="10"/>
      <c r="EK12" s="10"/>
      <c r="EL12" s="28">
        <f>SUM(EF12:EG12)</f>
        <v>35.500000000000007</v>
      </c>
    </row>
    <row r="13" spans="1:142" x14ac:dyDescent="0.25">
      <c r="A13">
        <v>3</v>
      </c>
      <c r="B13" s="8" t="s">
        <v>112</v>
      </c>
      <c r="C13" s="8"/>
      <c r="D13" s="8" t="s">
        <v>26</v>
      </c>
      <c r="E13" s="8" t="s">
        <v>369</v>
      </c>
      <c r="F13" s="8"/>
      <c r="G13" s="8"/>
      <c r="H13" s="8"/>
      <c r="I13" s="8"/>
      <c r="J13" s="8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8"/>
      <c r="AE13" s="8"/>
      <c r="AF13" s="8"/>
      <c r="AG13" s="8"/>
      <c r="AH13" s="8"/>
      <c r="AI13" s="8"/>
      <c r="AJ13" s="8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11">
        <f>SUM(BA13:BY13)</f>
        <v>0</v>
      </c>
      <c r="CA13" s="11">
        <f>(BZ13-BA13)/2</f>
        <v>0</v>
      </c>
      <c r="CB13" s="11">
        <v>48</v>
      </c>
      <c r="CC13" s="11"/>
      <c r="CD13" s="11">
        <v>54</v>
      </c>
      <c r="CE13" s="11">
        <v>75</v>
      </c>
      <c r="CF13" s="11">
        <v>140</v>
      </c>
      <c r="CG13" s="11"/>
      <c r="CH13" s="8">
        <f>SUM(CA13:CG13)</f>
        <v>317</v>
      </c>
      <c r="CI13" s="54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52"/>
      <c r="DE13" s="10">
        <f>(CH13-CA13)/2</f>
        <v>158.5</v>
      </c>
      <c r="DF13" s="10">
        <v>48</v>
      </c>
      <c r="DG13" s="10">
        <v>40</v>
      </c>
      <c r="DH13" s="10">
        <v>75</v>
      </c>
      <c r="DI13" s="10"/>
      <c r="DJ13" s="10"/>
      <c r="DK13" s="10"/>
      <c r="DL13" s="10">
        <f>SUM(DE13:DK13)</f>
        <v>321.5</v>
      </c>
      <c r="DN13" s="8"/>
      <c r="DO13" s="8"/>
      <c r="DP13" s="8"/>
      <c r="DQ13" s="10"/>
      <c r="DR13" s="10"/>
      <c r="DS13" s="10"/>
      <c r="DT13" s="10"/>
      <c r="DU13" s="10"/>
      <c r="DV13" s="10">
        <v>25</v>
      </c>
      <c r="DW13" s="8">
        <f>SUM(DO13:DV13)</f>
        <v>25</v>
      </c>
      <c r="DX13" s="8">
        <f>(DW13-DO13)/2</f>
        <v>12.5</v>
      </c>
      <c r="DY13" s="10"/>
      <c r="DZ13" s="10"/>
      <c r="EA13" s="10"/>
      <c r="EB13" s="10"/>
      <c r="EC13" s="10">
        <v>35</v>
      </c>
      <c r="ED13" s="10"/>
      <c r="EE13" s="8">
        <f>SUM(DX13:EC13)</f>
        <v>47.5</v>
      </c>
      <c r="EF13" s="8">
        <f>(EE13-DX13)/2</f>
        <v>17.5</v>
      </c>
      <c r="EG13" s="10"/>
      <c r="EH13" s="10"/>
      <c r="EI13" s="10"/>
      <c r="EJ13" s="10"/>
      <c r="EK13" s="10"/>
      <c r="EL13" s="8">
        <f>SUM(EF13:EG13)</f>
        <v>17.5</v>
      </c>
    </row>
    <row r="14" spans="1:142" x14ac:dyDescent="0.25">
      <c r="A14">
        <v>4</v>
      </c>
      <c r="B14" s="8" t="s">
        <v>401</v>
      </c>
      <c r="C14" s="8"/>
      <c r="D14" s="8" t="s">
        <v>26</v>
      </c>
      <c r="E14" s="8" t="s">
        <v>229</v>
      </c>
      <c r="F14" s="8"/>
      <c r="G14" s="8"/>
      <c r="H14" s="8"/>
      <c r="I14" s="8"/>
      <c r="J14" s="8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8"/>
      <c r="AE14" s="8"/>
      <c r="AF14" s="8"/>
      <c r="AG14" s="8"/>
      <c r="AH14" s="8"/>
      <c r="AI14" s="8"/>
      <c r="AJ14" s="8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8"/>
      <c r="BA14" s="8"/>
      <c r="BB14" s="8"/>
      <c r="BC14" s="8"/>
      <c r="BD14" s="8"/>
      <c r="BE14" s="8"/>
      <c r="BF14" s="8"/>
      <c r="BG14" s="8"/>
      <c r="BH14" s="8"/>
      <c r="BI14" s="8">
        <v>7.5</v>
      </c>
      <c r="BJ14" s="8"/>
      <c r="BK14" s="8"/>
      <c r="BL14" s="8">
        <v>40</v>
      </c>
      <c r="BM14" s="8"/>
      <c r="BN14" s="8">
        <v>7.5</v>
      </c>
      <c r="BO14" s="8"/>
      <c r="BP14" s="8"/>
      <c r="BQ14" s="8"/>
      <c r="BR14" s="8">
        <v>2.4</v>
      </c>
      <c r="BS14" s="8"/>
      <c r="BT14" s="8"/>
      <c r="BU14" s="8"/>
      <c r="BV14" s="8"/>
      <c r="BW14" s="8"/>
      <c r="BX14" s="8">
        <v>7.5</v>
      </c>
      <c r="BY14" s="8"/>
      <c r="BZ14" s="11">
        <f>SUM(BA14:BY14)</f>
        <v>64.900000000000006</v>
      </c>
      <c r="CA14" s="11">
        <f>(BZ14-BA14)/2</f>
        <v>32.450000000000003</v>
      </c>
      <c r="CB14" s="11"/>
      <c r="CC14" s="11"/>
      <c r="CD14" s="11">
        <v>7.5</v>
      </c>
      <c r="CE14" s="11">
        <v>50</v>
      </c>
      <c r="CF14" s="11">
        <v>7.5</v>
      </c>
      <c r="CG14" s="11"/>
      <c r="CH14" s="8">
        <f>SUM(CA14:CG14)</f>
        <v>97.45</v>
      </c>
      <c r="CI14" s="54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52"/>
      <c r="DE14" s="10">
        <f>(CH14-CA14)/2</f>
        <v>32.5</v>
      </c>
      <c r="DF14" s="10">
        <v>60</v>
      </c>
      <c r="DG14" s="10">
        <v>56</v>
      </c>
      <c r="DH14" s="10">
        <v>54</v>
      </c>
      <c r="DI14" s="10">
        <v>5</v>
      </c>
      <c r="DJ14" s="10">
        <v>42</v>
      </c>
      <c r="DK14" s="10"/>
      <c r="DL14" s="10">
        <f>SUM(DE14:DK14)</f>
        <v>249.5</v>
      </c>
      <c r="DN14" s="10">
        <f>SUM(CI14:CJ14)+SUM(CU14:DD14)</f>
        <v>0</v>
      </c>
      <c r="DO14" s="8">
        <f>(DN14-CI14)/2</f>
        <v>0</v>
      </c>
      <c r="DP14" s="8">
        <f>BZ14/4</f>
        <v>16.225000000000001</v>
      </c>
      <c r="DQ14" s="10"/>
      <c r="DR14" s="10"/>
      <c r="DS14" s="10"/>
      <c r="DT14" s="10"/>
      <c r="DU14" s="10"/>
      <c r="DV14" s="10"/>
      <c r="DW14" s="8">
        <f>SUM(DO14:DV14)</f>
        <v>16.225000000000001</v>
      </c>
      <c r="DX14" s="8">
        <f>(DW14-DO14)/2</f>
        <v>8.1125000000000007</v>
      </c>
      <c r="DY14" s="10"/>
      <c r="DZ14" s="10"/>
      <c r="EA14" s="10"/>
      <c r="EB14" s="10"/>
      <c r="EC14" s="10"/>
      <c r="ED14" s="10"/>
      <c r="EE14" s="8">
        <f>SUM(DX14:EC14)</f>
        <v>8.1125000000000007</v>
      </c>
      <c r="EF14" s="8">
        <f>(EE14-DX14)/2</f>
        <v>0</v>
      </c>
      <c r="EG14" s="10"/>
      <c r="EH14" s="10"/>
      <c r="EI14" s="10"/>
      <c r="EJ14" s="10">
        <v>7.5</v>
      </c>
      <c r="EK14" s="10"/>
      <c r="EL14" s="8">
        <f>SUM(EF14:EJ14)</f>
        <v>7.5</v>
      </c>
    </row>
    <row r="15" spans="1:142" x14ac:dyDescent="0.25">
      <c r="A15">
        <v>5</v>
      </c>
      <c r="B15" s="20" t="s">
        <v>211</v>
      </c>
      <c r="C15" s="20" t="s">
        <v>212</v>
      </c>
      <c r="D15" s="20" t="s">
        <v>37</v>
      </c>
      <c r="E15" s="20" t="s">
        <v>7</v>
      </c>
      <c r="F15" s="8"/>
      <c r="G15" s="8"/>
      <c r="H15" s="8"/>
      <c r="I15" s="8"/>
      <c r="J15" s="8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8"/>
      <c r="AE15" s="8"/>
      <c r="AF15" s="8"/>
      <c r="AG15" s="8"/>
      <c r="AH15" s="8"/>
      <c r="AI15" s="8"/>
      <c r="AJ15" s="8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 t="s">
        <v>327</v>
      </c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11">
        <f>SUM(BA15:BY15)</f>
        <v>0</v>
      </c>
      <c r="CA15" s="11">
        <f>(BZ15-BA15)/2</f>
        <v>0</v>
      </c>
      <c r="CB15" s="11"/>
      <c r="CC15" s="11"/>
      <c r="CD15" s="11">
        <v>100</v>
      </c>
      <c r="CE15" s="11">
        <v>150</v>
      </c>
      <c r="CF15" s="11"/>
      <c r="CG15" s="11"/>
      <c r="CH15" s="8">
        <f>SUM(CA15:CG15)</f>
        <v>250</v>
      </c>
      <c r="CI15" s="54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52"/>
      <c r="DE15" s="10">
        <f>(CH15-CA15)/2</f>
        <v>125</v>
      </c>
      <c r="DF15" s="10"/>
      <c r="DG15" s="10"/>
      <c r="DH15" s="10">
        <v>100</v>
      </c>
      <c r="DI15" s="10"/>
      <c r="DJ15" s="10"/>
      <c r="DK15" s="10"/>
      <c r="DL15" s="10">
        <f>SUM(DE15:DK15)</f>
        <v>225</v>
      </c>
      <c r="DN15" s="10">
        <f>SUM(CI15:CJ15)+SUM(CU15:DD15)</f>
        <v>0</v>
      </c>
      <c r="DO15" s="8">
        <f>(DN15-CI15)/2</f>
        <v>0</v>
      </c>
      <c r="DP15" s="8">
        <f>BZ15/4</f>
        <v>0</v>
      </c>
      <c r="DQ15" s="10">
        <v>30</v>
      </c>
      <c r="DR15" s="10">
        <v>15</v>
      </c>
      <c r="DS15" s="10"/>
      <c r="DT15" s="10"/>
      <c r="DU15" s="10">
        <v>5</v>
      </c>
      <c r="DV15" s="10"/>
      <c r="DW15" s="8">
        <f>SUM(DO15:DV15)</f>
        <v>50</v>
      </c>
      <c r="DX15" s="8">
        <f>(DW15-DO15)/2</f>
        <v>25</v>
      </c>
      <c r="DY15" s="10">
        <v>30</v>
      </c>
      <c r="DZ15" s="10">
        <v>15</v>
      </c>
      <c r="EA15" s="10">
        <v>7.5</v>
      </c>
      <c r="EB15" s="10">
        <v>100</v>
      </c>
      <c r="EC15" s="10"/>
      <c r="ED15" s="10">
        <v>100</v>
      </c>
      <c r="EE15" s="8">
        <f>SUM(DX15:ED15)</f>
        <v>277.5</v>
      </c>
      <c r="EF15" s="8">
        <f>(EE15-DX15)/2</f>
        <v>126.25</v>
      </c>
      <c r="EG15" s="10"/>
      <c r="EH15" s="10"/>
      <c r="EI15" s="10"/>
      <c r="EJ15" s="10">
        <v>7.5</v>
      </c>
      <c r="EK15" s="10">
        <v>50</v>
      </c>
      <c r="EL15" s="26">
        <f>SUM(EF15:EK15)</f>
        <v>183.75</v>
      </c>
    </row>
    <row r="16" spans="1:142" x14ac:dyDescent="0.25">
      <c r="A16">
        <v>6</v>
      </c>
      <c r="B16" s="8" t="s">
        <v>270</v>
      </c>
      <c r="C16" s="8"/>
      <c r="D16" s="8" t="s">
        <v>701</v>
      </c>
      <c r="E16" s="8" t="s">
        <v>271</v>
      </c>
      <c r="F16" s="8"/>
      <c r="G16" s="8"/>
      <c r="H16" s="8"/>
      <c r="I16" s="8"/>
      <c r="J16" s="8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8"/>
      <c r="AE16" s="8"/>
      <c r="AF16" s="8"/>
      <c r="AG16" s="8"/>
      <c r="AH16" s="8"/>
      <c r="AI16" s="8"/>
      <c r="AJ16" s="8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10"/>
      <c r="CC16" s="10">
        <v>56</v>
      </c>
      <c r="CD16" s="10">
        <v>50</v>
      </c>
      <c r="CE16" s="10">
        <v>105</v>
      </c>
      <c r="CF16" s="10">
        <v>70</v>
      </c>
      <c r="CG16" s="10">
        <v>3.2</v>
      </c>
      <c r="CH16" s="8">
        <f>SUM(CA16:CG16)</f>
        <v>284.2</v>
      </c>
      <c r="CI16" s="54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52"/>
      <c r="DE16" s="10">
        <f>(CH16-CA16)/2</f>
        <v>142.1</v>
      </c>
      <c r="DF16" s="10">
        <v>48</v>
      </c>
      <c r="DG16" s="10"/>
      <c r="DH16" s="10"/>
      <c r="DI16" s="10"/>
      <c r="DJ16" s="10"/>
      <c r="DK16" s="10"/>
      <c r="DL16" s="10">
        <f>SUM(DE16:DK16)</f>
        <v>190.1</v>
      </c>
      <c r="DN16" s="8"/>
      <c r="DO16" s="8"/>
      <c r="DP16" s="8"/>
      <c r="DQ16" s="10"/>
      <c r="DR16" s="10"/>
      <c r="DS16" s="10"/>
      <c r="DT16" s="10"/>
      <c r="DU16" s="10"/>
      <c r="DV16" s="10"/>
      <c r="DW16" s="8">
        <f>SUM(DO16:DV16)</f>
        <v>0</v>
      </c>
      <c r="DX16" s="8">
        <f>(DW16-DO16)/2</f>
        <v>0</v>
      </c>
      <c r="DY16" s="10"/>
      <c r="DZ16" s="10"/>
      <c r="EA16" s="10"/>
      <c r="EB16" s="10"/>
      <c r="EC16" s="10"/>
      <c r="ED16" s="10"/>
      <c r="EE16" s="8">
        <f>SUM(DX16:DZ16)</f>
        <v>0</v>
      </c>
      <c r="EF16" s="8">
        <f>(EE16-DX16)/2</f>
        <v>0</v>
      </c>
      <c r="EG16" s="10"/>
      <c r="EH16" s="10"/>
      <c r="EI16" s="10"/>
      <c r="EJ16" s="10"/>
      <c r="EK16" s="10"/>
      <c r="EL16" s="8">
        <f>SUM(EF16:EG16)</f>
        <v>0</v>
      </c>
    </row>
    <row r="17" spans="1:142" x14ac:dyDescent="0.25">
      <c r="A17">
        <v>7</v>
      </c>
      <c r="B17" s="8" t="s">
        <v>815</v>
      </c>
      <c r="C17" s="8"/>
      <c r="D17" s="8" t="s">
        <v>816</v>
      </c>
      <c r="E17" s="8" t="s">
        <v>817</v>
      </c>
      <c r="F17" s="8"/>
      <c r="G17" s="8"/>
      <c r="H17" s="8"/>
      <c r="I17" s="8"/>
      <c r="J17" s="8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8"/>
      <c r="AE17" s="8"/>
      <c r="AF17" s="8"/>
      <c r="AG17" s="8"/>
      <c r="AH17" s="8"/>
      <c r="AI17" s="8"/>
      <c r="AJ17" s="8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10"/>
      <c r="CC17" s="10"/>
      <c r="CD17" s="10"/>
      <c r="CE17" s="10"/>
      <c r="CF17" s="10"/>
      <c r="CG17" s="10"/>
      <c r="CH17" s="8"/>
      <c r="CI17" s="54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52"/>
      <c r="DE17" s="8"/>
      <c r="DF17" s="10">
        <v>48</v>
      </c>
      <c r="DG17" s="10">
        <v>56</v>
      </c>
      <c r="DH17" s="10">
        <v>70</v>
      </c>
      <c r="DI17" s="10"/>
      <c r="DJ17" s="10"/>
      <c r="DK17" s="10"/>
      <c r="DL17" s="10">
        <f>SUM(DE17:DK17)</f>
        <v>174</v>
      </c>
      <c r="DN17" s="8"/>
      <c r="DO17" s="8"/>
      <c r="DP17" s="8"/>
      <c r="DQ17" s="10"/>
      <c r="DR17" s="10"/>
      <c r="DS17" s="10"/>
      <c r="DT17" s="10"/>
      <c r="DU17" s="10"/>
      <c r="DV17" s="10"/>
      <c r="DW17" s="8"/>
      <c r="DX17" s="8"/>
      <c r="DY17" s="10"/>
      <c r="DZ17" s="10"/>
      <c r="EA17" s="10"/>
      <c r="EB17" s="10"/>
      <c r="EC17" s="10"/>
      <c r="ED17" s="10"/>
      <c r="EE17" s="8">
        <f>SUM(DX17:EC17)</f>
        <v>0</v>
      </c>
      <c r="EF17" s="8">
        <f>(EE17-DX17)/2</f>
        <v>0</v>
      </c>
      <c r="EG17" s="10"/>
      <c r="EH17" s="10"/>
      <c r="EI17" s="10"/>
      <c r="EJ17" s="10"/>
      <c r="EK17" s="10"/>
      <c r="EL17" s="8">
        <f>SUM(EF17:EG17)</f>
        <v>0</v>
      </c>
    </row>
    <row r="18" spans="1:142" x14ac:dyDescent="0.25">
      <c r="A18" s="68">
        <v>8</v>
      </c>
      <c r="B18" s="8" t="s">
        <v>234</v>
      </c>
      <c r="C18" s="8" t="s">
        <v>254</v>
      </c>
      <c r="D18" s="8" t="s">
        <v>235</v>
      </c>
      <c r="E18" s="8" t="s">
        <v>236</v>
      </c>
      <c r="F18" s="8"/>
      <c r="G18" s="8"/>
      <c r="H18" s="8"/>
      <c r="I18" s="8"/>
      <c r="J18" s="8"/>
      <c r="K18" s="10">
        <v>26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1">
        <f>SUM(F18:AC18)</f>
        <v>26</v>
      </c>
      <c r="AE18" s="11">
        <f>AD18/2</f>
        <v>13</v>
      </c>
      <c r="AF18" s="11"/>
      <c r="AG18" s="11"/>
      <c r="AH18" s="11">
        <v>5</v>
      </c>
      <c r="AI18" s="11"/>
      <c r="AJ18" s="11"/>
      <c r="AK18" s="11"/>
      <c r="AL18" s="11"/>
      <c r="AM18" s="11"/>
      <c r="AN18" s="11">
        <v>5</v>
      </c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>
        <f>SUM(AE18:AY18)</f>
        <v>23</v>
      </c>
      <c r="BA18" s="11">
        <f>(AZ18-AE18)/2</f>
        <v>5</v>
      </c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>
        <v>54</v>
      </c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>
        <f>SUM(BA18:BY18)</f>
        <v>59</v>
      </c>
      <c r="CA18" s="11">
        <f>(BZ18-BA18)/2</f>
        <v>27</v>
      </c>
      <c r="CB18" s="11">
        <v>36</v>
      </c>
      <c r="CC18" s="11">
        <v>40</v>
      </c>
      <c r="CD18" s="11">
        <v>54</v>
      </c>
      <c r="CE18" s="11">
        <v>36</v>
      </c>
      <c r="CF18" s="11">
        <v>10</v>
      </c>
      <c r="CG18" s="11"/>
      <c r="CH18" s="8">
        <f>SUM(CA18:CG18)</f>
        <v>203</v>
      </c>
      <c r="CI18" s="57">
        <f>SUM(CL18:CS18)/2</f>
        <v>0</v>
      </c>
      <c r="CJ18" s="10">
        <f>AZ18/4</f>
        <v>5.75</v>
      </c>
      <c r="CK18" s="10">
        <f>AD18/2</f>
        <v>13</v>
      </c>
      <c r="CL18" s="10"/>
      <c r="CM18" s="10"/>
      <c r="CN18" s="10"/>
      <c r="CO18" s="10"/>
      <c r="CP18" s="10"/>
      <c r="CQ18" s="10"/>
      <c r="CR18" s="10"/>
      <c r="CS18" s="10"/>
      <c r="CT18" s="10">
        <f>SUM(CK18:CM18)</f>
        <v>13</v>
      </c>
      <c r="CU18" s="10"/>
      <c r="CV18" s="10"/>
      <c r="CW18" s="10"/>
      <c r="CX18" s="10"/>
      <c r="CY18" s="10"/>
      <c r="CZ18" s="10"/>
      <c r="DA18" s="10"/>
      <c r="DB18" s="10"/>
      <c r="DC18" s="10"/>
      <c r="DD18" s="64">
        <v>70</v>
      </c>
      <c r="DE18" s="10">
        <f>(CH18-CA18)/2</f>
        <v>88</v>
      </c>
      <c r="DF18" s="10">
        <v>36</v>
      </c>
      <c r="DG18" s="10">
        <v>44.8</v>
      </c>
      <c r="DH18" s="10">
        <v>2.4</v>
      </c>
      <c r="DI18" s="10"/>
      <c r="DJ18" s="10"/>
      <c r="DK18" s="10"/>
      <c r="DL18" s="10">
        <f>SUM(DE18:DK18)</f>
        <v>171.20000000000002</v>
      </c>
      <c r="DM18" s="12"/>
      <c r="DN18" s="10">
        <f>SUM(CI18:CJ18)+SUM(CU18:DD18)</f>
        <v>75.75</v>
      </c>
      <c r="DO18" s="8">
        <f>(DN18-CI18)/2</f>
        <v>37.875</v>
      </c>
      <c r="DP18" s="8">
        <f>BZ18/4</f>
        <v>14.75</v>
      </c>
      <c r="DQ18" s="10"/>
      <c r="DR18" s="10"/>
      <c r="DS18" s="10"/>
      <c r="DT18" s="10"/>
      <c r="DU18" s="10"/>
      <c r="DV18" s="10"/>
      <c r="DW18" s="8">
        <f>SUM(DO18:DV18)</f>
        <v>52.625</v>
      </c>
      <c r="DX18" s="8">
        <f>(DW18-DO18)/2</f>
        <v>7.375</v>
      </c>
      <c r="DY18" s="10"/>
      <c r="DZ18" s="10"/>
      <c r="EA18" s="10"/>
      <c r="EB18" s="10"/>
      <c r="EC18" s="10"/>
      <c r="ED18" s="10"/>
      <c r="EE18" s="8">
        <f>SUM(DX18:EC18)</f>
        <v>7.375</v>
      </c>
      <c r="EF18" s="8">
        <f>(EE18-DX18)/2</f>
        <v>0</v>
      </c>
      <c r="EG18" s="10"/>
      <c r="EH18" s="10"/>
      <c r="EI18" s="10"/>
      <c r="EJ18" s="10"/>
      <c r="EK18" s="10"/>
      <c r="EL18" s="8">
        <f>SUM(EF18:EG18)</f>
        <v>0</v>
      </c>
    </row>
    <row r="19" spans="1:142" x14ac:dyDescent="0.25">
      <c r="A19">
        <v>9</v>
      </c>
      <c r="B19" s="8" t="s">
        <v>268</v>
      </c>
      <c r="C19" s="8"/>
      <c r="D19" s="8" t="s">
        <v>753</v>
      </c>
      <c r="E19" s="8" t="s">
        <v>233</v>
      </c>
      <c r="F19" s="8"/>
      <c r="G19" s="8"/>
      <c r="H19" s="8"/>
      <c r="I19" s="8"/>
      <c r="J19" s="8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8"/>
      <c r="AE19" s="8"/>
      <c r="AF19" s="8"/>
      <c r="AG19" s="8"/>
      <c r="AH19" s="8"/>
      <c r="AI19" s="8"/>
      <c r="AJ19" s="8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10"/>
      <c r="CC19" s="10">
        <v>64</v>
      </c>
      <c r="CD19" s="10">
        <v>105</v>
      </c>
      <c r="CE19" s="10"/>
      <c r="CF19" s="10"/>
      <c r="CG19" s="10"/>
      <c r="CH19" s="8">
        <f>SUM(CA19:CG19)</f>
        <v>169</v>
      </c>
      <c r="CI19" s="54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52"/>
      <c r="DE19" s="10">
        <f>(CH19-CA19)/2</f>
        <v>84.5</v>
      </c>
      <c r="DF19" s="10"/>
      <c r="DG19" s="10">
        <v>80</v>
      </c>
      <c r="DH19" s="10"/>
      <c r="DI19" s="10"/>
      <c r="DJ19" s="10"/>
      <c r="DK19" s="10"/>
      <c r="DL19" s="10">
        <f>SUM(DE19:DK19)</f>
        <v>164.5</v>
      </c>
      <c r="DN19" s="8"/>
      <c r="DO19" s="8"/>
      <c r="DP19" s="8"/>
      <c r="DQ19" s="10"/>
      <c r="DR19" s="10"/>
      <c r="DS19" s="10"/>
      <c r="DT19" s="10"/>
      <c r="DU19" s="10"/>
      <c r="DV19" s="10"/>
      <c r="DW19" s="8">
        <f>SUM(DO19:DV19)</f>
        <v>0</v>
      </c>
      <c r="DX19" s="8">
        <f>(DW19-DO19)/2</f>
        <v>0</v>
      </c>
      <c r="DY19" s="10"/>
      <c r="DZ19" s="10"/>
      <c r="EA19" s="10"/>
      <c r="EB19" s="10"/>
      <c r="EC19" s="10"/>
      <c r="ED19" s="10"/>
      <c r="EE19" s="8">
        <f>SUM(DX19:EC19)</f>
        <v>0</v>
      </c>
      <c r="EF19" s="8">
        <f>(EE19-DX19)/2</f>
        <v>0</v>
      </c>
      <c r="EG19" s="10"/>
      <c r="EH19" s="10"/>
      <c r="EI19" s="10"/>
      <c r="EJ19" s="10"/>
      <c r="EK19" s="10"/>
      <c r="EL19" s="8">
        <f>SUM(EF19:EG19)</f>
        <v>0</v>
      </c>
    </row>
    <row r="20" spans="1:142" x14ac:dyDescent="0.25">
      <c r="A20">
        <v>10</v>
      </c>
      <c r="B20" s="8" t="s">
        <v>380</v>
      </c>
      <c r="C20" s="8"/>
      <c r="D20" s="8" t="s">
        <v>30</v>
      </c>
      <c r="E20" s="8" t="s">
        <v>19</v>
      </c>
      <c r="F20" s="8"/>
      <c r="G20" s="8"/>
      <c r="H20" s="8"/>
      <c r="I20" s="8"/>
      <c r="J20" s="8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8"/>
      <c r="AE20" s="8"/>
      <c r="AF20" s="8"/>
      <c r="AG20" s="8"/>
      <c r="AH20" s="8"/>
      <c r="AI20" s="8"/>
      <c r="AJ20" s="8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10">
        <v>3</v>
      </c>
      <c r="CC20" s="10"/>
      <c r="CD20" s="10">
        <v>7.5</v>
      </c>
      <c r="CE20" s="10">
        <v>5</v>
      </c>
      <c r="CF20" s="10">
        <v>39</v>
      </c>
      <c r="CG20" s="10">
        <v>75</v>
      </c>
      <c r="CH20" s="8">
        <f>SUM(CA20:CG20)</f>
        <v>129.5</v>
      </c>
      <c r="CI20" s="54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52"/>
      <c r="DE20" s="10">
        <f>(CH20-CA20)/2</f>
        <v>64.75</v>
      </c>
      <c r="DF20" s="10">
        <v>42</v>
      </c>
      <c r="DG20" s="10"/>
      <c r="DH20" s="10">
        <v>50</v>
      </c>
      <c r="DI20" s="10"/>
      <c r="DJ20" s="10"/>
      <c r="DK20" s="10"/>
      <c r="DL20" s="10">
        <f>SUM(DE20:DK20)</f>
        <v>156.75</v>
      </c>
      <c r="DN20" s="8"/>
      <c r="DO20" s="8"/>
      <c r="DP20" s="8"/>
      <c r="DQ20" s="10"/>
      <c r="DR20" s="10"/>
      <c r="DS20" s="10"/>
      <c r="DT20" s="10"/>
      <c r="DU20" s="10"/>
      <c r="DV20" s="10"/>
      <c r="DW20" s="8">
        <f>SUM(DO20:DV20)</f>
        <v>0</v>
      </c>
      <c r="DX20" s="8">
        <f>(DW20-DO20)/2</f>
        <v>0</v>
      </c>
      <c r="DY20" s="10"/>
      <c r="DZ20" s="10"/>
      <c r="EA20" s="10"/>
      <c r="EB20" s="10"/>
      <c r="EC20" s="10">
        <v>18</v>
      </c>
      <c r="ED20" s="10"/>
      <c r="EE20" s="8">
        <f>SUM(DX20:EC20)</f>
        <v>18</v>
      </c>
      <c r="EF20" s="8">
        <f>(EE20-DX20)/2</f>
        <v>9</v>
      </c>
      <c r="EG20" s="10"/>
      <c r="EH20" s="10"/>
      <c r="EI20" s="10"/>
      <c r="EJ20" s="10">
        <v>7.5</v>
      </c>
      <c r="EK20" s="10">
        <v>5</v>
      </c>
      <c r="EL20" s="8">
        <f>SUM(EF20:EK20)</f>
        <v>21.5</v>
      </c>
    </row>
    <row r="21" spans="1:142" x14ac:dyDescent="0.25">
      <c r="A21">
        <v>11</v>
      </c>
      <c r="B21" s="8" t="s">
        <v>818</v>
      </c>
      <c r="C21" s="8"/>
      <c r="D21" s="8" t="s">
        <v>209</v>
      </c>
      <c r="E21" s="8" t="s">
        <v>233</v>
      </c>
      <c r="F21" s="8"/>
      <c r="G21" s="8"/>
      <c r="H21" s="8"/>
      <c r="I21" s="8"/>
      <c r="J21" s="8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8"/>
      <c r="AE21" s="8"/>
      <c r="AF21" s="8"/>
      <c r="AG21" s="8"/>
      <c r="AH21" s="8"/>
      <c r="AI21" s="8"/>
      <c r="AJ21" s="8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10"/>
      <c r="CC21" s="10"/>
      <c r="CD21" s="10"/>
      <c r="CE21" s="10"/>
      <c r="CF21" s="10"/>
      <c r="CG21" s="10"/>
      <c r="CH21" s="8"/>
      <c r="CI21" s="54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52"/>
      <c r="DE21" s="8"/>
      <c r="DF21" s="10">
        <v>33.6</v>
      </c>
      <c r="DG21" s="10">
        <v>28.8</v>
      </c>
      <c r="DH21" s="10">
        <v>54</v>
      </c>
      <c r="DI21" s="10">
        <v>5</v>
      </c>
      <c r="DJ21" s="10">
        <v>33.6</v>
      </c>
      <c r="DK21" s="10"/>
      <c r="DL21" s="10">
        <f>SUM(DE21:DK21)</f>
        <v>155</v>
      </c>
      <c r="DN21" s="8"/>
      <c r="DO21" s="8"/>
      <c r="DP21" s="8"/>
      <c r="DQ21" s="10"/>
      <c r="DR21" s="10"/>
      <c r="DS21" s="10"/>
      <c r="DT21" s="10"/>
      <c r="DU21" s="10"/>
      <c r="DV21" s="10"/>
      <c r="DW21" s="8"/>
      <c r="DX21" s="8"/>
      <c r="DY21" s="10"/>
      <c r="DZ21" s="10"/>
      <c r="EA21" s="10"/>
      <c r="EB21" s="10"/>
      <c r="EC21" s="10"/>
      <c r="ED21" s="10"/>
      <c r="EE21" s="8">
        <f>SUM(DX21:EC21)</f>
        <v>0</v>
      </c>
      <c r="EF21" s="8">
        <f>(EE21-DX21)/2</f>
        <v>0</v>
      </c>
      <c r="EG21" s="10"/>
      <c r="EH21" s="10"/>
      <c r="EI21" s="10"/>
      <c r="EJ21" s="10"/>
      <c r="EK21" s="10"/>
      <c r="EL21" s="8">
        <f>SUM(EF21:EG21)</f>
        <v>0</v>
      </c>
    </row>
    <row r="22" spans="1:142" x14ac:dyDescent="0.25">
      <c r="A22">
        <v>12</v>
      </c>
      <c r="B22" s="8" t="s">
        <v>436</v>
      </c>
      <c r="C22" s="8" t="s">
        <v>437</v>
      </c>
      <c r="D22" s="8" t="s">
        <v>438</v>
      </c>
      <c r="E22" s="8" t="s">
        <v>670</v>
      </c>
      <c r="F22" s="8"/>
      <c r="G22" s="8"/>
      <c r="H22" s="8"/>
      <c r="I22" s="8"/>
      <c r="J22" s="8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8"/>
      <c r="AE22" s="8"/>
      <c r="AF22" s="8"/>
      <c r="AG22" s="8"/>
      <c r="AH22" s="8"/>
      <c r="AI22" s="8"/>
      <c r="AJ22" s="8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10">
        <v>33.6</v>
      </c>
      <c r="CC22" s="10">
        <v>44.8</v>
      </c>
      <c r="CD22" s="10"/>
      <c r="CE22" s="10"/>
      <c r="CF22" s="10"/>
      <c r="CG22" s="10"/>
      <c r="CH22" s="8">
        <f>SUM(CA22:CG22)</f>
        <v>78.400000000000006</v>
      </c>
      <c r="CI22" s="54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52"/>
      <c r="DE22" s="10">
        <f>(CH22-CA22)/2</f>
        <v>39.200000000000003</v>
      </c>
      <c r="DF22" s="10">
        <v>36</v>
      </c>
      <c r="DG22" s="10">
        <v>3.2</v>
      </c>
      <c r="DH22" s="10">
        <v>75</v>
      </c>
      <c r="DI22" s="10"/>
      <c r="DJ22" s="10"/>
      <c r="DK22" s="10"/>
      <c r="DL22" s="10">
        <f>SUM(DE22:DK22)</f>
        <v>153.4</v>
      </c>
      <c r="DN22" s="8"/>
      <c r="DO22" s="8"/>
      <c r="DP22" s="8"/>
      <c r="DQ22" s="10"/>
      <c r="DR22" s="10"/>
      <c r="DS22" s="10"/>
      <c r="DT22" s="10"/>
      <c r="DU22" s="10"/>
      <c r="DV22" s="10"/>
      <c r="DW22" s="8">
        <f>SUM(DO22:DV22)</f>
        <v>0</v>
      </c>
      <c r="DX22" s="8">
        <f>(DW22-DO22)/2</f>
        <v>0</v>
      </c>
      <c r="DY22" s="10"/>
      <c r="DZ22" s="10"/>
      <c r="EA22" s="10"/>
      <c r="EB22" s="10"/>
      <c r="EC22" s="10"/>
      <c r="ED22" s="10"/>
      <c r="EE22" s="8">
        <f>SUM(DX22:EC22)</f>
        <v>0</v>
      </c>
      <c r="EF22" s="8">
        <f>(EE22-DX22)/2</f>
        <v>0</v>
      </c>
      <c r="EG22" s="10"/>
      <c r="EH22" s="10"/>
      <c r="EI22" s="10"/>
      <c r="EJ22" s="10"/>
      <c r="EK22" s="10"/>
      <c r="EL22" s="8">
        <f>SUM(EF22:EG22)</f>
        <v>0</v>
      </c>
    </row>
    <row r="23" spans="1:142" x14ac:dyDescent="0.25">
      <c r="A23">
        <v>13</v>
      </c>
      <c r="B23" s="8" t="s">
        <v>413</v>
      </c>
      <c r="C23" s="8"/>
      <c r="D23" s="8" t="s">
        <v>383</v>
      </c>
      <c r="E23" s="8" t="s">
        <v>414</v>
      </c>
      <c r="F23" s="8"/>
      <c r="G23" s="8"/>
      <c r="H23" s="8"/>
      <c r="I23" s="8"/>
      <c r="J23" s="8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8"/>
      <c r="AK23" s="10"/>
      <c r="AL23" s="10"/>
      <c r="AM23" s="10"/>
      <c r="AN23" s="10">
        <v>5</v>
      </c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1">
        <f>SUM(AE23:AY23)</f>
        <v>5</v>
      </c>
      <c r="BA23" s="11">
        <f>(AZ23-AE23)/2</f>
        <v>2.5</v>
      </c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>
        <v>36</v>
      </c>
      <c r="BT23" s="11"/>
      <c r="BU23" s="11"/>
      <c r="BV23" s="11"/>
      <c r="BW23" s="11"/>
      <c r="BX23" s="11"/>
      <c r="BY23" s="11"/>
      <c r="BZ23" s="11">
        <f>SUM(BA23:BY23)</f>
        <v>38.5</v>
      </c>
      <c r="CA23" s="11">
        <f>(BZ23-BA23)/2</f>
        <v>18</v>
      </c>
      <c r="CB23" s="11">
        <v>48</v>
      </c>
      <c r="CC23" s="11">
        <v>80</v>
      </c>
      <c r="CD23" s="11">
        <v>75</v>
      </c>
      <c r="CE23" s="11"/>
      <c r="CF23" s="11"/>
      <c r="CG23" s="11"/>
      <c r="CH23" s="8">
        <f>SUM(CA23:CG23)</f>
        <v>221</v>
      </c>
      <c r="CI23" s="57">
        <f>SUM(CL23:CS23)/2</f>
        <v>0</v>
      </c>
      <c r="CJ23" s="10">
        <f>AZ23/4</f>
        <v>1.25</v>
      </c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10"/>
      <c r="CV23" s="10"/>
      <c r="CW23" s="10"/>
      <c r="CX23" s="10"/>
      <c r="CY23" s="10"/>
      <c r="CZ23" s="10"/>
      <c r="DA23" s="10"/>
      <c r="DB23" s="10"/>
      <c r="DC23" s="10"/>
      <c r="DD23" s="64"/>
      <c r="DE23" s="10">
        <f>(CH23-CA23)/2</f>
        <v>101.5</v>
      </c>
      <c r="DF23" s="10">
        <v>36</v>
      </c>
      <c r="DG23" s="10"/>
      <c r="DH23" s="10"/>
      <c r="DI23" s="10"/>
      <c r="DJ23" s="10"/>
      <c r="DK23" s="10"/>
      <c r="DL23" s="10">
        <f>SUM(DE23:DK23)</f>
        <v>137.5</v>
      </c>
      <c r="DM23" s="12"/>
      <c r="DN23" s="10">
        <f>SUM(CI23:CJ23)+SUM(CU23:DD23)</f>
        <v>1.25</v>
      </c>
      <c r="DO23" s="8">
        <f>(DN23-CI23)/2</f>
        <v>0.625</v>
      </c>
      <c r="DP23" s="8">
        <f>BZ23/4</f>
        <v>9.625</v>
      </c>
      <c r="DQ23" s="10"/>
      <c r="DR23" s="10"/>
      <c r="DS23" s="10"/>
      <c r="DT23" s="10"/>
      <c r="DU23" s="10"/>
      <c r="DV23" s="10"/>
      <c r="DW23" s="8">
        <f>SUM(DO23:DV23)</f>
        <v>10.25</v>
      </c>
      <c r="DX23" s="8">
        <f>(DW23-DO23)/2</f>
        <v>4.8125</v>
      </c>
      <c r="DY23" s="10"/>
      <c r="DZ23" s="10"/>
      <c r="EA23" s="10"/>
      <c r="EB23" s="10"/>
      <c r="EC23" s="10"/>
      <c r="ED23" s="10"/>
      <c r="EE23" s="8">
        <f>SUM(DX23:DZ23)</f>
        <v>4.8125</v>
      </c>
      <c r="EF23" s="8">
        <f>(EE23-DX23)/2</f>
        <v>0</v>
      </c>
      <c r="EG23" s="10"/>
      <c r="EH23" s="10"/>
      <c r="EI23" s="10"/>
      <c r="EJ23" s="10"/>
      <c r="EK23" s="10"/>
      <c r="EL23" s="8">
        <f>SUM(EF23:EG23)</f>
        <v>0</v>
      </c>
    </row>
    <row r="24" spans="1:142" x14ac:dyDescent="0.25">
      <c r="A24">
        <v>14</v>
      </c>
      <c r="B24" s="8" t="s">
        <v>500</v>
      </c>
      <c r="C24" s="8"/>
      <c r="D24" s="8" t="s">
        <v>741</v>
      </c>
      <c r="E24" s="8" t="s">
        <v>47</v>
      </c>
      <c r="F24" s="8"/>
      <c r="G24" s="8"/>
      <c r="H24" s="8"/>
      <c r="I24" s="8"/>
      <c r="J24" s="8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8"/>
      <c r="AE24" s="8"/>
      <c r="AF24" s="8"/>
      <c r="AG24" s="8"/>
      <c r="AH24" s="8"/>
      <c r="AI24" s="8"/>
      <c r="AJ24" s="8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10">
        <v>36</v>
      </c>
      <c r="CC24" s="10">
        <v>44.8</v>
      </c>
      <c r="CD24" s="10"/>
      <c r="CE24" s="10"/>
      <c r="CF24" s="10"/>
      <c r="CG24" s="10"/>
      <c r="CH24" s="8">
        <f>SUM(CA24:CG24)</f>
        <v>80.8</v>
      </c>
      <c r="CI24" s="54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52"/>
      <c r="DE24" s="10">
        <f>(CH24-CA24)/2</f>
        <v>40.4</v>
      </c>
      <c r="DF24" s="10">
        <v>36</v>
      </c>
      <c r="DG24" s="10">
        <v>40</v>
      </c>
      <c r="DH24" s="10">
        <v>7.5</v>
      </c>
      <c r="DI24" s="10">
        <v>2.4</v>
      </c>
      <c r="DJ24" s="10"/>
      <c r="DK24" s="10"/>
      <c r="DL24" s="10">
        <f>SUM(DE24:DK24)</f>
        <v>126.30000000000001</v>
      </c>
      <c r="DN24" s="8"/>
      <c r="DO24" s="8"/>
      <c r="DP24" s="8"/>
      <c r="DQ24" s="10"/>
      <c r="DR24" s="10"/>
      <c r="DS24" s="10"/>
      <c r="DT24" s="10"/>
      <c r="DU24" s="10"/>
      <c r="DV24" s="10"/>
      <c r="DW24" s="8">
        <f>SUM(DO24:DV24)</f>
        <v>0</v>
      </c>
      <c r="DX24" s="8">
        <f>(DW24-DO24)/2</f>
        <v>0</v>
      </c>
      <c r="DY24" s="10"/>
      <c r="DZ24" s="10"/>
      <c r="EA24" s="10"/>
      <c r="EB24" s="10"/>
      <c r="EC24" s="10"/>
      <c r="ED24" s="10"/>
      <c r="EE24" s="8">
        <f>SUM(DX24:EC24)</f>
        <v>0</v>
      </c>
      <c r="EF24" s="8">
        <f>(EE24-DX24)/2</f>
        <v>0</v>
      </c>
      <c r="EG24" s="10"/>
      <c r="EH24" s="10"/>
      <c r="EI24" s="10"/>
      <c r="EJ24" s="10"/>
      <c r="EK24" s="10"/>
      <c r="EL24" s="8">
        <f>SUM(EF24:EG24)</f>
        <v>0</v>
      </c>
    </row>
    <row r="25" spans="1:142" x14ac:dyDescent="0.25">
      <c r="A25">
        <v>15</v>
      </c>
      <c r="B25" s="8" t="s">
        <v>410</v>
      </c>
      <c r="C25" s="8"/>
      <c r="D25" s="8" t="s">
        <v>237</v>
      </c>
      <c r="E25" s="8" t="s">
        <v>368</v>
      </c>
      <c r="F25" s="8"/>
      <c r="G25" s="8"/>
      <c r="H25" s="8"/>
      <c r="I25" s="8"/>
      <c r="J25" s="8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8"/>
      <c r="AE25" s="8"/>
      <c r="AF25" s="8"/>
      <c r="AG25" s="8"/>
      <c r="AH25" s="8"/>
      <c r="AI25" s="8"/>
      <c r="AJ25" s="8"/>
      <c r="AK25" s="10"/>
      <c r="AL25" s="10"/>
      <c r="AM25" s="10">
        <v>36</v>
      </c>
      <c r="AN25" s="10"/>
      <c r="AO25" s="10"/>
      <c r="AP25" s="10"/>
      <c r="AQ25" s="10"/>
      <c r="AR25" s="10"/>
      <c r="AS25" s="10"/>
      <c r="AT25" s="10"/>
      <c r="AU25" s="10">
        <v>2.4</v>
      </c>
      <c r="AV25" s="10"/>
      <c r="AW25" s="10"/>
      <c r="AX25" s="10"/>
      <c r="AY25" s="10"/>
      <c r="AZ25" s="11">
        <f>SUM(AE25:AY25)</f>
        <v>38.4</v>
      </c>
      <c r="BA25" s="11">
        <f>(AZ25-AE25)/2</f>
        <v>19.2</v>
      </c>
      <c r="BB25" s="11"/>
      <c r="BC25" s="11"/>
      <c r="BD25" s="11"/>
      <c r="BE25" s="11"/>
      <c r="BF25" s="11"/>
      <c r="BG25" s="11"/>
      <c r="BH25" s="11"/>
      <c r="BI25" s="11">
        <v>7.5</v>
      </c>
      <c r="BJ25" s="11"/>
      <c r="BK25" s="11"/>
      <c r="BL25" s="11">
        <v>40</v>
      </c>
      <c r="BM25" s="11"/>
      <c r="BN25" s="11">
        <v>75</v>
      </c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>
        <v>140</v>
      </c>
      <c r="BZ25" s="11">
        <f>SUM(BA25:BY25)</f>
        <v>281.7</v>
      </c>
      <c r="CA25" s="11">
        <f>(BZ25-BA25)/2</f>
        <v>131.25</v>
      </c>
      <c r="CB25" s="11">
        <v>48</v>
      </c>
      <c r="CC25" s="11"/>
      <c r="CD25" s="11">
        <v>75</v>
      </c>
      <c r="CE25" s="11">
        <v>7.5</v>
      </c>
      <c r="CF25" s="11">
        <v>100</v>
      </c>
      <c r="CG25" s="11"/>
      <c r="CH25" s="8">
        <f>SUM(CA25:CG25)</f>
        <v>361.75</v>
      </c>
      <c r="CI25" s="57">
        <f>SUM(CL25:CS25)/2</f>
        <v>0</v>
      </c>
      <c r="CJ25" s="10">
        <f>AZ25/4</f>
        <v>9.6</v>
      </c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10"/>
      <c r="CV25" s="10"/>
      <c r="CW25" s="10"/>
      <c r="CX25" s="10"/>
      <c r="CY25" s="10"/>
      <c r="CZ25" s="10"/>
      <c r="DA25" s="10"/>
      <c r="DB25" s="10"/>
      <c r="DC25" s="10"/>
      <c r="DD25" s="64"/>
      <c r="DE25" s="10">
        <f>(CH25-CA25)/2</f>
        <v>115.25</v>
      </c>
      <c r="DF25" s="10">
        <v>2.4</v>
      </c>
      <c r="DG25" s="10"/>
      <c r="DH25" s="10"/>
      <c r="DI25" s="10"/>
      <c r="DJ25" s="10"/>
      <c r="DK25" s="10"/>
      <c r="DL25" s="10">
        <f>SUM(DE25:DK25)</f>
        <v>117.65</v>
      </c>
      <c r="DM25" s="12"/>
      <c r="DN25" s="10">
        <f>SUM(CI25:CJ25)+SUM(CU25:DD25)</f>
        <v>9.6</v>
      </c>
      <c r="DO25" s="8">
        <f>(DN25-CI25)/2</f>
        <v>4.8</v>
      </c>
      <c r="DP25" s="8">
        <f>BZ25/4</f>
        <v>70.424999999999997</v>
      </c>
      <c r="DQ25" s="10"/>
      <c r="DR25" s="10"/>
      <c r="DS25" s="10"/>
      <c r="DT25" s="10"/>
      <c r="DU25" s="10"/>
      <c r="DV25" s="10"/>
      <c r="DW25" s="8">
        <f>SUM(DO25:DV25)</f>
        <v>75.224999999999994</v>
      </c>
      <c r="DX25" s="8">
        <f>(DW25-DO25)/2</f>
        <v>35.212499999999999</v>
      </c>
      <c r="DY25" s="10"/>
      <c r="DZ25" s="10"/>
      <c r="EA25" s="10"/>
      <c r="EB25" s="10"/>
      <c r="EC25" s="10"/>
      <c r="ED25" s="10"/>
      <c r="EE25" s="8">
        <f>SUM(DX25:DZ25)</f>
        <v>35.212499999999999</v>
      </c>
      <c r="EF25" s="8">
        <f>(EE25-DX25)/2</f>
        <v>0</v>
      </c>
      <c r="EG25" s="10"/>
      <c r="EH25" s="10"/>
      <c r="EI25" s="10"/>
      <c r="EJ25" s="10"/>
      <c r="EK25" s="10"/>
      <c r="EL25" s="8">
        <f>SUM(EF25:EG25)</f>
        <v>0</v>
      </c>
    </row>
    <row r="26" spans="1:142" x14ac:dyDescent="0.25">
      <c r="A26">
        <v>16</v>
      </c>
      <c r="B26" s="8" t="s">
        <v>137</v>
      </c>
      <c r="C26" s="8" t="s">
        <v>356</v>
      </c>
      <c r="D26" s="8" t="s">
        <v>136</v>
      </c>
      <c r="E26" s="8" t="s">
        <v>76</v>
      </c>
      <c r="F26" s="8"/>
      <c r="G26" s="8"/>
      <c r="H26" s="8"/>
      <c r="I26" s="8"/>
      <c r="J26" s="8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8"/>
      <c r="AE26" s="8"/>
      <c r="AF26" s="8">
        <v>36</v>
      </c>
      <c r="AG26" s="8"/>
      <c r="AH26" s="8">
        <v>5</v>
      </c>
      <c r="AI26" s="8"/>
      <c r="AJ26" s="8"/>
      <c r="AK26" s="10">
        <v>80</v>
      </c>
      <c r="AL26" s="10"/>
      <c r="AM26" s="10"/>
      <c r="AN26" s="10">
        <v>36</v>
      </c>
      <c r="AO26" s="10"/>
      <c r="AP26" s="10">
        <v>36</v>
      </c>
      <c r="AQ26" s="10"/>
      <c r="AR26" s="10"/>
      <c r="AS26" s="10"/>
      <c r="AT26" s="10">
        <v>70</v>
      </c>
      <c r="AU26" s="10"/>
      <c r="AV26" s="10"/>
      <c r="AW26" s="10"/>
      <c r="AX26" s="10"/>
      <c r="AY26" s="10">
        <v>75</v>
      </c>
      <c r="AZ26" s="11">
        <f>SUM(AE26:AY26)</f>
        <v>338</v>
      </c>
      <c r="BA26" s="11">
        <f>(AZ26-AE26)/2</f>
        <v>169</v>
      </c>
      <c r="BB26" s="11"/>
      <c r="BC26" s="11"/>
      <c r="BD26" s="11"/>
      <c r="BE26" s="11"/>
      <c r="BF26" s="11"/>
      <c r="BG26" s="11"/>
      <c r="BH26" s="11">
        <v>48</v>
      </c>
      <c r="BI26" s="11"/>
      <c r="BJ26" s="11"/>
      <c r="BK26" s="11"/>
      <c r="BL26" s="11"/>
      <c r="BM26" s="11">
        <v>3.2</v>
      </c>
      <c r="BN26" s="11"/>
      <c r="BO26" s="11"/>
      <c r="BP26" s="11"/>
      <c r="BQ26" s="11"/>
      <c r="BR26" s="11"/>
      <c r="BS26" s="11"/>
      <c r="BT26" s="11">
        <v>48</v>
      </c>
      <c r="BU26" s="11"/>
      <c r="BV26" s="11"/>
      <c r="BW26" s="11"/>
      <c r="BX26" s="11">
        <v>75</v>
      </c>
      <c r="BY26" s="11"/>
      <c r="BZ26" s="11">
        <f>SUM(BA26:BY26)</f>
        <v>343.2</v>
      </c>
      <c r="CA26" s="11">
        <f>(BZ26-BA26)/2</f>
        <v>87.1</v>
      </c>
      <c r="CB26" s="11">
        <v>48</v>
      </c>
      <c r="CC26" s="11">
        <v>80</v>
      </c>
      <c r="CD26" s="11">
        <v>105</v>
      </c>
      <c r="CE26" s="11"/>
      <c r="CF26" s="11"/>
      <c r="CG26" s="11"/>
      <c r="CH26" s="8">
        <f>SUM(CA26:CG26)</f>
        <v>320.10000000000002</v>
      </c>
      <c r="CI26" s="54">
        <v>0</v>
      </c>
      <c r="CJ26" s="10">
        <f>AZ26/4</f>
        <v>84.5</v>
      </c>
      <c r="CK26" s="10">
        <f>AD26/2</f>
        <v>0</v>
      </c>
      <c r="CL26" s="10"/>
      <c r="CM26" s="10"/>
      <c r="CN26" s="10"/>
      <c r="CO26" s="10"/>
      <c r="CP26" s="10"/>
      <c r="CQ26" s="10"/>
      <c r="CR26" s="10"/>
      <c r="CS26" s="10"/>
      <c r="CT26" s="10">
        <f>SUM(CK26:CM26)</f>
        <v>0</v>
      </c>
      <c r="CU26" s="10"/>
      <c r="CV26" s="10"/>
      <c r="CW26" s="10"/>
      <c r="CX26" s="10"/>
      <c r="CY26" s="10"/>
      <c r="CZ26" s="10"/>
      <c r="DA26" s="10"/>
      <c r="DB26" s="10"/>
      <c r="DC26" s="10"/>
      <c r="DD26" s="64">
        <v>50</v>
      </c>
      <c r="DE26" s="10">
        <f>(CH26-CA26)/2</f>
        <v>116.50000000000001</v>
      </c>
      <c r="DF26" s="10"/>
      <c r="DG26" s="10"/>
      <c r="DH26" s="10"/>
      <c r="DI26" s="10"/>
      <c r="DJ26" s="10"/>
      <c r="DK26" s="10"/>
      <c r="DL26" s="10">
        <f>SUM(DE26:DK26)</f>
        <v>116.50000000000001</v>
      </c>
      <c r="DM26" s="12"/>
      <c r="DN26" s="10">
        <f>SUM(CI26:DD26)</f>
        <v>134.5</v>
      </c>
      <c r="DO26" s="8">
        <f>(DN26-CI26)/2</f>
        <v>67.25</v>
      </c>
      <c r="DP26" s="8">
        <f>BZ26/4</f>
        <v>85.8</v>
      </c>
      <c r="DQ26" s="10"/>
      <c r="DR26" s="10"/>
      <c r="DS26" s="10"/>
      <c r="DT26" s="10"/>
      <c r="DU26" s="10"/>
      <c r="DV26" s="10"/>
      <c r="DW26" s="8">
        <f>SUM(DO26:DQ26)</f>
        <v>153.05000000000001</v>
      </c>
      <c r="DX26" s="8">
        <f>(DW26-DO26)/2</f>
        <v>42.900000000000006</v>
      </c>
      <c r="DY26" s="10"/>
      <c r="DZ26" s="10"/>
      <c r="EA26" s="10"/>
      <c r="EB26" s="10"/>
      <c r="EC26" s="10"/>
      <c r="ED26" s="10"/>
      <c r="EE26" s="8">
        <f>SUM(DX26:DZ26)</f>
        <v>42.900000000000006</v>
      </c>
      <c r="EF26" s="8">
        <f>(EE26-DX26)/2</f>
        <v>0</v>
      </c>
      <c r="EG26" s="10"/>
      <c r="EH26" s="10"/>
      <c r="EI26" s="10"/>
      <c r="EJ26" s="10"/>
      <c r="EK26" s="10"/>
      <c r="EL26" s="8">
        <f>SUM(EF26:EG26)</f>
        <v>0</v>
      </c>
    </row>
    <row r="27" spans="1:142" x14ac:dyDescent="0.25">
      <c r="A27">
        <v>17</v>
      </c>
      <c r="B27" s="8" t="s">
        <v>262</v>
      </c>
      <c r="C27" s="8" t="s">
        <v>139</v>
      </c>
      <c r="D27" s="8" t="s">
        <v>263</v>
      </c>
      <c r="E27" s="8" t="s">
        <v>264</v>
      </c>
      <c r="F27" s="8"/>
      <c r="G27" s="8"/>
      <c r="H27" s="8"/>
      <c r="I27" s="8"/>
      <c r="J27" s="8"/>
      <c r="K27" s="10"/>
      <c r="L27" s="10"/>
      <c r="M27" s="10">
        <v>36</v>
      </c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1">
        <f>SUM(F27:AC27)</f>
        <v>36</v>
      </c>
      <c r="AE27" s="11">
        <f>AD27/2</f>
        <v>18</v>
      </c>
      <c r="AF27" s="11"/>
      <c r="AG27" s="11"/>
      <c r="AH27" s="11"/>
      <c r="AI27" s="11"/>
      <c r="AJ27" s="11"/>
      <c r="AK27" s="11"/>
      <c r="AL27" s="11"/>
      <c r="AM27" s="11"/>
      <c r="AN27" s="11">
        <v>36</v>
      </c>
      <c r="AO27" s="11"/>
      <c r="AP27" s="11"/>
      <c r="AQ27" s="11"/>
      <c r="AR27" s="11"/>
      <c r="AS27" s="11"/>
      <c r="AT27" s="11"/>
      <c r="AU27" s="11">
        <v>48</v>
      </c>
      <c r="AV27" s="11"/>
      <c r="AW27" s="11"/>
      <c r="AX27" s="11"/>
      <c r="AY27" s="11"/>
      <c r="AZ27" s="11">
        <f>SUM(AE27:AY27)</f>
        <v>102</v>
      </c>
      <c r="BA27" s="11">
        <f>(AZ27-AE27)/2</f>
        <v>42</v>
      </c>
      <c r="BB27" s="11"/>
      <c r="BC27" s="11"/>
      <c r="BD27" s="11"/>
      <c r="BE27" s="11">
        <v>48</v>
      </c>
      <c r="BF27" s="11"/>
      <c r="BG27" s="11"/>
      <c r="BH27" s="11"/>
      <c r="BI27" s="11"/>
      <c r="BJ27" s="11"/>
      <c r="BK27" s="11"/>
      <c r="BL27" s="11">
        <v>28.8</v>
      </c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>
        <f>SUM(BA27:BY27)</f>
        <v>118.8</v>
      </c>
      <c r="CA27" s="11">
        <f>(BZ27-BA27)/2</f>
        <v>38.4</v>
      </c>
      <c r="CB27" s="11"/>
      <c r="CC27" s="11"/>
      <c r="CD27" s="11">
        <v>39</v>
      </c>
      <c r="CE27" s="11"/>
      <c r="CF27" s="11"/>
      <c r="CG27" s="11"/>
      <c r="CH27" s="8">
        <f>SUM(CA27:CG27)</f>
        <v>77.400000000000006</v>
      </c>
      <c r="CI27" s="57">
        <f>SUM(CL27:CS27)/2</f>
        <v>0</v>
      </c>
      <c r="CJ27" s="10">
        <f>AZ27/4</f>
        <v>25.5</v>
      </c>
      <c r="CK27" s="10">
        <f>AD27/2</f>
        <v>18</v>
      </c>
      <c r="CL27" s="10"/>
      <c r="CM27" s="10"/>
      <c r="CN27" s="10"/>
      <c r="CO27" s="10"/>
      <c r="CP27" s="10"/>
      <c r="CQ27" s="10"/>
      <c r="CR27" s="10"/>
      <c r="CS27" s="10"/>
      <c r="CT27" s="10">
        <f>SUM(CK27:CM27)</f>
        <v>18</v>
      </c>
      <c r="CU27" s="10"/>
      <c r="CV27" s="10"/>
      <c r="CW27" s="10"/>
      <c r="CX27" s="10"/>
      <c r="CY27" s="10"/>
      <c r="CZ27" s="10"/>
      <c r="DA27" s="10"/>
      <c r="DB27" s="10"/>
      <c r="DC27" s="10"/>
      <c r="DD27" s="64"/>
      <c r="DE27" s="10">
        <f>(CH27-CA27)/2</f>
        <v>19.500000000000004</v>
      </c>
      <c r="DF27" s="10">
        <v>48</v>
      </c>
      <c r="DG27" s="10"/>
      <c r="DH27" s="10">
        <v>48</v>
      </c>
      <c r="DI27" s="10"/>
      <c r="DJ27" s="10"/>
      <c r="DK27" s="10"/>
      <c r="DL27" s="10">
        <f>SUM(DE27:DK27)</f>
        <v>115.5</v>
      </c>
      <c r="DM27" s="12"/>
      <c r="DN27" s="10">
        <f>SUM(CI27:CJ27)+SUM(CU27:DD27)</f>
        <v>25.5</v>
      </c>
      <c r="DO27" s="8">
        <f>(DN27-CI27)/2</f>
        <v>12.75</v>
      </c>
      <c r="DP27" s="8">
        <f>BZ27/4</f>
        <v>29.7</v>
      </c>
      <c r="DQ27" s="10"/>
      <c r="DR27" s="10"/>
      <c r="DS27" s="10"/>
      <c r="DT27" s="10"/>
      <c r="DU27" s="10"/>
      <c r="DV27" s="10"/>
      <c r="DW27" s="8">
        <f>SUM(DO27:DV27)</f>
        <v>42.45</v>
      </c>
      <c r="DX27" s="8">
        <f>(DW27-DO27)/2</f>
        <v>14.850000000000001</v>
      </c>
      <c r="DY27" s="10"/>
      <c r="DZ27" s="10"/>
      <c r="EA27" s="10"/>
      <c r="EB27" s="10"/>
      <c r="EC27" s="10"/>
      <c r="ED27" s="10"/>
      <c r="EE27" s="8">
        <f>SUM(DX27:EC27)</f>
        <v>14.850000000000001</v>
      </c>
      <c r="EF27" s="8">
        <f>(EE27-DX27)/2</f>
        <v>0</v>
      </c>
      <c r="EG27" s="10"/>
      <c r="EH27" s="10"/>
      <c r="EI27" s="10"/>
      <c r="EJ27" s="10"/>
      <c r="EK27" s="10"/>
      <c r="EL27" s="8">
        <f>SUM(EF27:EG27)</f>
        <v>0</v>
      </c>
    </row>
    <row r="28" spans="1:142" x14ac:dyDescent="0.25">
      <c r="A28">
        <v>18</v>
      </c>
      <c r="B28" s="8" t="s">
        <v>389</v>
      </c>
      <c r="C28" s="8"/>
      <c r="D28" s="8" t="s">
        <v>21</v>
      </c>
      <c r="E28" s="8" t="s">
        <v>51</v>
      </c>
      <c r="F28" s="8"/>
      <c r="G28" s="8"/>
      <c r="H28" s="8"/>
      <c r="I28" s="8"/>
      <c r="J28" s="8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8"/>
      <c r="AE28" s="8"/>
      <c r="AF28" s="8"/>
      <c r="AG28" s="8"/>
      <c r="AH28" s="8"/>
      <c r="AI28" s="8"/>
      <c r="AJ28" s="8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10"/>
      <c r="CC28" s="10">
        <v>56</v>
      </c>
      <c r="CD28" s="10">
        <v>54</v>
      </c>
      <c r="CE28" s="10">
        <v>100</v>
      </c>
      <c r="CF28" s="10"/>
      <c r="CG28" s="10"/>
      <c r="CH28" s="8">
        <f>SUM(CA28:CG28)</f>
        <v>210</v>
      </c>
      <c r="CI28" s="54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52"/>
      <c r="DE28" s="10">
        <f>(CH28-CA28)/2</f>
        <v>105</v>
      </c>
      <c r="DF28" s="10"/>
      <c r="DG28" s="10"/>
      <c r="DH28" s="10"/>
      <c r="DI28" s="10"/>
      <c r="DJ28" s="10"/>
      <c r="DK28" s="10"/>
      <c r="DL28" s="10">
        <f>SUM(DE28:DK28)</f>
        <v>105</v>
      </c>
      <c r="DN28" s="8"/>
      <c r="DO28" s="8"/>
      <c r="DP28" s="8"/>
      <c r="DQ28" s="10"/>
      <c r="DR28" s="10"/>
      <c r="DS28" s="10"/>
      <c r="DT28" s="10"/>
      <c r="DU28" s="10"/>
      <c r="DV28" s="10"/>
      <c r="DW28" s="8">
        <f>SUM(DO28:DV28)</f>
        <v>0</v>
      </c>
      <c r="DX28" s="8">
        <f>(DW28-DO28)/2</f>
        <v>0</v>
      </c>
      <c r="DY28" s="10"/>
      <c r="DZ28" s="10"/>
      <c r="EA28" s="10"/>
      <c r="EB28" s="10"/>
      <c r="EC28" s="10">
        <v>2.5</v>
      </c>
      <c r="ED28" s="10"/>
      <c r="EE28" s="8">
        <f>SUM(DX28:EC28)</f>
        <v>2.5</v>
      </c>
      <c r="EF28" s="8">
        <f>(EE28-DX28)/2</f>
        <v>1.25</v>
      </c>
      <c r="EG28" s="10"/>
      <c r="EH28" s="10"/>
      <c r="EI28" s="10"/>
      <c r="EJ28" s="10"/>
      <c r="EK28" s="10"/>
      <c r="EL28" s="8">
        <f>SUM(EF28:EG28)</f>
        <v>1.25</v>
      </c>
    </row>
    <row r="29" spans="1:142" x14ac:dyDescent="0.25">
      <c r="A29">
        <v>19</v>
      </c>
      <c r="B29" s="8" t="s">
        <v>127</v>
      </c>
      <c r="C29" s="8"/>
      <c r="D29" s="8" t="s">
        <v>375</v>
      </c>
      <c r="E29" s="8" t="s">
        <v>152</v>
      </c>
      <c r="F29" s="8"/>
      <c r="G29" s="8"/>
      <c r="H29" s="8"/>
      <c r="I29" s="8"/>
      <c r="J29" s="8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8"/>
      <c r="AE29" s="8"/>
      <c r="AF29" s="8"/>
      <c r="AG29" s="8"/>
      <c r="AH29" s="8"/>
      <c r="AI29" s="8"/>
      <c r="AJ29" s="8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10"/>
      <c r="CC29" s="10"/>
      <c r="CD29" s="10"/>
      <c r="CE29" s="10"/>
      <c r="CF29" s="10"/>
      <c r="CG29" s="10"/>
      <c r="CH29" s="8"/>
      <c r="CI29" s="54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52"/>
      <c r="DE29" s="8"/>
      <c r="DF29" s="10">
        <v>36</v>
      </c>
      <c r="DG29" s="10">
        <v>64</v>
      </c>
      <c r="DH29" s="10"/>
      <c r="DI29" s="10"/>
      <c r="DJ29" s="10"/>
      <c r="DK29" s="10"/>
      <c r="DL29" s="10">
        <f>SUM(DE29:DK29)</f>
        <v>100</v>
      </c>
      <c r="DN29" s="8"/>
      <c r="DO29" s="8"/>
      <c r="DP29" s="8"/>
      <c r="DQ29" s="10"/>
      <c r="DR29" s="10"/>
      <c r="DS29" s="10"/>
      <c r="DT29" s="10"/>
      <c r="DU29" s="10"/>
      <c r="DV29" s="10"/>
      <c r="DW29" s="8"/>
      <c r="DX29" s="8"/>
      <c r="DY29" s="10"/>
      <c r="DZ29" s="10"/>
      <c r="EA29" s="10"/>
      <c r="EB29" s="10"/>
      <c r="EC29" s="10"/>
      <c r="ED29" s="10"/>
      <c r="EE29" s="8">
        <f>SUM(DX29:EC29)</f>
        <v>0</v>
      </c>
      <c r="EF29" s="8">
        <f>(EE29-DX29)/2</f>
        <v>0</v>
      </c>
      <c r="EG29" s="10"/>
      <c r="EH29" s="10"/>
      <c r="EI29" s="10"/>
      <c r="EJ29" s="10"/>
      <c r="EK29" s="10"/>
      <c r="EL29" s="8">
        <f>SUM(EF29:EG29)</f>
        <v>0</v>
      </c>
    </row>
    <row r="30" spans="1:142" x14ac:dyDescent="0.25">
      <c r="A30">
        <v>20</v>
      </c>
      <c r="B30" s="8" t="s">
        <v>105</v>
      </c>
      <c r="C30" s="8"/>
      <c r="D30" s="8" t="s">
        <v>441</v>
      </c>
      <c r="E30" s="8" t="s">
        <v>814</v>
      </c>
      <c r="F30" s="8"/>
      <c r="G30" s="8"/>
      <c r="H30" s="8"/>
      <c r="I30" s="8"/>
      <c r="J30" s="8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8"/>
      <c r="AE30" s="8"/>
      <c r="AF30" s="8"/>
      <c r="AG30" s="8"/>
      <c r="AH30" s="8"/>
      <c r="AI30" s="8"/>
      <c r="AJ30" s="8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10"/>
      <c r="CC30" s="10"/>
      <c r="CD30" s="10"/>
      <c r="CE30" s="10"/>
      <c r="CF30" s="10"/>
      <c r="CG30" s="10"/>
      <c r="CH30" s="8"/>
      <c r="CI30" s="54"/>
      <c r="CJ30" s="8"/>
      <c r="CU30" s="8"/>
      <c r="CV30" s="8"/>
      <c r="CW30" s="8"/>
      <c r="CX30" s="8"/>
      <c r="CY30" s="8"/>
      <c r="CZ30" s="8"/>
      <c r="DA30" s="8"/>
      <c r="DB30" s="8"/>
      <c r="DC30" s="8"/>
      <c r="DD30" s="52"/>
      <c r="DE30" s="8"/>
      <c r="DF30" s="10">
        <v>30</v>
      </c>
      <c r="DG30" s="10">
        <v>4</v>
      </c>
      <c r="DH30" s="10">
        <v>39</v>
      </c>
      <c r="DI30" s="10">
        <v>3</v>
      </c>
      <c r="DJ30" s="10"/>
      <c r="DK30" s="10"/>
      <c r="DL30" s="10">
        <f>SUM(DE30:DK30)</f>
        <v>76</v>
      </c>
      <c r="DN30" s="8"/>
      <c r="DO30" s="8"/>
      <c r="DP30" s="8"/>
      <c r="DQ30" s="10"/>
      <c r="DR30" s="10"/>
      <c r="DS30" s="10"/>
      <c r="DT30" s="10"/>
      <c r="DU30" s="10"/>
      <c r="DV30" s="10"/>
      <c r="DW30" s="8"/>
      <c r="DX30" s="8"/>
      <c r="DY30" s="10"/>
      <c r="DZ30" s="10"/>
      <c r="EA30" s="10"/>
      <c r="EB30" s="10"/>
      <c r="EC30" s="10"/>
      <c r="ED30" s="10"/>
      <c r="EE30" s="8">
        <f>SUM(DX30:EC30)</f>
        <v>0</v>
      </c>
      <c r="EF30" s="8">
        <f>(EE30-DX30)/2</f>
        <v>0</v>
      </c>
      <c r="EG30" s="10"/>
      <c r="EH30" s="10"/>
      <c r="EI30" s="10"/>
      <c r="EJ30" s="10"/>
      <c r="EK30" s="10"/>
      <c r="EL30" s="8">
        <f>SUM(EF30:EG30)</f>
        <v>0</v>
      </c>
    </row>
    <row r="31" spans="1:142" x14ac:dyDescent="0.25">
      <c r="A31">
        <v>21</v>
      </c>
      <c r="B31" s="8" t="s">
        <v>551</v>
      </c>
      <c r="C31" s="8"/>
      <c r="D31" s="8" t="s">
        <v>242</v>
      </c>
      <c r="E31" s="8" t="s">
        <v>552</v>
      </c>
      <c r="F31" s="8"/>
      <c r="G31" s="8"/>
      <c r="H31" s="8"/>
      <c r="I31" s="8"/>
      <c r="J31" s="8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8"/>
      <c r="AE31" s="8"/>
      <c r="AF31" s="8"/>
      <c r="AG31" s="8"/>
      <c r="AH31" s="8"/>
      <c r="AI31" s="8"/>
      <c r="AJ31" s="8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>
        <v>39</v>
      </c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11">
        <f>SUM(BA31:BY31)</f>
        <v>39</v>
      </c>
      <c r="CA31" s="11">
        <f>(BZ31-BA31)/2</f>
        <v>19.5</v>
      </c>
      <c r="CB31" s="11">
        <v>64</v>
      </c>
      <c r="CC31" s="11"/>
      <c r="CD31" s="11">
        <v>36</v>
      </c>
      <c r="CE31" s="11">
        <v>50</v>
      </c>
      <c r="CF31" s="11"/>
      <c r="CG31" s="11"/>
      <c r="CH31" s="8">
        <f>SUM(CA31:CG31)</f>
        <v>169.5</v>
      </c>
      <c r="DE31" s="10">
        <f>(CH31-CA31)/2</f>
        <v>75</v>
      </c>
      <c r="DF31" s="10"/>
      <c r="DG31" s="10"/>
      <c r="DH31" s="10"/>
      <c r="DI31" s="10"/>
      <c r="DJ31" s="10"/>
      <c r="DK31" s="10"/>
      <c r="DL31" s="10">
        <f>SUM(DE31:DK31)</f>
        <v>75</v>
      </c>
      <c r="DN31" s="10">
        <f>SUM(CI31:CJ31)+SUM(CU31:DD31)</f>
        <v>0</v>
      </c>
      <c r="DO31" s="8">
        <f>(DN31-CI31)/2</f>
        <v>0</v>
      </c>
      <c r="DP31" s="8">
        <f>BZ31/4</f>
        <v>9.75</v>
      </c>
      <c r="DQ31" s="10"/>
      <c r="DR31" s="10"/>
      <c r="DS31" s="10"/>
      <c r="DT31" s="10"/>
      <c r="DU31" s="10"/>
      <c r="DV31" s="10">
        <v>2.5</v>
      </c>
      <c r="DW31" s="8">
        <f>SUM(DO31:DV31)</f>
        <v>12.25</v>
      </c>
      <c r="DX31" s="8">
        <f>(DW31-DO31)/2</f>
        <v>6.125</v>
      </c>
      <c r="DY31" s="10"/>
      <c r="DZ31" s="10"/>
      <c r="EA31" s="10"/>
      <c r="EB31" s="10"/>
      <c r="EC31" s="10">
        <v>50</v>
      </c>
      <c r="ED31" s="10"/>
      <c r="EE31" s="8">
        <f>SUM(DX31:EC31)</f>
        <v>56.125</v>
      </c>
      <c r="EF31" s="8">
        <f>(EE31-DX31)/2</f>
        <v>25</v>
      </c>
      <c r="EG31" s="10"/>
      <c r="EH31" s="10"/>
      <c r="EI31" s="10"/>
      <c r="EJ31" s="10"/>
      <c r="EK31" s="10"/>
      <c r="EL31" s="8">
        <f>SUM(EF31:EG31)</f>
        <v>25</v>
      </c>
    </row>
    <row r="32" spans="1:142" x14ac:dyDescent="0.25">
      <c r="A32">
        <v>22</v>
      </c>
      <c r="B32" s="8" t="s">
        <v>605</v>
      </c>
      <c r="C32" s="8"/>
      <c r="D32" s="8" t="s">
        <v>203</v>
      </c>
      <c r="E32" s="8" t="s">
        <v>470</v>
      </c>
      <c r="F32" s="8"/>
      <c r="G32" s="8"/>
      <c r="H32" s="8"/>
      <c r="I32" s="8"/>
      <c r="J32" s="8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8"/>
      <c r="AE32" s="8"/>
      <c r="AF32" s="8"/>
      <c r="AG32" s="8"/>
      <c r="AH32" s="8"/>
      <c r="AI32" s="8"/>
      <c r="AJ32" s="8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11">
        <f>SUM(BA32:BY32)</f>
        <v>0</v>
      </c>
      <c r="CA32" s="11">
        <f>(BZ32-BA32)/2</f>
        <v>0</v>
      </c>
      <c r="CB32" s="11">
        <v>33.6</v>
      </c>
      <c r="CC32" s="11">
        <v>40</v>
      </c>
      <c r="CD32" s="11">
        <v>5</v>
      </c>
      <c r="CE32" s="11">
        <v>39</v>
      </c>
      <c r="CF32" s="11">
        <v>10</v>
      </c>
      <c r="CG32" s="11"/>
      <c r="CH32" s="8">
        <f>SUM(CA32:CG32)</f>
        <v>127.6</v>
      </c>
      <c r="DE32" s="10">
        <f>(CH32-CA32)/2</f>
        <v>63.8</v>
      </c>
      <c r="DF32" s="10">
        <v>3</v>
      </c>
      <c r="DG32" s="10"/>
      <c r="DH32" s="10"/>
      <c r="DI32" s="10"/>
      <c r="DJ32" s="10"/>
      <c r="DK32" s="10"/>
      <c r="DL32" s="10">
        <f>SUM(DE32:DK32)</f>
        <v>66.8</v>
      </c>
      <c r="DN32" s="8"/>
      <c r="DO32" s="8"/>
      <c r="DP32" s="8"/>
      <c r="DQ32" s="10"/>
      <c r="DR32" s="10"/>
      <c r="DS32" s="10"/>
      <c r="DT32" s="10"/>
      <c r="DU32" s="10"/>
      <c r="DV32" s="10">
        <v>13</v>
      </c>
      <c r="DW32" s="8">
        <f>SUM(DO32:DV32)</f>
        <v>13</v>
      </c>
      <c r="DX32" s="8">
        <f>(DW32-DO32)/2</f>
        <v>6.5</v>
      </c>
      <c r="DY32" s="10">
        <v>1.5</v>
      </c>
      <c r="DZ32" s="10"/>
      <c r="EA32" s="10"/>
      <c r="EB32" s="10"/>
      <c r="EC32" s="10">
        <v>25</v>
      </c>
      <c r="ED32" s="10"/>
      <c r="EE32" s="8">
        <f>SUM(DX32:EC32)</f>
        <v>33</v>
      </c>
      <c r="EF32" s="8">
        <f>(EE32-DX32)/2</f>
        <v>13.25</v>
      </c>
      <c r="EG32" s="10"/>
      <c r="EH32" s="10"/>
      <c r="EI32" s="10"/>
      <c r="EJ32" s="10"/>
      <c r="EK32" s="10"/>
      <c r="EL32" s="8">
        <f>SUM(EF32:EG32)</f>
        <v>13.25</v>
      </c>
    </row>
    <row r="33" spans="1:142" x14ac:dyDescent="0.25">
      <c r="A33">
        <v>23</v>
      </c>
      <c r="B33" s="8" t="s">
        <v>221</v>
      </c>
      <c r="C33" s="8"/>
      <c r="D33" s="8" t="s">
        <v>203</v>
      </c>
      <c r="E33" s="8" t="s">
        <v>38</v>
      </c>
      <c r="F33" s="8"/>
      <c r="G33" s="8"/>
      <c r="H33" s="8"/>
      <c r="I33" s="8"/>
      <c r="J33" s="8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8"/>
      <c r="AE33" s="8"/>
      <c r="AF33" s="8"/>
      <c r="AG33" s="8"/>
      <c r="AH33" s="8"/>
      <c r="AI33" s="8"/>
      <c r="AJ33" s="8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>
        <v>33.6</v>
      </c>
      <c r="BU33" s="8"/>
      <c r="BV33" s="8"/>
      <c r="BW33" s="8"/>
      <c r="BX33" s="8">
        <v>75</v>
      </c>
      <c r="BY33" s="8"/>
      <c r="BZ33" s="11">
        <f>SUM(BA33:BY33)</f>
        <v>108.6</v>
      </c>
      <c r="CA33" s="11">
        <f>(BZ33-BA33)/2</f>
        <v>54.3</v>
      </c>
      <c r="CB33" s="11">
        <v>36</v>
      </c>
      <c r="CC33" s="11">
        <v>40</v>
      </c>
      <c r="CD33" s="11">
        <v>7.5</v>
      </c>
      <c r="CE33" s="11">
        <v>2.4</v>
      </c>
      <c r="CF33" s="11">
        <v>39</v>
      </c>
      <c r="CG33" s="11"/>
      <c r="CH33" s="8">
        <f>SUM(CA33:CG33)</f>
        <v>179.20000000000002</v>
      </c>
      <c r="DE33" s="10">
        <f>(CH33-CA33)/2</f>
        <v>62.45000000000001</v>
      </c>
      <c r="DF33" s="10"/>
      <c r="DG33" s="10"/>
      <c r="DH33" s="10"/>
      <c r="DI33" s="10"/>
      <c r="DJ33" s="10"/>
      <c r="DK33" s="10"/>
      <c r="DL33" s="10">
        <f>SUM(DE33:DK33)</f>
        <v>62.45000000000001</v>
      </c>
      <c r="DN33" s="10">
        <f>SUM(CI33:CJ33)+SUM(CU33:DD33)</f>
        <v>0</v>
      </c>
      <c r="DO33" s="8">
        <f>(DN33-CI33)/2</f>
        <v>0</v>
      </c>
      <c r="DP33" s="8">
        <f>BZ33/4</f>
        <v>27.15</v>
      </c>
      <c r="DQ33" s="10"/>
      <c r="DR33" s="10"/>
      <c r="DS33" s="10"/>
      <c r="DT33" s="10"/>
      <c r="DU33" s="10"/>
      <c r="DV33" s="10">
        <v>13</v>
      </c>
      <c r="DW33" s="8">
        <f>SUM(DO33:DV33)</f>
        <v>40.15</v>
      </c>
      <c r="DX33" s="8">
        <f>(DW33-DO33)/2</f>
        <v>20.074999999999999</v>
      </c>
      <c r="DY33" s="10"/>
      <c r="DZ33" s="10"/>
      <c r="EA33" s="10"/>
      <c r="EB33" s="10"/>
      <c r="EC33" s="10"/>
      <c r="ED33" s="10"/>
      <c r="EE33" s="8">
        <f>SUM(DX33:EC33)</f>
        <v>20.074999999999999</v>
      </c>
      <c r="EF33" s="8">
        <f>(EE33-DX33)/2</f>
        <v>0</v>
      </c>
      <c r="EG33" s="10"/>
      <c r="EH33" s="10"/>
      <c r="EI33" s="10"/>
      <c r="EJ33" s="10"/>
      <c r="EK33" s="10"/>
      <c r="EL33" s="8">
        <f>SUM(EF33:EG33)</f>
        <v>0</v>
      </c>
    </row>
    <row r="34" spans="1:142" x14ac:dyDescent="0.25">
      <c r="A34">
        <v>24</v>
      </c>
      <c r="B34" s="8" t="s">
        <v>252</v>
      </c>
      <c r="C34" s="8"/>
      <c r="D34" s="8" t="s">
        <v>471</v>
      </c>
      <c r="E34" s="8" t="s">
        <v>449</v>
      </c>
      <c r="F34" s="8"/>
      <c r="G34" s="8"/>
      <c r="H34" s="8"/>
      <c r="I34" s="8"/>
      <c r="J34" s="8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8"/>
      <c r="AE34" s="8"/>
      <c r="AF34" s="8"/>
      <c r="AG34" s="8"/>
      <c r="AH34" s="8"/>
      <c r="AI34" s="8"/>
      <c r="AJ34" s="8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10"/>
      <c r="CC34" s="10"/>
      <c r="CD34" s="10"/>
      <c r="CE34" s="10"/>
      <c r="CF34" s="10"/>
      <c r="CG34" s="10"/>
      <c r="CH34" s="8"/>
      <c r="DE34" s="8"/>
      <c r="DF34" s="10">
        <v>60</v>
      </c>
      <c r="DG34" s="10"/>
      <c r="DH34" s="10"/>
      <c r="DI34" s="10"/>
      <c r="DJ34" s="10"/>
      <c r="DK34" s="10"/>
      <c r="DL34" s="10">
        <f>SUM(DE34:DK34)</f>
        <v>60</v>
      </c>
      <c r="DN34" s="8"/>
      <c r="DO34" s="8"/>
      <c r="DP34" s="8"/>
      <c r="DQ34" s="10"/>
      <c r="DR34" s="10"/>
      <c r="DS34" s="10"/>
      <c r="DT34" s="10"/>
      <c r="DU34" s="10"/>
      <c r="DV34" s="10"/>
      <c r="DW34" s="8"/>
      <c r="DX34" s="8"/>
      <c r="DY34" s="10"/>
      <c r="DZ34" s="10"/>
      <c r="EA34" s="10"/>
      <c r="EB34" s="10"/>
      <c r="EC34" s="10"/>
      <c r="ED34" s="10"/>
      <c r="EE34" s="8">
        <f>SUM(DX34:EC34)</f>
        <v>0</v>
      </c>
      <c r="EF34" s="8">
        <f>(EE34-DX34)/2</f>
        <v>0</v>
      </c>
      <c r="EG34" s="10"/>
      <c r="EH34" s="10"/>
      <c r="EI34" s="10"/>
      <c r="EJ34" s="10"/>
      <c r="EK34" s="10"/>
      <c r="EL34" s="8">
        <f>SUM(EF34:EG34)</f>
        <v>0</v>
      </c>
    </row>
    <row r="35" spans="1:142" x14ac:dyDescent="0.25">
      <c r="A35">
        <v>25</v>
      </c>
      <c r="B35" s="8" t="s">
        <v>794</v>
      </c>
      <c r="C35" s="8"/>
      <c r="D35" s="8" t="s">
        <v>705</v>
      </c>
      <c r="E35" s="8" t="s">
        <v>229</v>
      </c>
      <c r="F35" s="8"/>
      <c r="G35" s="8"/>
      <c r="H35" s="8"/>
      <c r="I35" s="8"/>
      <c r="J35" s="8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8"/>
      <c r="AE35" s="8"/>
      <c r="AF35" s="8"/>
      <c r="AG35" s="8"/>
      <c r="AH35" s="8"/>
      <c r="AI35" s="8"/>
      <c r="AJ35" s="8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10"/>
      <c r="CC35" s="10"/>
      <c r="CD35" s="10"/>
      <c r="CE35" s="10"/>
      <c r="CF35" s="10"/>
      <c r="CG35" s="10"/>
      <c r="CH35" s="8"/>
      <c r="DE35" s="8"/>
      <c r="DF35" s="10">
        <v>42</v>
      </c>
      <c r="DG35" s="10"/>
      <c r="DH35" s="10">
        <v>7.5</v>
      </c>
      <c r="DI35" s="10"/>
      <c r="DJ35" s="10"/>
      <c r="DK35" s="10"/>
      <c r="DL35" s="10">
        <f>SUM(DE35:DK35)</f>
        <v>49.5</v>
      </c>
      <c r="DN35" s="8"/>
      <c r="DO35" s="8"/>
      <c r="DP35" s="8"/>
      <c r="DQ35" s="10"/>
      <c r="DR35" s="10"/>
      <c r="DS35" s="10"/>
      <c r="DT35" s="10"/>
      <c r="DU35" s="10"/>
      <c r="DV35" s="10"/>
      <c r="DW35" s="8"/>
      <c r="DX35" s="8"/>
      <c r="DY35" s="10"/>
      <c r="DZ35" s="10"/>
      <c r="EA35" s="10"/>
      <c r="EB35" s="10"/>
      <c r="EC35" s="10"/>
      <c r="ED35" s="10"/>
      <c r="EE35" s="8"/>
      <c r="EF35" s="8"/>
      <c r="EG35" s="10"/>
      <c r="EH35" s="10"/>
      <c r="EI35" s="10"/>
      <c r="EJ35" s="10"/>
      <c r="EK35" s="10"/>
      <c r="EL35" s="8">
        <f>SUM(EF35:EG35)</f>
        <v>0</v>
      </c>
    </row>
    <row r="36" spans="1:142" x14ac:dyDescent="0.25">
      <c r="A36">
        <v>26</v>
      </c>
      <c r="B36" s="8" t="s">
        <v>782</v>
      </c>
      <c r="C36" s="8"/>
      <c r="D36" s="8" t="s">
        <v>487</v>
      </c>
      <c r="E36" s="8" t="s">
        <v>13</v>
      </c>
      <c r="F36" s="8"/>
      <c r="G36" s="8"/>
      <c r="H36" s="8"/>
      <c r="I36" s="8"/>
      <c r="J36" s="8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8"/>
      <c r="AE36" s="8"/>
      <c r="AF36" s="8"/>
      <c r="AG36" s="8"/>
      <c r="AH36" s="8"/>
      <c r="AI36" s="8"/>
      <c r="AJ36" s="8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10"/>
      <c r="CC36" s="10"/>
      <c r="CD36" s="10"/>
      <c r="CE36" s="10"/>
      <c r="CF36" s="10"/>
      <c r="CG36" s="10"/>
      <c r="CH36" s="8">
        <f>SUM(CA36:CG36)</f>
        <v>0</v>
      </c>
      <c r="DE36" s="10">
        <f>(CH36-CA36)/2</f>
        <v>0</v>
      </c>
      <c r="DF36" s="10">
        <v>42</v>
      </c>
      <c r="DG36" s="10"/>
      <c r="DH36" s="10"/>
      <c r="DI36" s="10"/>
      <c r="DJ36" s="10"/>
      <c r="DK36" s="10"/>
      <c r="DL36" s="10">
        <f>SUM(DE36:DK36)</f>
        <v>42</v>
      </c>
      <c r="DW36" s="8"/>
      <c r="DX36" s="8"/>
      <c r="DY36" s="10"/>
      <c r="DZ36" s="10"/>
      <c r="EA36" s="10"/>
      <c r="EB36" s="10"/>
      <c r="EC36" s="10">
        <v>18</v>
      </c>
      <c r="ED36" s="10"/>
      <c r="EE36" s="8">
        <f>SUM(DX36:EC36)</f>
        <v>18</v>
      </c>
      <c r="EF36" s="8">
        <f>(EE36-DX36)/2</f>
        <v>9</v>
      </c>
      <c r="EG36" s="10"/>
      <c r="EH36" s="10"/>
      <c r="EI36" s="10"/>
      <c r="EJ36" s="10"/>
      <c r="EK36" s="10"/>
      <c r="EL36" s="8">
        <f>SUM(EF36:EG36)</f>
        <v>9</v>
      </c>
    </row>
    <row r="37" spans="1:142" x14ac:dyDescent="0.25">
      <c r="A37">
        <v>27</v>
      </c>
      <c r="B37" s="8" t="s">
        <v>520</v>
      </c>
      <c r="C37" s="8"/>
      <c r="D37" s="8" t="s">
        <v>604</v>
      </c>
      <c r="E37" s="8" t="s">
        <v>586</v>
      </c>
      <c r="F37" s="8"/>
      <c r="G37" s="8"/>
      <c r="H37" s="8"/>
      <c r="I37" s="8"/>
      <c r="J37" s="8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8"/>
      <c r="AE37" s="8"/>
      <c r="AF37" s="8"/>
      <c r="AG37" s="8"/>
      <c r="AH37" s="8"/>
      <c r="AI37" s="8"/>
      <c r="AJ37" s="8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10"/>
      <c r="CC37" s="10">
        <v>80</v>
      </c>
      <c r="CD37" s="10"/>
      <c r="CE37" s="10"/>
      <c r="CF37" s="10"/>
      <c r="CG37" s="10"/>
      <c r="CH37" s="8">
        <f>SUM(CA37:CG37)</f>
        <v>80</v>
      </c>
      <c r="DE37" s="10">
        <f>(CH37-CA37)/2</f>
        <v>40</v>
      </c>
      <c r="DF37" s="10"/>
      <c r="DG37" s="10"/>
      <c r="DH37" s="10"/>
      <c r="DI37" s="10"/>
      <c r="DJ37" s="10"/>
      <c r="DK37" s="10"/>
      <c r="DL37" s="10">
        <f>SUM(DE37:DK37)</f>
        <v>40</v>
      </c>
      <c r="DW37" s="8">
        <f>SUM(DO37:DV37)</f>
        <v>0</v>
      </c>
      <c r="DX37" s="8">
        <f>(DW37-DO37)/2</f>
        <v>0</v>
      </c>
      <c r="DY37" s="10"/>
      <c r="DZ37" s="10"/>
      <c r="EA37" s="10"/>
      <c r="EB37" s="10"/>
      <c r="EC37" s="10"/>
      <c r="ED37" s="10"/>
      <c r="EE37" s="8">
        <f>SUM(DX37:EC37)</f>
        <v>0</v>
      </c>
      <c r="EF37" s="8">
        <f>(EE37-DX37)/2</f>
        <v>0</v>
      </c>
      <c r="EG37" s="10"/>
      <c r="EH37" s="10"/>
      <c r="EI37" s="10"/>
      <c r="EJ37" s="10"/>
      <c r="EK37" s="10"/>
      <c r="EL37" s="8">
        <f>SUM(EF37:EG37)</f>
        <v>0</v>
      </c>
    </row>
    <row r="38" spans="1:142" x14ac:dyDescent="0.25">
      <c r="A38">
        <v>28</v>
      </c>
      <c r="B38" s="8" t="s">
        <v>858</v>
      </c>
      <c r="C38" s="8"/>
      <c r="D38" s="8" t="s">
        <v>209</v>
      </c>
      <c r="E38" s="8" t="s">
        <v>859</v>
      </c>
      <c r="F38" s="8"/>
      <c r="G38" s="8"/>
      <c r="H38" s="8"/>
      <c r="I38" s="8"/>
      <c r="J38" s="8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8"/>
      <c r="AE38" s="8"/>
      <c r="AF38" s="8"/>
      <c r="AG38" s="8"/>
      <c r="AH38" s="8"/>
      <c r="AI38" s="8"/>
      <c r="AJ38" s="8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10"/>
      <c r="CC38" s="10"/>
      <c r="CD38" s="10"/>
      <c r="CE38" s="10"/>
      <c r="CF38" s="10"/>
      <c r="CG38" s="10"/>
      <c r="CH38" s="8"/>
      <c r="DE38" s="8"/>
      <c r="DF38" s="10"/>
      <c r="DG38" s="10">
        <v>40</v>
      </c>
      <c r="DH38" s="10"/>
      <c r="DI38" s="10"/>
      <c r="DJ38" s="10"/>
      <c r="DK38" s="10"/>
      <c r="DL38" s="10">
        <f>SUM(DE38:DK38)</f>
        <v>40</v>
      </c>
      <c r="DW38" s="8"/>
      <c r="DX38" s="8"/>
      <c r="DY38" s="10"/>
      <c r="DZ38" s="10"/>
      <c r="EA38" s="10"/>
      <c r="EB38" s="10"/>
      <c r="EC38" s="10"/>
      <c r="ED38" s="10"/>
      <c r="EE38" s="8">
        <f>SUM(DX38:EC38)</f>
        <v>0</v>
      </c>
      <c r="EF38" s="8">
        <f>(EE38-DX38)/2</f>
        <v>0</v>
      </c>
      <c r="EG38" s="10"/>
      <c r="EH38" s="10"/>
      <c r="EI38" s="10"/>
      <c r="EJ38" s="10"/>
      <c r="EK38" s="10"/>
      <c r="EL38" s="8">
        <f>SUM(EF38:EG38)</f>
        <v>0</v>
      </c>
    </row>
    <row r="39" spans="1:142" x14ac:dyDescent="0.25">
      <c r="A39">
        <v>29</v>
      </c>
      <c r="B39" s="8" t="s">
        <v>145</v>
      </c>
      <c r="C39" s="8"/>
      <c r="D39" s="8" t="s">
        <v>263</v>
      </c>
      <c r="E39" s="8" t="s">
        <v>53</v>
      </c>
      <c r="F39" s="8"/>
      <c r="G39" s="8"/>
      <c r="H39" s="8"/>
      <c r="I39" s="8"/>
      <c r="J39" s="8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8"/>
      <c r="AE39" s="8"/>
      <c r="AF39" s="8"/>
      <c r="AG39" s="8"/>
      <c r="AH39" s="8"/>
      <c r="AI39" s="8"/>
      <c r="AJ39" s="8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10"/>
      <c r="CC39" s="10"/>
      <c r="CD39" s="10"/>
      <c r="CE39" s="10"/>
      <c r="CF39" s="10"/>
      <c r="CG39" s="10"/>
      <c r="CH39" s="8"/>
      <c r="DE39" s="8"/>
      <c r="DF39" s="10"/>
      <c r="DG39" s="10">
        <v>40</v>
      </c>
      <c r="DH39" s="10"/>
      <c r="DI39" s="10"/>
      <c r="DJ39" s="10"/>
      <c r="DK39" s="10"/>
      <c r="DL39" s="10">
        <f>SUM(DE39:DK39)</f>
        <v>40</v>
      </c>
      <c r="DW39" s="8"/>
      <c r="DX39" s="8"/>
      <c r="DY39" s="10"/>
      <c r="DZ39" s="10"/>
      <c r="EA39" s="10"/>
      <c r="EB39" s="10"/>
      <c r="EC39" s="10"/>
      <c r="ED39" s="10"/>
      <c r="EE39" s="8">
        <f>SUM(DX39:EC39)</f>
        <v>0</v>
      </c>
      <c r="EF39" s="8">
        <f>(EE39-DX39)/2</f>
        <v>0</v>
      </c>
      <c r="EG39" s="10"/>
      <c r="EH39" s="10"/>
      <c r="EI39" s="10"/>
      <c r="EJ39" s="10"/>
      <c r="EK39" s="10"/>
      <c r="EL39" s="8">
        <f>SUM(EF39:EG39)</f>
        <v>0</v>
      </c>
    </row>
    <row r="40" spans="1:142" x14ac:dyDescent="0.25">
      <c r="A40">
        <v>30</v>
      </c>
      <c r="B40" s="8" t="s">
        <v>755</v>
      </c>
      <c r="C40" s="8"/>
      <c r="D40" s="8" t="s">
        <v>21</v>
      </c>
      <c r="E40" s="8" t="s">
        <v>330</v>
      </c>
      <c r="F40" s="8"/>
      <c r="G40" s="8"/>
      <c r="H40" s="8"/>
      <c r="I40" s="8"/>
      <c r="J40" s="8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8"/>
      <c r="AE40" s="8"/>
      <c r="AF40" s="8"/>
      <c r="AG40" s="8"/>
      <c r="AH40" s="8"/>
      <c r="AI40" s="8"/>
      <c r="AJ40" s="8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10"/>
      <c r="CC40" s="10">
        <v>3.2</v>
      </c>
      <c r="CD40" s="10"/>
      <c r="CE40" s="10"/>
      <c r="CF40" s="10"/>
      <c r="CG40" s="10"/>
      <c r="CH40" s="8">
        <f>SUM(CA40:CG40)</f>
        <v>3.2</v>
      </c>
      <c r="DE40" s="10">
        <f>(CH40-CA40)/2</f>
        <v>1.6</v>
      </c>
      <c r="DF40" s="10">
        <v>36</v>
      </c>
      <c r="DG40" s="10"/>
      <c r="DH40" s="10"/>
      <c r="DI40" s="10"/>
      <c r="DJ40" s="10"/>
      <c r="DK40" s="10"/>
      <c r="DL40" s="10">
        <f>SUM(DE40:DK40)</f>
        <v>37.6</v>
      </c>
      <c r="DW40" s="8">
        <f>SUM(DO40:DV40)</f>
        <v>0</v>
      </c>
      <c r="DX40" s="8">
        <f>(DW40-DO40)/2</f>
        <v>0</v>
      </c>
      <c r="DY40" s="10"/>
      <c r="DZ40" s="10"/>
      <c r="EA40" s="10"/>
      <c r="EB40" s="10"/>
      <c r="EC40" s="10"/>
      <c r="ED40" s="10"/>
      <c r="EE40" s="8">
        <f>SUM(DX40:EC40)</f>
        <v>0</v>
      </c>
      <c r="EF40" s="8">
        <f>(EE40-DX40)/2</f>
        <v>0</v>
      </c>
      <c r="EG40" s="10"/>
      <c r="EH40" s="10"/>
      <c r="EI40" s="10"/>
      <c r="EJ40" s="10"/>
      <c r="EK40" s="10"/>
      <c r="EL40" s="8">
        <f>SUM(EF40:EG40)</f>
        <v>0</v>
      </c>
    </row>
    <row r="41" spans="1:142" x14ac:dyDescent="0.25">
      <c r="A41">
        <v>31</v>
      </c>
      <c r="B41" s="8" t="s">
        <v>795</v>
      </c>
      <c r="C41" s="8"/>
      <c r="D41" s="8" t="s">
        <v>26</v>
      </c>
      <c r="E41" s="8" t="s">
        <v>306</v>
      </c>
      <c r="F41" s="8"/>
      <c r="G41" s="8"/>
      <c r="H41" s="8"/>
      <c r="I41" s="8"/>
      <c r="J41" s="8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8"/>
      <c r="AE41" s="8"/>
      <c r="AF41" s="8"/>
      <c r="AG41" s="8"/>
      <c r="AH41" s="8"/>
      <c r="AI41" s="8"/>
      <c r="AJ41" s="8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10"/>
      <c r="CC41" s="10"/>
      <c r="CD41" s="10"/>
      <c r="CE41" s="10"/>
      <c r="CF41" s="10"/>
      <c r="CG41" s="10"/>
      <c r="CH41" s="8"/>
      <c r="DE41" s="8"/>
      <c r="DF41" s="10">
        <v>30</v>
      </c>
      <c r="DG41" s="10">
        <v>4</v>
      </c>
      <c r="DH41" s="10">
        <v>3</v>
      </c>
      <c r="DI41" s="10"/>
      <c r="DJ41" s="10"/>
      <c r="DK41" s="10"/>
      <c r="DL41" s="10">
        <f>SUM(DE41:DK41)</f>
        <v>37</v>
      </c>
      <c r="DW41" s="8"/>
      <c r="DX41" s="8"/>
      <c r="DY41" s="10"/>
      <c r="DZ41" s="10"/>
      <c r="EA41" s="10"/>
      <c r="EB41" s="10"/>
      <c r="EC41" s="10"/>
      <c r="ED41" s="10"/>
      <c r="EE41" s="8"/>
      <c r="EF41" s="8"/>
      <c r="EG41" s="10"/>
      <c r="EH41" s="10"/>
      <c r="EI41" s="10"/>
      <c r="EJ41" s="10"/>
      <c r="EK41" s="10"/>
      <c r="EL41" s="8">
        <f>SUM(EF41:EG41)</f>
        <v>0</v>
      </c>
    </row>
    <row r="42" spans="1:142" x14ac:dyDescent="0.25">
      <c r="A42">
        <v>32</v>
      </c>
      <c r="B42" s="8" t="s">
        <v>86</v>
      </c>
      <c r="C42" s="8"/>
      <c r="D42" s="8" t="s">
        <v>576</v>
      </c>
      <c r="E42" s="8" t="s">
        <v>537</v>
      </c>
      <c r="F42" s="8"/>
      <c r="G42" s="8"/>
      <c r="H42" s="8"/>
      <c r="I42" s="8"/>
      <c r="J42" s="8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8"/>
      <c r="AE42" s="8"/>
      <c r="AF42" s="8"/>
      <c r="AG42" s="8"/>
      <c r="AH42" s="8"/>
      <c r="AI42" s="8"/>
      <c r="AJ42" s="8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>
        <v>36</v>
      </c>
      <c r="BW42" s="8"/>
      <c r="BX42" s="8">
        <v>7.5</v>
      </c>
      <c r="BY42" s="8"/>
      <c r="BZ42" s="11">
        <f>SUM(BA42:BY42)</f>
        <v>43.5</v>
      </c>
      <c r="CA42" s="11">
        <f>(BZ42-BA42)/2</f>
        <v>21.75</v>
      </c>
      <c r="CB42" s="11">
        <v>2.4</v>
      </c>
      <c r="CC42" s="11"/>
      <c r="CD42" s="11">
        <v>5</v>
      </c>
      <c r="CE42" s="11">
        <v>5</v>
      </c>
      <c r="CF42" s="11"/>
      <c r="CG42" s="11"/>
      <c r="CH42" s="8">
        <f>SUM(CA42:CG42)</f>
        <v>34.15</v>
      </c>
      <c r="DE42" s="10">
        <f>(CH42-CA42)/2</f>
        <v>6.1999999999999993</v>
      </c>
      <c r="DF42" s="10">
        <v>30</v>
      </c>
      <c r="DG42" s="10"/>
      <c r="DH42" s="10"/>
      <c r="DI42" s="10"/>
      <c r="DJ42" s="10"/>
      <c r="DK42" s="10"/>
      <c r="DL42" s="10">
        <f>SUM(DE42:DK42)</f>
        <v>36.200000000000003</v>
      </c>
      <c r="DN42" s="12">
        <f>SUM(CI42:CJ42)+SUM(CU42:DD42)</f>
        <v>0</v>
      </c>
      <c r="DO42">
        <f>(DN42-CI42)/2</f>
        <v>0</v>
      </c>
      <c r="DP42">
        <f>BZ42/4</f>
        <v>10.875</v>
      </c>
      <c r="DV42" s="12">
        <v>18</v>
      </c>
      <c r="DW42" s="8">
        <f>SUM(DO42:DV42)</f>
        <v>28.875</v>
      </c>
      <c r="DX42" s="8">
        <f>(DW42-DO42)/2</f>
        <v>14.4375</v>
      </c>
      <c r="DY42" s="10"/>
      <c r="DZ42" s="10"/>
      <c r="EA42" s="10"/>
      <c r="EB42" s="10"/>
      <c r="EC42" s="10">
        <v>18</v>
      </c>
      <c r="ED42" s="10"/>
      <c r="EE42" s="8">
        <f>SUM(DX42:EC42)</f>
        <v>32.4375</v>
      </c>
      <c r="EF42" s="8">
        <f>(EE42-DX42)/2</f>
        <v>9</v>
      </c>
      <c r="EG42" s="10"/>
      <c r="EH42" s="10"/>
      <c r="EI42" s="10"/>
      <c r="EJ42" s="10"/>
      <c r="EK42" s="10"/>
      <c r="EL42" s="8">
        <f>SUM(EF42:EG42)</f>
        <v>9</v>
      </c>
    </row>
    <row r="43" spans="1:142" x14ac:dyDescent="0.25">
      <c r="A43">
        <v>33</v>
      </c>
      <c r="B43" s="8" t="s">
        <v>201</v>
      </c>
      <c r="C43" s="8"/>
      <c r="D43" s="8" t="s">
        <v>279</v>
      </c>
      <c r="E43" s="8" t="s">
        <v>751</v>
      </c>
      <c r="F43" s="8"/>
      <c r="G43" s="8"/>
      <c r="H43" s="8"/>
      <c r="I43" s="8"/>
      <c r="J43" s="8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8"/>
      <c r="AE43" s="8"/>
      <c r="AF43" s="8"/>
      <c r="AG43" s="8"/>
      <c r="AH43" s="8"/>
      <c r="AI43" s="8"/>
      <c r="AJ43" s="8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10"/>
      <c r="CC43" s="10"/>
      <c r="CD43" s="10"/>
      <c r="CE43" s="10"/>
      <c r="CF43" s="10"/>
      <c r="CG43" s="10"/>
      <c r="CH43" s="8"/>
      <c r="DE43" s="8"/>
      <c r="DF43" s="10"/>
      <c r="DG43" s="10"/>
      <c r="DH43" s="10">
        <v>36</v>
      </c>
      <c r="DI43" s="10"/>
      <c r="DJ43" s="10"/>
      <c r="DK43" s="10"/>
      <c r="DL43" s="10">
        <f>SUM(DE43:DK43)</f>
        <v>36</v>
      </c>
      <c r="DW43" s="8"/>
      <c r="DX43" s="8"/>
      <c r="DY43" s="10"/>
      <c r="DZ43" s="10"/>
      <c r="EA43" s="10"/>
      <c r="EB43" s="10"/>
      <c r="EC43" s="10"/>
      <c r="ED43" s="10"/>
      <c r="EE43" s="8">
        <f>SUM(DX43:EC43)</f>
        <v>0</v>
      </c>
      <c r="EF43" s="8">
        <f>(EE43-DX43)/2</f>
        <v>0</v>
      </c>
      <c r="EG43" s="10"/>
      <c r="EH43" s="10"/>
      <c r="EI43" s="10"/>
      <c r="EJ43" s="10"/>
      <c r="EK43" s="10"/>
      <c r="EL43" s="8">
        <f>SUM(EF43:EG43)</f>
        <v>0</v>
      </c>
    </row>
    <row r="44" spans="1:142" x14ac:dyDescent="0.25">
      <c r="A44">
        <v>34</v>
      </c>
      <c r="B44" s="39" t="s">
        <v>860</v>
      </c>
      <c r="C44" s="39"/>
      <c r="D44" s="39" t="s">
        <v>806</v>
      </c>
      <c r="E44" s="39" t="s">
        <v>855</v>
      </c>
      <c r="BZ44" s="39"/>
      <c r="CA44" s="39"/>
      <c r="CB44" s="40"/>
      <c r="CC44" s="40"/>
      <c r="CD44" s="40"/>
      <c r="CE44" s="40"/>
      <c r="CF44" s="40"/>
      <c r="CG44" s="40"/>
      <c r="CH44" s="39"/>
      <c r="DE44" s="8"/>
      <c r="DF44" s="10">
        <v>30</v>
      </c>
      <c r="DG44" s="10"/>
      <c r="DH44" s="10"/>
      <c r="DI44" s="10"/>
      <c r="DJ44" s="10"/>
      <c r="DK44" s="10"/>
      <c r="DL44" s="10">
        <f>SUM(DE44:DK44)</f>
        <v>30</v>
      </c>
      <c r="DW44" s="8"/>
      <c r="DX44" s="8"/>
      <c r="DY44" s="10"/>
      <c r="DZ44" s="10"/>
      <c r="EA44" s="10"/>
      <c r="EB44" s="10"/>
      <c r="EC44" s="10"/>
      <c r="ED44" s="10"/>
      <c r="EE44" s="8">
        <f>SUM(DX44:EC44)</f>
        <v>0</v>
      </c>
      <c r="EF44" s="8">
        <f>(EE44-DX44)/2</f>
        <v>0</v>
      </c>
      <c r="EG44" s="10"/>
      <c r="EH44" s="10"/>
      <c r="EI44" s="10"/>
      <c r="EJ44" s="10"/>
      <c r="EK44" s="10"/>
      <c r="EL44" s="8">
        <f>SUM(EF44:EG44)</f>
        <v>0</v>
      </c>
    </row>
    <row r="45" spans="1:142" x14ac:dyDescent="0.25">
      <c r="A45">
        <v>35</v>
      </c>
      <c r="B45" s="8" t="s">
        <v>617</v>
      </c>
      <c r="C45" s="8"/>
      <c r="D45" s="8" t="s">
        <v>26</v>
      </c>
      <c r="E45" s="8" t="s">
        <v>369</v>
      </c>
      <c r="F45" s="8"/>
      <c r="G45" s="8"/>
      <c r="H45" s="8"/>
      <c r="I45" s="8"/>
      <c r="J45" s="8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8"/>
      <c r="AE45" s="8"/>
      <c r="AF45" s="8"/>
      <c r="AG45" s="8"/>
      <c r="AH45" s="8"/>
      <c r="AI45" s="8"/>
      <c r="AJ45" s="8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10"/>
      <c r="CC45" s="10"/>
      <c r="CD45" s="10"/>
      <c r="CE45" s="10"/>
      <c r="CF45" s="10"/>
      <c r="CG45" s="10"/>
      <c r="CH45" s="8"/>
      <c r="DE45" s="8"/>
      <c r="DF45" s="10"/>
      <c r="DG45" s="10">
        <v>28.8</v>
      </c>
      <c r="DH45" s="10"/>
      <c r="DI45" s="10"/>
      <c r="DJ45" s="10"/>
      <c r="DK45" s="10"/>
      <c r="DL45" s="10">
        <f>SUM(DE45:DK45)</f>
        <v>28.8</v>
      </c>
      <c r="DW45" s="8"/>
      <c r="DX45" s="8"/>
      <c r="DY45" s="10"/>
      <c r="DZ45" s="10"/>
      <c r="EA45" s="10"/>
      <c r="EB45" s="10"/>
      <c r="EC45" s="10"/>
      <c r="ED45" s="10"/>
      <c r="EE45" s="8">
        <f>SUM(DX45:EC45)</f>
        <v>0</v>
      </c>
      <c r="EF45" s="8">
        <f>(EE45-DX45)/2</f>
        <v>0</v>
      </c>
      <c r="EG45" s="10"/>
      <c r="EH45" s="10"/>
      <c r="EI45" s="10"/>
      <c r="EJ45" s="10"/>
      <c r="EK45" s="10"/>
      <c r="EL45" s="8">
        <f>SUM(EF45:EG45)</f>
        <v>0</v>
      </c>
    </row>
    <row r="46" spans="1:142" x14ac:dyDescent="0.25">
      <c r="A46">
        <v>36</v>
      </c>
      <c r="B46" s="8" t="s">
        <v>101</v>
      </c>
      <c r="C46" s="8"/>
      <c r="D46" s="8" t="s">
        <v>162</v>
      </c>
      <c r="E46" s="8" t="s">
        <v>427</v>
      </c>
      <c r="F46" s="8"/>
      <c r="G46" s="8"/>
      <c r="H46" s="8"/>
      <c r="I46" s="8"/>
      <c r="J46" s="8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8"/>
      <c r="AE46" s="8"/>
      <c r="AF46" s="8"/>
      <c r="AG46" s="8"/>
      <c r="AH46" s="8"/>
      <c r="AI46" s="8"/>
      <c r="AJ46" s="8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10"/>
      <c r="CC46" s="10"/>
      <c r="CD46" s="10">
        <v>7.5</v>
      </c>
      <c r="CE46" s="10">
        <v>50</v>
      </c>
      <c r="CF46" s="10"/>
      <c r="CG46" s="10"/>
      <c r="CH46" s="8">
        <f>SUM(CA46:CG46)</f>
        <v>57.5</v>
      </c>
      <c r="DE46" s="10">
        <f>(CH46-CA46)/2</f>
        <v>28.75</v>
      </c>
      <c r="DF46" s="10"/>
      <c r="DG46" s="10"/>
      <c r="DH46" s="10"/>
      <c r="DI46" s="10"/>
      <c r="DJ46" s="10"/>
      <c r="DK46" s="10"/>
      <c r="DL46" s="10">
        <f>SUM(DE46:DK46)</f>
        <v>28.75</v>
      </c>
      <c r="DW46" s="8">
        <f>SUM(DO46:DV46)</f>
        <v>0</v>
      </c>
      <c r="DX46" s="8">
        <f>(DW46-DO46)/2</f>
        <v>0</v>
      </c>
      <c r="DY46" s="10"/>
      <c r="DZ46" s="10"/>
      <c r="EA46" s="10"/>
      <c r="EB46" s="10"/>
      <c r="EC46" s="10"/>
      <c r="ED46" s="10"/>
      <c r="EE46" s="8">
        <f>SUM(DX46:EC46)</f>
        <v>0</v>
      </c>
      <c r="EF46" s="8">
        <f>(EE46-DX46)/2</f>
        <v>0</v>
      </c>
      <c r="EG46" s="10"/>
      <c r="EH46" s="10"/>
      <c r="EI46" s="10"/>
      <c r="EJ46" s="10"/>
      <c r="EK46" s="10"/>
      <c r="EL46" s="8">
        <f>SUM(EF46:EG46)</f>
        <v>0</v>
      </c>
    </row>
    <row r="47" spans="1:142" x14ac:dyDescent="0.25">
      <c r="A47">
        <v>37</v>
      </c>
      <c r="B47" s="8" t="s">
        <v>134</v>
      </c>
      <c r="C47" s="8"/>
      <c r="D47" s="8" t="s">
        <v>263</v>
      </c>
      <c r="E47" s="8" t="s">
        <v>53</v>
      </c>
      <c r="F47" s="8"/>
      <c r="G47" s="8"/>
      <c r="H47" s="8"/>
      <c r="I47" s="8"/>
      <c r="J47" s="8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8"/>
      <c r="AE47" s="8"/>
      <c r="AF47" s="8"/>
      <c r="AG47" s="8"/>
      <c r="AH47" s="8"/>
      <c r="AI47" s="8"/>
      <c r="AJ47" s="8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10"/>
      <c r="CC47" s="10">
        <v>44.8</v>
      </c>
      <c r="CD47" s="10">
        <v>7.5</v>
      </c>
      <c r="CE47" s="10"/>
      <c r="CF47" s="10"/>
      <c r="CG47" s="10"/>
      <c r="CH47" s="8">
        <f>SUM(CA47:CG47)</f>
        <v>52.3</v>
      </c>
      <c r="DE47" s="10">
        <f>(CH47-CA47)/2</f>
        <v>26.15</v>
      </c>
      <c r="DF47" s="10"/>
      <c r="DG47" s="10"/>
      <c r="DH47" s="10"/>
      <c r="DI47" s="10"/>
      <c r="DJ47" s="10"/>
      <c r="DK47" s="10"/>
      <c r="DL47" s="10">
        <f>SUM(DE47:DK47)</f>
        <v>26.15</v>
      </c>
      <c r="DW47" s="8">
        <f>SUM(DO47:DV47)</f>
        <v>0</v>
      </c>
      <c r="DX47" s="8">
        <f>(DW47-DO47)/2</f>
        <v>0</v>
      </c>
      <c r="DY47" s="10"/>
      <c r="DZ47" s="10"/>
      <c r="EA47" s="10"/>
      <c r="EB47" s="10"/>
      <c r="EC47" s="10"/>
      <c r="ED47" s="10"/>
      <c r="EE47" s="8">
        <f>SUM(DX47:EC47)</f>
        <v>0</v>
      </c>
      <c r="EF47" s="8">
        <f>(EE47-DX47)/2</f>
        <v>0</v>
      </c>
      <c r="EG47" s="10"/>
      <c r="EH47" s="10"/>
      <c r="EI47" s="10"/>
      <c r="EJ47" s="10"/>
      <c r="EK47" s="10"/>
      <c r="EL47" s="8">
        <f>SUM(EF47:EG47)</f>
        <v>0</v>
      </c>
    </row>
    <row r="48" spans="1:142" x14ac:dyDescent="0.25">
      <c r="A48">
        <v>38</v>
      </c>
      <c r="B48" s="8" t="s">
        <v>337</v>
      </c>
      <c r="C48" s="8"/>
      <c r="D48" s="8" t="s">
        <v>338</v>
      </c>
      <c r="E48" s="8" t="s">
        <v>374</v>
      </c>
      <c r="F48" s="8"/>
      <c r="G48" s="8"/>
      <c r="H48" s="8"/>
      <c r="I48" s="8"/>
      <c r="J48" s="8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8"/>
      <c r="AE48" s="8"/>
      <c r="AF48" s="8"/>
      <c r="AG48" s="8"/>
      <c r="AH48" s="8"/>
      <c r="AI48" s="8"/>
      <c r="AJ48" s="8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10">
        <v>48</v>
      </c>
      <c r="CC48" s="10">
        <v>3.2</v>
      </c>
      <c r="CD48" s="10"/>
      <c r="CE48" s="10"/>
      <c r="CF48" s="10"/>
      <c r="CG48" s="10"/>
      <c r="CH48" s="8">
        <f t="shared" ref="CH46:CH53" si="0">SUM(CA48:CG48)</f>
        <v>51.2</v>
      </c>
      <c r="DE48" s="10">
        <f t="shared" ref="DE46:DE53" si="1">(CH48-CA48)/2</f>
        <v>25.6</v>
      </c>
      <c r="DF48" s="10"/>
      <c r="DG48" s="10"/>
      <c r="DH48" s="10"/>
      <c r="DI48" s="10"/>
      <c r="DJ48" s="10"/>
      <c r="DK48" s="10"/>
      <c r="DL48" s="10">
        <f t="shared" ref="DL43:DL74" si="2">SUM(DE48:DK48)</f>
        <v>25.6</v>
      </c>
      <c r="DW48" s="8">
        <f t="shared" ref="DW46:DW53" si="3">SUM(DO48:DV48)</f>
        <v>0</v>
      </c>
      <c r="DX48" s="8">
        <f t="shared" ref="DX46:DX53" si="4">(DW48-DO48)/2</f>
        <v>0</v>
      </c>
      <c r="DY48" s="10"/>
      <c r="DZ48" s="10"/>
      <c r="EA48" s="10"/>
      <c r="EB48" s="10"/>
      <c r="EC48" s="10"/>
      <c r="ED48" s="10"/>
      <c r="EE48" s="8">
        <f t="shared" ref="EE42:EE58" si="5">SUM(DX48:EC48)</f>
        <v>0</v>
      </c>
      <c r="EF48" s="8">
        <f t="shared" ref="EF42:EF58" si="6">(EE48-DX48)/2</f>
        <v>0</v>
      </c>
      <c r="EG48" s="10"/>
      <c r="EH48" s="10"/>
      <c r="EI48" s="10"/>
      <c r="EJ48" s="10"/>
      <c r="EK48" s="10"/>
      <c r="EL48" s="8">
        <f t="shared" ref="EL21:EL68" si="7">SUM(EF48:EG48)</f>
        <v>0</v>
      </c>
    </row>
    <row r="49" spans="1:142" x14ac:dyDescent="0.25">
      <c r="A49">
        <v>39</v>
      </c>
      <c r="B49" s="8" t="s">
        <v>154</v>
      </c>
      <c r="C49" s="8"/>
      <c r="D49" s="8" t="s">
        <v>242</v>
      </c>
      <c r="E49" s="8" t="s">
        <v>667</v>
      </c>
      <c r="F49" s="8"/>
      <c r="G49" s="8"/>
      <c r="H49" s="8"/>
      <c r="I49" s="8"/>
      <c r="J49" s="8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8"/>
      <c r="AE49" s="8"/>
      <c r="AF49" s="8"/>
      <c r="AG49" s="8"/>
      <c r="AH49" s="8"/>
      <c r="AI49" s="8"/>
      <c r="AJ49" s="8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10">
        <v>48</v>
      </c>
      <c r="CC49" s="10"/>
      <c r="CD49" s="10"/>
      <c r="CE49" s="10"/>
      <c r="CF49" s="10"/>
      <c r="CG49" s="10"/>
      <c r="CH49" s="8">
        <f t="shared" si="0"/>
        <v>48</v>
      </c>
      <c r="DE49" s="10">
        <f t="shared" si="1"/>
        <v>24</v>
      </c>
      <c r="DF49" s="10"/>
      <c r="DG49" s="10"/>
      <c r="DH49" s="10"/>
      <c r="DI49" s="10"/>
      <c r="DJ49" s="10"/>
      <c r="DK49" s="10"/>
      <c r="DL49" s="10">
        <f t="shared" si="2"/>
        <v>24</v>
      </c>
      <c r="DW49" s="8">
        <f t="shared" si="3"/>
        <v>0</v>
      </c>
      <c r="DX49" s="8">
        <f t="shared" si="4"/>
        <v>0</v>
      </c>
      <c r="DY49" s="10"/>
      <c r="DZ49" s="10"/>
      <c r="EA49" s="10"/>
      <c r="EB49" s="10"/>
      <c r="EC49" s="10"/>
      <c r="ED49" s="10"/>
      <c r="EE49" s="8">
        <f t="shared" si="5"/>
        <v>0</v>
      </c>
      <c r="EF49" s="8">
        <f t="shared" si="6"/>
        <v>0</v>
      </c>
      <c r="EG49" s="10"/>
      <c r="EH49" s="10"/>
      <c r="EI49" s="10"/>
      <c r="EJ49" s="10"/>
      <c r="EK49" s="10"/>
      <c r="EL49" s="8">
        <f t="shared" si="7"/>
        <v>0</v>
      </c>
    </row>
    <row r="50" spans="1:142" x14ac:dyDescent="0.25">
      <c r="A50">
        <v>40</v>
      </c>
      <c r="B50" s="8" t="s">
        <v>654</v>
      </c>
      <c r="C50" s="8"/>
      <c r="D50" s="8" t="s">
        <v>26</v>
      </c>
      <c r="E50" s="8" t="s">
        <v>384</v>
      </c>
      <c r="F50" s="8"/>
      <c r="G50" s="8"/>
      <c r="H50" s="8"/>
      <c r="I50" s="8"/>
      <c r="J50" s="8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8"/>
      <c r="AE50" s="8"/>
      <c r="AF50" s="8"/>
      <c r="AG50" s="8"/>
      <c r="AH50" s="8"/>
      <c r="AI50" s="8"/>
      <c r="AJ50" s="8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10">
        <v>36</v>
      </c>
      <c r="CC50" s="10"/>
      <c r="CD50" s="10"/>
      <c r="CE50" s="10"/>
      <c r="CF50" s="10"/>
      <c r="CG50" s="10"/>
      <c r="CH50" s="8">
        <f t="shared" si="0"/>
        <v>36</v>
      </c>
      <c r="DE50" s="10">
        <f t="shared" si="1"/>
        <v>18</v>
      </c>
      <c r="DF50" s="10"/>
      <c r="DG50" s="10"/>
      <c r="DH50" s="10"/>
      <c r="DI50" s="10"/>
      <c r="DJ50" s="10"/>
      <c r="DK50" s="10"/>
      <c r="DL50" s="10">
        <f t="shared" si="2"/>
        <v>18</v>
      </c>
      <c r="DW50" s="8">
        <f t="shared" si="3"/>
        <v>0</v>
      </c>
      <c r="DX50" s="8">
        <f t="shared" si="4"/>
        <v>0</v>
      </c>
      <c r="DY50" s="10"/>
      <c r="DZ50" s="10"/>
      <c r="EA50" s="10"/>
      <c r="EB50" s="10"/>
      <c r="EC50" s="10"/>
      <c r="ED50" s="10"/>
      <c r="EE50" s="8">
        <f t="shared" si="5"/>
        <v>0</v>
      </c>
      <c r="EF50" s="8">
        <f t="shared" si="6"/>
        <v>0</v>
      </c>
      <c r="EG50" s="10"/>
      <c r="EH50" s="10"/>
      <c r="EI50" s="10"/>
      <c r="EJ50" s="10"/>
      <c r="EK50" s="10"/>
      <c r="EL50" s="8">
        <f t="shared" si="7"/>
        <v>0</v>
      </c>
    </row>
    <row r="51" spans="1:142" x14ac:dyDescent="0.25">
      <c r="A51">
        <v>41</v>
      </c>
      <c r="B51" s="39" t="s">
        <v>187</v>
      </c>
      <c r="C51" s="39"/>
      <c r="D51" s="39" t="s">
        <v>21</v>
      </c>
      <c r="E51" s="39" t="s">
        <v>662</v>
      </c>
      <c r="F51" s="39"/>
      <c r="G51" s="39"/>
      <c r="H51" s="39"/>
      <c r="I51" s="39"/>
      <c r="J51" s="39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39"/>
      <c r="AE51" s="39"/>
      <c r="AF51" s="39"/>
      <c r="AG51" s="39"/>
      <c r="AH51" s="39"/>
      <c r="AI51" s="39"/>
      <c r="AJ51" s="39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40">
        <v>36</v>
      </c>
      <c r="CC51" s="40"/>
      <c r="CD51" s="40"/>
      <c r="CE51" s="40"/>
      <c r="CF51" s="40"/>
      <c r="CG51" s="40"/>
      <c r="CH51" s="39">
        <f t="shared" si="0"/>
        <v>36</v>
      </c>
      <c r="DE51" s="40">
        <f t="shared" si="1"/>
        <v>18</v>
      </c>
      <c r="DF51" s="40"/>
      <c r="DG51" s="40"/>
      <c r="DH51" s="40"/>
      <c r="DI51" s="40"/>
      <c r="DJ51" s="40"/>
      <c r="DK51" s="40"/>
      <c r="DL51" s="10">
        <f t="shared" si="2"/>
        <v>18</v>
      </c>
      <c r="DW51" s="8">
        <f t="shared" si="3"/>
        <v>0</v>
      </c>
      <c r="DX51" s="8">
        <f t="shared" si="4"/>
        <v>0</v>
      </c>
      <c r="DY51" s="10"/>
      <c r="DZ51" s="10"/>
      <c r="EA51" s="10"/>
      <c r="EB51" s="10"/>
      <c r="EC51" s="10"/>
      <c r="ED51" s="10"/>
      <c r="EE51" s="8">
        <f t="shared" si="5"/>
        <v>0</v>
      </c>
      <c r="EF51" s="8">
        <f t="shared" si="6"/>
        <v>0</v>
      </c>
      <c r="EG51" s="10"/>
      <c r="EH51" s="10"/>
      <c r="EI51" s="10"/>
      <c r="EJ51" s="10"/>
      <c r="EK51" s="10"/>
      <c r="EL51" s="8">
        <f t="shared" si="7"/>
        <v>0</v>
      </c>
    </row>
    <row r="52" spans="1:142" x14ac:dyDescent="0.25">
      <c r="A52">
        <v>42</v>
      </c>
      <c r="B52" s="8" t="s">
        <v>647</v>
      </c>
      <c r="C52" s="8"/>
      <c r="D52" s="8" t="s">
        <v>188</v>
      </c>
      <c r="E52" s="8" t="s">
        <v>160</v>
      </c>
      <c r="F52" s="8"/>
      <c r="G52" s="8"/>
      <c r="H52" s="8"/>
      <c r="I52" s="8"/>
      <c r="J52" s="8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8"/>
      <c r="AE52" s="8"/>
      <c r="AF52" s="8"/>
      <c r="AG52" s="8"/>
      <c r="AH52" s="8"/>
      <c r="AI52" s="8"/>
      <c r="AJ52" s="8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10">
        <v>33.6</v>
      </c>
      <c r="CC52" s="10"/>
      <c r="CD52" s="10"/>
      <c r="CE52" s="10"/>
      <c r="CF52" s="10"/>
      <c r="CG52" s="10"/>
      <c r="CH52" s="8">
        <f t="shared" si="0"/>
        <v>33.6</v>
      </c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10">
        <f t="shared" si="1"/>
        <v>16.8</v>
      </c>
      <c r="DF52" s="10"/>
      <c r="DG52" s="10"/>
      <c r="DH52" s="10"/>
      <c r="DI52" s="10"/>
      <c r="DJ52" s="10"/>
      <c r="DK52" s="10"/>
      <c r="DL52" s="10">
        <f t="shared" si="2"/>
        <v>16.8</v>
      </c>
      <c r="DW52">
        <f t="shared" si="3"/>
        <v>0</v>
      </c>
      <c r="DX52">
        <f t="shared" si="4"/>
        <v>0</v>
      </c>
      <c r="EE52" s="8">
        <f t="shared" si="5"/>
        <v>0</v>
      </c>
      <c r="EF52" s="8">
        <f t="shared" si="6"/>
        <v>0</v>
      </c>
      <c r="EG52" s="10"/>
      <c r="EH52" s="10"/>
      <c r="EI52" s="10"/>
      <c r="EJ52" s="10"/>
      <c r="EK52" s="10"/>
      <c r="EL52" s="8">
        <f t="shared" si="7"/>
        <v>0</v>
      </c>
    </row>
    <row r="53" spans="1:142" x14ac:dyDescent="0.25">
      <c r="A53">
        <v>43</v>
      </c>
      <c r="B53" s="18" t="s">
        <v>226</v>
      </c>
      <c r="C53" s="18" t="s">
        <v>146</v>
      </c>
      <c r="D53" s="18" t="s">
        <v>188</v>
      </c>
      <c r="E53" s="18" t="s">
        <v>43</v>
      </c>
      <c r="F53" s="8"/>
      <c r="G53" s="8"/>
      <c r="H53" s="8"/>
      <c r="I53" s="8"/>
      <c r="J53" s="8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8"/>
      <c r="AE53" s="8"/>
      <c r="AF53" s="8"/>
      <c r="AG53" s="8"/>
      <c r="AH53" s="8"/>
      <c r="AI53" s="8"/>
      <c r="AJ53" s="8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10">
        <v>33.6</v>
      </c>
      <c r="CC53" s="10"/>
      <c r="CD53" s="10"/>
      <c r="CE53" s="10"/>
      <c r="CF53" s="10"/>
      <c r="CG53" s="10"/>
      <c r="CH53" s="8">
        <f t="shared" si="0"/>
        <v>33.6</v>
      </c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10">
        <f t="shared" si="1"/>
        <v>16.8</v>
      </c>
      <c r="DF53" s="10"/>
      <c r="DG53" s="10"/>
      <c r="DH53" s="10"/>
      <c r="DI53" s="10"/>
      <c r="DJ53" s="10"/>
      <c r="DK53" s="10"/>
      <c r="DL53" s="10">
        <f t="shared" si="2"/>
        <v>16.8</v>
      </c>
      <c r="DW53">
        <f t="shared" si="3"/>
        <v>0</v>
      </c>
      <c r="DX53">
        <f t="shared" si="4"/>
        <v>0</v>
      </c>
      <c r="EE53" s="8">
        <f t="shared" si="5"/>
        <v>0</v>
      </c>
      <c r="EF53" s="8">
        <f t="shared" si="6"/>
        <v>0</v>
      </c>
      <c r="EG53" s="10"/>
      <c r="EH53" s="10"/>
      <c r="EI53" s="10"/>
      <c r="EJ53" s="10"/>
      <c r="EK53" s="10"/>
      <c r="EL53" s="8">
        <f t="shared" si="7"/>
        <v>0</v>
      </c>
    </row>
    <row r="54" spans="1:142" x14ac:dyDescent="0.25">
      <c r="A54">
        <v>44</v>
      </c>
      <c r="B54" s="8" t="s">
        <v>819</v>
      </c>
      <c r="C54" s="8"/>
      <c r="D54" s="8" t="s">
        <v>820</v>
      </c>
      <c r="E54" s="8" t="s">
        <v>384</v>
      </c>
      <c r="F54" s="8"/>
      <c r="G54" s="8"/>
      <c r="H54" s="8"/>
      <c r="I54" s="8"/>
      <c r="J54" s="8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8"/>
      <c r="AE54" s="8"/>
      <c r="AF54" s="8"/>
      <c r="AG54" s="8"/>
      <c r="AH54" s="8"/>
      <c r="AI54" s="8"/>
      <c r="AJ54" s="8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10"/>
      <c r="CC54" s="10"/>
      <c r="CD54" s="10"/>
      <c r="CE54" s="10"/>
      <c r="CF54" s="10"/>
      <c r="CG54" s="10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10">
        <v>2.4</v>
      </c>
      <c r="DG54" s="10">
        <v>4</v>
      </c>
      <c r="DH54" s="10"/>
      <c r="DI54" s="10"/>
      <c r="DJ54" s="10"/>
      <c r="DK54" s="10"/>
      <c r="DL54" s="10">
        <f t="shared" si="2"/>
        <v>6.4</v>
      </c>
      <c r="EE54" s="8">
        <f t="shared" si="5"/>
        <v>0</v>
      </c>
      <c r="EF54" s="8">
        <f t="shared" si="6"/>
        <v>0</v>
      </c>
      <c r="EG54" s="10"/>
      <c r="EH54" s="10"/>
      <c r="EI54" s="10"/>
      <c r="EJ54" s="10"/>
      <c r="EK54" s="10"/>
      <c r="EL54" s="8">
        <f t="shared" si="7"/>
        <v>0</v>
      </c>
    </row>
    <row r="55" spans="1:142" x14ac:dyDescent="0.25">
      <c r="A55">
        <v>45</v>
      </c>
      <c r="B55" s="8" t="s">
        <v>111</v>
      </c>
      <c r="C55" s="8"/>
      <c r="D55" s="8" t="s">
        <v>589</v>
      </c>
      <c r="E55" s="8" t="s">
        <v>651</v>
      </c>
      <c r="F55" s="8"/>
      <c r="G55" s="8"/>
      <c r="H55" s="8"/>
      <c r="I55" s="8"/>
      <c r="J55" s="8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8"/>
      <c r="AE55" s="8"/>
      <c r="AF55" s="8"/>
      <c r="AG55" s="8"/>
      <c r="AH55" s="8"/>
      <c r="AI55" s="8"/>
      <c r="AJ55" s="8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10"/>
      <c r="CC55" s="10">
        <v>4</v>
      </c>
      <c r="CD55" s="10">
        <v>7.5</v>
      </c>
      <c r="CE55" s="10"/>
      <c r="CF55" s="10"/>
      <c r="CG55" s="10"/>
      <c r="CH55" s="8">
        <f>SUM(CA55:CG55)</f>
        <v>11.5</v>
      </c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10">
        <f>(CH55-CA55)/2</f>
        <v>5.75</v>
      </c>
      <c r="DF55" s="10"/>
      <c r="DG55" s="10"/>
      <c r="DH55" s="10"/>
      <c r="DI55" s="10"/>
      <c r="DJ55" s="10"/>
      <c r="DK55" s="10"/>
      <c r="DL55" s="10">
        <f t="shared" si="2"/>
        <v>5.75</v>
      </c>
      <c r="DW55">
        <f>SUM(DO55:DV55)</f>
        <v>0</v>
      </c>
      <c r="DX55">
        <f>(DW55-DO55)/2</f>
        <v>0</v>
      </c>
      <c r="EE55" s="8">
        <f t="shared" si="5"/>
        <v>0</v>
      </c>
      <c r="EF55" s="8">
        <f t="shared" si="6"/>
        <v>0</v>
      </c>
      <c r="EG55" s="10"/>
      <c r="EH55" s="10"/>
      <c r="EI55" s="10"/>
      <c r="EJ55" s="10"/>
      <c r="EK55" s="10"/>
      <c r="EL55" s="8">
        <f t="shared" si="7"/>
        <v>0</v>
      </c>
    </row>
    <row r="56" spans="1:142" x14ac:dyDescent="0.25">
      <c r="A56">
        <v>46</v>
      </c>
      <c r="B56" s="8" t="s">
        <v>148</v>
      </c>
      <c r="C56" s="8"/>
      <c r="D56" s="8" t="s">
        <v>155</v>
      </c>
      <c r="E56" s="8" t="s">
        <v>369</v>
      </c>
      <c r="F56" s="8"/>
      <c r="G56" s="8"/>
      <c r="H56" s="8"/>
      <c r="I56" s="8"/>
      <c r="J56" s="8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8"/>
      <c r="AE56" s="8"/>
      <c r="AF56" s="8"/>
      <c r="AG56" s="8"/>
      <c r="AH56" s="8"/>
      <c r="AI56" s="8"/>
      <c r="AJ56" s="8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10"/>
      <c r="CC56" s="10"/>
      <c r="CD56" s="10"/>
      <c r="CE56" s="10"/>
      <c r="CF56" s="10"/>
      <c r="CG56" s="10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10"/>
      <c r="DG56" s="10">
        <v>4</v>
      </c>
      <c r="DH56" s="10"/>
      <c r="DI56" s="10"/>
      <c r="DJ56" s="10"/>
      <c r="DK56" s="10"/>
      <c r="DL56" s="10">
        <f t="shared" si="2"/>
        <v>4</v>
      </c>
      <c r="EE56" s="8">
        <f t="shared" si="5"/>
        <v>0</v>
      </c>
      <c r="EF56" s="8">
        <f t="shared" si="6"/>
        <v>0</v>
      </c>
      <c r="EG56" s="10"/>
      <c r="EH56" s="10"/>
      <c r="EI56" s="10"/>
      <c r="EJ56" s="10"/>
      <c r="EK56" s="10"/>
      <c r="EL56" s="8">
        <f t="shared" si="7"/>
        <v>0</v>
      </c>
    </row>
    <row r="57" spans="1:142" x14ac:dyDescent="0.25">
      <c r="A57">
        <v>47</v>
      </c>
      <c r="B57" s="8" t="s">
        <v>111</v>
      </c>
      <c r="C57" s="8"/>
      <c r="D57" s="8" t="s">
        <v>237</v>
      </c>
      <c r="E57" s="8" t="s">
        <v>24</v>
      </c>
      <c r="F57" s="8"/>
      <c r="G57" s="8"/>
      <c r="H57" s="8"/>
      <c r="I57" s="8"/>
      <c r="J57" s="8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8"/>
      <c r="AE57" s="8"/>
      <c r="AF57" s="8"/>
      <c r="AG57" s="8"/>
      <c r="AH57" s="8"/>
      <c r="AI57" s="8"/>
      <c r="AJ57" s="8"/>
      <c r="AK57" s="10"/>
      <c r="AL57" s="10">
        <v>64</v>
      </c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1">
        <f>SUM(AE57:AY57)</f>
        <v>64</v>
      </c>
      <c r="BA57" s="11">
        <f>(AZ57-AE57)/2</f>
        <v>32</v>
      </c>
      <c r="BB57" s="11"/>
      <c r="BC57" s="11"/>
      <c r="BD57" s="11"/>
      <c r="BE57" s="11"/>
      <c r="BF57" s="11"/>
      <c r="BG57" s="11"/>
      <c r="BH57" s="11"/>
      <c r="BI57" s="11"/>
      <c r="BJ57" s="11">
        <v>70</v>
      </c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>
        <f>SUM(BA57:BY57)</f>
        <v>102</v>
      </c>
      <c r="CA57" s="11">
        <f>(BZ57-BA57)/2</f>
        <v>35</v>
      </c>
      <c r="CB57" s="11"/>
      <c r="CC57" s="11"/>
      <c r="CD57" s="11">
        <v>7.5</v>
      </c>
      <c r="CE57" s="11"/>
      <c r="CF57" s="11"/>
      <c r="CG57" s="11"/>
      <c r="CH57" s="8">
        <f>SUM(CA57:CG57)</f>
        <v>42.5</v>
      </c>
      <c r="CI57" s="10">
        <f>SUM(CL57:CS57)/2</f>
        <v>0</v>
      </c>
      <c r="CJ57" s="10">
        <f>AZ57/4</f>
        <v>16</v>
      </c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>
        <f>(CH57-CA57)/2</f>
        <v>3.75</v>
      </c>
      <c r="DF57" s="10"/>
      <c r="DG57" s="10"/>
      <c r="DH57" s="10"/>
      <c r="DI57" s="10"/>
      <c r="DJ57" s="10"/>
      <c r="DK57" s="10"/>
      <c r="DL57" s="10">
        <f t="shared" si="2"/>
        <v>3.75</v>
      </c>
      <c r="DM57" s="12"/>
      <c r="DN57" s="12">
        <f>SUM(CI57:CJ57)+SUM(CU57:DD57)</f>
        <v>16</v>
      </c>
      <c r="DO57">
        <f>(DN57-CI57)/2</f>
        <v>8</v>
      </c>
      <c r="DP57">
        <f>BZ57/4</f>
        <v>25.5</v>
      </c>
      <c r="DW57">
        <f>SUM(DO57:DV57)</f>
        <v>33.5</v>
      </c>
      <c r="DX57">
        <f>(DW57-DO57)/2</f>
        <v>12.75</v>
      </c>
      <c r="EE57" s="8">
        <f t="shared" si="5"/>
        <v>12.75</v>
      </c>
      <c r="EF57" s="8">
        <f t="shared" si="6"/>
        <v>0</v>
      </c>
      <c r="EG57" s="10"/>
      <c r="EH57" s="10"/>
      <c r="EI57" s="10"/>
      <c r="EJ57" s="10"/>
      <c r="EK57" s="10"/>
      <c r="EL57" s="8">
        <f t="shared" si="7"/>
        <v>0</v>
      </c>
    </row>
    <row r="58" spans="1:142" x14ac:dyDescent="0.25">
      <c r="A58">
        <v>48</v>
      </c>
      <c r="B58" s="8" t="s">
        <v>201</v>
      </c>
      <c r="C58" s="8"/>
      <c r="D58" s="8" t="s">
        <v>390</v>
      </c>
      <c r="E58" s="8" t="s">
        <v>391</v>
      </c>
      <c r="F58" s="8"/>
      <c r="G58" s="8"/>
      <c r="H58" s="8"/>
      <c r="I58" s="8"/>
      <c r="J58" s="8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8"/>
      <c r="AE58" s="8"/>
      <c r="AF58" s="8"/>
      <c r="AG58" s="8"/>
      <c r="AH58" s="8"/>
      <c r="AI58" s="8"/>
      <c r="AJ58" s="8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10"/>
      <c r="CC58" s="10"/>
      <c r="CD58" s="10">
        <v>7.5</v>
      </c>
      <c r="CE58" s="10"/>
      <c r="CF58" s="10"/>
      <c r="CG58" s="10"/>
      <c r="CH58" s="8">
        <f>SUM(CA58:CG58)</f>
        <v>7.5</v>
      </c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10">
        <f>(CH58-CA58)/2</f>
        <v>3.75</v>
      </c>
      <c r="DF58" s="10"/>
      <c r="DG58" s="10"/>
      <c r="DH58" s="10"/>
      <c r="DI58" s="10"/>
      <c r="DJ58" s="10"/>
      <c r="DK58" s="10"/>
      <c r="DL58" s="10">
        <f t="shared" si="2"/>
        <v>3.75</v>
      </c>
      <c r="DW58">
        <f>SUM(DO58:DV58)</f>
        <v>0</v>
      </c>
      <c r="DX58">
        <f>(DW58-DO58)/2</f>
        <v>0</v>
      </c>
      <c r="EE58" s="8">
        <f t="shared" si="5"/>
        <v>0</v>
      </c>
      <c r="EF58" s="8">
        <f t="shared" si="6"/>
        <v>0</v>
      </c>
      <c r="EG58" s="10"/>
      <c r="EH58" s="10"/>
      <c r="EI58" s="10"/>
      <c r="EJ58" s="10"/>
      <c r="EK58" s="10"/>
      <c r="EL58" s="8">
        <f t="shared" si="7"/>
        <v>0</v>
      </c>
    </row>
    <row r="59" spans="1:142" x14ac:dyDescent="0.25">
      <c r="A59">
        <v>49</v>
      </c>
      <c r="B59" s="8" t="s">
        <v>133</v>
      </c>
      <c r="C59" s="8"/>
      <c r="D59" s="8" t="s">
        <v>23</v>
      </c>
      <c r="E59" s="8" t="s">
        <v>306</v>
      </c>
      <c r="F59" s="8"/>
      <c r="G59" s="8"/>
      <c r="H59" s="8"/>
      <c r="I59" s="8"/>
      <c r="J59" s="8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8"/>
      <c r="AE59" s="8"/>
      <c r="AF59" s="8"/>
      <c r="AG59" s="8"/>
      <c r="AH59" s="8"/>
      <c r="AI59" s="8"/>
      <c r="AJ59" s="8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10"/>
      <c r="CC59" s="10"/>
      <c r="CD59" s="10"/>
      <c r="CE59" s="10"/>
      <c r="CF59" s="10"/>
      <c r="CG59" s="10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10">
        <v>3</v>
      </c>
      <c r="DG59" s="10"/>
      <c r="DH59" s="10"/>
      <c r="DI59" s="10"/>
      <c r="DJ59" s="10"/>
      <c r="DK59" s="10"/>
      <c r="DL59" s="10">
        <f t="shared" si="2"/>
        <v>3</v>
      </c>
      <c r="EE59" s="8"/>
      <c r="EF59" s="8"/>
      <c r="EG59" s="10"/>
      <c r="EH59" s="10"/>
      <c r="EI59" s="10"/>
      <c r="EJ59" s="10"/>
      <c r="EK59" s="10"/>
      <c r="EL59" s="8">
        <f t="shared" si="7"/>
        <v>0</v>
      </c>
    </row>
    <row r="60" spans="1:142" x14ac:dyDescent="0.25">
      <c r="A60">
        <v>50</v>
      </c>
      <c r="B60" s="8" t="s">
        <v>168</v>
      </c>
      <c r="C60" s="8"/>
      <c r="D60" s="8" t="s">
        <v>301</v>
      </c>
      <c r="E60" s="8" t="s">
        <v>16</v>
      </c>
      <c r="F60" s="8"/>
      <c r="G60" s="8"/>
      <c r="H60" s="8"/>
      <c r="I60" s="8"/>
      <c r="J60" s="8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8"/>
      <c r="AE60" s="8"/>
      <c r="AF60" s="8"/>
      <c r="AG60" s="8"/>
      <c r="AH60" s="8"/>
      <c r="AI60" s="8"/>
      <c r="AJ60" s="8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10"/>
      <c r="CC60" s="10"/>
      <c r="CD60" s="10"/>
      <c r="CE60" s="10"/>
      <c r="CF60" s="10"/>
      <c r="CG60" s="10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10">
        <v>3</v>
      </c>
      <c r="DG60" s="10"/>
      <c r="DH60" s="10"/>
      <c r="DI60" s="10"/>
      <c r="DJ60" s="10"/>
      <c r="DK60" s="10"/>
      <c r="DL60" s="10">
        <f t="shared" si="2"/>
        <v>3</v>
      </c>
      <c r="EE60" s="8">
        <f t="shared" ref="EE60:EE68" si="8">SUM(DX60:EC60)</f>
        <v>0</v>
      </c>
      <c r="EF60" s="8">
        <f t="shared" ref="EF60:EF68" si="9">(EE60-DX60)/2</f>
        <v>0</v>
      </c>
      <c r="EG60" s="10"/>
      <c r="EH60" s="10"/>
      <c r="EI60" s="10"/>
      <c r="EJ60" s="10"/>
      <c r="EK60" s="10"/>
      <c r="EL60" s="8">
        <f t="shared" si="7"/>
        <v>0</v>
      </c>
    </row>
    <row r="61" spans="1:142" x14ac:dyDescent="0.25">
      <c r="A61">
        <v>51</v>
      </c>
      <c r="B61" s="8" t="s">
        <v>148</v>
      </c>
      <c r="C61" s="8"/>
      <c r="D61" s="8" t="s">
        <v>209</v>
      </c>
      <c r="E61" s="8" t="s">
        <v>731</v>
      </c>
      <c r="F61" s="8"/>
      <c r="G61" s="8"/>
      <c r="H61" s="8"/>
      <c r="I61" s="8"/>
      <c r="J61" s="8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8"/>
      <c r="AE61" s="8"/>
      <c r="AF61" s="8"/>
      <c r="AG61" s="8"/>
      <c r="AH61" s="8"/>
      <c r="AI61" s="8"/>
      <c r="AJ61" s="8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10"/>
      <c r="CC61" s="10"/>
      <c r="CD61" s="10"/>
      <c r="CE61" s="10"/>
      <c r="CF61" s="10"/>
      <c r="CG61" s="10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10">
        <v>2.4</v>
      </c>
      <c r="DG61" s="10"/>
      <c r="DH61" s="10"/>
      <c r="DI61" s="10"/>
      <c r="DJ61" s="10"/>
      <c r="DK61" s="10"/>
      <c r="DL61" s="10">
        <f t="shared" si="2"/>
        <v>2.4</v>
      </c>
      <c r="EE61" s="8">
        <f t="shared" si="8"/>
        <v>0</v>
      </c>
      <c r="EF61" s="8">
        <f t="shared" si="9"/>
        <v>0</v>
      </c>
      <c r="EG61" s="10"/>
      <c r="EH61" s="10"/>
      <c r="EI61" s="10"/>
      <c r="EJ61" s="10"/>
      <c r="EK61" s="10"/>
      <c r="EL61" s="8">
        <f t="shared" si="7"/>
        <v>0</v>
      </c>
    </row>
    <row r="62" spans="1:142" x14ac:dyDescent="0.25">
      <c r="A62">
        <v>52</v>
      </c>
      <c r="B62" s="8" t="s">
        <v>231</v>
      </c>
      <c r="C62" s="8"/>
      <c r="D62" s="8" t="s">
        <v>169</v>
      </c>
      <c r="E62" s="8" t="s">
        <v>631</v>
      </c>
      <c r="F62" s="8"/>
      <c r="G62" s="8"/>
      <c r="H62" s="8"/>
      <c r="I62" s="8"/>
      <c r="J62" s="8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8"/>
      <c r="AE62" s="8"/>
      <c r="AF62" s="8"/>
      <c r="AG62" s="8"/>
      <c r="AH62" s="8"/>
      <c r="AI62" s="8"/>
      <c r="AJ62" s="8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10"/>
      <c r="CC62" s="10">
        <v>4</v>
      </c>
      <c r="CD62" s="10"/>
      <c r="CE62" s="10"/>
      <c r="CF62" s="10"/>
      <c r="CG62" s="10"/>
      <c r="CH62" s="8">
        <f t="shared" ref="CH62:CH68" si="10">SUM(CA62:CG62)</f>
        <v>4</v>
      </c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10">
        <f t="shared" ref="DE62:DE68" si="11">(CH62-CA62)/2</f>
        <v>2</v>
      </c>
      <c r="DF62" s="10"/>
      <c r="DG62" s="10"/>
      <c r="DH62" s="10"/>
      <c r="DI62" s="10"/>
      <c r="DJ62" s="10"/>
      <c r="DK62" s="10"/>
      <c r="DL62" s="10">
        <f t="shared" si="2"/>
        <v>2</v>
      </c>
      <c r="DW62">
        <f>SUM(DO62:DV62)</f>
        <v>0</v>
      </c>
      <c r="DX62">
        <f>(DW62-DO62)/2</f>
        <v>0</v>
      </c>
      <c r="EE62" s="8">
        <f t="shared" si="8"/>
        <v>0</v>
      </c>
      <c r="EF62" s="8">
        <f t="shared" si="9"/>
        <v>0</v>
      </c>
      <c r="EG62" s="10"/>
      <c r="EH62" s="10"/>
      <c r="EI62" s="10"/>
      <c r="EJ62" s="10"/>
      <c r="EK62" s="10"/>
      <c r="EL62" s="8">
        <f t="shared" si="7"/>
        <v>0</v>
      </c>
    </row>
    <row r="63" spans="1:142" x14ac:dyDescent="0.25">
      <c r="A63">
        <v>53</v>
      </c>
      <c r="B63" s="8" t="s">
        <v>627</v>
      </c>
      <c r="C63" s="8"/>
      <c r="D63" s="8" t="s">
        <v>628</v>
      </c>
      <c r="E63" s="8" t="s">
        <v>537</v>
      </c>
      <c r="F63" s="8"/>
      <c r="G63" s="8"/>
      <c r="H63" s="8"/>
      <c r="I63" s="8"/>
      <c r="J63" s="8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8"/>
      <c r="AE63" s="8"/>
      <c r="AF63" s="8"/>
      <c r="AG63" s="8"/>
      <c r="AH63" s="8"/>
      <c r="AI63" s="8"/>
      <c r="AJ63" s="8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10">
        <v>3</v>
      </c>
      <c r="CC63" s="10"/>
      <c r="CD63" s="10"/>
      <c r="CE63" s="10"/>
      <c r="CF63" s="10"/>
      <c r="CG63" s="10"/>
      <c r="CH63" s="8">
        <f t="shared" si="10"/>
        <v>3</v>
      </c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10">
        <f t="shared" si="11"/>
        <v>1.5</v>
      </c>
      <c r="DF63" s="10"/>
      <c r="DG63" s="10"/>
      <c r="DH63" s="10"/>
      <c r="DI63" s="10"/>
      <c r="DJ63" s="10"/>
      <c r="DK63" s="10"/>
      <c r="DL63" s="10">
        <f t="shared" si="2"/>
        <v>1.5</v>
      </c>
      <c r="DW63">
        <f>SUM(DO63:DV63)</f>
        <v>0</v>
      </c>
      <c r="DX63">
        <f>(DW63-DO63)/2</f>
        <v>0</v>
      </c>
      <c r="EE63" s="8">
        <f t="shared" si="8"/>
        <v>0</v>
      </c>
      <c r="EF63" s="8">
        <f t="shared" si="9"/>
        <v>0</v>
      </c>
      <c r="EG63" s="10"/>
      <c r="EH63" s="10"/>
      <c r="EI63" s="10"/>
      <c r="EJ63" s="10"/>
      <c r="EK63" s="10"/>
      <c r="EL63" s="8">
        <f t="shared" si="7"/>
        <v>0</v>
      </c>
    </row>
    <row r="64" spans="1:142" x14ac:dyDescent="0.25">
      <c r="A64">
        <v>54</v>
      </c>
      <c r="B64" s="8" t="s">
        <v>426</v>
      </c>
      <c r="C64" s="8"/>
      <c r="D64" s="8" t="s">
        <v>637</v>
      </c>
      <c r="E64" s="8" t="s">
        <v>638</v>
      </c>
      <c r="F64" s="8"/>
      <c r="G64" s="8"/>
      <c r="H64" s="8"/>
      <c r="I64" s="8"/>
      <c r="J64" s="8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8"/>
      <c r="AE64" s="8"/>
      <c r="AF64" s="8"/>
      <c r="AG64" s="8"/>
      <c r="AH64" s="8"/>
      <c r="AI64" s="8"/>
      <c r="AJ64" s="8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10">
        <v>2.4</v>
      </c>
      <c r="CC64" s="10"/>
      <c r="CD64" s="10"/>
      <c r="CE64" s="10"/>
      <c r="CF64" s="10"/>
      <c r="CG64" s="10"/>
      <c r="CH64" s="8">
        <f t="shared" si="10"/>
        <v>2.4</v>
      </c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10">
        <f t="shared" si="11"/>
        <v>1.2</v>
      </c>
      <c r="DF64" s="10"/>
      <c r="DG64" s="10"/>
      <c r="DH64" s="10"/>
      <c r="DI64" s="10"/>
      <c r="DJ64" s="10"/>
      <c r="DK64" s="10"/>
      <c r="DL64" s="10">
        <f t="shared" si="2"/>
        <v>1.2</v>
      </c>
      <c r="DW64">
        <f>SUM(DO64:DV64)</f>
        <v>0</v>
      </c>
      <c r="DX64">
        <f>(DW64-DO64)/2</f>
        <v>0</v>
      </c>
      <c r="EE64" s="8">
        <f t="shared" si="8"/>
        <v>0</v>
      </c>
      <c r="EF64" s="8">
        <f t="shared" si="9"/>
        <v>0</v>
      </c>
      <c r="EG64" s="10"/>
      <c r="EH64" s="10"/>
      <c r="EI64" s="10"/>
      <c r="EJ64" s="10"/>
      <c r="EK64" s="10"/>
      <c r="EL64" s="8">
        <f t="shared" si="7"/>
        <v>0</v>
      </c>
    </row>
    <row r="65" spans="1:142" x14ac:dyDescent="0.25">
      <c r="A65">
        <v>55</v>
      </c>
      <c r="B65" s="8" t="s">
        <v>161</v>
      </c>
      <c r="C65" s="8"/>
      <c r="D65" s="8" t="s">
        <v>309</v>
      </c>
      <c r="E65" s="8" t="s">
        <v>392</v>
      </c>
      <c r="F65" s="8"/>
      <c r="G65" s="8"/>
      <c r="H65" s="8"/>
      <c r="I65" s="8"/>
      <c r="J65" s="8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8"/>
      <c r="AE65" s="8"/>
      <c r="AF65" s="8"/>
      <c r="AG65" s="8"/>
      <c r="AH65" s="8"/>
      <c r="AI65" s="8"/>
      <c r="AJ65" s="8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10">
        <v>2.4</v>
      </c>
      <c r="CC65" s="10"/>
      <c r="CD65" s="10"/>
      <c r="CE65" s="10"/>
      <c r="CF65" s="10"/>
      <c r="CG65" s="10"/>
      <c r="CH65" s="8">
        <f t="shared" si="10"/>
        <v>2.4</v>
      </c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10">
        <f t="shared" si="11"/>
        <v>1.2</v>
      </c>
      <c r="DF65" s="10"/>
      <c r="DG65" s="10"/>
      <c r="DH65" s="10"/>
      <c r="DI65" s="10"/>
      <c r="DJ65" s="10"/>
      <c r="DK65" s="10"/>
      <c r="DL65" s="10">
        <f t="shared" si="2"/>
        <v>1.2</v>
      </c>
      <c r="DW65">
        <f>SUM(DO65:DV65)</f>
        <v>0</v>
      </c>
      <c r="DX65">
        <f>(DW65-DO65)/2</f>
        <v>0</v>
      </c>
      <c r="EE65" s="8">
        <f t="shared" si="8"/>
        <v>0</v>
      </c>
      <c r="EF65" s="8">
        <f t="shared" si="9"/>
        <v>0</v>
      </c>
      <c r="EG65" s="10"/>
      <c r="EH65" s="10"/>
      <c r="EI65" s="10"/>
      <c r="EJ65" s="10"/>
      <c r="EK65" s="10"/>
      <c r="EL65" s="8">
        <f t="shared" si="7"/>
        <v>0</v>
      </c>
    </row>
    <row r="66" spans="1:142" x14ac:dyDescent="0.25">
      <c r="A66">
        <v>56</v>
      </c>
      <c r="B66" s="8" t="s">
        <v>767</v>
      </c>
      <c r="C66" s="8"/>
      <c r="D66" s="8" t="s">
        <v>768</v>
      </c>
      <c r="E66" s="8" t="s">
        <v>391</v>
      </c>
      <c r="F66" s="8"/>
      <c r="G66" s="8"/>
      <c r="H66" s="8"/>
      <c r="I66" s="8"/>
      <c r="J66" s="8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8"/>
      <c r="AE66" s="8"/>
      <c r="AF66" s="8"/>
      <c r="AG66" s="8"/>
      <c r="AH66" s="8"/>
      <c r="AI66" s="8"/>
      <c r="AJ66" s="8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10">
        <v>2.4</v>
      </c>
      <c r="CC66" s="10"/>
      <c r="CD66" s="10"/>
      <c r="CE66" s="10"/>
      <c r="CF66" s="10"/>
      <c r="CG66" s="10"/>
      <c r="CH66" s="8">
        <f t="shared" si="10"/>
        <v>2.4</v>
      </c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10">
        <f t="shared" si="11"/>
        <v>1.2</v>
      </c>
      <c r="DF66" s="10"/>
      <c r="DG66" s="10"/>
      <c r="DH66" s="10"/>
      <c r="DI66" s="10"/>
      <c r="DJ66" s="10"/>
      <c r="DK66" s="10"/>
      <c r="DL66" s="10">
        <f t="shared" si="2"/>
        <v>1.2</v>
      </c>
      <c r="DW66">
        <f>SUM(DO66:DV66)</f>
        <v>0</v>
      </c>
      <c r="DX66">
        <f>(DW66-DO66)/2</f>
        <v>0</v>
      </c>
      <c r="EE66" s="8">
        <f t="shared" si="8"/>
        <v>0</v>
      </c>
      <c r="EF66" s="8">
        <f t="shared" si="9"/>
        <v>0</v>
      </c>
      <c r="EG66" s="10"/>
      <c r="EH66" s="10"/>
      <c r="EI66" s="10"/>
      <c r="EJ66" s="10"/>
      <c r="EK66" s="10"/>
      <c r="EL66" s="8">
        <f t="shared" si="7"/>
        <v>0</v>
      </c>
    </row>
    <row r="67" spans="1:142" x14ac:dyDescent="0.25">
      <c r="A67">
        <v>57</v>
      </c>
      <c r="B67" s="8" t="s">
        <v>704</v>
      </c>
      <c r="C67" s="8"/>
      <c r="D67" s="8" t="s">
        <v>705</v>
      </c>
      <c r="E67" s="8" t="s">
        <v>706</v>
      </c>
      <c r="F67" s="8"/>
      <c r="G67" s="8"/>
      <c r="H67" s="8"/>
      <c r="I67" s="8"/>
      <c r="J67" s="8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8"/>
      <c r="AE67" s="8"/>
      <c r="AF67" s="8"/>
      <c r="AG67" s="8"/>
      <c r="AH67" s="8"/>
      <c r="AI67" s="8"/>
      <c r="AJ67" s="8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10"/>
      <c r="CC67" s="10"/>
      <c r="CD67" s="10"/>
      <c r="CE67" s="10"/>
      <c r="CF67" s="10"/>
      <c r="CG67" s="10"/>
      <c r="CH67" s="8">
        <f t="shared" si="10"/>
        <v>0</v>
      </c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10">
        <f t="shared" si="11"/>
        <v>0</v>
      </c>
      <c r="DF67" s="10"/>
      <c r="DG67" s="10"/>
      <c r="DH67" s="10"/>
      <c r="DI67" s="10"/>
      <c r="DJ67" s="10"/>
      <c r="DK67" s="10"/>
      <c r="DL67" s="10">
        <f t="shared" si="2"/>
        <v>0</v>
      </c>
      <c r="EC67" s="12">
        <v>25</v>
      </c>
      <c r="EE67" s="8">
        <f t="shared" si="8"/>
        <v>25</v>
      </c>
      <c r="EF67" s="8">
        <f t="shared" si="9"/>
        <v>12.5</v>
      </c>
      <c r="EG67" s="10"/>
      <c r="EH67" s="10"/>
      <c r="EI67" s="10"/>
      <c r="EJ67" s="10"/>
      <c r="EK67" s="10"/>
      <c r="EL67" s="8">
        <f t="shared" si="7"/>
        <v>12.5</v>
      </c>
    </row>
    <row r="68" spans="1:142" x14ac:dyDescent="0.25">
      <c r="A68">
        <v>58</v>
      </c>
      <c r="B68" s="8" t="s">
        <v>781</v>
      </c>
      <c r="C68" s="8"/>
      <c r="D68" s="8" t="s">
        <v>209</v>
      </c>
      <c r="E68" s="8" t="s">
        <v>537</v>
      </c>
      <c r="F68" s="8"/>
      <c r="G68" s="8"/>
      <c r="H68" s="8"/>
      <c r="I68" s="8"/>
      <c r="J68" s="8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8"/>
      <c r="AE68" s="8"/>
      <c r="AF68" s="8"/>
      <c r="AG68" s="8"/>
      <c r="AH68" s="8"/>
      <c r="AI68" s="8"/>
      <c r="AJ68" s="8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10"/>
      <c r="CC68" s="10"/>
      <c r="CD68" s="10"/>
      <c r="CE68" s="10"/>
      <c r="CF68" s="10"/>
      <c r="CG68" s="10"/>
      <c r="CH68" s="8">
        <f t="shared" si="10"/>
        <v>0</v>
      </c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10">
        <f t="shared" si="11"/>
        <v>0</v>
      </c>
      <c r="DF68" s="10"/>
      <c r="DG68" s="10"/>
      <c r="DH68" s="10"/>
      <c r="DI68" s="10"/>
      <c r="DJ68" s="10"/>
      <c r="DK68" s="10"/>
      <c r="DL68" s="10">
        <f t="shared" si="2"/>
        <v>0</v>
      </c>
      <c r="EC68" s="12">
        <v>2.5</v>
      </c>
      <c r="EE68" s="8">
        <f t="shared" si="8"/>
        <v>2.5</v>
      </c>
      <c r="EF68" s="8">
        <f t="shared" si="9"/>
        <v>1.25</v>
      </c>
      <c r="EG68" s="10"/>
      <c r="EH68" s="10"/>
      <c r="EI68" s="10"/>
      <c r="EJ68" s="10"/>
      <c r="EK68" s="10"/>
      <c r="EL68" s="8">
        <f t="shared" si="7"/>
        <v>1.25</v>
      </c>
    </row>
  </sheetData>
  <sortState xmlns:xlrd2="http://schemas.microsoft.com/office/spreadsheetml/2017/richdata2" ref="B11:EL47">
    <sortCondition descending="1" ref="DL11:DL47"/>
  </sortState>
  <mergeCells count="6">
    <mergeCell ref="B1:EL1"/>
    <mergeCell ref="B8:C10"/>
    <mergeCell ref="CD9:CG9"/>
    <mergeCell ref="DH9:DK9"/>
    <mergeCell ref="D4:DL5"/>
    <mergeCell ref="DW4:EL5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V58"/>
  <sheetViews>
    <sheetView zoomScale="80" zoomScaleNormal="80" workbookViewId="0">
      <selection activeCell="B14" sqref="B14:E14"/>
    </sheetView>
  </sheetViews>
  <sheetFormatPr baseColWidth="10" defaultRowHeight="15" x14ac:dyDescent="0.25"/>
  <cols>
    <col min="1" max="1" width="3.140625" bestFit="1" customWidth="1"/>
    <col min="2" max="2" width="13.42578125" bestFit="1" customWidth="1"/>
    <col min="3" max="3" width="12.28515625" bestFit="1" customWidth="1"/>
    <col min="4" max="4" width="13" bestFit="1" customWidth="1"/>
    <col min="5" max="5" width="19.42578125" bestFit="1" customWidth="1"/>
    <col min="6" max="6" width="6.42578125" hidden="1" customWidth="1"/>
    <col min="7" max="7" width="6.28515625" hidden="1" customWidth="1"/>
    <col min="8" max="10" width="7.28515625" hidden="1" customWidth="1"/>
    <col min="11" max="13" width="6.28515625" hidden="1" customWidth="1"/>
    <col min="14" max="15" width="6.28515625" style="12" hidden="1" customWidth="1"/>
    <col min="16" max="17" width="6.7109375" style="12" hidden="1" customWidth="1"/>
    <col min="18" max="26" width="7" style="12" hidden="1" customWidth="1"/>
    <col min="27" max="28" width="0" hidden="1" customWidth="1"/>
    <col min="29" max="36" width="6" hidden="1" customWidth="1"/>
    <col min="37" max="41" width="6" style="12" hidden="1" customWidth="1"/>
    <col min="42" max="42" width="10.5703125" style="12" hidden="1" customWidth="1"/>
    <col min="43" max="48" width="6" style="12" hidden="1" customWidth="1"/>
    <col min="49" max="50" width="0" hidden="1" customWidth="1"/>
    <col min="51" max="51" width="6" hidden="1" customWidth="1"/>
    <col min="52" max="52" width="10" hidden="1" customWidth="1"/>
    <col min="53" max="58" width="6" hidden="1" customWidth="1"/>
    <col min="59" max="65" width="6" style="12" hidden="1" customWidth="1"/>
    <col min="66" max="66" width="10.28515625" style="12" hidden="1" customWidth="1"/>
    <col min="67" max="67" width="6.140625" style="12" hidden="1" customWidth="1"/>
    <col min="68" max="70" width="6" style="12" hidden="1" customWidth="1"/>
    <col min="71" max="71" width="6.85546875" style="12" hidden="1" customWidth="1"/>
    <col min="72" max="73" width="0" hidden="1" customWidth="1"/>
    <col min="74" max="74" width="6.140625" style="12" hidden="1" customWidth="1"/>
    <col min="75" max="79" width="7.42578125" style="12" hidden="1" customWidth="1"/>
    <col min="82" max="82" width="8.140625" style="12" customWidth="1"/>
    <col min="83" max="83" width="8.7109375" style="12" customWidth="1"/>
    <col min="84" max="84" width="8.42578125" style="12" customWidth="1"/>
    <col min="85" max="85" width="8" style="12" customWidth="1"/>
    <col min="86" max="86" width="7.42578125" style="12" customWidth="1"/>
    <col min="90" max="93" width="0" hidden="1" customWidth="1"/>
    <col min="94" max="98" width="6.42578125" hidden="1" customWidth="1"/>
    <col min="99" max="100" width="7" hidden="1" customWidth="1"/>
    <col min="101" max="101" width="8.7109375" hidden="1" customWidth="1"/>
    <col min="102" max="104" width="7" hidden="1" customWidth="1"/>
    <col min="105" max="107" width="7" style="12" hidden="1" customWidth="1"/>
    <col min="108" max="108" width="0" hidden="1" customWidth="1"/>
    <col min="109" max="109" width="10" hidden="1" customWidth="1"/>
    <col min="110" max="111" width="6.85546875" hidden="1" customWidth="1"/>
    <col min="112" max="113" width="7.42578125" hidden="1" customWidth="1"/>
    <col min="114" max="114" width="9.42578125" hidden="1" customWidth="1"/>
    <col min="115" max="115" width="9.28515625" hidden="1" customWidth="1"/>
    <col min="116" max="118" width="9.7109375" hidden="1" customWidth="1"/>
    <col min="119" max="120" width="7.140625" hidden="1" customWidth="1"/>
    <col min="121" max="122" width="7.5703125" hidden="1" customWidth="1"/>
    <col min="123" max="123" width="9.7109375" hidden="1" customWidth="1"/>
    <col min="124" max="124" width="7.140625" hidden="1" customWidth="1"/>
    <col min="125" max="127" width="0" hidden="1" customWidth="1"/>
    <col min="128" max="134" width="6" hidden="1" customWidth="1"/>
    <col min="135" max="136" width="0" hidden="1" customWidth="1"/>
    <col min="137" max="137" width="8.85546875" style="12" hidden="1" customWidth="1"/>
    <col min="138" max="145" width="6" style="12" hidden="1" customWidth="1"/>
    <col min="148" max="148" width="6" bestFit="1" customWidth="1"/>
    <col min="149" max="149" width="6" customWidth="1"/>
    <col min="150" max="151" width="6" style="12" customWidth="1"/>
  </cols>
  <sheetData>
    <row r="1" spans="1:152" ht="26.25" x14ac:dyDescent="0.4">
      <c r="B1" s="80" t="s">
        <v>3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  <c r="CG1" s="80"/>
      <c r="CH1" s="80"/>
      <c r="CI1" s="80"/>
      <c r="CJ1" s="80"/>
      <c r="CK1" s="80"/>
      <c r="CL1" s="80"/>
      <c r="CM1" s="80"/>
      <c r="CN1" s="80"/>
      <c r="CO1" s="80"/>
      <c r="CP1" s="80"/>
      <c r="CQ1" s="80"/>
      <c r="CR1" s="80"/>
      <c r="CS1" s="80"/>
      <c r="CT1" s="80"/>
      <c r="CU1" s="80"/>
      <c r="CV1" s="80"/>
      <c r="CW1" s="80"/>
      <c r="CX1" s="80"/>
      <c r="CY1" s="80"/>
      <c r="CZ1" s="80"/>
      <c r="DA1" s="80"/>
      <c r="DB1" s="80"/>
      <c r="DC1" s="80"/>
      <c r="DD1" s="80"/>
      <c r="DE1" s="80"/>
      <c r="DF1" s="80"/>
      <c r="DG1" s="80"/>
      <c r="DH1" s="80"/>
      <c r="DI1" s="80"/>
      <c r="DJ1" s="80"/>
      <c r="DK1" s="80"/>
      <c r="DL1" s="80"/>
      <c r="DM1" s="80"/>
      <c r="DN1" s="80"/>
      <c r="DO1" s="80"/>
      <c r="DP1" s="80"/>
      <c r="DQ1" s="80"/>
      <c r="DR1" s="80"/>
      <c r="DS1" s="80"/>
      <c r="DT1" s="80"/>
      <c r="DU1" s="80"/>
      <c r="DV1" s="80"/>
      <c r="DW1" s="80"/>
      <c r="DX1" s="80"/>
      <c r="DY1" s="80"/>
      <c r="DZ1" s="80"/>
      <c r="EA1" s="80"/>
      <c r="EB1" s="80"/>
      <c r="EC1" s="80"/>
      <c r="ED1" s="80"/>
      <c r="EE1" s="80"/>
      <c r="EF1" s="80"/>
      <c r="EG1" s="80"/>
      <c r="EH1" s="80"/>
      <c r="EI1" s="80"/>
      <c r="EJ1" s="80"/>
      <c r="EK1" s="80"/>
      <c r="EL1" s="80"/>
      <c r="EM1" s="80"/>
      <c r="EN1" s="80"/>
      <c r="EO1" s="80"/>
      <c r="EP1" s="80"/>
      <c r="EQ1" s="80"/>
      <c r="ER1" s="80"/>
      <c r="ES1" s="80"/>
      <c r="ET1" s="80"/>
      <c r="EU1" s="80"/>
      <c r="EV1" s="80"/>
    </row>
    <row r="2" spans="1:152" ht="15.75" thickBot="1" x14ac:dyDescent="0.3">
      <c r="C2" s="12"/>
      <c r="D2" s="12"/>
      <c r="E2" s="12"/>
    </row>
    <row r="3" spans="1:152" ht="15.75" thickTop="1" x14ac:dyDescent="0.25">
      <c r="B3" s="1" t="s">
        <v>0</v>
      </c>
      <c r="C3" s="4" t="s">
        <v>10</v>
      </c>
    </row>
    <row r="4" spans="1:152" ht="15.4" customHeight="1" x14ac:dyDescent="0.25">
      <c r="B4" s="2" t="s">
        <v>1</v>
      </c>
      <c r="C4" s="5" t="s">
        <v>84</v>
      </c>
      <c r="D4" s="81" t="s">
        <v>791</v>
      </c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2"/>
      <c r="BK4" s="82"/>
      <c r="BL4" s="82"/>
      <c r="BM4" s="82"/>
      <c r="BN4" s="82"/>
      <c r="BO4" s="82"/>
      <c r="BP4" s="82"/>
      <c r="BQ4" s="82"/>
      <c r="BR4" s="82"/>
      <c r="BS4" s="82"/>
      <c r="BT4" s="82"/>
      <c r="BU4" s="82"/>
      <c r="BV4" s="82"/>
      <c r="BW4" s="82"/>
      <c r="BX4" s="82"/>
      <c r="BY4" s="82"/>
      <c r="BZ4" s="82"/>
      <c r="CA4" s="82"/>
      <c r="CB4" s="82"/>
      <c r="CC4" s="82"/>
      <c r="CD4" s="82"/>
      <c r="CE4" s="82"/>
      <c r="CF4" s="82"/>
      <c r="CG4" s="82"/>
      <c r="CH4" s="82"/>
      <c r="CI4" s="82"/>
      <c r="CJ4" s="82"/>
      <c r="CL4" s="82" t="s">
        <v>792</v>
      </c>
      <c r="CM4" s="82"/>
      <c r="CN4" s="82"/>
      <c r="CO4" s="82"/>
      <c r="CP4" s="82"/>
      <c r="CQ4" s="82"/>
      <c r="CR4" s="82"/>
      <c r="CS4" s="82"/>
      <c r="CT4" s="82"/>
      <c r="CU4" s="82"/>
      <c r="CV4" s="82"/>
      <c r="CW4" s="82"/>
      <c r="CX4" s="82"/>
      <c r="CY4" s="82"/>
      <c r="CZ4" s="82"/>
      <c r="DA4" s="82"/>
      <c r="DB4" s="82"/>
      <c r="DC4" s="82"/>
      <c r="DD4" s="82"/>
      <c r="DE4" s="82"/>
      <c r="DF4" s="82"/>
      <c r="DG4" s="82"/>
      <c r="DH4" s="82"/>
      <c r="DI4" s="82"/>
      <c r="DJ4" s="82"/>
      <c r="DK4" s="82"/>
      <c r="DL4" s="82"/>
      <c r="DM4" s="82"/>
      <c r="DN4" s="82"/>
      <c r="DO4" s="82"/>
      <c r="DP4" s="82"/>
      <c r="DQ4" s="82"/>
      <c r="DR4" s="82"/>
      <c r="DS4" s="82"/>
      <c r="DT4" s="82"/>
      <c r="DU4" s="82"/>
      <c r="DV4" s="82"/>
      <c r="DW4" s="82"/>
      <c r="DX4" s="82"/>
      <c r="DY4" s="82"/>
      <c r="DZ4" s="82"/>
      <c r="EA4" s="82"/>
      <c r="EB4" s="82"/>
      <c r="EC4" s="82"/>
      <c r="ED4" s="82"/>
      <c r="EE4" s="82"/>
      <c r="EF4" s="82"/>
      <c r="EG4" s="82"/>
      <c r="EH4" s="82"/>
      <c r="EI4" s="82"/>
      <c r="EJ4" s="82"/>
      <c r="EK4" s="82"/>
      <c r="EL4" s="82"/>
      <c r="EM4" s="82"/>
      <c r="EN4" s="82"/>
      <c r="EO4" s="82"/>
      <c r="EP4" s="82"/>
      <c r="EQ4" s="82"/>
      <c r="ER4" s="82"/>
      <c r="ES4" s="82"/>
      <c r="ET4" s="82"/>
      <c r="EU4" s="82"/>
      <c r="EV4" s="82"/>
    </row>
    <row r="5" spans="1:152" ht="16.149999999999999" customHeight="1" thickBot="1" x14ac:dyDescent="0.3">
      <c r="B5" s="3" t="s">
        <v>2</v>
      </c>
      <c r="C5" s="53">
        <v>-100</v>
      </c>
      <c r="D5" s="81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2"/>
      <c r="BI5" s="82"/>
      <c r="BJ5" s="82"/>
      <c r="BK5" s="82"/>
      <c r="BL5" s="82"/>
      <c r="BM5" s="82"/>
      <c r="BN5" s="82"/>
      <c r="BO5" s="82"/>
      <c r="BP5" s="82"/>
      <c r="BQ5" s="82"/>
      <c r="BR5" s="82"/>
      <c r="BS5" s="82"/>
      <c r="BT5" s="82"/>
      <c r="BU5" s="82"/>
      <c r="BV5" s="82"/>
      <c r="BW5" s="82"/>
      <c r="BX5" s="82"/>
      <c r="BY5" s="82"/>
      <c r="BZ5" s="82"/>
      <c r="CA5" s="82"/>
      <c r="CB5" s="82"/>
      <c r="CC5" s="82"/>
      <c r="CD5" s="82"/>
      <c r="CE5" s="82"/>
      <c r="CF5" s="82"/>
      <c r="CG5" s="82"/>
      <c r="CH5" s="82"/>
      <c r="CI5" s="82"/>
      <c r="CJ5" s="82"/>
      <c r="CL5" s="82"/>
      <c r="CM5" s="82"/>
      <c r="CN5" s="82"/>
      <c r="CO5" s="82"/>
      <c r="CP5" s="82"/>
      <c r="CQ5" s="82"/>
      <c r="CR5" s="82"/>
      <c r="CS5" s="82"/>
      <c r="CT5" s="82"/>
      <c r="CU5" s="82"/>
      <c r="CV5" s="82"/>
      <c r="CW5" s="82"/>
      <c r="CX5" s="82"/>
      <c r="CY5" s="82"/>
      <c r="CZ5" s="82"/>
      <c r="DA5" s="82"/>
      <c r="DB5" s="82"/>
      <c r="DC5" s="82"/>
      <c r="DD5" s="82"/>
      <c r="DE5" s="82"/>
      <c r="DF5" s="82"/>
      <c r="DG5" s="82"/>
      <c r="DH5" s="82"/>
      <c r="DI5" s="82"/>
      <c r="DJ5" s="82"/>
      <c r="DK5" s="82"/>
      <c r="DL5" s="82"/>
      <c r="DM5" s="82"/>
      <c r="DN5" s="82"/>
      <c r="DO5" s="82"/>
      <c r="DP5" s="82"/>
      <c r="DQ5" s="82"/>
      <c r="DR5" s="82"/>
      <c r="DS5" s="82"/>
      <c r="DT5" s="82"/>
      <c r="DU5" s="82"/>
      <c r="DV5" s="82"/>
      <c r="DW5" s="82"/>
      <c r="DX5" s="82"/>
      <c r="DY5" s="82"/>
      <c r="DZ5" s="82"/>
      <c r="EA5" s="82"/>
      <c r="EB5" s="82"/>
      <c r="EC5" s="82"/>
      <c r="ED5" s="82"/>
      <c r="EE5" s="82"/>
      <c r="EF5" s="82"/>
      <c r="EG5" s="82"/>
      <c r="EH5" s="82"/>
      <c r="EI5" s="82"/>
      <c r="EJ5" s="82"/>
      <c r="EK5" s="82"/>
      <c r="EL5" s="82"/>
      <c r="EM5" s="82"/>
      <c r="EN5" s="82"/>
      <c r="EO5" s="82"/>
      <c r="EP5" s="82"/>
      <c r="EQ5" s="82"/>
      <c r="ER5" s="82"/>
      <c r="ES5" s="82"/>
      <c r="ET5" s="82"/>
      <c r="EU5" s="82"/>
      <c r="EV5" s="82"/>
    </row>
    <row r="6" spans="1:152" ht="15.75" thickTop="1" x14ac:dyDescent="0.25"/>
    <row r="7" spans="1:152" ht="15.75" thickBot="1" x14ac:dyDescent="0.3"/>
    <row r="8" spans="1:152" ht="15.75" thickTop="1" x14ac:dyDescent="0.25">
      <c r="B8" s="73" t="s">
        <v>61</v>
      </c>
      <c r="C8" s="74"/>
      <c r="D8" s="1"/>
      <c r="E8" s="1"/>
      <c r="F8" s="4" t="s">
        <v>82</v>
      </c>
      <c r="G8" s="4" t="s">
        <v>170</v>
      </c>
      <c r="H8" s="4" t="s">
        <v>224</v>
      </c>
      <c r="I8" s="4" t="s">
        <v>82</v>
      </c>
      <c r="J8" s="4" t="s">
        <v>82</v>
      </c>
      <c r="K8" s="4" t="s">
        <v>287</v>
      </c>
      <c r="L8" s="4" t="s">
        <v>286</v>
      </c>
      <c r="M8" s="4" t="s">
        <v>289</v>
      </c>
      <c r="N8" s="4" t="s">
        <v>296</v>
      </c>
      <c r="O8" s="4" t="s">
        <v>82</v>
      </c>
      <c r="P8" s="4" t="s">
        <v>82</v>
      </c>
      <c r="Q8" s="4" t="s">
        <v>82</v>
      </c>
      <c r="R8" s="4" t="s">
        <v>82</v>
      </c>
      <c r="S8" s="4" t="s">
        <v>82</v>
      </c>
      <c r="T8" s="4" t="s">
        <v>82</v>
      </c>
      <c r="U8" s="4" t="s">
        <v>82</v>
      </c>
      <c r="V8" s="4" t="s">
        <v>82</v>
      </c>
      <c r="W8" s="4" t="s">
        <v>316</v>
      </c>
      <c r="X8" s="4" t="s">
        <v>82</v>
      </c>
      <c r="Y8" s="4" t="s">
        <v>334</v>
      </c>
      <c r="Z8" s="4" t="s">
        <v>334</v>
      </c>
      <c r="AA8" s="1"/>
      <c r="AB8" s="25">
        <v>44927</v>
      </c>
      <c r="AC8" s="29" t="s">
        <v>82</v>
      </c>
      <c r="AD8" s="29" t="s">
        <v>82</v>
      </c>
      <c r="AE8" s="29" t="s">
        <v>82</v>
      </c>
      <c r="AF8" s="29" t="s">
        <v>334</v>
      </c>
      <c r="AG8" s="29" t="s">
        <v>82</v>
      </c>
      <c r="AH8" s="29" t="s">
        <v>82</v>
      </c>
      <c r="AI8" s="29" t="s">
        <v>387</v>
      </c>
      <c r="AJ8" s="29" t="s">
        <v>387</v>
      </c>
      <c r="AK8" s="29" t="s">
        <v>387</v>
      </c>
      <c r="AL8" s="29" t="s">
        <v>82</v>
      </c>
      <c r="AM8" s="29" t="s">
        <v>334</v>
      </c>
      <c r="AN8" s="29" t="s">
        <v>82</v>
      </c>
      <c r="AO8" s="29" t="s">
        <v>82</v>
      </c>
      <c r="AP8" s="29" t="s">
        <v>82</v>
      </c>
      <c r="AQ8" s="29" t="s">
        <v>82</v>
      </c>
      <c r="AR8" s="29" t="s">
        <v>334</v>
      </c>
      <c r="AS8" s="29" t="s">
        <v>82</v>
      </c>
      <c r="AT8" s="29" t="s">
        <v>82</v>
      </c>
      <c r="AU8" s="29" t="s">
        <v>82</v>
      </c>
      <c r="AV8" s="29" t="s">
        <v>339</v>
      </c>
      <c r="AW8" s="1" t="s">
        <v>9</v>
      </c>
      <c r="AX8" s="29">
        <v>45292</v>
      </c>
      <c r="AY8" s="29" t="s">
        <v>82</v>
      </c>
      <c r="AZ8" s="29" t="s">
        <v>82</v>
      </c>
      <c r="BA8" s="29" t="s">
        <v>82</v>
      </c>
      <c r="BB8" s="29" t="s">
        <v>82</v>
      </c>
      <c r="BC8" s="29" t="s">
        <v>82</v>
      </c>
      <c r="BD8" s="29" t="s">
        <v>82</v>
      </c>
      <c r="BE8" s="29" t="s">
        <v>334</v>
      </c>
      <c r="BF8" s="29" t="s">
        <v>334</v>
      </c>
      <c r="BG8" s="29" t="s">
        <v>387</v>
      </c>
      <c r="BH8" s="29" t="s">
        <v>387</v>
      </c>
      <c r="BI8" s="29" t="s">
        <v>387</v>
      </c>
      <c r="BJ8" s="29" t="s">
        <v>334</v>
      </c>
      <c r="BK8" s="29" t="s">
        <v>82</v>
      </c>
      <c r="BL8" s="29" t="s">
        <v>82</v>
      </c>
      <c r="BM8" s="29" t="s">
        <v>82</v>
      </c>
      <c r="BN8" s="29" t="s">
        <v>82</v>
      </c>
      <c r="BO8" s="29" t="s">
        <v>82</v>
      </c>
      <c r="BP8" s="29" t="s">
        <v>82</v>
      </c>
      <c r="BQ8" s="29" t="s">
        <v>82</v>
      </c>
      <c r="BR8" s="29" t="s">
        <v>334</v>
      </c>
      <c r="BS8" s="29" t="s">
        <v>339</v>
      </c>
      <c r="BT8" s="29" t="s">
        <v>9</v>
      </c>
      <c r="BU8" s="29">
        <v>45658</v>
      </c>
      <c r="BV8" s="29"/>
      <c r="BW8" s="29"/>
      <c r="BX8" s="59"/>
      <c r="BY8" s="60"/>
      <c r="BZ8" s="60"/>
      <c r="CA8" s="61"/>
      <c r="CB8" s="29" t="s">
        <v>9</v>
      </c>
      <c r="CC8" s="29">
        <v>46023</v>
      </c>
      <c r="CD8" s="29"/>
      <c r="CE8" s="29"/>
      <c r="CF8" s="59"/>
      <c r="CG8" s="60"/>
      <c r="CH8" s="60"/>
      <c r="CI8" s="61"/>
      <c r="CJ8" s="29" t="s">
        <v>612</v>
      </c>
      <c r="CL8" s="25">
        <v>44927</v>
      </c>
      <c r="CM8" s="1" t="s">
        <v>59</v>
      </c>
      <c r="CN8" s="1" t="s">
        <v>59</v>
      </c>
      <c r="CO8" s="4" t="s">
        <v>58</v>
      </c>
      <c r="CP8" s="4" t="s">
        <v>77</v>
      </c>
      <c r="CQ8" s="4" t="s">
        <v>120</v>
      </c>
      <c r="CR8" s="4" t="s">
        <v>291</v>
      </c>
      <c r="CS8" s="4" t="s">
        <v>77</v>
      </c>
      <c r="CT8" s="4" t="s">
        <v>302</v>
      </c>
      <c r="CU8" s="4" t="s">
        <v>79</v>
      </c>
      <c r="CV8" s="4" t="s">
        <v>79</v>
      </c>
      <c r="CW8" s="4" t="s">
        <v>79</v>
      </c>
      <c r="CX8" s="4" t="s">
        <v>79</v>
      </c>
      <c r="CY8" s="4" t="s">
        <v>325</v>
      </c>
      <c r="CZ8" s="4" t="s">
        <v>77</v>
      </c>
      <c r="DA8" s="4" t="s">
        <v>331</v>
      </c>
      <c r="DB8" s="4" t="s">
        <v>79</v>
      </c>
      <c r="DC8" s="4" t="s">
        <v>77</v>
      </c>
      <c r="DD8" s="1" t="s">
        <v>9</v>
      </c>
      <c r="DE8" s="1" t="s">
        <v>58</v>
      </c>
      <c r="DF8" s="1" t="s">
        <v>347</v>
      </c>
      <c r="DG8" s="1" t="s">
        <v>346</v>
      </c>
      <c r="DH8" s="1" t="s">
        <v>350</v>
      </c>
      <c r="DI8" s="1" t="s">
        <v>351</v>
      </c>
      <c r="DJ8" s="1" t="s">
        <v>377</v>
      </c>
      <c r="DK8" s="32" t="s">
        <v>381</v>
      </c>
      <c r="DL8" s="32" t="s">
        <v>385</v>
      </c>
      <c r="DM8" s="32" t="s">
        <v>399</v>
      </c>
      <c r="DN8" s="32" t="s">
        <v>405</v>
      </c>
      <c r="DO8" s="4" t="s">
        <v>331</v>
      </c>
      <c r="DP8" s="32" t="s">
        <v>423</v>
      </c>
      <c r="DQ8" s="4" t="s">
        <v>120</v>
      </c>
      <c r="DR8" s="4" t="s">
        <v>443</v>
      </c>
      <c r="DS8" s="4" t="s">
        <v>445</v>
      </c>
      <c r="DT8" s="4" t="s">
        <v>335</v>
      </c>
      <c r="DU8" s="1" t="s">
        <v>9</v>
      </c>
      <c r="DV8" s="29">
        <v>45292</v>
      </c>
      <c r="DW8" s="4" t="s">
        <v>59</v>
      </c>
      <c r="DX8" s="4" t="s">
        <v>464</v>
      </c>
      <c r="DY8" s="4" t="s">
        <v>120</v>
      </c>
      <c r="DZ8" s="4" t="s">
        <v>505</v>
      </c>
      <c r="EA8" s="4" t="s">
        <v>512</v>
      </c>
      <c r="EB8" s="4" t="s">
        <v>555</v>
      </c>
      <c r="EC8" s="4" t="s">
        <v>505</v>
      </c>
      <c r="ED8" s="4" t="s">
        <v>335</v>
      </c>
      <c r="EE8" s="4" t="s">
        <v>9</v>
      </c>
      <c r="EF8" s="25">
        <v>45658</v>
      </c>
      <c r="EG8" s="4" t="s">
        <v>464</v>
      </c>
      <c r="EH8" s="4" t="s">
        <v>120</v>
      </c>
      <c r="EI8" s="4" t="s">
        <v>505</v>
      </c>
      <c r="EJ8" s="4" t="s">
        <v>302</v>
      </c>
      <c r="EK8" s="4" t="s">
        <v>505</v>
      </c>
      <c r="EL8" s="4" t="s">
        <v>331</v>
      </c>
      <c r="EM8" s="4" t="s">
        <v>505</v>
      </c>
      <c r="EN8" s="4" t="s">
        <v>335</v>
      </c>
      <c r="EO8" s="4" t="s">
        <v>443</v>
      </c>
      <c r="EP8" s="4" t="s">
        <v>612</v>
      </c>
      <c r="EQ8" s="29">
        <v>46023</v>
      </c>
      <c r="ER8" s="4" t="s">
        <v>120</v>
      </c>
      <c r="ES8" s="4" t="s">
        <v>505</v>
      </c>
      <c r="ET8" s="4" t="s">
        <v>505</v>
      </c>
      <c r="EU8" s="4" t="s">
        <v>331</v>
      </c>
      <c r="EV8" s="1" t="s">
        <v>9</v>
      </c>
    </row>
    <row r="9" spans="1:152" x14ac:dyDescent="0.25">
      <c r="B9" s="75"/>
      <c r="C9" s="76"/>
      <c r="D9" s="2"/>
      <c r="E9" s="2"/>
      <c r="F9" s="14" t="s">
        <v>132</v>
      </c>
      <c r="G9" s="14" t="s">
        <v>171</v>
      </c>
      <c r="H9" s="14" t="s">
        <v>225</v>
      </c>
      <c r="I9" s="14" t="s">
        <v>266</v>
      </c>
      <c r="J9" s="14" t="s">
        <v>259</v>
      </c>
      <c r="K9" s="14" t="s">
        <v>278</v>
      </c>
      <c r="L9" s="14" t="s">
        <v>284</v>
      </c>
      <c r="M9" s="14" t="s">
        <v>290</v>
      </c>
      <c r="N9" s="14" t="s">
        <v>171</v>
      </c>
      <c r="O9" s="14" t="s">
        <v>304</v>
      </c>
      <c r="P9" s="14" t="s">
        <v>132</v>
      </c>
      <c r="Q9" s="14" t="s">
        <v>266</v>
      </c>
      <c r="R9" s="14" t="s">
        <v>156</v>
      </c>
      <c r="S9" s="14" t="s">
        <v>314</v>
      </c>
      <c r="T9" s="14" t="s">
        <v>261</v>
      </c>
      <c r="U9" s="14" t="s">
        <v>83</v>
      </c>
      <c r="V9" s="14" t="s">
        <v>304</v>
      </c>
      <c r="W9" s="14" t="s">
        <v>317</v>
      </c>
      <c r="X9" s="14" t="s">
        <v>314</v>
      </c>
      <c r="Y9" s="14" t="s">
        <v>335</v>
      </c>
      <c r="Z9" s="14" t="s">
        <v>339</v>
      </c>
      <c r="AA9" s="2" t="s">
        <v>9</v>
      </c>
      <c r="AB9" s="2"/>
      <c r="AC9" s="5" t="s">
        <v>132</v>
      </c>
      <c r="AD9" s="5" t="s">
        <v>304</v>
      </c>
      <c r="AE9" s="5" t="s">
        <v>85</v>
      </c>
      <c r="AF9" s="5" t="s">
        <v>287</v>
      </c>
      <c r="AG9" s="5" t="s">
        <v>266</v>
      </c>
      <c r="AH9" s="5" t="s">
        <v>314</v>
      </c>
      <c r="AI9" s="5" t="s">
        <v>286</v>
      </c>
      <c r="AJ9" s="5" t="s">
        <v>289</v>
      </c>
      <c r="AK9" s="5" t="s">
        <v>287</v>
      </c>
      <c r="AL9" s="5" t="s">
        <v>261</v>
      </c>
      <c r="AM9" s="5" t="s">
        <v>286</v>
      </c>
      <c r="AN9" s="5" t="s">
        <v>420</v>
      </c>
      <c r="AO9" s="5" t="s">
        <v>266</v>
      </c>
      <c r="AP9" s="5" t="s">
        <v>429</v>
      </c>
      <c r="AQ9" s="5" t="s">
        <v>314</v>
      </c>
      <c r="AR9" s="5" t="s">
        <v>289</v>
      </c>
      <c r="AS9" s="5" t="s">
        <v>261</v>
      </c>
      <c r="AT9" s="5" t="s">
        <v>167</v>
      </c>
      <c r="AU9" s="5" t="s">
        <v>420</v>
      </c>
      <c r="AV9" s="5"/>
      <c r="AW9" s="2"/>
      <c r="AX9" s="5"/>
      <c r="AY9" s="5" t="s">
        <v>266</v>
      </c>
      <c r="AZ9" s="5" t="s">
        <v>486</v>
      </c>
      <c r="BA9" s="5" t="s">
        <v>492</v>
      </c>
      <c r="BB9" s="5" t="s">
        <v>420</v>
      </c>
      <c r="BC9" s="5" t="s">
        <v>85</v>
      </c>
      <c r="BD9" s="5" t="s">
        <v>167</v>
      </c>
      <c r="BE9" s="5" t="s">
        <v>286</v>
      </c>
      <c r="BF9" s="5" t="s">
        <v>524</v>
      </c>
      <c r="BG9" s="5" t="s">
        <v>287</v>
      </c>
      <c r="BH9" s="5" t="s">
        <v>286</v>
      </c>
      <c r="BI9" s="5" t="s">
        <v>289</v>
      </c>
      <c r="BJ9" s="5" t="s">
        <v>287</v>
      </c>
      <c r="BK9" s="5" t="s">
        <v>266</v>
      </c>
      <c r="BL9" s="5" t="s">
        <v>492</v>
      </c>
      <c r="BM9" s="5" t="s">
        <v>420</v>
      </c>
      <c r="BN9" s="5" t="s">
        <v>486</v>
      </c>
      <c r="BO9" s="5" t="s">
        <v>308</v>
      </c>
      <c r="BP9" s="5" t="s">
        <v>261</v>
      </c>
      <c r="BQ9" s="5" t="s">
        <v>578</v>
      </c>
      <c r="BR9" s="5" t="s">
        <v>289</v>
      </c>
      <c r="BS9" s="5" t="s">
        <v>606</v>
      </c>
      <c r="BT9" s="5"/>
      <c r="BU9" s="5"/>
      <c r="BV9" s="14" t="s">
        <v>82</v>
      </c>
      <c r="BW9" s="14" t="s">
        <v>387</v>
      </c>
      <c r="BX9" s="77" t="s">
        <v>608</v>
      </c>
      <c r="BY9" s="78"/>
      <c r="BZ9" s="78"/>
      <c r="CA9" s="79"/>
      <c r="CB9" s="5"/>
      <c r="CC9" s="5"/>
      <c r="CD9" s="14" t="s">
        <v>82</v>
      </c>
      <c r="CE9" s="14" t="s">
        <v>387</v>
      </c>
      <c r="CF9" s="77" t="s">
        <v>608</v>
      </c>
      <c r="CG9" s="78"/>
      <c r="CH9" s="78"/>
      <c r="CI9" s="79"/>
      <c r="CJ9" s="14"/>
      <c r="CL9" s="2"/>
      <c r="CM9" s="2" t="s">
        <v>60</v>
      </c>
      <c r="CN9" s="2" t="s">
        <v>60</v>
      </c>
      <c r="CO9" s="5"/>
      <c r="CP9" s="5" t="s">
        <v>81</v>
      </c>
      <c r="CQ9" s="5" t="s">
        <v>121</v>
      </c>
      <c r="CR9" s="5" t="s">
        <v>292</v>
      </c>
      <c r="CS9" s="5" t="s">
        <v>295</v>
      </c>
      <c r="CT9" s="5" t="s">
        <v>303</v>
      </c>
      <c r="CU9" s="5" t="s">
        <v>311</v>
      </c>
      <c r="CV9" s="5" t="s">
        <v>313</v>
      </c>
      <c r="CW9" s="5" t="s">
        <v>312</v>
      </c>
      <c r="CX9" s="5" t="s">
        <v>121</v>
      </c>
      <c r="CY9" s="5" t="s">
        <v>326</v>
      </c>
      <c r="CZ9" s="5" t="s">
        <v>329</v>
      </c>
      <c r="DA9" s="5" t="s">
        <v>332</v>
      </c>
      <c r="DB9" s="5" t="s">
        <v>332</v>
      </c>
      <c r="DC9" s="5" t="s">
        <v>333</v>
      </c>
      <c r="DD9" s="2"/>
      <c r="DE9" s="2"/>
      <c r="DF9" s="2"/>
      <c r="DG9" s="2"/>
      <c r="DH9" s="2"/>
      <c r="DI9" s="2"/>
      <c r="DJ9" s="2"/>
      <c r="DK9" s="33"/>
      <c r="DL9" s="33"/>
      <c r="DM9" s="33"/>
      <c r="DN9" s="33"/>
      <c r="DO9" s="5" t="s">
        <v>326</v>
      </c>
      <c r="DP9" s="33"/>
      <c r="DQ9" s="5" t="s">
        <v>430</v>
      </c>
      <c r="DR9" s="5" t="s">
        <v>444</v>
      </c>
      <c r="DS9" s="5"/>
      <c r="DT9" s="5" t="s">
        <v>444</v>
      </c>
      <c r="DU9" s="2"/>
      <c r="DV9" s="12"/>
      <c r="DW9" s="5" t="s">
        <v>60</v>
      </c>
      <c r="DX9" s="5"/>
      <c r="DY9" s="5" t="s">
        <v>501</v>
      </c>
      <c r="DZ9" s="5" t="s">
        <v>444</v>
      </c>
      <c r="EA9" s="5" t="s">
        <v>329</v>
      </c>
      <c r="EB9" s="5" t="s">
        <v>458</v>
      </c>
      <c r="EC9" s="5" t="s">
        <v>584</v>
      </c>
      <c r="ED9" s="5" t="s">
        <v>171</v>
      </c>
      <c r="EE9" s="5"/>
      <c r="EF9" s="2"/>
      <c r="EG9" s="5"/>
      <c r="EH9" s="5" t="s">
        <v>444</v>
      </c>
      <c r="EI9" s="5" t="s">
        <v>584</v>
      </c>
      <c r="EJ9" s="5" t="s">
        <v>544</v>
      </c>
      <c r="EK9" s="5" t="s">
        <v>544</v>
      </c>
      <c r="EL9" s="5" t="s">
        <v>326</v>
      </c>
      <c r="EM9" s="5" t="s">
        <v>430</v>
      </c>
      <c r="EN9" s="5" t="s">
        <v>171</v>
      </c>
      <c r="EO9" s="5" t="s">
        <v>544</v>
      </c>
      <c r="EP9" s="5"/>
      <c r="EQ9" s="5"/>
      <c r="ER9" s="5" t="s">
        <v>225</v>
      </c>
      <c r="ES9" s="5" t="s">
        <v>332</v>
      </c>
      <c r="ET9" s="5" t="s">
        <v>444</v>
      </c>
      <c r="EU9" s="5" t="s">
        <v>444</v>
      </c>
      <c r="EV9" s="2"/>
    </row>
    <row r="10" spans="1:152" x14ac:dyDescent="0.25">
      <c r="B10" s="75"/>
      <c r="C10" s="76"/>
      <c r="D10" s="2" t="s">
        <v>4</v>
      </c>
      <c r="E10" s="2" t="s">
        <v>5</v>
      </c>
      <c r="F10" s="15">
        <v>44660</v>
      </c>
      <c r="G10" s="5" t="s">
        <v>172</v>
      </c>
      <c r="H10" s="15">
        <v>44695</v>
      </c>
      <c r="I10" s="15">
        <v>44709</v>
      </c>
      <c r="J10" s="15">
        <v>44709</v>
      </c>
      <c r="K10" s="15">
        <v>44730</v>
      </c>
      <c r="L10" s="15">
        <v>44730</v>
      </c>
      <c r="M10" s="15">
        <v>44737</v>
      </c>
      <c r="N10" s="15">
        <v>44758</v>
      </c>
      <c r="O10" s="15">
        <v>44765</v>
      </c>
      <c r="P10" s="15">
        <v>44779</v>
      </c>
      <c r="Q10" s="15">
        <v>44800</v>
      </c>
      <c r="R10" s="15">
        <v>44807</v>
      </c>
      <c r="S10" s="15">
        <v>44814</v>
      </c>
      <c r="T10" s="15">
        <v>44814</v>
      </c>
      <c r="U10" s="15">
        <v>44814</v>
      </c>
      <c r="V10" s="15">
        <v>44814</v>
      </c>
      <c r="W10" s="15">
        <v>44828</v>
      </c>
      <c r="X10" s="15">
        <v>44856</v>
      </c>
      <c r="Y10" s="15">
        <v>44891</v>
      </c>
      <c r="Z10" s="15">
        <v>44905</v>
      </c>
      <c r="AA10" s="2">
        <v>2022</v>
      </c>
      <c r="AB10" s="2"/>
      <c r="AC10" s="5" t="s">
        <v>353</v>
      </c>
      <c r="AD10" s="5" t="s">
        <v>357</v>
      </c>
      <c r="AE10" s="5" t="s">
        <v>359</v>
      </c>
      <c r="AF10" s="5" t="s">
        <v>172</v>
      </c>
      <c r="AG10" s="5" t="s">
        <v>382</v>
      </c>
      <c r="AH10" s="5">
        <v>2705</v>
      </c>
      <c r="AI10" s="5" t="s">
        <v>388</v>
      </c>
      <c r="AJ10" s="5" t="s">
        <v>396</v>
      </c>
      <c r="AK10" s="5" t="s">
        <v>400</v>
      </c>
      <c r="AL10" s="5" t="s">
        <v>408</v>
      </c>
      <c r="AM10" s="5" t="s">
        <v>412</v>
      </c>
      <c r="AN10" s="5" t="s">
        <v>421</v>
      </c>
      <c r="AO10" s="5" t="s">
        <v>424</v>
      </c>
      <c r="AP10" s="5" t="s">
        <v>428</v>
      </c>
      <c r="AQ10" s="5" t="s">
        <v>424</v>
      </c>
      <c r="AR10" s="5" t="s">
        <v>432</v>
      </c>
      <c r="AS10" s="5" t="s">
        <v>433</v>
      </c>
      <c r="AT10" s="5" t="s">
        <v>439</v>
      </c>
      <c r="AU10" s="5" t="s">
        <v>446</v>
      </c>
      <c r="AV10" s="5" t="s">
        <v>453</v>
      </c>
      <c r="AW10" s="2">
        <v>2023</v>
      </c>
      <c r="AX10" s="35"/>
      <c r="AY10" s="35" t="s">
        <v>479</v>
      </c>
      <c r="AZ10" s="35" t="s">
        <v>479</v>
      </c>
      <c r="BA10" s="35" t="s">
        <v>479</v>
      </c>
      <c r="BB10" s="35" t="s">
        <v>479</v>
      </c>
      <c r="BC10" s="35" t="s">
        <v>499</v>
      </c>
      <c r="BD10" s="35" t="s">
        <v>503</v>
      </c>
      <c r="BE10" s="35" t="s">
        <v>513</v>
      </c>
      <c r="BF10" s="35" t="s">
        <v>525</v>
      </c>
      <c r="BG10" s="35" t="s">
        <v>534</v>
      </c>
      <c r="BH10" s="35" t="s">
        <v>534</v>
      </c>
      <c r="BI10" s="35" t="s">
        <v>546</v>
      </c>
      <c r="BJ10" s="35" t="s">
        <v>550</v>
      </c>
      <c r="BK10" s="35" t="s">
        <v>558</v>
      </c>
      <c r="BL10" s="35" t="s">
        <v>564</v>
      </c>
      <c r="BM10" s="35" t="s">
        <v>559</v>
      </c>
      <c r="BN10" s="35" t="s">
        <v>567</v>
      </c>
      <c r="BO10" s="35" t="s">
        <v>567</v>
      </c>
      <c r="BP10" s="35" t="s">
        <v>573</v>
      </c>
      <c r="BQ10" s="35" t="s">
        <v>579</v>
      </c>
      <c r="BR10" s="35" t="s">
        <v>587</v>
      </c>
      <c r="BS10" s="35" t="s">
        <v>607</v>
      </c>
      <c r="BT10" s="35">
        <v>2024</v>
      </c>
      <c r="BU10" s="5"/>
      <c r="BV10" s="5"/>
      <c r="BW10" s="5"/>
      <c r="BX10" s="5">
        <v>1</v>
      </c>
      <c r="BY10" s="5">
        <v>2</v>
      </c>
      <c r="BZ10" s="5">
        <v>3</v>
      </c>
      <c r="CA10" s="5">
        <v>4</v>
      </c>
      <c r="CB10" s="5">
        <v>2025</v>
      </c>
      <c r="CC10" s="5"/>
      <c r="CD10" s="5"/>
      <c r="CE10" s="5"/>
      <c r="CF10" s="5">
        <v>1</v>
      </c>
      <c r="CG10" s="5">
        <v>2</v>
      </c>
      <c r="CH10" s="5">
        <v>3</v>
      </c>
      <c r="CI10" s="5">
        <v>4</v>
      </c>
      <c r="CJ10" s="5">
        <v>2026</v>
      </c>
      <c r="CL10" s="2"/>
      <c r="CM10" s="2"/>
      <c r="CN10" s="2"/>
      <c r="CO10" s="14">
        <v>44562</v>
      </c>
      <c r="CP10" s="14">
        <v>44652</v>
      </c>
      <c r="CQ10" s="14">
        <v>44652</v>
      </c>
      <c r="CR10" s="14">
        <v>44737</v>
      </c>
      <c r="CS10" s="14">
        <v>44752</v>
      </c>
      <c r="CT10" s="14">
        <v>44743</v>
      </c>
      <c r="CU10" s="14">
        <v>44805</v>
      </c>
      <c r="CV10" s="14">
        <v>44805</v>
      </c>
      <c r="CW10" s="14">
        <v>44805</v>
      </c>
      <c r="CX10" s="14">
        <v>44821</v>
      </c>
      <c r="CY10" s="14">
        <v>44835</v>
      </c>
      <c r="CZ10" s="14">
        <v>44835</v>
      </c>
      <c r="DA10" s="14">
        <v>44868</v>
      </c>
      <c r="DB10" s="14">
        <v>44866</v>
      </c>
      <c r="DC10" s="14">
        <v>44866</v>
      </c>
      <c r="DD10" s="2">
        <v>2022</v>
      </c>
      <c r="DE10" s="7">
        <v>44927</v>
      </c>
      <c r="DF10" s="7">
        <v>44958</v>
      </c>
      <c r="DG10" s="7">
        <v>44958</v>
      </c>
      <c r="DH10" s="7">
        <v>44986</v>
      </c>
      <c r="DI10" s="7">
        <v>45017</v>
      </c>
      <c r="DJ10" s="7">
        <v>45047</v>
      </c>
      <c r="DK10" s="34">
        <v>45078</v>
      </c>
      <c r="DL10" s="34">
        <v>45088</v>
      </c>
      <c r="DM10" s="34">
        <v>45108</v>
      </c>
      <c r="DN10" s="34" t="s">
        <v>407</v>
      </c>
      <c r="DO10" s="14">
        <v>45139</v>
      </c>
      <c r="DP10" s="34">
        <v>45139</v>
      </c>
      <c r="DQ10" s="14">
        <v>45184</v>
      </c>
      <c r="DR10" s="14">
        <v>45227</v>
      </c>
      <c r="DS10" s="14">
        <v>45240</v>
      </c>
      <c r="DT10" s="14">
        <v>45255</v>
      </c>
      <c r="DU10" s="2">
        <v>2023</v>
      </c>
      <c r="DV10" s="12"/>
      <c r="DW10" s="5"/>
      <c r="DX10" s="5" t="s">
        <v>465</v>
      </c>
      <c r="DY10" s="5" t="s">
        <v>503</v>
      </c>
      <c r="DZ10" s="5" t="s">
        <v>507</v>
      </c>
      <c r="EA10" s="5" t="s">
        <v>523</v>
      </c>
      <c r="EB10" s="5" t="s">
        <v>557</v>
      </c>
      <c r="EC10" s="5" t="s">
        <v>585</v>
      </c>
      <c r="ED10" s="5" t="s">
        <v>600</v>
      </c>
      <c r="EE10" s="5">
        <v>2024</v>
      </c>
      <c r="EF10" s="2"/>
      <c r="EG10" s="5" t="s">
        <v>610</v>
      </c>
      <c r="EH10" s="5" t="s">
        <v>649</v>
      </c>
      <c r="EI10" s="5" t="s">
        <v>729</v>
      </c>
      <c r="EJ10" s="5" t="s">
        <v>587</v>
      </c>
      <c r="EK10" s="5" t="s">
        <v>439</v>
      </c>
      <c r="EL10" s="5" t="s">
        <v>769</v>
      </c>
      <c r="EM10" s="5" t="s">
        <v>599</v>
      </c>
      <c r="EN10" s="5" t="s">
        <v>600</v>
      </c>
      <c r="EO10" s="5" t="s">
        <v>789</v>
      </c>
      <c r="EP10" s="5">
        <v>2025</v>
      </c>
      <c r="EQ10" s="5"/>
      <c r="ER10" s="5" t="s">
        <v>851</v>
      </c>
      <c r="ES10" s="5" t="s">
        <v>545</v>
      </c>
      <c r="ET10" s="5" t="s">
        <v>880</v>
      </c>
      <c r="EU10" s="5" t="s">
        <v>729</v>
      </c>
      <c r="EV10" s="2">
        <v>2026</v>
      </c>
    </row>
    <row r="11" spans="1:152" x14ac:dyDescent="0.25">
      <c r="A11">
        <v>1</v>
      </c>
      <c r="B11" s="21" t="s">
        <v>226</v>
      </c>
      <c r="C11" s="21" t="s">
        <v>146</v>
      </c>
      <c r="D11" s="21" t="s">
        <v>28</v>
      </c>
      <c r="E11" s="21" t="s">
        <v>43</v>
      </c>
      <c r="F11" s="8"/>
      <c r="G11" s="8"/>
      <c r="H11" s="8"/>
      <c r="I11" s="8"/>
      <c r="J11" s="8"/>
      <c r="K11" s="8"/>
      <c r="L11" s="8"/>
      <c r="M11" s="8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8"/>
      <c r="AX11" s="8"/>
      <c r="AY11" s="8"/>
      <c r="AZ11" s="8"/>
      <c r="BA11" s="8"/>
      <c r="BB11" s="8"/>
      <c r="BC11" s="8"/>
      <c r="BD11" s="8"/>
      <c r="BE11" s="8">
        <v>105</v>
      </c>
      <c r="BF11" s="8"/>
      <c r="BG11" s="10"/>
      <c r="BH11" s="10"/>
      <c r="BI11" s="10">
        <v>3.2</v>
      </c>
      <c r="BJ11" s="10">
        <v>150</v>
      </c>
      <c r="BK11" s="10"/>
      <c r="BL11" s="10"/>
      <c r="BM11" s="10"/>
      <c r="BN11" s="10"/>
      <c r="BO11" s="10"/>
      <c r="BP11" s="10">
        <v>48</v>
      </c>
      <c r="BQ11" s="10"/>
      <c r="BR11" s="10">
        <v>150</v>
      </c>
      <c r="BS11" s="10">
        <v>140</v>
      </c>
      <c r="BT11" s="11">
        <f>SUM(AX11:BS11)</f>
        <v>596.20000000000005</v>
      </c>
      <c r="BU11" s="11">
        <f>(BT11-AX11)/2</f>
        <v>298.10000000000002</v>
      </c>
      <c r="BV11" s="11"/>
      <c r="BW11" s="11">
        <v>64</v>
      </c>
      <c r="BX11" s="11">
        <v>150</v>
      </c>
      <c r="BY11" s="11">
        <v>70</v>
      </c>
      <c r="BZ11" s="11">
        <v>150</v>
      </c>
      <c r="CA11" s="11">
        <v>105</v>
      </c>
      <c r="CB11" s="11">
        <f t="shared" ref="CB11:CB23" si="0">SUM(BU11:CA11)</f>
        <v>837.1</v>
      </c>
      <c r="CC11" s="11">
        <f t="shared" ref="CC11:CC23" si="1">(CB11-BU11)/2</f>
        <v>269.5</v>
      </c>
      <c r="CD11" s="11"/>
      <c r="CE11" s="11">
        <v>64</v>
      </c>
      <c r="CF11" s="11">
        <v>100</v>
      </c>
      <c r="CG11" s="11"/>
      <c r="CH11" s="11"/>
      <c r="CI11" s="11"/>
      <c r="CJ11" s="11">
        <f t="shared" ref="CJ11:CJ58" si="2">SUM(CC11:CI11)</f>
        <v>433.5</v>
      </c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10"/>
      <c r="DB11" s="10"/>
      <c r="DC11" s="10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>
        <f>SUM(DE11:DT11)</f>
        <v>0</v>
      </c>
      <c r="DV11" s="8">
        <f>(DU11-CL11)/2</f>
        <v>0</v>
      </c>
      <c r="DW11" s="8">
        <f>BT11/4</f>
        <v>149.05000000000001</v>
      </c>
      <c r="DX11" s="8"/>
      <c r="DY11" s="8"/>
      <c r="DZ11" s="8"/>
      <c r="EA11" s="8"/>
      <c r="EB11" s="8"/>
      <c r="EC11" s="8">
        <v>150</v>
      </c>
      <c r="ED11" s="8">
        <v>25</v>
      </c>
      <c r="EE11" s="8">
        <f>SUM(DV11:ED11)</f>
        <v>324.05</v>
      </c>
      <c r="EF11" s="8">
        <f t="shared" ref="EF11:EF23" si="3">(EE11-DV11)/2</f>
        <v>162.02500000000001</v>
      </c>
      <c r="EG11" s="10">
        <v>25</v>
      </c>
      <c r="EH11" s="10">
        <v>15</v>
      </c>
      <c r="EI11" s="10">
        <v>54</v>
      </c>
      <c r="EJ11" s="10"/>
      <c r="EK11" s="10">
        <v>7.5</v>
      </c>
      <c r="EL11" s="10">
        <v>50</v>
      </c>
      <c r="EM11" s="10">
        <v>54</v>
      </c>
      <c r="EN11" s="10"/>
      <c r="EO11" s="10"/>
      <c r="EP11" s="8">
        <f>SUM(EF11:EM11)</f>
        <v>367.52499999999998</v>
      </c>
      <c r="EQ11" s="8">
        <f t="shared" ref="EQ11:EQ58" si="4">(EP11-EF11)/2</f>
        <v>102.74999999999999</v>
      </c>
      <c r="ER11" s="8"/>
      <c r="ES11" s="8"/>
      <c r="ET11" s="10"/>
      <c r="EU11" s="10"/>
      <c r="EV11" s="27">
        <f>SUM(EQ11:ER11)</f>
        <v>102.74999999999999</v>
      </c>
    </row>
    <row r="12" spans="1:152" x14ac:dyDescent="0.25">
      <c r="A12">
        <v>2</v>
      </c>
      <c r="B12" s="8" t="s">
        <v>660</v>
      </c>
      <c r="C12" s="8"/>
      <c r="D12" s="8" t="s">
        <v>163</v>
      </c>
      <c r="E12" s="8" t="s">
        <v>661</v>
      </c>
      <c r="F12" s="8"/>
      <c r="G12" s="8"/>
      <c r="H12" s="8"/>
      <c r="I12" s="8"/>
      <c r="J12" s="8"/>
      <c r="K12" s="8"/>
      <c r="L12" s="8"/>
      <c r="M12" s="8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8"/>
      <c r="BU12" s="8"/>
      <c r="BV12" s="10">
        <v>2.4</v>
      </c>
      <c r="BW12" s="10">
        <v>48</v>
      </c>
      <c r="BX12" s="10">
        <v>75</v>
      </c>
      <c r="BY12" s="10">
        <v>2.4</v>
      </c>
      <c r="BZ12" s="10"/>
      <c r="CA12" s="10"/>
      <c r="CB12" s="11">
        <f t="shared" si="0"/>
        <v>127.80000000000001</v>
      </c>
      <c r="CC12" s="11">
        <f t="shared" si="1"/>
        <v>63.900000000000006</v>
      </c>
      <c r="CD12" s="11">
        <v>36</v>
      </c>
      <c r="CE12" s="11">
        <v>80</v>
      </c>
      <c r="CF12" s="11">
        <v>105</v>
      </c>
      <c r="CG12" s="11">
        <v>36</v>
      </c>
      <c r="CH12" s="11"/>
      <c r="CI12" s="11"/>
      <c r="CJ12" s="11">
        <f t="shared" si="2"/>
        <v>320.89999999999998</v>
      </c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10"/>
      <c r="DB12" s="10"/>
      <c r="DC12" s="10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>
        <f>SUM(DV12:EB12)</f>
        <v>0</v>
      </c>
      <c r="EF12" s="8">
        <f t="shared" si="3"/>
        <v>0</v>
      </c>
      <c r="EG12" s="10"/>
      <c r="EH12" s="10"/>
      <c r="EI12" s="10"/>
      <c r="EJ12" s="10"/>
      <c r="EK12" s="10"/>
      <c r="EL12" s="10"/>
      <c r="EM12" s="10"/>
      <c r="EN12" s="10"/>
      <c r="EO12" s="10"/>
      <c r="EP12" s="8">
        <f>SUM(EF12:EN12)</f>
        <v>0</v>
      </c>
      <c r="EQ12" s="8">
        <f t="shared" si="4"/>
        <v>0</v>
      </c>
      <c r="ER12" s="8"/>
      <c r="ES12" s="8"/>
      <c r="ET12" s="10"/>
      <c r="EU12" s="10">
        <v>5</v>
      </c>
      <c r="EV12" s="8">
        <f>SUM(EQ12:EU12)</f>
        <v>5</v>
      </c>
    </row>
    <row r="13" spans="1:152" x14ac:dyDescent="0.25">
      <c r="A13">
        <v>3</v>
      </c>
      <c r="B13" s="8" t="s">
        <v>227</v>
      </c>
      <c r="C13" s="8" t="s">
        <v>151</v>
      </c>
      <c r="D13" s="8" t="s">
        <v>228</v>
      </c>
      <c r="E13" s="8" t="s">
        <v>229</v>
      </c>
      <c r="F13" s="8"/>
      <c r="G13" s="8"/>
      <c r="H13" s="8"/>
      <c r="I13" s="8"/>
      <c r="J13" s="8"/>
      <c r="K13" s="8"/>
      <c r="L13" s="8"/>
      <c r="M13" s="8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8"/>
      <c r="AX13" s="8"/>
      <c r="AY13" s="8"/>
      <c r="AZ13" s="8"/>
      <c r="BA13" s="8"/>
      <c r="BB13" s="8">
        <v>48</v>
      </c>
      <c r="BC13" s="8"/>
      <c r="BD13" s="8"/>
      <c r="BE13" s="8">
        <v>54</v>
      </c>
      <c r="BF13" s="8"/>
      <c r="BG13" s="10">
        <v>56</v>
      </c>
      <c r="BH13" s="10"/>
      <c r="BI13" s="10"/>
      <c r="BJ13" s="10">
        <v>54</v>
      </c>
      <c r="BK13" s="10"/>
      <c r="BL13" s="10"/>
      <c r="BM13" s="10">
        <v>60</v>
      </c>
      <c r="BN13" s="10"/>
      <c r="BO13" s="10"/>
      <c r="BP13" s="10"/>
      <c r="BQ13" s="10"/>
      <c r="BR13" s="10"/>
      <c r="BS13" s="10">
        <v>72</v>
      </c>
      <c r="BT13" s="11">
        <f t="shared" ref="BT13:BT19" si="5">SUM(AX13:BS13)</f>
        <v>344</v>
      </c>
      <c r="BU13" s="11">
        <f t="shared" ref="BU13:BU19" si="6">(BT13-AX13)/2</f>
        <v>172</v>
      </c>
      <c r="BV13" s="11">
        <v>48</v>
      </c>
      <c r="BW13" s="11"/>
      <c r="BX13" s="11">
        <v>7.5</v>
      </c>
      <c r="BY13" s="11">
        <v>10</v>
      </c>
      <c r="BZ13" s="11"/>
      <c r="CA13" s="11"/>
      <c r="CB13" s="11">
        <f t="shared" si="0"/>
        <v>237.5</v>
      </c>
      <c r="CC13" s="11">
        <f t="shared" si="1"/>
        <v>32.75</v>
      </c>
      <c r="CD13" s="11">
        <v>48</v>
      </c>
      <c r="CE13" s="11">
        <v>56</v>
      </c>
      <c r="CF13" s="11">
        <v>75</v>
      </c>
      <c r="CG13" s="11">
        <v>36</v>
      </c>
      <c r="CH13" s="11">
        <v>36</v>
      </c>
      <c r="CI13" s="11"/>
      <c r="CJ13" s="11">
        <f t="shared" si="2"/>
        <v>283.75</v>
      </c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10"/>
      <c r="DB13" s="10"/>
      <c r="DC13" s="10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>
        <f>SUM(DE13:DT13)</f>
        <v>0</v>
      </c>
      <c r="DV13" s="8">
        <f t="shared" ref="DV13:DV19" si="7">(DU13-CL13)/2</f>
        <v>0</v>
      </c>
      <c r="DW13" s="8">
        <f t="shared" ref="DW13:DW19" si="8">BT13/4</f>
        <v>86</v>
      </c>
      <c r="DX13" s="8"/>
      <c r="DY13" s="8"/>
      <c r="DZ13" s="8"/>
      <c r="EA13" s="8"/>
      <c r="EB13" s="8"/>
      <c r="EC13" s="8"/>
      <c r="ED13" s="8"/>
      <c r="EE13" s="8">
        <f>SUM(DV13:DX13)</f>
        <v>86</v>
      </c>
      <c r="EF13" s="8">
        <f t="shared" si="3"/>
        <v>43</v>
      </c>
      <c r="EG13" s="10"/>
      <c r="EH13" s="10"/>
      <c r="EI13" s="10"/>
      <c r="EJ13" s="10"/>
      <c r="EK13" s="10"/>
      <c r="EL13" s="10">
        <v>5</v>
      </c>
      <c r="EM13" s="10"/>
      <c r="EN13" s="10">
        <v>35</v>
      </c>
      <c r="EO13" s="10"/>
      <c r="EP13" s="8">
        <f>SUM(EF13:EN13)</f>
        <v>83</v>
      </c>
      <c r="EQ13" s="8">
        <f t="shared" si="4"/>
        <v>20</v>
      </c>
      <c r="ER13" s="8"/>
      <c r="ES13" s="8"/>
      <c r="ET13" s="10">
        <v>7.5</v>
      </c>
      <c r="EU13" s="10">
        <v>5</v>
      </c>
      <c r="EV13" s="8">
        <f>SUM(EQ13:EU13)</f>
        <v>32.5</v>
      </c>
    </row>
    <row r="14" spans="1:152" x14ac:dyDescent="0.25">
      <c r="A14">
        <v>4</v>
      </c>
      <c r="B14" s="28" t="s">
        <v>320</v>
      </c>
      <c r="C14" s="28"/>
      <c r="D14" s="28" t="s">
        <v>321</v>
      </c>
      <c r="E14" s="28" t="s">
        <v>113</v>
      </c>
      <c r="F14" s="8"/>
      <c r="G14" s="8"/>
      <c r="H14" s="8"/>
      <c r="I14" s="8"/>
      <c r="J14" s="8"/>
      <c r="K14" s="8"/>
      <c r="L14" s="8"/>
      <c r="M14" s="8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8"/>
      <c r="AB14" s="8"/>
      <c r="AC14" s="8"/>
      <c r="AD14" s="8"/>
      <c r="AE14" s="8">
        <v>36</v>
      </c>
      <c r="AF14" s="8">
        <v>70</v>
      </c>
      <c r="AG14" s="8"/>
      <c r="AH14" s="8"/>
      <c r="AI14" s="8"/>
      <c r="AJ14" s="8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1">
        <f>SUM(AB14:AV14)</f>
        <v>106</v>
      </c>
      <c r="AX14" s="11">
        <f>(AW14-AB14)/2</f>
        <v>53</v>
      </c>
      <c r="AY14" s="11"/>
      <c r="AZ14" s="11"/>
      <c r="BA14" s="11"/>
      <c r="BB14" s="11"/>
      <c r="BC14" s="11">
        <v>36</v>
      </c>
      <c r="BD14" s="11"/>
      <c r="BE14" s="11"/>
      <c r="BF14" s="11"/>
      <c r="BG14" s="11"/>
      <c r="BH14" s="11"/>
      <c r="BI14" s="11"/>
      <c r="BJ14" s="11">
        <v>75</v>
      </c>
      <c r="BK14" s="11"/>
      <c r="BL14" s="11"/>
      <c r="BM14" s="11"/>
      <c r="BN14" s="11"/>
      <c r="BO14" s="11"/>
      <c r="BP14" s="11"/>
      <c r="BQ14" s="11"/>
      <c r="BR14" s="11">
        <v>75</v>
      </c>
      <c r="BS14" s="11"/>
      <c r="BT14" s="11">
        <f t="shared" si="5"/>
        <v>239</v>
      </c>
      <c r="BU14" s="11">
        <f t="shared" si="6"/>
        <v>93</v>
      </c>
      <c r="BV14" s="11">
        <v>36</v>
      </c>
      <c r="BW14" s="11"/>
      <c r="BX14" s="11">
        <v>105</v>
      </c>
      <c r="BY14" s="11">
        <v>36</v>
      </c>
      <c r="BZ14" s="11">
        <v>75</v>
      </c>
      <c r="CA14" s="11"/>
      <c r="CB14" s="11">
        <f t="shared" si="0"/>
        <v>345</v>
      </c>
      <c r="CC14" s="11">
        <f t="shared" si="1"/>
        <v>126</v>
      </c>
      <c r="CD14" s="11">
        <v>36</v>
      </c>
      <c r="CE14" s="11">
        <v>44.8</v>
      </c>
      <c r="CF14" s="11">
        <v>75</v>
      </c>
      <c r="CG14" s="11"/>
      <c r="CH14" s="11"/>
      <c r="CI14" s="11"/>
      <c r="CJ14" s="11">
        <f t="shared" si="2"/>
        <v>281.8</v>
      </c>
      <c r="CL14" s="10"/>
      <c r="CM14" s="10">
        <f>AW14/4</f>
        <v>26.5</v>
      </c>
      <c r="CN14" s="10">
        <f>AA14/2</f>
        <v>0</v>
      </c>
      <c r="CO14" s="10">
        <f>1+1*1/2</f>
        <v>1.5</v>
      </c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>
        <f>SUM(CN14:CS14)</f>
        <v>1.5</v>
      </c>
      <c r="DE14" s="10"/>
      <c r="DF14" s="10"/>
      <c r="DG14" s="10"/>
      <c r="DH14" s="10"/>
      <c r="DI14" s="10"/>
      <c r="DJ14" s="10"/>
      <c r="DK14" s="10">
        <v>5</v>
      </c>
      <c r="DL14" s="10"/>
      <c r="DM14" s="10"/>
      <c r="DN14" s="10"/>
      <c r="DO14" s="10">
        <v>70</v>
      </c>
      <c r="DP14" s="10"/>
      <c r="DQ14" s="10"/>
      <c r="DR14" s="10"/>
      <c r="DS14" s="10"/>
      <c r="DT14" s="10"/>
      <c r="DU14" s="10">
        <f>SUM(CL14:DT14)</f>
        <v>104.5</v>
      </c>
      <c r="DV14" s="8">
        <f t="shared" si="7"/>
        <v>52.25</v>
      </c>
      <c r="DW14" s="8">
        <f t="shared" si="8"/>
        <v>59.75</v>
      </c>
      <c r="DX14" s="8"/>
      <c r="DY14" s="8"/>
      <c r="DZ14" s="8"/>
      <c r="EA14" s="8"/>
      <c r="EB14" s="8"/>
      <c r="EC14" s="8"/>
      <c r="ED14" s="8">
        <v>35</v>
      </c>
      <c r="EE14" s="8">
        <f>SUM(DV14:ED14)</f>
        <v>147</v>
      </c>
      <c r="EF14" s="8">
        <f t="shared" si="3"/>
        <v>47.375</v>
      </c>
      <c r="EG14" s="10">
        <v>1.25</v>
      </c>
      <c r="EH14" s="10"/>
      <c r="EI14" s="10"/>
      <c r="EJ14" s="10"/>
      <c r="EK14" s="10"/>
      <c r="EL14" s="10">
        <v>50</v>
      </c>
      <c r="EM14" s="10"/>
      <c r="EN14" s="10"/>
      <c r="EO14" s="10"/>
      <c r="EP14" s="8">
        <f>SUM(EF14:EL14)</f>
        <v>98.625</v>
      </c>
      <c r="EQ14" s="8">
        <f t="shared" si="4"/>
        <v>25.625</v>
      </c>
      <c r="ER14" s="8"/>
      <c r="ES14" s="8"/>
      <c r="ET14" s="10">
        <v>7.5</v>
      </c>
      <c r="EU14" s="10">
        <v>36</v>
      </c>
      <c r="EV14" s="28">
        <f>SUM(EQ14:EU14)</f>
        <v>69.125</v>
      </c>
    </row>
    <row r="15" spans="1:152" x14ac:dyDescent="0.25">
      <c r="A15">
        <v>5</v>
      </c>
      <c r="B15" s="8" t="s">
        <v>160</v>
      </c>
      <c r="C15" s="8"/>
      <c r="D15" s="8" t="s">
        <v>487</v>
      </c>
      <c r="E15" s="8" t="s">
        <v>160</v>
      </c>
      <c r="F15" s="8"/>
      <c r="G15" s="8"/>
      <c r="H15" s="8"/>
      <c r="I15" s="8"/>
      <c r="J15" s="8"/>
      <c r="K15" s="8"/>
      <c r="L15" s="8"/>
      <c r="M15" s="8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8"/>
      <c r="AX15" s="8"/>
      <c r="AY15" s="8"/>
      <c r="AZ15" s="8">
        <v>36</v>
      </c>
      <c r="BA15" s="8"/>
      <c r="BB15" s="8"/>
      <c r="BC15" s="8"/>
      <c r="BD15" s="8"/>
      <c r="BE15" s="8"/>
      <c r="BF15" s="8"/>
      <c r="BG15" s="10"/>
      <c r="BH15" s="10" t="s">
        <v>554</v>
      </c>
      <c r="BI15" s="10"/>
      <c r="BJ15" s="10"/>
      <c r="BK15" s="10"/>
      <c r="BL15" s="10"/>
      <c r="BM15" s="10"/>
      <c r="BN15" s="10">
        <v>36</v>
      </c>
      <c r="BO15" s="10"/>
      <c r="BP15" s="10"/>
      <c r="BQ15" s="10"/>
      <c r="BR15" s="10"/>
      <c r="BS15" s="10"/>
      <c r="BT15" s="11">
        <f t="shared" si="5"/>
        <v>72</v>
      </c>
      <c r="BU15" s="11">
        <f t="shared" si="6"/>
        <v>36</v>
      </c>
      <c r="BV15" s="11">
        <v>48</v>
      </c>
      <c r="BW15" s="11">
        <v>48</v>
      </c>
      <c r="BX15" s="11">
        <v>105</v>
      </c>
      <c r="BY15" s="11">
        <v>100</v>
      </c>
      <c r="BZ15" s="11">
        <v>48</v>
      </c>
      <c r="CA15" s="11">
        <v>200</v>
      </c>
      <c r="CB15" s="11">
        <f t="shared" si="0"/>
        <v>585</v>
      </c>
      <c r="CC15" s="11">
        <f t="shared" si="1"/>
        <v>274.5</v>
      </c>
      <c r="CD15" s="11"/>
      <c r="CE15" s="11"/>
      <c r="CF15" s="11"/>
      <c r="CG15" s="11"/>
      <c r="CH15" s="11"/>
      <c r="CI15" s="11"/>
      <c r="CJ15" s="11">
        <f t="shared" si="2"/>
        <v>274.5</v>
      </c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10"/>
      <c r="DB15" s="10"/>
      <c r="DC15" s="10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>
        <f>SUM(DE15:DT15)</f>
        <v>0</v>
      </c>
      <c r="DV15" s="8">
        <f t="shared" si="7"/>
        <v>0</v>
      </c>
      <c r="DW15" s="8">
        <f t="shared" si="8"/>
        <v>18</v>
      </c>
      <c r="DX15" s="8"/>
      <c r="DY15" s="8"/>
      <c r="DZ15" s="8"/>
      <c r="EA15" s="8"/>
      <c r="EB15" s="8"/>
      <c r="EC15" s="8"/>
      <c r="ED15" s="8"/>
      <c r="EE15" s="8">
        <f>SUM(DV15:ED15)</f>
        <v>18</v>
      </c>
      <c r="EF15" s="8">
        <f t="shared" si="3"/>
        <v>9</v>
      </c>
      <c r="EG15" s="10"/>
      <c r="EH15" s="10"/>
      <c r="EI15" s="10"/>
      <c r="EJ15" s="10"/>
      <c r="EK15" s="10"/>
      <c r="EL15" s="10"/>
      <c r="EM15" s="10"/>
      <c r="EN15" s="10"/>
      <c r="EO15" s="10"/>
      <c r="EP15" s="8">
        <f>SUM(EF15:EH15)</f>
        <v>9</v>
      </c>
      <c r="EQ15" s="8">
        <f t="shared" si="4"/>
        <v>0</v>
      </c>
      <c r="ER15" s="8"/>
      <c r="ES15" s="8"/>
      <c r="ET15" s="10"/>
      <c r="EU15" s="10"/>
      <c r="EV15" s="8">
        <f>SUM(EQ15:ER15)</f>
        <v>0</v>
      </c>
    </row>
    <row r="16" spans="1:152" x14ac:dyDescent="0.25">
      <c r="A16">
        <v>6</v>
      </c>
      <c r="B16" s="8" t="s">
        <v>192</v>
      </c>
      <c r="C16" s="8"/>
      <c r="D16" s="8" t="s">
        <v>373</v>
      </c>
      <c r="E16" s="8" t="s">
        <v>553</v>
      </c>
      <c r="F16" s="8"/>
      <c r="G16" s="8"/>
      <c r="H16" s="8"/>
      <c r="I16" s="8"/>
      <c r="J16" s="8"/>
      <c r="K16" s="8"/>
      <c r="L16" s="8"/>
      <c r="M16" s="8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10"/>
      <c r="BH16" s="10"/>
      <c r="BI16" s="10"/>
      <c r="BJ16" s="10">
        <v>54</v>
      </c>
      <c r="BK16" s="10"/>
      <c r="BL16" s="10"/>
      <c r="BM16" s="10"/>
      <c r="BN16" s="10"/>
      <c r="BO16" s="10"/>
      <c r="BP16" s="10"/>
      <c r="BQ16" s="10"/>
      <c r="BR16" s="10"/>
      <c r="BS16" s="10"/>
      <c r="BT16" s="11">
        <f t="shared" si="5"/>
        <v>54</v>
      </c>
      <c r="BU16" s="11">
        <f t="shared" si="6"/>
        <v>27</v>
      </c>
      <c r="BV16" s="11"/>
      <c r="BW16" s="11"/>
      <c r="BX16" s="11">
        <v>54</v>
      </c>
      <c r="BY16" s="11">
        <v>50</v>
      </c>
      <c r="BZ16" s="11">
        <v>75</v>
      </c>
      <c r="CA16" s="11">
        <v>100</v>
      </c>
      <c r="CB16" s="11">
        <f t="shared" si="0"/>
        <v>306</v>
      </c>
      <c r="CC16" s="11">
        <f t="shared" si="1"/>
        <v>139.5</v>
      </c>
      <c r="CD16" s="11">
        <v>30</v>
      </c>
      <c r="CE16" s="11">
        <v>80</v>
      </c>
      <c r="CF16" s="11"/>
      <c r="CG16" s="11"/>
      <c r="CH16" s="11"/>
      <c r="CI16" s="11"/>
      <c r="CJ16" s="11">
        <f t="shared" si="2"/>
        <v>249.5</v>
      </c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10"/>
      <c r="DB16" s="10"/>
      <c r="DC16" s="10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>
        <f>SUM(DE16:DT16)</f>
        <v>0</v>
      </c>
      <c r="DV16" s="8">
        <f t="shared" si="7"/>
        <v>0</v>
      </c>
      <c r="DW16" s="8">
        <f t="shared" si="8"/>
        <v>13.5</v>
      </c>
      <c r="DX16" s="8"/>
      <c r="DY16" s="8"/>
      <c r="DZ16" s="8"/>
      <c r="EA16" s="8"/>
      <c r="EB16" s="8"/>
      <c r="EC16" s="8"/>
      <c r="ED16" s="8"/>
      <c r="EE16" s="8">
        <f>SUM(DV16:ED16)</f>
        <v>13.5</v>
      </c>
      <c r="EF16" s="8">
        <f t="shared" si="3"/>
        <v>6.75</v>
      </c>
      <c r="EG16" s="10"/>
      <c r="EH16" s="10"/>
      <c r="EI16" s="10"/>
      <c r="EJ16" s="10"/>
      <c r="EK16" s="10"/>
      <c r="EL16" s="10"/>
      <c r="EM16" s="10"/>
      <c r="EN16" s="10"/>
      <c r="EO16" s="10"/>
      <c r="EP16" s="8">
        <f>SUM(EF16:EN16)</f>
        <v>6.75</v>
      </c>
      <c r="EQ16" s="8">
        <f t="shared" si="4"/>
        <v>0</v>
      </c>
      <c r="ER16" s="8"/>
      <c r="ES16" s="8"/>
      <c r="ET16" s="10"/>
      <c r="EU16" s="10"/>
      <c r="EV16" s="8">
        <f>SUM(EQ16:ER16)</f>
        <v>0</v>
      </c>
    </row>
    <row r="17" spans="1:152" x14ac:dyDescent="0.25">
      <c r="A17">
        <v>7</v>
      </c>
      <c r="B17" s="18" t="s">
        <v>272</v>
      </c>
      <c r="C17" s="18" t="s">
        <v>99</v>
      </c>
      <c r="D17" s="18" t="s">
        <v>273</v>
      </c>
      <c r="E17" s="18" t="s">
        <v>267</v>
      </c>
      <c r="F17" s="8"/>
      <c r="G17" s="8"/>
      <c r="H17" s="8"/>
      <c r="I17" s="8">
        <v>48</v>
      </c>
      <c r="J17" s="8"/>
      <c r="K17" s="8"/>
      <c r="L17" s="8"/>
      <c r="M17" s="8">
        <v>44.8</v>
      </c>
      <c r="N17" s="10">
        <v>36</v>
      </c>
      <c r="O17" s="10"/>
      <c r="P17" s="10"/>
      <c r="Q17" s="10">
        <v>48</v>
      </c>
      <c r="R17" s="10"/>
      <c r="S17" s="10"/>
      <c r="T17" s="10"/>
      <c r="U17" s="10"/>
      <c r="V17" s="10"/>
      <c r="W17" s="10"/>
      <c r="X17" s="10"/>
      <c r="Y17" s="10"/>
      <c r="Z17" s="10"/>
      <c r="AA17" s="11">
        <f>SUM(F17:Z17)</f>
        <v>176.8</v>
      </c>
      <c r="AB17" s="11">
        <f>AA17/2</f>
        <v>88.4</v>
      </c>
      <c r="AC17" s="11"/>
      <c r="AD17" s="11"/>
      <c r="AE17" s="11"/>
      <c r="AF17" s="11"/>
      <c r="AG17" s="11">
        <v>48</v>
      </c>
      <c r="AH17" s="11"/>
      <c r="AI17" s="11"/>
      <c r="AJ17" s="11">
        <v>64</v>
      </c>
      <c r="AK17" s="11"/>
      <c r="AL17" s="11"/>
      <c r="AM17" s="11">
        <v>70</v>
      </c>
      <c r="AN17" s="11"/>
      <c r="AO17" s="11">
        <v>36</v>
      </c>
      <c r="AP17" s="11"/>
      <c r="AQ17" s="11"/>
      <c r="AR17" s="11">
        <v>5</v>
      </c>
      <c r="AS17" s="11"/>
      <c r="AT17" s="11"/>
      <c r="AU17" s="11"/>
      <c r="AV17" s="11">
        <v>105</v>
      </c>
      <c r="AW17" s="11">
        <f>SUM(AB17:AV17)</f>
        <v>416.4</v>
      </c>
      <c r="AX17" s="11">
        <f>(AW17-AB17)/2</f>
        <v>164</v>
      </c>
      <c r="AY17" s="11">
        <v>36</v>
      </c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>
        <v>36</v>
      </c>
      <c r="BL17" s="11"/>
      <c r="BM17" s="11"/>
      <c r="BN17" s="11"/>
      <c r="BO17" s="11"/>
      <c r="BP17" s="11"/>
      <c r="BQ17" s="11"/>
      <c r="BR17" s="11">
        <v>7.5</v>
      </c>
      <c r="BS17" s="11">
        <v>100</v>
      </c>
      <c r="BT17" s="11">
        <f t="shared" si="5"/>
        <v>343.5</v>
      </c>
      <c r="BU17" s="11">
        <f t="shared" si="6"/>
        <v>89.75</v>
      </c>
      <c r="BV17" s="11">
        <v>36</v>
      </c>
      <c r="BW17" s="11">
        <v>3.2</v>
      </c>
      <c r="BX17" s="11">
        <v>75</v>
      </c>
      <c r="BY17" s="11">
        <v>50</v>
      </c>
      <c r="BZ17" s="11">
        <v>36</v>
      </c>
      <c r="CA17" s="11">
        <v>140</v>
      </c>
      <c r="CB17" s="11">
        <f t="shared" si="0"/>
        <v>429.95</v>
      </c>
      <c r="CC17" s="11">
        <f t="shared" si="1"/>
        <v>170.1</v>
      </c>
      <c r="CD17" s="11">
        <v>36</v>
      </c>
      <c r="CE17" s="11"/>
      <c r="CF17" s="11">
        <v>36</v>
      </c>
      <c r="CG17" s="11"/>
      <c r="CH17" s="11"/>
      <c r="CI17" s="11"/>
      <c r="CJ17" s="11">
        <f t="shared" si="2"/>
        <v>242.1</v>
      </c>
      <c r="CL17" s="10">
        <f>SUM(CO17:DC17)</f>
        <v>0</v>
      </c>
      <c r="CM17" s="10">
        <f>AW17/4</f>
        <v>104.1</v>
      </c>
      <c r="CN17" s="10">
        <f>AA17/2</f>
        <v>88.4</v>
      </c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>
        <f>SUM(CN17:CS17)</f>
        <v>88.4</v>
      </c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>
        <f>SUM(CL17:CM17)</f>
        <v>104.1</v>
      </c>
      <c r="DV17" s="8">
        <f t="shared" si="7"/>
        <v>52.05</v>
      </c>
      <c r="DW17" s="8">
        <f t="shared" si="8"/>
        <v>85.875</v>
      </c>
      <c r="DX17" s="8">
        <v>1.25</v>
      </c>
      <c r="DY17" s="8"/>
      <c r="DZ17" s="8">
        <v>7.5</v>
      </c>
      <c r="EA17" s="8"/>
      <c r="EB17" s="8"/>
      <c r="EC17" s="8"/>
      <c r="ED17" s="8"/>
      <c r="EE17" s="8">
        <f>SUM(DV17:DZ17)</f>
        <v>146.67500000000001</v>
      </c>
      <c r="EF17" s="8">
        <f t="shared" si="3"/>
        <v>47.312500000000007</v>
      </c>
      <c r="EG17" s="10"/>
      <c r="EH17" s="10"/>
      <c r="EI17" s="10"/>
      <c r="EJ17" s="10"/>
      <c r="EK17" s="10"/>
      <c r="EL17" s="10"/>
      <c r="EM17" s="10"/>
      <c r="EN17" s="10">
        <v>35</v>
      </c>
      <c r="EO17" s="10"/>
      <c r="EP17" s="8">
        <f>SUM(EF17:EN17)</f>
        <v>82.3125</v>
      </c>
      <c r="EQ17" s="8">
        <f t="shared" si="4"/>
        <v>17.499999999999996</v>
      </c>
      <c r="ER17" s="8"/>
      <c r="ES17" s="8"/>
      <c r="ET17" s="10"/>
      <c r="EU17" s="10"/>
      <c r="EV17" s="8">
        <f>SUM(EQ17:ER17)</f>
        <v>17.499999999999996</v>
      </c>
    </row>
    <row r="18" spans="1:152" x14ac:dyDescent="0.25">
      <c r="A18" s="68">
        <v>8</v>
      </c>
      <c r="B18" s="8" t="s">
        <v>247</v>
      </c>
      <c r="C18" s="8"/>
      <c r="D18" s="8" t="s">
        <v>21</v>
      </c>
      <c r="E18" s="8" t="s">
        <v>427</v>
      </c>
      <c r="F18" s="8"/>
      <c r="G18" s="8"/>
      <c r="H18" s="8"/>
      <c r="I18" s="8"/>
      <c r="J18" s="8"/>
      <c r="K18" s="8"/>
      <c r="L18" s="8"/>
      <c r="M18" s="8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1">
        <f>SUM(AB18:AV18)</f>
        <v>0</v>
      </c>
      <c r="AX18" s="11">
        <f>(AW18-AB18)/2</f>
        <v>0</v>
      </c>
      <c r="AY18" s="11"/>
      <c r="AZ18" s="11"/>
      <c r="BA18" s="11"/>
      <c r="BB18" s="11"/>
      <c r="BC18" s="11"/>
      <c r="BD18" s="11"/>
      <c r="BE18" s="11">
        <v>7.5</v>
      </c>
      <c r="BF18" s="11">
        <v>100</v>
      </c>
      <c r="BG18" s="11">
        <v>80</v>
      </c>
      <c r="BH18" s="11"/>
      <c r="BI18" s="11"/>
      <c r="BJ18" s="11">
        <v>105</v>
      </c>
      <c r="BK18" s="11"/>
      <c r="BL18" s="11"/>
      <c r="BM18" s="11"/>
      <c r="BN18" s="11"/>
      <c r="BO18" s="11"/>
      <c r="BP18" s="11"/>
      <c r="BQ18" s="11"/>
      <c r="BR18" s="11">
        <v>54</v>
      </c>
      <c r="BS18" s="11">
        <v>10</v>
      </c>
      <c r="BT18" s="11">
        <f t="shared" si="5"/>
        <v>356.5</v>
      </c>
      <c r="BU18" s="11">
        <f t="shared" si="6"/>
        <v>178.25</v>
      </c>
      <c r="BV18" s="11"/>
      <c r="BW18" s="11"/>
      <c r="BX18" s="11">
        <v>7.5</v>
      </c>
      <c r="BY18" s="11"/>
      <c r="BZ18" s="11"/>
      <c r="CA18" s="11"/>
      <c r="CB18" s="11">
        <f t="shared" si="0"/>
        <v>185.75</v>
      </c>
      <c r="CC18" s="11">
        <f t="shared" si="1"/>
        <v>3.75</v>
      </c>
      <c r="CD18" s="11">
        <v>60</v>
      </c>
      <c r="CE18" s="11">
        <v>40</v>
      </c>
      <c r="CF18" s="11">
        <v>7.5</v>
      </c>
      <c r="CG18" s="11">
        <v>50</v>
      </c>
      <c r="CH18" s="11">
        <v>48</v>
      </c>
      <c r="CI18" s="11"/>
      <c r="CJ18" s="11">
        <f t="shared" si="2"/>
        <v>209.25</v>
      </c>
      <c r="CL18" s="10">
        <f>SUM(CO18:DC18)</f>
        <v>0</v>
      </c>
      <c r="CM18" s="10">
        <f>AW18/4</f>
        <v>0</v>
      </c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10"/>
      <c r="DB18" s="10"/>
      <c r="DC18" s="10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>
        <v>100</v>
      </c>
      <c r="DU18" s="8">
        <f>SUM(DE18:DT18)</f>
        <v>100</v>
      </c>
      <c r="DV18" s="8">
        <f t="shared" si="7"/>
        <v>50</v>
      </c>
      <c r="DW18" s="8">
        <f t="shared" si="8"/>
        <v>89.125</v>
      </c>
      <c r="DX18" s="8"/>
      <c r="DY18" s="8"/>
      <c r="DZ18" s="8"/>
      <c r="EA18" s="8"/>
      <c r="EB18" s="8"/>
      <c r="EC18" s="8"/>
      <c r="ED18" s="8"/>
      <c r="EE18" s="8">
        <f>SUM(DV18:DX18)</f>
        <v>139.125</v>
      </c>
      <c r="EF18" s="8">
        <f t="shared" si="3"/>
        <v>44.5625</v>
      </c>
      <c r="EG18" s="10"/>
      <c r="EH18" s="10"/>
      <c r="EI18" s="10"/>
      <c r="EJ18" s="10"/>
      <c r="EK18" s="10"/>
      <c r="EL18" s="10"/>
      <c r="EM18" s="10"/>
      <c r="EN18" s="10"/>
      <c r="EO18" s="10"/>
      <c r="EP18" s="8">
        <f>SUM(EF18:EN18)</f>
        <v>44.5625</v>
      </c>
      <c r="EQ18" s="8">
        <f t="shared" si="4"/>
        <v>0</v>
      </c>
      <c r="ER18" s="8"/>
      <c r="ES18" s="8"/>
      <c r="ET18" s="10"/>
      <c r="EU18" s="10"/>
      <c r="EV18" s="8">
        <f>SUM(EQ18:ER18)</f>
        <v>0</v>
      </c>
    </row>
    <row r="19" spans="1:152" x14ac:dyDescent="0.25">
      <c r="A19">
        <v>9</v>
      </c>
      <c r="B19" s="20" t="s">
        <v>144</v>
      </c>
      <c r="C19" s="20" t="s">
        <v>145</v>
      </c>
      <c r="D19" s="20" t="s">
        <v>33</v>
      </c>
      <c r="E19" s="20" t="s">
        <v>15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>
        <f>SUM(F19:Z19)</f>
        <v>0</v>
      </c>
      <c r="AB19" s="11">
        <f>AA19/2</f>
        <v>0</v>
      </c>
      <c r="AC19" s="11"/>
      <c r="AD19" s="11"/>
      <c r="AE19" s="11"/>
      <c r="AF19" s="11" t="s">
        <v>132</v>
      </c>
      <c r="AG19" s="11"/>
      <c r="AH19" s="11"/>
      <c r="AI19" s="11"/>
      <c r="AJ19" s="11"/>
      <c r="AK19" s="11"/>
      <c r="AL19" s="11"/>
      <c r="AM19" s="11" t="s">
        <v>132</v>
      </c>
      <c r="AN19" s="11"/>
      <c r="AO19" s="11"/>
      <c r="AP19" s="11"/>
      <c r="AQ19" s="11"/>
      <c r="AR19" s="11" t="s">
        <v>132</v>
      </c>
      <c r="AS19" s="11"/>
      <c r="AT19" s="11"/>
      <c r="AU19" s="11"/>
      <c r="AV19" s="11"/>
      <c r="AW19" s="11">
        <f>SUM(AB19:AV19)</f>
        <v>0</v>
      </c>
      <c r="AX19" s="11">
        <f>(AW19-AB19)/2</f>
        <v>0</v>
      </c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>
        <f t="shared" si="5"/>
        <v>0</v>
      </c>
      <c r="BU19" s="11">
        <f t="shared" si="6"/>
        <v>0</v>
      </c>
      <c r="BV19" s="11"/>
      <c r="BW19" s="11"/>
      <c r="BX19" s="11"/>
      <c r="BY19" s="11"/>
      <c r="BZ19" s="11"/>
      <c r="CA19" s="11"/>
      <c r="CB19" s="11">
        <f t="shared" si="0"/>
        <v>0</v>
      </c>
      <c r="CC19" s="11">
        <f t="shared" si="1"/>
        <v>0</v>
      </c>
      <c r="CD19" s="11"/>
      <c r="CE19" s="11"/>
      <c r="CF19" s="11">
        <v>150</v>
      </c>
      <c r="CG19" s="11"/>
      <c r="CH19" s="11"/>
      <c r="CI19" s="11"/>
      <c r="CJ19" s="11">
        <f t="shared" si="2"/>
        <v>150</v>
      </c>
      <c r="CL19" s="10">
        <f>SUM(CO19:DC19)</f>
        <v>515</v>
      </c>
      <c r="CM19" s="10">
        <f>AW19/4</f>
        <v>0</v>
      </c>
      <c r="CN19" s="10">
        <f>AA19/2</f>
        <v>0</v>
      </c>
      <c r="CO19" s="10">
        <f>20+20*1/2</f>
        <v>30</v>
      </c>
      <c r="CP19" s="10">
        <v>25</v>
      </c>
      <c r="CQ19" s="10"/>
      <c r="CR19" s="10"/>
      <c r="CS19" s="10">
        <v>80</v>
      </c>
      <c r="CT19" s="10">
        <v>25</v>
      </c>
      <c r="CU19" s="10"/>
      <c r="CV19" s="10"/>
      <c r="CW19" s="10">
        <v>50</v>
      </c>
      <c r="CX19" s="10">
        <v>100</v>
      </c>
      <c r="CY19" s="10">
        <v>100</v>
      </c>
      <c r="CZ19" s="10">
        <v>80</v>
      </c>
      <c r="DA19" s="10"/>
      <c r="DB19" s="10"/>
      <c r="DC19" s="10">
        <v>25</v>
      </c>
      <c r="DD19" s="10">
        <f>SUM(CN19:DC19)</f>
        <v>515</v>
      </c>
      <c r="DE19" s="10"/>
      <c r="DF19" s="10">
        <v>60</v>
      </c>
      <c r="DG19" s="10">
        <v>25</v>
      </c>
      <c r="DH19" s="10">
        <v>80</v>
      </c>
      <c r="DI19" s="10">
        <v>80</v>
      </c>
      <c r="DJ19" s="10">
        <v>50</v>
      </c>
      <c r="DK19" s="10">
        <v>70</v>
      </c>
      <c r="DL19" s="10"/>
      <c r="DM19" s="10">
        <v>50</v>
      </c>
      <c r="DN19" s="10"/>
      <c r="DO19" s="10"/>
      <c r="DP19" s="10">
        <v>15</v>
      </c>
      <c r="DQ19" s="10">
        <v>150</v>
      </c>
      <c r="DR19" s="10">
        <v>210</v>
      </c>
      <c r="DS19" s="10">
        <v>16</v>
      </c>
      <c r="DT19" s="10"/>
      <c r="DU19" s="10">
        <f>CL19+SUM(DF19:DS19)</f>
        <v>1321</v>
      </c>
      <c r="DV19" s="8">
        <f t="shared" si="7"/>
        <v>403</v>
      </c>
      <c r="DW19" s="8">
        <f t="shared" si="8"/>
        <v>0</v>
      </c>
      <c r="DX19" s="8"/>
      <c r="DY19" s="8">
        <v>108</v>
      </c>
      <c r="DZ19" s="8"/>
      <c r="EA19" s="8">
        <v>25</v>
      </c>
      <c r="EB19" s="8">
        <v>35</v>
      </c>
      <c r="EC19" s="8"/>
      <c r="ED19" s="8"/>
      <c r="EE19" s="8">
        <f>SUM(DV19:EB19)</f>
        <v>571</v>
      </c>
      <c r="EF19" s="8">
        <f t="shared" si="3"/>
        <v>84</v>
      </c>
      <c r="EG19" s="10"/>
      <c r="EH19" s="10">
        <v>108</v>
      </c>
      <c r="EI19" s="10"/>
      <c r="EJ19" s="10">
        <v>48</v>
      </c>
      <c r="EK19" s="10">
        <v>78</v>
      </c>
      <c r="EL19" s="10"/>
      <c r="EM19" s="10"/>
      <c r="EN19" s="10"/>
      <c r="EO19" s="10">
        <v>140</v>
      </c>
      <c r="EP19" s="8">
        <f>SUM(EF19:EO19)</f>
        <v>458</v>
      </c>
      <c r="EQ19" s="8">
        <f t="shared" si="4"/>
        <v>187</v>
      </c>
      <c r="ER19" s="8">
        <v>108</v>
      </c>
      <c r="ES19" s="8"/>
      <c r="ET19" s="10">
        <v>105</v>
      </c>
      <c r="EU19" s="10">
        <v>100</v>
      </c>
      <c r="EV19" s="26">
        <f>SUM(EQ19:EU19)</f>
        <v>500</v>
      </c>
    </row>
    <row r="20" spans="1:152" x14ac:dyDescent="0.25">
      <c r="A20">
        <v>10</v>
      </c>
      <c r="B20" s="8" t="s">
        <v>116</v>
      </c>
      <c r="C20" s="8"/>
      <c r="D20" s="8" t="s">
        <v>375</v>
      </c>
      <c r="E20" s="8" t="s">
        <v>745</v>
      </c>
      <c r="F20" s="8"/>
      <c r="G20" s="8"/>
      <c r="H20" s="8"/>
      <c r="I20" s="8"/>
      <c r="J20" s="8"/>
      <c r="K20" s="8"/>
      <c r="L20" s="8"/>
      <c r="M20" s="8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8"/>
      <c r="BU20" s="8"/>
      <c r="BV20" s="10">
        <v>33.6</v>
      </c>
      <c r="BW20" s="10"/>
      <c r="BX20" s="10"/>
      <c r="BY20" s="10"/>
      <c r="BZ20" s="10"/>
      <c r="CA20" s="10"/>
      <c r="CB20" s="11">
        <f t="shared" si="0"/>
        <v>33.6</v>
      </c>
      <c r="CC20" s="11">
        <f t="shared" si="1"/>
        <v>16.8</v>
      </c>
      <c r="CD20" s="11">
        <v>42</v>
      </c>
      <c r="CE20" s="11">
        <v>40</v>
      </c>
      <c r="CF20" s="11">
        <v>26</v>
      </c>
      <c r="CG20" s="11"/>
      <c r="CH20" s="11"/>
      <c r="CI20" s="11"/>
      <c r="CJ20" s="11">
        <f t="shared" si="2"/>
        <v>124.8</v>
      </c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10"/>
      <c r="DB20" s="10"/>
      <c r="DC20" s="10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>
        <f>SUM(DV20:EB20)</f>
        <v>0</v>
      </c>
      <c r="EF20" s="8">
        <f t="shared" si="3"/>
        <v>0</v>
      </c>
      <c r="EG20" s="10"/>
      <c r="EH20" s="10"/>
      <c r="EI20" s="10"/>
      <c r="EJ20" s="10"/>
      <c r="EK20" s="10"/>
      <c r="EL20" s="10"/>
      <c r="EM20" s="10"/>
      <c r="EN20" s="10"/>
      <c r="EO20" s="10"/>
      <c r="EP20" s="8">
        <f>SUM(EF20:EN20)</f>
        <v>0</v>
      </c>
      <c r="EQ20" s="8">
        <f t="shared" si="4"/>
        <v>0</v>
      </c>
      <c r="ER20" s="8"/>
      <c r="ES20" s="8"/>
      <c r="ET20" s="10"/>
      <c r="EU20" s="10"/>
      <c r="EV20" s="8">
        <f t="shared" ref="EV20:EV58" si="9">SUM(EQ20:ER20)</f>
        <v>0</v>
      </c>
    </row>
    <row r="21" spans="1:152" x14ac:dyDescent="0.25">
      <c r="A21">
        <v>11</v>
      </c>
      <c r="B21" s="8" t="s">
        <v>260</v>
      </c>
      <c r="C21" s="8"/>
      <c r="D21" s="8" t="s">
        <v>27</v>
      </c>
      <c r="E21" s="8" t="s">
        <v>306</v>
      </c>
      <c r="F21" s="8"/>
      <c r="G21" s="8"/>
      <c r="H21" s="8"/>
      <c r="I21" s="8"/>
      <c r="J21" s="8"/>
      <c r="K21" s="8"/>
      <c r="L21" s="8"/>
      <c r="M21" s="8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8"/>
      <c r="AX21" s="8"/>
      <c r="AY21" s="8"/>
      <c r="AZ21" s="8"/>
      <c r="BA21" s="8"/>
      <c r="BB21" s="8"/>
      <c r="BC21" s="8"/>
      <c r="BD21" s="8"/>
      <c r="BE21" s="8"/>
      <c r="BF21" s="8">
        <v>50</v>
      </c>
      <c r="BG21" s="10">
        <v>40</v>
      </c>
      <c r="BH21" s="10"/>
      <c r="BI21" s="10"/>
      <c r="BJ21" s="10">
        <v>7.5</v>
      </c>
      <c r="BK21" s="10"/>
      <c r="BL21" s="10"/>
      <c r="BM21" s="10">
        <v>42</v>
      </c>
      <c r="BN21" s="10"/>
      <c r="BO21" s="10"/>
      <c r="BP21" s="10"/>
      <c r="BQ21" s="10"/>
      <c r="BR21" s="10"/>
      <c r="BS21" s="10">
        <v>10</v>
      </c>
      <c r="BT21" s="11">
        <f>SUM(AX21:BS21)</f>
        <v>149.5</v>
      </c>
      <c r="BU21" s="11">
        <f>(BT21-AX21)/2</f>
        <v>74.75</v>
      </c>
      <c r="BV21" s="11">
        <v>33.6</v>
      </c>
      <c r="BW21" s="11">
        <v>48</v>
      </c>
      <c r="BX21" s="11">
        <v>75</v>
      </c>
      <c r="BY21" s="11">
        <v>5</v>
      </c>
      <c r="BZ21" s="11">
        <v>80</v>
      </c>
      <c r="CA21" s="11"/>
      <c r="CB21" s="11">
        <f t="shared" si="0"/>
        <v>316.35000000000002</v>
      </c>
      <c r="CC21" s="11">
        <f t="shared" si="1"/>
        <v>120.80000000000001</v>
      </c>
      <c r="CD21" s="11">
        <v>2.4</v>
      </c>
      <c r="CE21" s="11"/>
      <c r="CF21" s="11"/>
      <c r="CG21" s="11"/>
      <c r="CH21" s="11"/>
      <c r="CI21" s="11"/>
      <c r="CJ21" s="11">
        <f t="shared" si="2"/>
        <v>123.20000000000002</v>
      </c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10"/>
      <c r="DB21" s="10"/>
      <c r="DC21" s="10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>
        <f>SUM(DE21:DT21)</f>
        <v>0</v>
      </c>
      <c r="DV21" s="8">
        <f>(DU21-CL21)/2</f>
        <v>0</v>
      </c>
      <c r="DW21" s="8">
        <f>BT21/4</f>
        <v>37.375</v>
      </c>
      <c r="DX21" s="8"/>
      <c r="DY21" s="8"/>
      <c r="DZ21" s="8"/>
      <c r="EA21" s="8"/>
      <c r="EB21" s="8"/>
      <c r="EC21" s="8"/>
      <c r="ED21" s="8"/>
      <c r="EE21" s="8">
        <f>SUM(DV21:DX21)</f>
        <v>37.375</v>
      </c>
      <c r="EF21" s="8">
        <f t="shared" si="3"/>
        <v>18.6875</v>
      </c>
      <c r="EG21" s="10"/>
      <c r="EH21" s="10"/>
      <c r="EI21" s="10"/>
      <c r="EJ21" s="10"/>
      <c r="EK21" s="10"/>
      <c r="EL21" s="10"/>
      <c r="EM21" s="10"/>
      <c r="EN21" s="10"/>
      <c r="EO21" s="10"/>
      <c r="EP21" s="8">
        <f>SUM(EF21:EH21)</f>
        <v>18.6875</v>
      </c>
      <c r="EQ21" s="8">
        <f t="shared" si="4"/>
        <v>0</v>
      </c>
      <c r="ER21" s="8"/>
      <c r="ES21" s="8"/>
      <c r="ET21" s="10"/>
      <c r="EU21" s="10"/>
      <c r="EV21" s="8">
        <f t="shared" si="9"/>
        <v>0</v>
      </c>
    </row>
    <row r="22" spans="1:152" x14ac:dyDescent="0.25">
      <c r="A22">
        <v>12</v>
      </c>
      <c r="B22" s="8" t="s">
        <v>672</v>
      </c>
      <c r="C22" s="8"/>
      <c r="D22" s="8" t="s">
        <v>376</v>
      </c>
      <c r="E22" s="8" t="s">
        <v>24</v>
      </c>
      <c r="F22" s="8"/>
      <c r="G22" s="8"/>
      <c r="H22" s="8"/>
      <c r="I22" s="8"/>
      <c r="J22" s="8"/>
      <c r="K22" s="8"/>
      <c r="L22" s="8"/>
      <c r="M22" s="8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8"/>
      <c r="BU22" s="8"/>
      <c r="BV22" s="10"/>
      <c r="BW22" s="10"/>
      <c r="BX22" s="10">
        <v>75</v>
      </c>
      <c r="BY22" s="10">
        <v>50</v>
      </c>
      <c r="BZ22" s="10"/>
      <c r="CA22" s="10"/>
      <c r="CB22" s="11">
        <f t="shared" si="0"/>
        <v>125</v>
      </c>
      <c r="CC22" s="11">
        <f t="shared" si="1"/>
        <v>62.5</v>
      </c>
      <c r="CD22" s="11"/>
      <c r="CE22" s="11"/>
      <c r="CF22" s="11">
        <v>50</v>
      </c>
      <c r="CG22" s="11"/>
      <c r="CH22" s="11"/>
      <c r="CI22" s="11"/>
      <c r="CJ22" s="11">
        <f t="shared" si="2"/>
        <v>112.5</v>
      </c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10"/>
      <c r="DB22" s="10"/>
      <c r="DC22" s="10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>
        <f>SUM(DV22:EB22)</f>
        <v>0</v>
      </c>
      <c r="EF22" s="8">
        <f t="shared" si="3"/>
        <v>0</v>
      </c>
      <c r="EG22" s="10"/>
      <c r="EH22" s="10"/>
      <c r="EI22" s="10"/>
      <c r="EJ22" s="10"/>
      <c r="EK22" s="10"/>
      <c r="EL22" s="10"/>
      <c r="EM22" s="10"/>
      <c r="EN22" s="10"/>
      <c r="EO22" s="10"/>
      <c r="EP22" s="8">
        <f>SUM(EF22:EN22)</f>
        <v>0</v>
      </c>
      <c r="EQ22" s="8">
        <f t="shared" si="4"/>
        <v>0</v>
      </c>
      <c r="ER22" s="8"/>
      <c r="ES22" s="8"/>
      <c r="ET22" s="10"/>
      <c r="EU22" s="10"/>
      <c r="EV22" s="8">
        <f t="shared" si="9"/>
        <v>0</v>
      </c>
    </row>
    <row r="23" spans="1:152" x14ac:dyDescent="0.25">
      <c r="A23">
        <v>13</v>
      </c>
      <c r="B23" s="8" t="s">
        <v>140</v>
      </c>
      <c r="C23" s="8" t="s">
        <v>146</v>
      </c>
      <c r="D23" s="8" t="s">
        <v>484</v>
      </c>
      <c r="E23" s="8" t="s">
        <v>306</v>
      </c>
      <c r="F23" s="8"/>
      <c r="G23" s="8"/>
      <c r="H23" s="8"/>
      <c r="I23" s="8"/>
      <c r="J23" s="8"/>
      <c r="K23" s="8"/>
      <c r="L23" s="8"/>
      <c r="M23" s="8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8"/>
      <c r="AX23" s="8"/>
      <c r="AY23" s="8"/>
      <c r="AZ23" s="8"/>
      <c r="BA23" s="8"/>
      <c r="BB23" s="8">
        <v>2.4</v>
      </c>
      <c r="BC23" s="8"/>
      <c r="BD23" s="8"/>
      <c r="BE23" s="8"/>
      <c r="BF23" s="8">
        <v>36</v>
      </c>
      <c r="BG23" s="10">
        <v>4</v>
      </c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1">
        <f>SUM(AX23:BS23)</f>
        <v>42.4</v>
      </c>
      <c r="BU23" s="11">
        <f>(BT23-AX23)/2</f>
        <v>21.2</v>
      </c>
      <c r="BV23" s="11">
        <v>48</v>
      </c>
      <c r="BW23" s="11"/>
      <c r="BX23" s="11">
        <v>7.5</v>
      </c>
      <c r="BY23" s="11">
        <v>36</v>
      </c>
      <c r="BZ23" s="11">
        <v>50</v>
      </c>
      <c r="CA23" s="11">
        <v>2.4</v>
      </c>
      <c r="CB23" s="11">
        <f t="shared" si="0"/>
        <v>165.1</v>
      </c>
      <c r="CC23" s="11">
        <f t="shared" si="1"/>
        <v>71.95</v>
      </c>
      <c r="CD23" s="11">
        <v>33.6</v>
      </c>
      <c r="CE23" s="11"/>
      <c r="CF23" s="11"/>
      <c r="CG23" s="11"/>
      <c r="CH23" s="11"/>
      <c r="CI23" s="11"/>
      <c r="CJ23" s="11">
        <f t="shared" si="2"/>
        <v>105.55000000000001</v>
      </c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10"/>
      <c r="DB23" s="10"/>
      <c r="DC23" s="10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>
        <f>SUM(DE23:DT23)</f>
        <v>0</v>
      </c>
      <c r="DV23" s="8">
        <f>(DU23-CL23)/2</f>
        <v>0</v>
      </c>
      <c r="DW23" s="8">
        <f>BT23/4</f>
        <v>10.6</v>
      </c>
      <c r="DX23" s="8"/>
      <c r="DY23" s="8"/>
      <c r="DZ23" s="8"/>
      <c r="EA23" s="8"/>
      <c r="EB23" s="8"/>
      <c r="EC23" s="8"/>
      <c r="ED23" s="8"/>
      <c r="EE23" s="8">
        <f>SUM(DV23:ED23)</f>
        <v>10.6</v>
      </c>
      <c r="EF23" s="8">
        <f t="shared" si="3"/>
        <v>5.3</v>
      </c>
      <c r="EG23" s="10"/>
      <c r="EH23" s="10"/>
      <c r="EI23" s="10"/>
      <c r="EJ23" s="10"/>
      <c r="EK23" s="10"/>
      <c r="EL23" s="10"/>
      <c r="EM23" s="10"/>
      <c r="EN23" s="10"/>
      <c r="EO23" s="10"/>
      <c r="EP23" s="8">
        <f>SUM(EF23:EN23)</f>
        <v>5.3</v>
      </c>
      <c r="EQ23" s="8">
        <f t="shared" si="4"/>
        <v>0</v>
      </c>
      <c r="ER23" s="8"/>
      <c r="ES23" s="8"/>
      <c r="ET23" s="10"/>
      <c r="EU23" s="10"/>
      <c r="EV23" s="8">
        <f t="shared" si="9"/>
        <v>0</v>
      </c>
    </row>
    <row r="24" spans="1:152" x14ac:dyDescent="0.25">
      <c r="A24">
        <v>14</v>
      </c>
      <c r="B24" s="8" t="s">
        <v>137</v>
      </c>
      <c r="C24" s="8"/>
      <c r="D24" s="8" t="s">
        <v>589</v>
      </c>
      <c r="E24" s="8" t="s">
        <v>76</v>
      </c>
      <c r="F24" s="8"/>
      <c r="G24" s="8"/>
      <c r="H24" s="8"/>
      <c r="I24" s="8"/>
      <c r="J24" s="8"/>
      <c r="K24" s="8"/>
      <c r="L24" s="8"/>
      <c r="M24" s="8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8"/>
      <c r="BU24" s="8"/>
      <c r="BV24" s="10"/>
      <c r="BW24" s="10"/>
      <c r="BX24" s="10"/>
      <c r="BY24" s="10"/>
      <c r="BZ24" s="10"/>
      <c r="CA24" s="10"/>
      <c r="CB24" s="8"/>
      <c r="CC24" s="8"/>
      <c r="CD24" s="10">
        <v>48</v>
      </c>
      <c r="CE24" s="10"/>
      <c r="CF24" s="10">
        <v>54</v>
      </c>
      <c r="CG24" s="10"/>
      <c r="CH24" s="10"/>
      <c r="CI24" s="8"/>
      <c r="CJ24" s="11">
        <f t="shared" si="2"/>
        <v>102</v>
      </c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10"/>
      <c r="DB24" s="10"/>
      <c r="DC24" s="10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10"/>
      <c r="EH24" s="10"/>
      <c r="EI24" s="10"/>
      <c r="EJ24" s="10"/>
      <c r="EK24" s="10"/>
      <c r="EL24" s="10"/>
      <c r="EM24" s="10"/>
      <c r="EN24" s="10"/>
      <c r="EO24" s="10"/>
      <c r="EP24" s="8">
        <f>SUM(EF24:EK24)</f>
        <v>0</v>
      </c>
      <c r="EQ24" s="8">
        <f t="shared" si="4"/>
        <v>0</v>
      </c>
      <c r="ER24" s="8"/>
      <c r="ES24" s="8"/>
      <c r="ET24" s="10"/>
      <c r="EU24" s="10"/>
      <c r="EV24" s="8">
        <f t="shared" si="9"/>
        <v>0</v>
      </c>
    </row>
    <row r="25" spans="1:152" x14ac:dyDescent="0.25">
      <c r="A25">
        <v>15</v>
      </c>
      <c r="B25" s="8" t="s">
        <v>716</v>
      </c>
      <c r="C25" s="8"/>
      <c r="D25" s="8" t="s">
        <v>744</v>
      </c>
      <c r="E25" s="8" t="s">
        <v>667</v>
      </c>
      <c r="F25" s="8"/>
      <c r="G25" s="8"/>
      <c r="H25" s="8"/>
      <c r="I25" s="8"/>
      <c r="J25" s="8"/>
      <c r="K25" s="8"/>
      <c r="L25" s="8"/>
      <c r="M25" s="8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8"/>
      <c r="BU25" s="8"/>
      <c r="BV25" s="10"/>
      <c r="BW25" s="10"/>
      <c r="BX25" s="10"/>
      <c r="BY25" s="10"/>
      <c r="BZ25" s="10"/>
      <c r="CA25" s="10"/>
      <c r="CB25" s="8"/>
      <c r="CC25" s="8"/>
      <c r="CD25" s="10">
        <v>2.4</v>
      </c>
      <c r="CE25" s="10">
        <v>40</v>
      </c>
      <c r="CF25" s="10">
        <v>54</v>
      </c>
      <c r="CG25" s="10"/>
      <c r="CH25" s="10"/>
      <c r="CI25" s="8"/>
      <c r="CJ25" s="11">
        <f t="shared" si="2"/>
        <v>96.4</v>
      </c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10"/>
      <c r="DB25" s="10"/>
      <c r="DC25" s="10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10"/>
      <c r="EH25" s="10"/>
      <c r="EI25" s="10"/>
      <c r="EJ25" s="10"/>
      <c r="EK25" s="10"/>
      <c r="EL25" s="10"/>
      <c r="EM25" s="10"/>
      <c r="EN25" s="10"/>
      <c r="EO25" s="10"/>
      <c r="EP25" s="8">
        <f>SUM(EF25:EK25)</f>
        <v>0</v>
      </c>
      <c r="EQ25" s="8">
        <f t="shared" si="4"/>
        <v>0</v>
      </c>
      <c r="ER25" s="8"/>
      <c r="ES25" s="8"/>
      <c r="ET25" s="10"/>
      <c r="EU25" s="10"/>
      <c r="EV25" s="8">
        <f t="shared" si="9"/>
        <v>0</v>
      </c>
    </row>
    <row r="26" spans="1:152" x14ac:dyDescent="0.25">
      <c r="A26">
        <v>16</v>
      </c>
      <c r="B26" s="8" t="s">
        <v>101</v>
      </c>
      <c r="C26" s="8"/>
      <c r="D26" s="8" t="s">
        <v>673</v>
      </c>
      <c r="E26" s="8" t="s">
        <v>651</v>
      </c>
      <c r="F26" s="8"/>
      <c r="G26" s="8"/>
      <c r="H26" s="8"/>
      <c r="I26" s="8"/>
      <c r="J26" s="8"/>
      <c r="K26" s="8"/>
      <c r="L26" s="8"/>
      <c r="M26" s="8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8"/>
      <c r="BU26" s="8"/>
      <c r="BV26" s="10"/>
      <c r="BW26" s="10"/>
      <c r="BX26" s="10"/>
      <c r="BY26" s="10"/>
      <c r="BZ26" s="10"/>
      <c r="CA26" s="10"/>
      <c r="CB26" s="8"/>
      <c r="CC26" s="8"/>
      <c r="CD26" s="10">
        <v>48</v>
      </c>
      <c r="CE26" s="10">
        <v>40</v>
      </c>
      <c r="CF26" s="10"/>
      <c r="CG26" s="10"/>
      <c r="CH26" s="10"/>
      <c r="CI26" s="8"/>
      <c r="CJ26" s="11">
        <f t="shared" si="2"/>
        <v>88</v>
      </c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10"/>
      <c r="DB26" s="10"/>
      <c r="DC26" s="10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10"/>
      <c r="EH26" s="10"/>
      <c r="EI26" s="10"/>
      <c r="EJ26" s="10"/>
      <c r="EK26" s="10"/>
      <c r="EL26" s="10"/>
      <c r="EM26" s="10"/>
      <c r="EN26" s="10"/>
      <c r="EO26" s="10"/>
      <c r="EP26" s="8">
        <f>SUM(EF26:EK26)</f>
        <v>0</v>
      </c>
      <c r="EQ26" s="8">
        <f t="shared" si="4"/>
        <v>0</v>
      </c>
      <c r="ER26" s="8"/>
      <c r="ES26" s="8"/>
      <c r="ET26" s="10"/>
      <c r="EU26" s="10"/>
      <c r="EV26" s="8">
        <f t="shared" si="9"/>
        <v>0</v>
      </c>
    </row>
    <row r="27" spans="1:152" x14ac:dyDescent="0.25">
      <c r="A27">
        <v>17</v>
      </c>
      <c r="B27" s="8" t="s">
        <v>704</v>
      </c>
      <c r="C27" s="8"/>
      <c r="D27" s="8" t="s">
        <v>705</v>
      </c>
      <c r="E27" s="8" t="s">
        <v>706</v>
      </c>
      <c r="F27" s="8"/>
      <c r="G27" s="8"/>
      <c r="H27" s="8"/>
      <c r="I27" s="8"/>
      <c r="J27" s="8"/>
      <c r="K27" s="8"/>
      <c r="L27" s="8"/>
      <c r="M27" s="8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8"/>
      <c r="BU27" s="8"/>
      <c r="BV27" s="10"/>
      <c r="BW27" s="10"/>
      <c r="BX27" s="10">
        <v>100</v>
      </c>
      <c r="BY27" s="10"/>
      <c r="BZ27" s="10"/>
      <c r="CA27" s="10"/>
      <c r="CB27" s="11">
        <f>SUM(BU27:CA27)</f>
        <v>100</v>
      </c>
      <c r="CC27" s="11">
        <f>(CB27-BU27)/2</f>
        <v>50</v>
      </c>
      <c r="CD27" s="11"/>
      <c r="CE27" s="11">
        <v>28.8</v>
      </c>
      <c r="CF27" s="11"/>
      <c r="CG27" s="11"/>
      <c r="CH27" s="11"/>
      <c r="CI27" s="11"/>
      <c r="CJ27" s="11">
        <f t="shared" si="2"/>
        <v>78.8</v>
      </c>
      <c r="CL27" s="8"/>
      <c r="CM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>
        <f>SUM(DV27:EB27)</f>
        <v>0</v>
      </c>
      <c r="EF27" s="8">
        <f>(EE27-DV27)/2</f>
        <v>0</v>
      </c>
      <c r="EG27" s="10"/>
      <c r="EH27" s="10"/>
      <c r="EI27" s="10"/>
      <c r="EJ27" s="10"/>
      <c r="EK27" s="10"/>
      <c r="EL27" s="10"/>
      <c r="EM27" s="10"/>
      <c r="EN27" s="10"/>
      <c r="EO27" s="10"/>
      <c r="EP27" s="8">
        <f>SUM(EF27:EN27)</f>
        <v>0</v>
      </c>
      <c r="EQ27" s="8">
        <f t="shared" si="4"/>
        <v>0</v>
      </c>
      <c r="ER27" s="8"/>
      <c r="ES27" s="8"/>
      <c r="ET27" s="10"/>
      <c r="EU27" s="10"/>
      <c r="EV27" s="8">
        <f t="shared" si="9"/>
        <v>0</v>
      </c>
    </row>
    <row r="28" spans="1:152" x14ac:dyDescent="0.25">
      <c r="A28">
        <v>18</v>
      </c>
      <c r="B28" s="8" t="s">
        <v>765</v>
      </c>
      <c r="C28" s="8"/>
      <c r="D28" s="8" t="s">
        <v>766</v>
      </c>
      <c r="E28" s="8" t="s">
        <v>47</v>
      </c>
      <c r="F28" s="8"/>
      <c r="G28" s="8"/>
      <c r="H28" s="8"/>
      <c r="I28" s="8"/>
      <c r="J28" s="8"/>
      <c r="K28" s="8"/>
      <c r="L28" s="8"/>
      <c r="M28" s="8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8"/>
      <c r="BU28" s="8"/>
      <c r="BV28" s="10"/>
      <c r="BW28" s="10"/>
      <c r="BX28" s="10">
        <v>150</v>
      </c>
      <c r="BY28" s="10"/>
      <c r="BZ28" s="10"/>
      <c r="CA28" s="10"/>
      <c r="CB28" s="11">
        <f>SUM(BU28:CA28)</f>
        <v>150</v>
      </c>
      <c r="CC28" s="11">
        <f>(CB28-BU28)/2</f>
        <v>75</v>
      </c>
      <c r="CD28" s="11"/>
      <c r="CE28" s="11"/>
      <c r="CF28" s="11"/>
      <c r="CG28" s="11"/>
      <c r="CH28" s="11"/>
      <c r="CI28" s="11"/>
      <c r="CJ28" s="11">
        <f t="shared" si="2"/>
        <v>75</v>
      </c>
      <c r="CL28" s="8"/>
      <c r="CM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>
        <f>SUM(DV28:EB28)</f>
        <v>0</v>
      </c>
      <c r="EF28" s="8">
        <f>(EE28-DV28)/2</f>
        <v>0</v>
      </c>
      <c r="EG28" s="10"/>
      <c r="EH28" s="10"/>
      <c r="EI28" s="10"/>
      <c r="EJ28" s="10"/>
      <c r="EK28" s="10"/>
      <c r="EL28" s="10"/>
      <c r="EM28" s="10"/>
      <c r="EN28" s="10"/>
      <c r="EO28" s="10"/>
      <c r="EP28" s="8">
        <f>SUM(EF28:EN28)</f>
        <v>0</v>
      </c>
      <c r="EQ28" s="8">
        <f t="shared" si="4"/>
        <v>0</v>
      </c>
      <c r="ER28" s="8"/>
      <c r="ES28" s="8"/>
      <c r="ET28" s="10"/>
      <c r="EU28" s="10"/>
      <c r="EV28" s="8">
        <f t="shared" si="9"/>
        <v>0</v>
      </c>
    </row>
    <row r="29" spans="1:152" x14ac:dyDescent="0.25">
      <c r="A29">
        <v>19</v>
      </c>
      <c r="B29" s="8" t="s">
        <v>111</v>
      </c>
      <c r="C29" s="8"/>
      <c r="D29" s="8" t="s">
        <v>237</v>
      </c>
      <c r="E29" s="8" t="s">
        <v>24</v>
      </c>
      <c r="F29" s="8"/>
      <c r="G29" s="8"/>
      <c r="H29" s="8"/>
      <c r="I29" s="8"/>
      <c r="J29" s="8"/>
      <c r="K29" s="8"/>
      <c r="L29" s="8"/>
      <c r="M29" s="8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8"/>
      <c r="BU29" s="8"/>
      <c r="BV29" s="10"/>
      <c r="BW29" s="10"/>
      <c r="BX29" s="10"/>
      <c r="BY29" s="10"/>
      <c r="BZ29" s="10"/>
      <c r="CA29" s="10"/>
      <c r="CB29" s="8"/>
      <c r="CC29" s="8"/>
      <c r="CD29" s="10"/>
      <c r="CE29" s="10"/>
      <c r="CF29" s="10">
        <v>70</v>
      </c>
      <c r="CG29" s="10"/>
      <c r="CH29" s="10"/>
      <c r="CI29" s="8"/>
      <c r="CJ29" s="11">
        <f t="shared" si="2"/>
        <v>70</v>
      </c>
      <c r="CL29" s="8"/>
      <c r="CM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10"/>
      <c r="EH29" s="10"/>
      <c r="EI29" s="10"/>
      <c r="EJ29" s="10"/>
      <c r="EK29" s="10"/>
      <c r="EL29" s="10"/>
      <c r="EM29" s="10"/>
      <c r="EN29" s="10"/>
      <c r="EO29" s="10"/>
      <c r="EP29" s="8">
        <f>SUM(EF29:EK29)</f>
        <v>0</v>
      </c>
      <c r="EQ29" s="8">
        <f t="shared" si="4"/>
        <v>0</v>
      </c>
      <c r="ER29" s="8"/>
      <c r="ES29" s="8"/>
      <c r="ET29" s="10"/>
      <c r="EU29" s="10"/>
      <c r="EV29" s="8">
        <f t="shared" si="9"/>
        <v>0</v>
      </c>
    </row>
    <row r="30" spans="1:152" x14ac:dyDescent="0.25">
      <c r="A30">
        <v>20</v>
      </c>
      <c r="B30" s="8" t="s">
        <v>105</v>
      </c>
      <c r="C30" s="8"/>
      <c r="D30" s="8" t="s">
        <v>280</v>
      </c>
      <c r="E30" s="8" t="s">
        <v>330</v>
      </c>
      <c r="F30" s="8"/>
      <c r="G30" s="8"/>
      <c r="H30" s="8"/>
      <c r="I30" s="8"/>
      <c r="J30" s="8"/>
      <c r="K30" s="8"/>
      <c r="L30" s="8"/>
      <c r="M30" s="8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8"/>
      <c r="BU30" s="8"/>
      <c r="BV30" s="10"/>
      <c r="BW30" s="10"/>
      <c r="BX30" s="10"/>
      <c r="BY30" s="10"/>
      <c r="BZ30" s="10"/>
      <c r="CA30" s="10"/>
      <c r="CB30" s="8"/>
      <c r="CC30" s="8"/>
      <c r="CD30" s="10">
        <v>36</v>
      </c>
      <c r="CE30" s="10">
        <v>28.8</v>
      </c>
      <c r="CF30" s="10"/>
      <c r="CG30" s="10"/>
      <c r="CH30" s="10"/>
      <c r="CI30" s="8"/>
      <c r="CJ30" s="11">
        <f t="shared" si="2"/>
        <v>64.8</v>
      </c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10"/>
      <c r="EH30" s="10"/>
      <c r="EI30" s="10"/>
      <c r="EJ30" s="10"/>
      <c r="EK30" s="10"/>
      <c r="EL30" s="10"/>
      <c r="EM30" s="10"/>
      <c r="EN30" s="10"/>
      <c r="EO30" s="10"/>
      <c r="EP30" s="8">
        <f>SUM(EF30:EK30)</f>
        <v>0</v>
      </c>
      <c r="EQ30" s="8">
        <f t="shared" si="4"/>
        <v>0</v>
      </c>
      <c r="ER30" s="8"/>
      <c r="ES30" s="8"/>
      <c r="ET30" s="10"/>
      <c r="EU30" s="10"/>
      <c r="EV30" s="8">
        <f t="shared" si="9"/>
        <v>0</v>
      </c>
    </row>
    <row r="31" spans="1:152" x14ac:dyDescent="0.25">
      <c r="A31">
        <v>21</v>
      </c>
      <c r="B31" s="8" t="s">
        <v>393</v>
      </c>
      <c r="C31" s="8"/>
      <c r="D31" s="8" t="s">
        <v>263</v>
      </c>
      <c r="E31" s="8" t="s">
        <v>41</v>
      </c>
      <c r="F31" s="8"/>
      <c r="G31" s="8"/>
      <c r="H31" s="8"/>
      <c r="I31" s="8"/>
      <c r="J31" s="8"/>
      <c r="K31" s="8"/>
      <c r="L31" s="8"/>
      <c r="M31" s="8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8"/>
      <c r="BU31" s="8"/>
      <c r="BV31" s="10"/>
      <c r="BW31" s="10"/>
      <c r="BX31" s="10"/>
      <c r="BY31" s="10"/>
      <c r="BZ31" s="10"/>
      <c r="CA31" s="10"/>
      <c r="CB31" s="8"/>
      <c r="CC31" s="8"/>
      <c r="CD31" s="10"/>
      <c r="CE31" s="10">
        <v>56</v>
      </c>
      <c r="CF31" s="10"/>
      <c r="CG31" s="10"/>
      <c r="CH31" s="10"/>
      <c r="CI31" s="8"/>
      <c r="CJ31" s="11">
        <f t="shared" si="2"/>
        <v>56</v>
      </c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10"/>
      <c r="EH31" s="10"/>
      <c r="EI31" s="10"/>
      <c r="EJ31" s="10"/>
      <c r="EK31" s="10"/>
      <c r="EL31" s="10"/>
      <c r="EM31" s="10"/>
      <c r="EN31" s="10"/>
      <c r="EO31" s="10"/>
      <c r="EP31" s="8">
        <f>SUM(EF31:EK31)</f>
        <v>0</v>
      </c>
      <c r="EQ31" s="8">
        <f t="shared" si="4"/>
        <v>0</v>
      </c>
      <c r="ER31" s="8"/>
      <c r="ES31" s="8"/>
      <c r="ET31" s="10"/>
      <c r="EU31" s="10"/>
      <c r="EV31" s="8">
        <f t="shared" si="9"/>
        <v>0</v>
      </c>
    </row>
    <row r="32" spans="1:152" x14ac:dyDescent="0.25">
      <c r="A32">
        <v>22</v>
      </c>
      <c r="B32" s="8" t="s">
        <v>148</v>
      </c>
      <c r="C32" s="8"/>
      <c r="D32" s="8" t="s">
        <v>209</v>
      </c>
      <c r="E32" s="8" t="s">
        <v>731</v>
      </c>
      <c r="F32" s="8"/>
      <c r="G32" s="8"/>
      <c r="H32" s="8"/>
      <c r="I32" s="8"/>
      <c r="J32" s="8"/>
      <c r="K32" s="8"/>
      <c r="L32" s="8"/>
      <c r="M32" s="8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8"/>
      <c r="BU32" s="8"/>
      <c r="BV32" s="10">
        <v>2.4</v>
      </c>
      <c r="BW32" s="10"/>
      <c r="BX32" s="10"/>
      <c r="BY32" s="10"/>
      <c r="BZ32" s="10"/>
      <c r="CA32" s="10"/>
      <c r="CB32" s="11">
        <f>SUM(BU32:CA32)</f>
        <v>2.4</v>
      </c>
      <c r="CC32" s="11">
        <f>(CB32-BU32)/2</f>
        <v>1.2</v>
      </c>
      <c r="CD32" s="11">
        <v>48</v>
      </c>
      <c r="CE32" s="11"/>
      <c r="CF32" s="11"/>
      <c r="CG32" s="11"/>
      <c r="CH32" s="11"/>
      <c r="CI32" s="11"/>
      <c r="CJ32" s="11">
        <f t="shared" si="2"/>
        <v>49.2</v>
      </c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>
        <f>SUM(DV32:EB32)</f>
        <v>0</v>
      </c>
      <c r="EF32" s="8">
        <f>(EE32-DV32)/2</f>
        <v>0</v>
      </c>
      <c r="EG32" s="10"/>
      <c r="EH32" s="10"/>
      <c r="EI32" s="10"/>
      <c r="EJ32" s="10"/>
      <c r="EK32" s="10"/>
      <c r="EL32" s="10"/>
      <c r="EM32" s="10"/>
      <c r="EN32" s="10"/>
      <c r="EO32" s="10"/>
      <c r="EP32" s="8">
        <f>SUM(EF32:EN32)</f>
        <v>0</v>
      </c>
      <c r="EQ32" s="8">
        <f t="shared" si="4"/>
        <v>0</v>
      </c>
      <c r="ER32" s="8"/>
      <c r="ES32" s="8"/>
      <c r="ET32" s="10"/>
      <c r="EU32" s="10"/>
      <c r="EV32" s="8">
        <f t="shared" si="9"/>
        <v>0</v>
      </c>
    </row>
    <row r="33" spans="1:152" x14ac:dyDescent="0.25">
      <c r="A33">
        <v>23</v>
      </c>
      <c r="B33" s="8" t="s">
        <v>803</v>
      </c>
      <c r="C33" s="8"/>
      <c r="D33" s="8" t="s">
        <v>301</v>
      </c>
      <c r="E33" s="8" t="s">
        <v>581</v>
      </c>
      <c r="F33" s="8"/>
      <c r="G33" s="8"/>
      <c r="H33" s="8"/>
      <c r="I33" s="8"/>
      <c r="J33" s="8"/>
      <c r="K33" s="8"/>
      <c r="L33" s="8"/>
      <c r="M33" s="8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8"/>
      <c r="BU33" s="8"/>
      <c r="BV33" s="10"/>
      <c r="BW33" s="10"/>
      <c r="BX33" s="10"/>
      <c r="BY33" s="10"/>
      <c r="BZ33" s="10"/>
      <c r="CA33" s="10"/>
      <c r="CB33" s="8"/>
      <c r="CC33" s="8"/>
      <c r="CD33" s="10">
        <v>36</v>
      </c>
      <c r="CE33" s="10">
        <v>4</v>
      </c>
      <c r="CF33" s="10"/>
      <c r="CG33" s="10"/>
      <c r="CH33" s="10"/>
      <c r="CI33" s="8"/>
      <c r="CJ33" s="11">
        <f t="shared" si="2"/>
        <v>40</v>
      </c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10"/>
      <c r="EH33" s="10"/>
      <c r="EI33" s="10"/>
      <c r="EJ33" s="10"/>
      <c r="EK33" s="10"/>
      <c r="EL33" s="10"/>
      <c r="EM33" s="10"/>
      <c r="EN33" s="10"/>
      <c r="EO33" s="10"/>
      <c r="EP33" s="8">
        <f>SUM(EF33:EK33)</f>
        <v>0</v>
      </c>
      <c r="EQ33" s="8">
        <f t="shared" si="4"/>
        <v>0</v>
      </c>
      <c r="ER33" s="8"/>
      <c r="ES33" s="8"/>
      <c r="ET33" s="10"/>
      <c r="EU33" s="10"/>
      <c r="EV33" s="8">
        <f t="shared" si="9"/>
        <v>0</v>
      </c>
    </row>
    <row r="34" spans="1:152" x14ac:dyDescent="0.25">
      <c r="A34">
        <v>24</v>
      </c>
      <c r="B34" s="8" t="s">
        <v>738</v>
      </c>
      <c r="C34" s="8"/>
      <c r="D34" s="8" t="s">
        <v>739</v>
      </c>
      <c r="E34" s="8" t="s">
        <v>740</v>
      </c>
      <c r="F34" s="8"/>
      <c r="G34" s="8"/>
      <c r="H34" s="8"/>
      <c r="I34" s="8"/>
      <c r="J34" s="8"/>
      <c r="K34" s="8"/>
      <c r="L34" s="8"/>
      <c r="M34" s="8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8"/>
      <c r="BU34" s="8"/>
      <c r="BV34" s="10"/>
      <c r="BW34" s="10"/>
      <c r="BX34" s="10">
        <v>70</v>
      </c>
      <c r="BY34" s="10"/>
      <c r="BZ34" s="10"/>
      <c r="CA34" s="10"/>
      <c r="CB34" s="11">
        <f>SUM(BU34:CA34)</f>
        <v>70</v>
      </c>
      <c r="CC34" s="11">
        <f>(CB34-BU34)/2</f>
        <v>35</v>
      </c>
      <c r="CD34" s="11"/>
      <c r="CE34" s="11"/>
      <c r="CF34" s="11">
        <v>5</v>
      </c>
      <c r="CG34" s="11"/>
      <c r="CH34" s="11"/>
      <c r="CI34" s="11"/>
      <c r="CJ34" s="11">
        <f t="shared" si="2"/>
        <v>40</v>
      </c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>
        <f>SUM(DV34:EB34)</f>
        <v>0</v>
      </c>
      <c r="EF34" s="8">
        <f>(EE34-DV34)/2</f>
        <v>0</v>
      </c>
      <c r="EG34" s="10"/>
      <c r="EH34" s="10"/>
      <c r="EI34" s="10"/>
      <c r="EJ34" s="10"/>
      <c r="EK34" s="10"/>
      <c r="EL34" s="10"/>
      <c r="EM34" s="10"/>
      <c r="EN34" s="10"/>
      <c r="EO34" s="10"/>
      <c r="EP34" s="8">
        <f>SUM(EF34:EN34)</f>
        <v>0</v>
      </c>
      <c r="EQ34" s="8">
        <f t="shared" si="4"/>
        <v>0</v>
      </c>
      <c r="ER34" s="8"/>
      <c r="ES34" s="8"/>
      <c r="ET34" s="10"/>
      <c r="EU34" s="10"/>
      <c r="EV34" s="8">
        <f t="shared" si="9"/>
        <v>0</v>
      </c>
    </row>
    <row r="35" spans="1:152" x14ac:dyDescent="0.25">
      <c r="A35">
        <v>25</v>
      </c>
      <c r="B35" s="8" t="s">
        <v>190</v>
      </c>
      <c r="C35" s="8"/>
      <c r="D35" s="8" t="s">
        <v>852</v>
      </c>
      <c r="E35" s="8" t="s">
        <v>12</v>
      </c>
      <c r="F35" s="8"/>
      <c r="G35" s="8"/>
      <c r="H35" s="8"/>
      <c r="I35" s="8"/>
      <c r="J35" s="8"/>
      <c r="K35" s="8"/>
      <c r="L35" s="8"/>
      <c r="M35" s="8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8"/>
      <c r="BU35" s="8"/>
      <c r="BV35" s="10"/>
      <c r="BW35" s="10"/>
      <c r="BX35" s="10"/>
      <c r="BY35" s="10"/>
      <c r="BZ35" s="10"/>
      <c r="CA35" s="10"/>
      <c r="CB35" s="8"/>
      <c r="CC35" s="8"/>
      <c r="CD35" s="10">
        <v>36</v>
      </c>
      <c r="CE35" s="10"/>
      <c r="CF35" s="10"/>
      <c r="CG35" s="10"/>
      <c r="CH35" s="10"/>
      <c r="CI35" s="8"/>
      <c r="CJ35" s="11">
        <f t="shared" si="2"/>
        <v>36</v>
      </c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10"/>
      <c r="EH35" s="10"/>
      <c r="EI35" s="10"/>
      <c r="EJ35" s="10"/>
      <c r="EK35" s="10"/>
      <c r="EL35" s="10"/>
      <c r="EM35" s="10"/>
      <c r="EN35" s="10"/>
      <c r="EO35" s="10"/>
      <c r="EP35" s="8">
        <f>SUM(EF35:EK35)</f>
        <v>0</v>
      </c>
      <c r="EQ35" s="8">
        <f t="shared" si="4"/>
        <v>0</v>
      </c>
      <c r="ER35" s="8"/>
      <c r="ES35" s="8"/>
      <c r="ET35" s="10"/>
      <c r="EU35" s="10"/>
      <c r="EV35" s="8">
        <f t="shared" si="9"/>
        <v>0</v>
      </c>
    </row>
    <row r="36" spans="1:152" x14ac:dyDescent="0.25">
      <c r="A36">
        <v>26</v>
      </c>
      <c r="B36" s="8" t="s">
        <v>721</v>
      </c>
      <c r="C36" s="8"/>
      <c r="D36" s="8" t="s">
        <v>717</v>
      </c>
      <c r="E36" s="8" t="s">
        <v>374</v>
      </c>
      <c r="F36" s="8"/>
      <c r="G36" s="8"/>
      <c r="H36" s="8"/>
      <c r="I36" s="8"/>
      <c r="J36" s="8"/>
      <c r="K36" s="8"/>
      <c r="L36" s="8"/>
      <c r="M36" s="8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8"/>
      <c r="BU36" s="8"/>
      <c r="BV36" s="10"/>
      <c r="BW36" s="10">
        <v>64</v>
      </c>
      <c r="BX36" s="10"/>
      <c r="BY36" s="10"/>
      <c r="BZ36" s="10"/>
      <c r="CA36" s="10"/>
      <c r="CB36" s="11">
        <f t="shared" ref="CB36:CB42" si="10">SUM(BU36:CA36)</f>
        <v>64</v>
      </c>
      <c r="CC36" s="11">
        <f t="shared" ref="CC36:CC42" si="11">(CB36-BU36)/2</f>
        <v>32</v>
      </c>
      <c r="CD36" s="11"/>
      <c r="CE36" s="11"/>
      <c r="CF36" s="11"/>
      <c r="CG36" s="11"/>
      <c r="CH36" s="11"/>
      <c r="CI36" s="11"/>
      <c r="CJ36" s="11">
        <f t="shared" si="2"/>
        <v>32</v>
      </c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>
        <f>SUM(DV36:EB36)</f>
        <v>0</v>
      </c>
      <c r="EF36" s="8">
        <f t="shared" ref="EF36:EF42" si="12">(EE36-DV36)/2</f>
        <v>0</v>
      </c>
      <c r="EG36" s="10"/>
      <c r="EH36" s="10"/>
      <c r="EI36" s="10"/>
      <c r="EJ36" s="10"/>
      <c r="EK36" s="10"/>
      <c r="EL36" s="10"/>
      <c r="EM36" s="10"/>
      <c r="EN36" s="10"/>
      <c r="EO36" s="10"/>
      <c r="EP36" s="8">
        <f t="shared" ref="EP36:EP42" si="13">SUM(EF36:EN36)</f>
        <v>0</v>
      </c>
      <c r="EQ36" s="8">
        <f t="shared" si="4"/>
        <v>0</v>
      </c>
      <c r="ER36" s="8"/>
      <c r="ES36" s="8"/>
      <c r="ET36" s="10"/>
      <c r="EU36" s="10"/>
      <c r="EV36" s="8">
        <f t="shared" si="9"/>
        <v>0</v>
      </c>
    </row>
    <row r="37" spans="1:152" x14ac:dyDescent="0.25">
      <c r="A37">
        <v>27</v>
      </c>
      <c r="B37" s="8" t="s">
        <v>560</v>
      </c>
      <c r="C37" s="8"/>
      <c r="D37" s="8" t="s">
        <v>516</v>
      </c>
      <c r="E37" s="8" t="s">
        <v>625</v>
      </c>
      <c r="F37" s="8"/>
      <c r="G37" s="8"/>
      <c r="H37" s="8"/>
      <c r="I37" s="8"/>
      <c r="J37" s="8"/>
      <c r="K37" s="8"/>
      <c r="L37" s="8"/>
      <c r="M37" s="8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8"/>
      <c r="BU37" s="8"/>
      <c r="BV37" s="10">
        <v>48</v>
      </c>
      <c r="BW37" s="10"/>
      <c r="BX37" s="10">
        <v>5</v>
      </c>
      <c r="BY37" s="10">
        <v>7.5</v>
      </c>
      <c r="BZ37" s="10"/>
      <c r="CA37" s="10"/>
      <c r="CB37" s="11">
        <f t="shared" si="10"/>
        <v>60.5</v>
      </c>
      <c r="CC37" s="11">
        <f t="shared" si="11"/>
        <v>30.25</v>
      </c>
      <c r="CD37" s="11"/>
      <c r="CE37" s="11"/>
      <c r="CF37" s="11"/>
      <c r="CG37" s="11"/>
      <c r="CH37" s="11"/>
      <c r="CI37" s="11"/>
      <c r="CJ37" s="11">
        <f t="shared" si="2"/>
        <v>30.25</v>
      </c>
      <c r="EE37" s="8">
        <f>SUM(DV37:EB37)</f>
        <v>0</v>
      </c>
      <c r="EF37" s="8">
        <f t="shared" si="12"/>
        <v>0</v>
      </c>
      <c r="EG37" s="10"/>
      <c r="EH37" s="10"/>
      <c r="EI37" s="10"/>
      <c r="EJ37" s="10"/>
      <c r="EK37" s="10"/>
      <c r="EL37" s="10"/>
      <c r="EM37" s="10"/>
      <c r="EN37" s="10"/>
      <c r="EO37" s="10"/>
      <c r="EP37" s="8">
        <f t="shared" si="13"/>
        <v>0</v>
      </c>
      <c r="EQ37" s="8">
        <f t="shared" si="4"/>
        <v>0</v>
      </c>
      <c r="ER37" s="8"/>
      <c r="ES37" s="8"/>
      <c r="ET37" s="10"/>
      <c r="EU37" s="10"/>
      <c r="EV37" s="8">
        <f t="shared" si="9"/>
        <v>0</v>
      </c>
    </row>
    <row r="38" spans="1:152" x14ac:dyDescent="0.25">
      <c r="A38">
        <v>28</v>
      </c>
      <c r="B38" s="8" t="s">
        <v>358</v>
      </c>
      <c r="C38" s="8"/>
      <c r="D38" s="8" t="s">
        <v>21</v>
      </c>
      <c r="E38" s="8" t="s">
        <v>43</v>
      </c>
      <c r="F38" s="8"/>
      <c r="G38" s="8"/>
      <c r="H38" s="8"/>
      <c r="I38" s="8"/>
      <c r="J38" s="8"/>
      <c r="K38" s="8"/>
      <c r="L38" s="8"/>
      <c r="M38" s="8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8"/>
      <c r="BU38" s="8"/>
      <c r="BV38" s="10">
        <v>48</v>
      </c>
      <c r="BW38" s="10"/>
      <c r="BX38" s="10"/>
      <c r="BY38" s="10"/>
      <c r="BZ38" s="10"/>
      <c r="CA38" s="10"/>
      <c r="CB38" s="11">
        <f t="shared" si="10"/>
        <v>48</v>
      </c>
      <c r="CC38" s="11">
        <f t="shared" si="11"/>
        <v>24</v>
      </c>
      <c r="CD38" s="11"/>
      <c r="CE38" s="11"/>
      <c r="CF38" s="11"/>
      <c r="CG38" s="11"/>
      <c r="CH38" s="11"/>
      <c r="CI38" s="11"/>
      <c r="CJ38" s="11">
        <f t="shared" si="2"/>
        <v>24</v>
      </c>
      <c r="EE38" s="8">
        <f>SUM(DV38:EB38)</f>
        <v>0</v>
      </c>
      <c r="EF38" s="8">
        <f t="shared" si="12"/>
        <v>0</v>
      </c>
      <c r="EG38" s="10"/>
      <c r="EH38" s="10"/>
      <c r="EI38" s="10"/>
      <c r="EJ38" s="10"/>
      <c r="EK38" s="10"/>
      <c r="EL38" s="10"/>
      <c r="EM38" s="10"/>
      <c r="EN38" s="10"/>
      <c r="EO38" s="10"/>
      <c r="EP38" s="8">
        <f t="shared" si="13"/>
        <v>0</v>
      </c>
      <c r="EQ38" s="8">
        <f t="shared" si="4"/>
        <v>0</v>
      </c>
      <c r="ER38" s="8"/>
      <c r="ES38" s="8"/>
      <c r="ET38" s="10"/>
      <c r="EU38" s="10"/>
      <c r="EV38" s="8">
        <f t="shared" si="9"/>
        <v>0</v>
      </c>
    </row>
    <row r="39" spans="1:152" x14ac:dyDescent="0.25">
      <c r="A39">
        <v>29</v>
      </c>
      <c r="B39" s="8" t="s">
        <v>300</v>
      </c>
      <c r="C39" s="8"/>
      <c r="D39" s="8" t="s">
        <v>26</v>
      </c>
      <c r="E39" s="8" t="s">
        <v>229</v>
      </c>
      <c r="F39" s="8"/>
      <c r="G39" s="8"/>
      <c r="H39" s="8"/>
      <c r="I39" s="8"/>
      <c r="J39" s="8"/>
      <c r="K39" s="8"/>
      <c r="L39" s="8"/>
      <c r="M39" s="8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8"/>
      <c r="BU39" s="8"/>
      <c r="BV39" s="10"/>
      <c r="BW39" s="10"/>
      <c r="BX39" s="10">
        <v>7.5</v>
      </c>
      <c r="BY39" s="10">
        <v>26</v>
      </c>
      <c r="BZ39" s="10">
        <v>7.5</v>
      </c>
      <c r="CA39" s="10"/>
      <c r="CB39" s="11">
        <f t="shared" si="10"/>
        <v>41</v>
      </c>
      <c r="CC39" s="11">
        <f t="shared" si="11"/>
        <v>20.5</v>
      </c>
      <c r="CD39" s="11"/>
      <c r="CE39" s="11"/>
      <c r="CF39" s="11"/>
      <c r="CG39" s="11"/>
      <c r="CH39" s="11"/>
      <c r="CI39" s="11"/>
      <c r="CJ39" s="11">
        <f t="shared" si="2"/>
        <v>20.5</v>
      </c>
      <c r="EE39" s="8">
        <f>SUM(DV39:EB39)</f>
        <v>0</v>
      </c>
      <c r="EF39" s="8">
        <f t="shared" si="12"/>
        <v>0</v>
      </c>
      <c r="EG39" s="10"/>
      <c r="EH39" s="10"/>
      <c r="EI39" s="10"/>
      <c r="EJ39" s="10"/>
      <c r="EK39" s="10"/>
      <c r="EL39" s="10"/>
      <c r="EM39" s="10"/>
      <c r="EN39" s="10"/>
      <c r="EO39" s="10"/>
      <c r="EP39" s="8">
        <f t="shared" si="13"/>
        <v>0</v>
      </c>
      <c r="EQ39" s="8">
        <f t="shared" si="4"/>
        <v>0</v>
      </c>
      <c r="ER39" s="8"/>
      <c r="ES39" s="8"/>
      <c r="ET39" s="10"/>
      <c r="EU39" s="10"/>
      <c r="EV39" s="8">
        <f t="shared" si="9"/>
        <v>0</v>
      </c>
    </row>
    <row r="40" spans="1:152" x14ac:dyDescent="0.25">
      <c r="A40">
        <v>30</v>
      </c>
      <c r="B40" s="8" t="s">
        <v>526</v>
      </c>
      <c r="C40" s="8"/>
      <c r="D40" s="8" t="s">
        <v>26</v>
      </c>
      <c r="E40" s="8" t="s">
        <v>427</v>
      </c>
      <c r="F40" s="8"/>
      <c r="G40" s="8"/>
      <c r="H40" s="8"/>
      <c r="I40" s="8"/>
      <c r="J40" s="8"/>
      <c r="K40" s="8"/>
      <c r="L40" s="8"/>
      <c r="M40" s="8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8"/>
      <c r="AX40" s="8"/>
      <c r="AY40" s="8"/>
      <c r="AZ40" s="8"/>
      <c r="BA40" s="8"/>
      <c r="BB40" s="8"/>
      <c r="BC40" s="8"/>
      <c r="BD40" s="8"/>
      <c r="BE40" s="8"/>
      <c r="BF40" s="8">
        <v>36</v>
      </c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1">
        <f>SUM(AX40:BS40)</f>
        <v>36</v>
      </c>
      <c r="BU40" s="11">
        <f>(BT40-AX40)/2</f>
        <v>18</v>
      </c>
      <c r="BV40" s="11"/>
      <c r="BW40" s="11"/>
      <c r="BX40" s="11">
        <v>36</v>
      </c>
      <c r="BY40" s="11"/>
      <c r="BZ40" s="11"/>
      <c r="CA40" s="11"/>
      <c r="CB40" s="11">
        <f t="shared" si="10"/>
        <v>54</v>
      </c>
      <c r="CC40" s="11">
        <f t="shared" si="11"/>
        <v>18</v>
      </c>
      <c r="CD40" s="11"/>
      <c r="CE40" s="11"/>
      <c r="CF40" s="11"/>
      <c r="CG40" s="11"/>
      <c r="CH40" s="11"/>
      <c r="CI40" s="11"/>
      <c r="CJ40" s="11">
        <f t="shared" si="2"/>
        <v>18</v>
      </c>
      <c r="DU40">
        <f>SUM(DE40:DT40)</f>
        <v>0</v>
      </c>
      <c r="DV40">
        <f>(DU40-CL40)/2</f>
        <v>0</v>
      </c>
      <c r="DW40">
        <f>BT40/4</f>
        <v>9</v>
      </c>
      <c r="ED40">
        <v>2.5</v>
      </c>
      <c r="EE40" s="8">
        <f>SUM(DV40:ED40)</f>
        <v>11.5</v>
      </c>
      <c r="EF40" s="8">
        <f t="shared" si="12"/>
        <v>5.75</v>
      </c>
      <c r="EG40" s="10"/>
      <c r="EH40" s="10"/>
      <c r="EI40" s="10"/>
      <c r="EJ40" s="10"/>
      <c r="EK40" s="10"/>
      <c r="EL40" s="10"/>
      <c r="EM40" s="10"/>
      <c r="EN40" s="10"/>
      <c r="EO40" s="10"/>
      <c r="EP40" s="8">
        <f t="shared" si="13"/>
        <v>5.75</v>
      </c>
      <c r="EQ40" s="8">
        <f t="shared" si="4"/>
        <v>0</v>
      </c>
      <c r="ER40" s="8"/>
      <c r="ES40" s="8"/>
      <c r="ET40" s="10"/>
      <c r="EU40" s="10"/>
      <c r="EV40" s="8">
        <f t="shared" si="9"/>
        <v>0</v>
      </c>
    </row>
    <row r="41" spans="1:152" x14ac:dyDescent="0.25">
      <c r="A41">
        <v>31</v>
      </c>
      <c r="B41" s="8" t="s">
        <v>630</v>
      </c>
      <c r="C41" s="8"/>
      <c r="D41" s="8" t="s">
        <v>239</v>
      </c>
      <c r="E41" s="8" t="s">
        <v>631</v>
      </c>
      <c r="F41" s="8"/>
      <c r="G41" s="8"/>
      <c r="H41" s="8"/>
      <c r="I41" s="8"/>
      <c r="J41" s="8"/>
      <c r="K41" s="8"/>
      <c r="L41" s="8"/>
      <c r="M41" s="8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8"/>
      <c r="BU41" s="8"/>
      <c r="BV41" s="10">
        <v>36</v>
      </c>
      <c r="BW41" s="10"/>
      <c r="BX41" s="10"/>
      <c r="BY41" s="10"/>
      <c r="BZ41" s="10"/>
      <c r="CA41" s="10"/>
      <c r="CB41" s="11">
        <f t="shared" si="10"/>
        <v>36</v>
      </c>
      <c r="CC41" s="11">
        <f t="shared" si="11"/>
        <v>18</v>
      </c>
      <c r="CD41" s="11"/>
      <c r="CE41" s="11"/>
      <c r="CF41" s="11"/>
      <c r="CG41" s="11"/>
      <c r="CH41" s="11"/>
      <c r="CI41" s="11"/>
      <c r="CJ41" s="11">
        <f t="shared" si="2"/>
        <v>18</v>
      </c>
      <c r="EE41" s="8">
        <f>SUM(DV41:EB41)</f>
        <v>0</v>
      </c>
      <c r="EF41" s="8">
        <f t="shared" si="12"/>
        <v>0</v>
      </c>
      <c r="EG41" s="10"/>
      <c r="EH41" s="10"/>
      <c r="EI41" s="10"/>
      <c r="EJ41" s="10"/>
      <c r="EK41" s="10"/>
      <c r="EL41" s="10"/>
      <c r="EM41" s="10"/>
      <c r="EN41" s="10"/>
      <c r="EO41" s="10"/>
      <c r="EP41" s="8">
        <f t="shared" si="13"/>
        <v>0</v>
      </c>
      <c r="EQ41" s="8">
        <f t="shared" si="4"/>
        <v>0</v>
      </c>
      <c r="ER41" s="8"/>
      <c r="ES41" s="8"/>
      <c r="ET41" s="10"/>
      <c r="EU41" s="10"/>
      <c r="EV41" s="8">
        <f t="shared" si="9"/>
        <v>0</v>
      </c>
    </row>
    <row r="42" spans="1:152" x14ac:dyDescent="0.25">
      <c r="A42">
        <v>32</v>
      </c>
      <c r="B42" s="8" t="s">
        <v>656</v>
      </c>
      <c r="C42" s="8"/>
      <c r="D42" s="8" t="s">
        <v>22</v>
      </c>
      <c r="E42" s="8" t="s">
        <v>395</v>
      </c>
      <c r="F42" s="8"/>
      <c r="G42" s="8"/>
      <c r="H42" s="8"/>
      <c r="I42" s="8"/>
      <c r="J42" s="8"/>
      <c r="K42" s="8"/>
      <c r="L42" s="8"/>
      <c r="M42" s="8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8"/>
      <c r="BU42" s="8"/>
      <c r="BV42" s="10">
        <v>36</v>
      </c>
      <c r="BW42" s="10"/>
      <c r="BX42" s="10"/>
      <c r="BY42" s="10"/>
      <c r="BZ42" s="10"/>
      <c r="CA42" s="10"/>
      <c r="CB42" s="11">
        <f t="shared" si="10"/>
        <v>36</v>
      </c>
      <c r="CC42" s="11">
        <f t="shared" si="11"/>
        <v>18</v>
      </c>
      <c r="CD42" s="11"/>
      <c r="CE42" s="11"/>
      <c r="CF42" s="11"/>
      <c r="CG42" s="11"/>
      <c r="CH42" s="11"/>
      <c r="CI42" s="11"/>
      <c r="CJ42" s="11">
        <f t="shared" si="2"/>
        <v>18</v>
      </c>
      <c r="EE42" s="8">
        <f>SUM(DV42:EB42)</f>
        <v>0</v>
      </c>
      <c r="EF42" s="8">
        <f t="shared" si="12"/>
        <v>0</v>
      </c>
      <c r="EG42" s="10"/>
      <c r="EH42" s="10"/>
      <c r="EI42" s="10"/>
      <c r="EJ42" s="10"/>
      <c r="EK42" s="10"/>
      <c r="EL42" s="10"/>
      <c r="EM42" s="10"/>
      <c r="EN42" s="10"/>
      <c r="EO42" s="10"/>
      <c r="EP42" s="8">
        <f t="shared" si="13"/>
        <v>0</v>
      </c>
      <c r="EQ42" s="8">
        <f t="shared" si="4"/>
        <v>0</v>
      </c>
      <c r="ER42" s="8"/>
      <c r="ES42" s="8"/>
      <c r="ET42" s="10"/>
      <c r="EU42" s="10"/>
      <c r="EV42" s="8">
        <f t="shared" si="9"/>
        <v>0</v>
      </c>
    </row>
    <row r="43" spans="1:152" x14ac:dyDescent="0.25">
      <c r="A43">
        <v>33</v>
      </c>
      <c r="B43" s="8" t="s">
        <v>805</v>
      </c>
      <c r="C43" s="8"/>
      <c r="D43" s="8" t="s">
        <v>806</v>
      </c>
      <c r="E43" s="8" t="s">
        <v>625</v>
      </c>
      <c r="F43" s="8"/>
      <c r="G43" s="8"/>
      <c r="H43" s="8"/>
      <c r="I43" s="8"/>
      <c r="J43" s="8"/>
      <c r="K43" s="8"/>
      <c r="L43" s="8"/>
      <c r="M43" s="8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8"/>
      <c r="BU43" s="8"/>
      <c r="BV43" s="10"/>
      <c r="BW43" s="10"/>
      <c r="BX43" s="10"/>
      <c r="BY43" s="10"/>
      <c r="BZ43" s="10"/>
      <c r="CA43" s="10"/>
      <c r="CB43" s="8"/>
      <c r="CC43" s="8"/>
      <c r="CD43" s="10">
        <v>3</v>
      </c>
      <c r="CE43" s="10"/>
      <c r="CF43" s="10">
        <v>7.5</v>
      </c>
      <c r="CG43" s="10">
        <v>5</v>
      </c>
      <c r="CH43" s="10">
        <v>2.4</v>
      </c>
      <c r="CI43" s="8"/>
      <c r="CJ43" s="11">
        <f t="shared" si="2"/>
        <v>17.899999999999999</v>
      </c>
      <c r="EE43" s="8"/>
      <c r="EF43" s="8"/>
      <c r="EG43" s="10"/>
      <c r="EH43" s="10"/>
      <c r="EI43" s="10"/>
      <c r="EJ43" s="10"/>
      <c r="EK43" s="10"/>
      <c r="EL43" s="10"/>
      <c r="EM43" s="10"/>
      <c r="EN43" s="10"/>
      <c r="EO43" s="10"/>
      <c r="EP43" s="8">
        <f>SUM(EF43:EK43)</f>
        <v>0</v>
      </c>
      <c r="EQ43" s="8">
        <f t="shared" si="4"/>
        <v>0</v>
      </c>
      <c r="ER43" s="8"/>
      <c r="ES43" s="8"/>
      <c r="ET43" s="10"/>
      <c r="EU43" s="10"/>
      <c r="EV43" s="8">
        <f t="shared" si="9"/>
        <v>0</v>
      </c>
    </row>
    <row r="44" spans="1:152" x14ac:dyDescent="0.25">
      <c r="A44">
        <v>34</v>
      </c>
      <c r="B44" s="8" t="s">
        <v>884</v>
      </c>
      <c r="C44" s="8"/>
      <c r="D44" s="8" t="s">
        <v>21</v>
      </c>
      <c r="E44" s="8" t="s">
        <v>24</v>
      </c>
      <c r="F44" s="8"/>
      <c r="G44" s="8"/>
      <c r="H44" s="8"/>
      <c r="I44" s="8"/>
      <c r="J44" s="8"/>
      <c r="K44" s="8"/>
      <c r="L44" s="8"/>
      <c r="M44" s="8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8"/>
      <c r="BU44" s="8"/>
      <c r="BV44" s="10"/>
      <c r="BW44" s="10"/>
      <c r="BX44" s="10"/>
      <c r="BY44" s="10"/>
      <c r="BZ44" s="10"/>
      <c r="CA44" s="10"/>
      <c r="CB44" s="8"/>
      <c r="CC44" s="8"/>
      <c r="CD44" s="10"/>
      <c r="CE44" s="10"/>
      <c r="CF44" s="10">
        <v>5</v>
      </c>
      <c r="CG44" s="10"/>
      <c r="CH44" s="10"/>
      <c r="CI44" s="8"/>
      <c r="CJ44" s="11">
        <f t="shared" si="2"/>
        <v>5</v>
      </c>
      <c r="EE44" s="8"/>
      <c r="EF44" s="8"/>
      <c r="EG44" s="10"/>
      <c r="EH44" s="10"/>
      <c r="EI44" s="10"/>
      <c r="EJ44" s="10"/>
      <c r="EK44" s="10"/>
      <c r="EL44" s="10"/>
      <c r="EM44" s="10"/>
      <c r="EN44" s="10"/>
      <c r="EO44" s="10"/>
      <c r="EP44" s="8">
        <f>SUM(EF44:EK44)</f>
        <v>0</v>
      </c>
      <c r="EQ44" s="8">
        <f t="shared" si="4"/>
        <v>0</v>
      </c>
      <c r="ER44" s="8"/>
      <c r="ES44" s="8"/>
      <c r="ET44" s="10"/>
      <c r="EU44" s="10"/>
      <c r="EV44" s="8">
        <f t="shared" si="9"/>
        <v>0</v>
      </c>
    </row>
    <row r="45" spans="1:152" x14ac:dyDescent="0.25">
      <c r="A45">
        <v>35</v>
      </c>
      <c r="B45" s="8" t="s">
        <v>702</v>
      </c>
      <c r="C45" s="8"/>
      <c r="D45" s="8" t="s">
        <v>228</v>
      </c>
      <c r="E45" s="8" t="s">
        <v>697</v>
      </c>
      <c r="F45" s="8"/>
      <c r="G45" s="8"/>
      <c r="H45" s="8"/>
      <c r="I45" s="8"/>
      <c r="J45" s="8"/>
      <c r="K45" s="8"/>
      <c r="L45" s="8"/>
      <c r="M45" s="8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8"/>
      <c r="BU45" s="8"/>
      <c r="BV45" s="10"/>
      <c r="BW45" s="10">
        <v>3.2</v>
      </c>
      <c r="BX45" s="10">
        <v>5</v>
      </c>
      <c r="BY45" s="10"/>
      <c r="BZ45" s="10"/>
      <c r="CA45" s="10"/>
      <c r="CB45" s="11">
        <f>SUM(BU45:CA45)</f>
        <v>8.1999999999999993</v>
      </c>
      <c r="CC45" s="11">
        <f>(CB45-BU45)/2</f>
        <v>4.0999999999999996</v>
      </c>
      <c r="CD45" s="11"/>
      <c r="CE45" s="11"/>
      <c r="CF45" s="11"/>
      <c r="CG45" s="11"/>
      <c r="CH45" s="11"/>
      <c r="CI45" s="11"/>
      <c r="CJ45" s="11">
        <f t="shared" si="2"/>
        <v>4.0999999999999996</v>
      </c>
      <c r="EE45">
        <f>SUM(DV45:EB45)</f>
        <v>0</v>
      </c>
      <c r="EF45">
        <f>(EE45-DV45)/2</f>
        <v>0</v>
      </c>
      <c r="EP45" s="8">
        <f>SUM(EF45:EN45)</f>
        <v>0</v>
      </c>
      <c r="EQ45" s="8">
        <f t="shared" si="4"/>
        <v>0</v>
      </c>
      <c r="ER45" s="8"/>
      <c r="ES45" s="8"/>
      <c r="ET45" s="10"/>
      <c r="EU45" s="10"/>
      <c r="EV45" s="8">
        <f t="shared" si="9"/>
        <v>0</v>
      </c>
    </row>
    <row r="46" spans="1:152" x14ac:dyDescent="0.25">
      <c r="A46">
        <v>36</v>
      </c>
      <c r="B46" s="8" t="s">
        <v>860</v>
      </c>
      <c r="C46" s="8"/>
      <c r="D46" s="8" t="s">
        <v>806</v>
      </c>
      <c r="E46" s="8" t="s">
        <v>855</v>
      </c>
      <c r="F46" s="8"/>
      <c r="G46" s="8"/>
      <c r="H46" s="8"/>
      <c r="I46" s="8"/>
      <c r="J46" s="8"/>
      <c r="K46" s="8"/>
      <c r="L46" s="8"/>
      <c r="M46" s="8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8"/>
      <c r="BU46" s="8"/>
      <c r="BV46" s="10"/>
      <c r="BW46" s="10"/>
      <c r="BX46" s="10"/>
      <c r="BY46" s="10"/>
      <c r="BZ46" s="10"/>
      <c r="CA46" s="10"/>
      <c r="CB46" s="8"/>
      <c r="CC46" s="8"/>
      <c r="CD46" s="10"/>
      <c r="CE46" s="10">
        <v>4</v>
      </c>
      <c r="CF46" s="10"/>
      <c r="CG46" s="10"/>
      <c r="CH46" s="10"/>
      <c r="CI46" s="8"/>
      <c r="CJ46" s="11">
        <f t="shared" si="2"/>
        <v>4</v>
      </c>
      <c r="EP46" s="8">
        <f>SUM(EF46:EK46)</f>
        <v>0</v>
      </c>
      <c r="EQ46" s="8">
        <f t="shared" si="4"/>
        <v>0</v>
      </c>
      <c r="ER46" s="8"/>
      <c r="ES46" s="8"/>
      <c r="ET46" s="10"/>
      <c r="EU46" s="10"/>
      <c r="EV46" s="8">
        <f t="shared" si="9"/>
        <v>0</v>
      </c>
    </row>
    <row r="47" spans="1:152" x14ac:dyDescent="0.25">
      <c r="A47">
        <v>37</v>
      </c>
      <c r="B47" s="8" t="s">
        <v>605</v>
      </c>
      <c r="C47" s="8"/>
      <c r="D47" s="8" t="s">
        <v>203</v>
      </c>
      <c r="E47" s="8" t="s">
        <v>648</v>
      </c>
      <c r="F47" s="8"/>
      <c r="G47" s="8"/>
      <c r="H47" s="8"/>
      <c r="I47" s="8"/>
      <c r="J47" s="8"/>
      <c r="K47" s="8"/>
      <c r="L47" s="8"/>
      <c r="M47" s="8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8"/>
      <c r="BU47" s="8"/>
      <c r="BV47" s="10"/>
      <c r="BW47" s="10"/>
      <c r="BX47" s="10"/>
      <c r="BY47" s="10"/>
      <c r="BZ47" s="10"/>
      <c r="CA47" s="10"/>
      <c r="CB47" s="8"/>
      <c r="CC47" s="8"/>
      <c r="CD47" s="10">
        <v>3</v>
      </c>
      <c r="CE47" s="10"/>
      <c r="CF47" s="10"/>
      <c r="CG47" s="10"/>
      <c r="CH47" s="10"/>
      <c r="CI47" s="8"/>
      <c r="CJ47" s="11">
        <f t="shared" si="2"/>
        <v>3</v>
      </c>
      <c r="EP47" s="8">
        <f>SUM(EF47:EK47)</f>
        <v>0</v>
      </c>
      <c r="EQ47" s="8">
        <f t="shared" si="4"/>
        <v>0</v>
      </c>
      <c r="ER47" s="8"/>
      <c r="ES47" s="8"/>
      <c r="ET47" s="10"/>
      <c r="EU47" s="10"/>
      <c r="EV47" s="8">
        <f t="shared" si="9"/>
        <v>0</v>
      </c>
    </row>
    <row r="48" spans="1:152" x14ac:dyDescent="0.25">
      <c r="A48">
        <v>38</v>
      </c>
      <c r="B48" s="8" t="s">
        <v>562</v>
      </c>
      <c r="C48" s="8"/>
      <c r="D48" s="8" t="s">
        <v>561</v>
      </c>
      <c r="E48" s="8" t="s">
        <v>563</v>
      </c>
      <c r="F48" s="8"/>
      <c r="G48" s="8"/>
      <c r="H48" s="8"/>
      <c r="I48" s="8"/>
      <c r="J48" s="8"/>
      <c r="K48" s="8"/>
      <c r="L48" s="8"/>
      <c r="M48" s="8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10"/>
      <c r="BH48" s="10"/>
      <c r="BI48" s="10"/>
      <c r="BJ48" s="10"/>
      <c r="BK48" s="10"/>
      <c r="BL48" s="10"/>
      <c r="BM48" s="10">
        <v>30</v>
      </c>
      <c r="BN48" s="10"/>
      <c r="BO48" s="10"/>
      <c r="BP48" s="10"/>
      <c r="BQ48" s="10"/>
      <c r="BR48" s="10"/>
      <c r="BS48" s="10"/>
      <c r="BT48" s="11">
        <f>SUM(AX48:BS48)</f>
        <v>30</v>
      </c>
      <c r="BU48" s="11">
        <f>(BT48-AX48)/2</f>
        <v>15</v>
      </c>
      <c r="BV48" s="11"/>
      <c r="BW48" s="11"/>
      <c r="BX48" s="11">
        <v>5</v>
      </c>
      <c r="BY48" s="11"/>
      <c r="BZ48" s="11"/>
      <c r="CA48" s="11"/>
      <c r="CB48" s="11">
        <f>SUM(BU48:CA48)</f>
        <v>20</v>
      </c>
      <c r="CC48" s="11">
        <f>(CB48-BU48)/2</f>
        <v>2.5</v>
      </c>
      <c r="CD48" s="11"/>
      <c r="CE48" s="11"/>
      <c r="CF48" s="11"/>
      <c r="CG48" s="11"/>
      <c r="CH48" s="11"/>
      <c r="CI48" s="11"/>
      <c r="CJ48" s="11">
        <f t="shared" si="2"/>
        <v>2.5</v>
      </c>
      <c r="DU48">
        <f>SUM(DE48:DT48)</f>
        <v>0</v>
      </c>
      <c r="DV48">
        <f>(DU48-CL48)/2</f>
        <v>0</v>
      </c>
      <c r="DW48">
        <f>BT48/4</f>
        <v>7.5</v>
      </c>
      <c r="EE48">
        <f>SUM(DV48:DX48)</f>
        <v>7.5</v>
      </c>
      <c r="EF48">
        <f>(EE48-DV48)/2</f>
        <v>3.75</v>
      </c>
      <c r="EP48" s="8">
        <f>SUM(EF48:EN48)</f>
        <v>3.75</v>
      </c>
      <c r="EQ48" s="8">
        <f t="shared" si="4"/>
        <v>0</v>
      </c>
      <c r="ER48" s="8"/>
      <c r="ES48" s="8"/>
      <c r="ET48" s="10"/>
      <c r="EU48" s="10"/>
      <c r="EV48" s="8">
        <f t="shared" si="9"/>
        <v>0</v>
      </c>
    </row>
    <row r="49" spans="1:152" x14ac:dyDescent="0.25">
      <c r="A49">
        <v>39</v>
      </c>
      <c r="B49" s="8" t="s">
        <v>629</v>
      </c>
      <c r="C49" s="8"/>
      <c r="D49" s="8" t="s">
        <v>32</v>
      </c>
      <c r="E49" s="8" t="s">
        <v>7</v>
      </c>
      <c r="F49" s="8"/>
      <c r="G49" s="8"/>
      <c r="H49" s="8"/>
      <c r="I49" s="8"/>
      <c r="J49" s="8"/>
      <c r="K49" s="8"/>
      <c r="L49" s="8"/>
      <c r="M49" s="8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8"/>
      <c r="BU49" s="8"/>
      <c r="BV49" s="10"/>
      <c r="BW49" s="10"/>
      <c r="BX49" s="10"/>
      <c r="BY49" s="10"/>
      <c r="BZ49" s="10"/>
      <c r="CA49" s="10"/>
      <c r="CB49" s="8"/>
      <c r="CC49" s="8"/>
      <c r="CD49" s="10">
        <v>2.4</v>
      </c>
      <c r="CE49" s="10"/>
      <c r="CF49" s="10"/>
      <c r="CG49" s="10"/>
      <c r="CH49" s="10"/>
      <c r="CI49" s="8"/>
      <c r="CJ49" s="11">
        <f t="shared" si="2"/>
        <v>2.4</v>
      </c>
      <c r="EP49" s="8">
        <f>SUM(EF49:EK49)</f>
        <v>0</v>
      </c>
      <c r="EQ49" s="8">
        <f t="shared" si="4"/>
        <v>0</v>
      </c>
      <c r="ER49" s="8"/>
      <c r="ES49" s="8"/>
      <c r="ET49" s="10"/>
      <c r="EU49" s="10"/>
      <c r="EV49" s="8">
        <f t="shared" si="9"/>
        <v>0</v>
      </c>
    </row>
    <row r="50" spans="1:152" x14ac:dyDescent="0.25">
      <c r="A50">
        <v>40</v>
      </c>
      <c r="B50" s="8" t="s">
        <v>195</v>
      </c>
      <c r="C50" s="8"/>
      <c r="D50" s="8" t="s">
        <v>35</v>
      </c>
      <c r="E50" s="8" t="s">
        <v>577</v>
      </c>
      <c r="F50" s="8"/>
      <c r="G50" s="8"/>
      <c r="H50" s="8"/>
      <c r="I50" s="8"/>
      <c r="J50" s="8"/>
      <c r="K50" s="8"/>
      <c r="L50" s="8"/>
      <c r="M50" s="8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8"/>
      <c r="BU50" s="8"/>
      <c r="BV50" s="10"/>
      <c r="BW50" s="10"/>
      <c r="BX50" s="10"/>
      <c r="BY50" s="10"/>
      <c r="BZ50" s="10"/>
      <c r="CA50" s="10"/>
      <c r="CB50" s="8"/>
      <c r="CC50" s="8"/>
      <c r="CD50" s="10">
        <v>2.4</v>
      </c>
      <c r="CE50" s="10"/>
      <c r="CF50" s="10"/>
      <c r="CG50" s="10"/>
      <c r="CH50" s="10"/>
      <c r="CI50" s="8"/>
      <c r="CJ50" s="11">
        <f t="shared" si="2"/>
        <v>2.4</v>
      </c>
      <c r="EP50" s="8">
        <f>SUM(EF50:EK50)</f>
        <v>0</v>
      </c>
      <c r="EQ50" s="8">
        <f t="shared" si="4"/>
        <v>0</v>
      </c>
      <c r="ER50" s="8"/>
      <c r="ES50" s="8"/>
      <c r="ET50" s="10"/>
      <c r="EU50" s="10"/>
      <c r="EV50" s="8">
        <f t="shared" si="9"/>
        <v>0</v>
      </c>
    </row>
    <row r="51" spans="1:152" x14ac:dyDescent="0.25">
      <c r="A51">
        <v>41</v>
      </c>
      <c r="B51" s="8" t="s">
        <v>202</v>
      </c>
      <c r="C51" s="8"/>
      <c r="D51" s="8" t="s">
        <v>163</v>
      </c>
      <c r="E51" s="8" t="s">
        <v>404</v>
      </c>
      <c r="F51" s="8"/>
      <c r="G51" s="8"/>
      <c r="H51" s="8"/>
      <c r="I51" s="8"/>
      <c r="J51" s="8"/>
      <c r="K51" s="8"/>
      <c r="L51" s="8"/>
      <c r="M51" s="8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8"/>
      <c r="BU51" s="8"/>
      <c r="BV51" s="10">
        <v>2.4</v>
      </c>
      <c r="BW51" s="10"/>
      <c r="BX51" s="10"/>
      <c r="BY51" s="10"/>
      <c r="BZ51" s="10"/>
      <c r="CA51" s="10"/>
      <c r="CB51" s="11">
        <f t="shared" ref="CB51:CB58" si="14">SUM(BU51:CA51)</f>
        <v>2.4</v>
      </c>
      <c r="CC51" s="11">
        <f t="shared" ref="CC51:CC58" si="15">(CB51-BU51)/2</f>
        <v>1.2</v>
      </c>
      <c r="CD51" s="11"/>
      <c r="CE51" s="11"/>
      <c r="CF51" s="11"/>
      <c r="CG51" s="11"/>
      <c r="CH51" s="11"/>
      <c r="CI51" s="11"/>
      <c r="CJ51" s="11">
        <f t="shared" si="2"/>
        <v>1.2</v>
      </c>
      <c r="EE51">
        <f>SUM(DV51:EB51)</f>
        <v>0</v>
      </c>
      <c r="EF51">
        <f t="shared" ref="EF51:EF56" si="16">(EE51-DV51)/2</f>
        <v>0</v>
      </c>
      <c r="EP51" s="8">
        <f t="shared" ref="EP51:EP56" si="17">SUM(EF51:EN51)</f>
        <v>0</v>
      </c>
      <c r="EQ51" s="8">
        <f t="shared" si="4"/>
        <v>0</v>
      </c>
      <c r="ER51" s="8"/>
      <c r="ES51" s="8"/>
      <c r="ET51" s="10"/>
      <c r="EU51" s="10"/>
      <c r="EV51" s="8">
        <f t="shared" si="9"/>
        <v>0</v>
      </c>
    </row>
    <row r="52" spans="1:152" x14ac:dyDescent="0.25">
      <c r="A52">
        <v>42</v>
      </c>
      <c r="B52" s="8" t="s">
        <v>165</v>
      </c>
      <c r="C52" s="8"/>
      <c r="D52" s="8" t="s">
        <v>32</v>
      </c>
      <c r="E52" s="8" t="s">
        <v>31</v>
      </c>
      <c r="F52" s="8"/>
      <c r="G52" s="8"/>
      <c r="H52" s="8"/>
      <c r="I52" s="8"/>
      <c r="J52" s="8"/>
      <c r="K52" s="8"/>
      <c r="L52" s="8"/>
      <c r="M52" s="8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10">
        <v>80</v>
      </c>
      <c r="AL52" s="10"/>
      <c r="AM52" s="10">
        <v>100</v>
      </c>
      <c r="AN52" s="10"/>
      <c r="AO52" s="10"/>
      <c r="AP52" s="10"/>
      <c r="AQ52" s="10"/>
      <c r="AR52" s="10"/>
      <c r="AS52" s="10"/>
      <c r="AT52" s="10"/>
      <c r="AU52" s="10"/>
      <c r="AV52" s="10"/>
      <c r="AW52" s="11">
        <f>SUM(AB52:AV52)</f>
        <v>180</v>
      </c>
      <c r="AX52" s="11">
        <f>(AW52-AB52)/2</f>
        <v>90</v>
      </c>
      <c r="AY52" s="11"/>
      <c r="AZ52" s="11"/>
      <c r="BA52" s="11">
        <v>48</v>
      </c>
      <c r="BB52" s="11"/>
      <c r="BC52" s="11"/>
      <c r="BD52" s="11"/>
      <c r="BE52" s="11">
        <v>75</v>
      </c>
      <c r="BF52" s="11">
        <v>70</v>
      </c>
      <c r="BG52" s="11">
        <v>40</v>
      </c>
      <c r="BH52" s="11"/>
      <c r="BI52" s="11"/>
      <c r="BJ52" s="11">
        <v>75</v>
      </c>
      <c r="BK52" s="11"/>
      <c r="BL52" s="11">
        <v>36</v>
      </c>
      <c r="BM52" s="11"/>
      <c r="BN52" s="11"/>
      <c r="BO52" s="11"/>
      <c r="BP52" s="11"/>
      <c r="BQ52" s="11"/>
      <c r="BR52" s="11"/>
      <c r="BS52" s="11"/>
      <c r="BT52" s="11">
        <f>SUM(AX52:BS52)</f>
        <v>434</v>
      </c>
      <c r="BU52" s="11">
        <f>(BT52-AX52)/2</f>
        <v>172</v>
      </c>
      <c r="BV52" s="11"/>
      <c r="BW52" s="11"/>
      <c r="BX52" s="11"/>
      <c r="BY52" s="11"/>
      <c r="BZ52" s="11"/>
      <c r="CA52" s="11"/>
      <c r="CB52" s="11">
        <f t="shared" si="14"/>
        <v>172</v>
      </c>
      <c r="CC52" s="11">
        <f t="shared" si="15"/>
        <v>0</v>
      </c>
      <c r="CD52" s="11"/>
      <c r="CE52" s="11"/>
      <c r="CF52" s="11"/>
      <c r="CG52" s="11"/>
      <c r="CH52" s="11"/>
      <c r="CI52" s="11"/>
      <c r="CJ52" s="11">
        <f t="shared" si="2"/>
        <v>0</v>
      </c>
      <c r="CL52" s="12">
        <f>SUM(CO52:DC52)</f>
        <v>0</v>
      </c>
      <c r="CM52" s="12">
        <f>AW52/4</f>
        <v>45</v>
      </c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>
        <f>SUM(CL52:DT52)</f>
        <v>45</v>
      </c>
      <c r="DV52">
        <f>(DU52-CL52)/2</f>
        <v>22.5</v>
      </c>
      <c r="DW52">
        <f>BT52/4</f>
        <v>108.5</v>
      </c>
      <c r="EE52">
        <f>SUM(DV52:DX52)</f>
        <v>131</v>
      </c>
      <c r="EF52">
        <f t="shared" si="16"/>
        <v>54.25</v>
      </c>
      <c r="EP52" s="8">
        <f t="shared" si="17"/>
        <v>54.25</v>
      </c>
      <c r="EQ52" s="8">
        <f t="shared" si="4"/>
        <v>0</v>
      </c>
      <c r="ER52" s="8"/>
      <c r="ES52" s="8"/>
      <c r="ET52" s="10"/>
      <c r="EU52" s="10"/>
      <c r="EV52" s="8">
        <f t="shared" si="9"/>
        <v>0</v>
      </c>
    </row>
    <row r="53" spans="1:152" x14ac:dyDescent="0.25">
      <c r="A53">
        <v>43</v>
      </c>
      <c r="B53" s="18" t="s">
        <v>211</v>
      </c>
      <c r="C53" s="18" t="s">
        <v>212</v>
      </c>
      <c r="D53" s="18" t="s">
        <v>37</v>
      </c>
      <c r="E53" s="18" t="s">
        <v>7</v>
      </c>
      <c r="F53" s="8"/>
      <c r="G53" s="10">
        <v>50</v>
      </c>
      <c r="H53" s="10">
        <v>50</v>
      </c>
      <c r="I53" s="10"/>
      <c r="J53" s="10"/>
      <c r="K53" s="10"/>
      <c r="L53" s="10"/>
      <c r="M53" s="10">
        <v>64</v>
      </c>
      <c r="N53" s="10">
        <v>70</v>
      </c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>
        <v>120</v>
      </c>
      <c r="AA53" s="11">
        <f>SUM(F53:Z53)</f>
        <v>354</v>
      </c>
      <c r="AB53" s="11">
        <f>AA53/2</f>
        <v>177</v>
      </c>
      <c r="AC53" s="11"/>
      <c r="AD53" s="11"/>
      <c r="AE53" s="11"/>
      <c r="AF53" s="11" t="s">
        <v>327</v>
      </c>
      <c r="AG53" s="11"/>
      <c r="AH53" s="11"/>
      <c r="AI53" s="11"/>
      <c r="AJ53" s="11"/>
      <c r="AK53" s="11"/>
      <c r="AL53" s="11"/>
      <c r="AM53" s="11" t="s">
        <v>327</v>
      </c>
      <c r="AN53" s="11"/>
      <c r="AO53" s="11"/>
      <c r="AP53" s="11"/>
      <c r="AQ53" s="11"/>
      <c r="AR53" s="11">
        <v>100</v>
      </c>
      <c r="AS53" s="11"/>
      <c r="AT53" s="11"/>
      <c r="AU53" s="11"/>
      <c r="AV53" s="11">
        <v>150</v>
      </c>
      <c r="AW53" s="11">
        <f>SUM(AB53:AV53)</f>
        <v>427</v>
      </c>
      <c r="AX53" s="11">
        <f>(AW53-AB53)/2</f>
        <v>125</v>
      </c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>
        <v>64</v>
      </c>
      <c r="BJ53" s="11" t="s">
        <v>327</v>
      </c>
      <c r="BK53" s="11"/>
      <c r="BL53" s="11"/>
      <c r="BM53" s="11"/>
      <c r="BN53" s="11"/>
      <c r="BO53" s="11"/>
      <c r="BP53" s="11"/>
      <c r="BQ53" s="11"/>
      <c r="BR53" s="11" t="s">
        <v>132</v>
      </c>
      <c r="BS53" s="11">
        <v>200</v>
      </c>
      <c r="BT53" s="11">
        <f>SUM(AX53:BS53)</f>
        <v>389</v>
      </c>
      <c r="BU53" s="11">
        <f>(BT53-AX53)/2</f>
        <v>132</v>
      </c>
      <c r="BV53" s="11"/>
      <c r="BW53" s="11"/>
      <c r="BX53" s="11"/>
      <c r="BY53" s="11"/>
      <c r="BZ53" s="11"/>
      <c r="CA53" s="11"/>
      <c r="CB53" s="11">
        <f t="shared" si="14"/>
        <v>132</v>
      </c>
      <c r="CC53" s="11">
        <f t="shared" si="15"/>
        <v>0</v>
      </c>
      <c r="CD53" s="11"/>
      <c r="CE53" s="11"/>
      <c r="CF53" s="11"/>
      <c r="CG53" s="11"/>
      <c r="CH53" s="11"/>
      <c r="CI53" s="11"/>
      <c r="CJ53" s="11">
        <f t="shared" si="2"/>
        <v>0</v>
      </c>
      <c r="CL53" s="12">
        <f>SUM(CO53:DC53)</f>
        <v>100</v>
      </c>
      <c r="CM53" s="12">
        <f>AW53/4</f>
        <v>106.75</v>
      </c>
      <c r="CN53" s="12">
        <f>AA53/2</f>
        <v>177</v>
      </c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>
        <v>50</v>
      </c>
      <c r="DB53" s="12">
        <v>50</v>
      </c>
      <c r="DD53" s="12">
        <f>SUM(CN53:DC53)</f>
        <v>277</v>
      </c>
      <c r="DE53" s="12">
        <v>18.75</v>
      </c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>
        <f>SUM(CL53:CM53)+DE53</f>
        <v>225.5</v>
      </c>
      <c r="DV53">
        <f>(DU53-CL53)/2</f>
        <v>62.75</v>
      </c>
      <c r="DW53">
        <f>BT53/4</f>
        <v>97.25</v>
      </c>
      <c r="EE53">
        <f>SUM(DV53:DX53)</f>
        <v>160</v>
      </c>
      <c r="EF53">
        <f t="shared" si="16"/>
        <v>48.625</v>
      </c>
      <c r="EP53" s="8">
        <f t="shared" si="17"/>
        <v>48.625</v>
      </c>
      <c r="EQ53" s="8">
        <f t="shared" si="4"/>
        <v>0</v>
      </c>
      <c r="ER53" s="8"/>
      <c r="ES53" s="8"/>
      <c r="ET53" s="10"/>
      <c r="EU53" s="10"/>
      <c r="EV53" s="8">
        <f t="shared" si="9"/>
        <v>0</v>
      </c>
    </row>
    <row r="54" spans="1:152" x14ac:dyDescent="0.25">
      <c r="A54">
        <v>44</v>
      </c>
      <c r="B54" s="18" t="s">
        <v>147</v>
      </c>
      <c r="C54" s="18" t="s">
        <v>148</v>
      </c>
      <c r="D54" s="18" t="s">
        <v>32</v>
      </c>
      <c r="E54" s="18" t="s">
        <v>41</v>
      </c>
      <c r="F54" s="10"/>
      <c r="G54" s="10">
        <v>5</v>
      </c>
      <c r="H54" s="10"/>
      <c r="I54" s="10"/>
      <c r="J54" s="10"/>
      <c r="K54" s="10"/>
      <c r="L54" s="10">
        <v>3.2</v>
      </c>
      <c r="M54" s="10"/>
      <c r="N54" s="10">
        <v>50</v>
      </c>
      <c r="O54" s="10"/>
      <c r="P54" s="10"/>
      <c r="Q54" s="10"/>
      <c r="R54" s="10"/>
      <c r="S54" s="10"/>
      <c r="T54" s="10"/>
      <c r="U54" s="10"/>
      <c r="V54" s="10"/>
      <c r="W54" s="10">
        <v>70</v>
      </c>
      <c r="X54" s="10"/>
      <c r="Y54" s="10">
        <v>80</v>
      </c>
      <c r="Z54" s="10">
        <v>84</v>
      </c>
      <c r="AA54" s="11">
        <f>SUM(F54:Z54)</f>
        <v>292.2</v>
      </c>
      <c r="AB54" s="11">
        <f>AA54/2</f>
        <v>146.1</v>
      </c>
      <c r="AC54" s="11"/>
      <c r="AD54" s="11"/>
      <c r="AE54" s="11"/>
      <c r="AF54" s="11"/>
      <c r="AG54" s="11"/>
      <c r="AH54" s="11"/>
      <c r="AI54" s="11">
        <v>64</v>
      </c>
      <c r="AJ54" s="11"/>
      <c r="AK54" s="11"/>
      <c r="AL54" s="11"/>
      <c r="AM54" s="11">
        <v>50</v>
      </c>
      <c r="AN54" s="11"/>
      <c r="AO54" s="11"/>
      <c r="AP54" s="11"/>
      <c r="AQ54" s="11"/>
      <c r="AR54" s="11"/>
      <c r="AS54" s="11"/>
      <c r="AT54" s="11"/>
      <c r="AU54" s="11"/>
      <c r="AV54" s="11"/>
      <c r="AW54" s="11">
        <f>SUM(AB54:AV54)</f>
        <v>260.10000000000002</v>
      </c>
      <c r="AX54" s="11">
        <f>(AW54-AB54)/2</f>
        <v>57.000000000000014</v>
      </c>
      <c r="AY54" s="11"/>
      <c r="AZ54" s="11"/>
      <c r="BA54" s="11"/>
      <c r="BB54" s="11"/>
      <c r="BC54" s="11"/>
      <c r="BD54" s="11"/>
      <c r="BE54" s="11" t="s">
        <v>327</v>
      </c>
      <c r="BF54" s="11"/>
      <c r="BG54" s="11"/>
      <c r="BH54" s="11" t="s">
        <v>327</v>
      </c>
      <c r="BI54" s="11"/>
      <c r="BJ54" s="11" t="s">
        <v>327</v>
      </c>
      <c r="BK54" s="11"/>
      <c r="BL54" s="11"/>
      <c r="BM54" s="11"/>
      <c r="BN54" s="11"/>
      <c r="BO54" s="11"/>
      <c r="BP54" s="11"/>
      <c r="BQ54" s="11"/>
      <c r="BR54" s="11">
        <v>75</v>
      </c>
      <c r="BS54" s="11">
        <v>100</v>
      </c>
      <c r="BT54" s="11">
        <f>SUM(AX54:BS54)</f>
        <v>232</v>
      </c>
      <c r="BU54" s="11">
        <f>(BT54-AX54)/2</f>
        <v>87.5</v>
      </c>
      <c r="BV54" s="11"/>
      <c r="BW54" s="11"/>
      <c r="BX54" s="11"/>
      <c r="BY54" s="11"/>
      <c r="BZ54" s="11"/>
      <c r="CA54" s="11"/>
      <c r="CB54" s="11">
        <f t="shared" si="14"/>
        <v>87.5</v>
      </c>
      <c r="CC54" s="11">
        <f t="shared" si="15"/>
        <v>0</v>
      </c>
      <c r="CD54" s="11"/>
      <c r="CE54" s="11"/>
      <c r="CF54" s="11"/>
      <c r="CG54" s="11"/>
      <c r="CH54" s="11"/>
      <c r="CI54" s="11"/>
      <c r="CJ54" s="11">
        <f t="shared" si="2"/>
        <v>0</v>
      </c>
      <c r="CL54" s="12">
        <f>SUM(CO54:DC54)</f>
        <v>15</v>
      </c>
      <c r="CM54" s="12">
        <f>AW54/4</f>
        <v>65.025000000000006</v>
      </c>
      <c r="CN54" s="12">
        <f>AA54/2</f>
        <v>146.1</v>
      </c>
      <c r="CO54" s="12">
        <f>10+10*1/2</f>
        <v>15</v>
      </c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D54" s="12">
        <f>SUM(CN54:CS54)</f>
        <v>161.1</v>
      </c>
      <c r="DE54" s="12">
        <v>1.25</v>
      </c>
      <c r="DF54" s="12"/>
      <c r="DG54" s="12"/>
      <c r="DH54" s="12"/>
      <c r="DI54" s="12"/>
      <c r="DJ54" s="12"/>
      <c r="DK54" s="12"/>
      <c r="DL54" s="12"/>
      <c r="DM54" s="12"/>
      <c r="DN54" s="12"/>
      <c r="DO54" s="12">
        <v>50</v>
      </c>
      <c r="DP54" s="12"/>
      <c r="DQ54" s="12"/>
      <c r="DR54" s="12"/>
      <c r="DS54" s="12"/>
      <c r="DT54" s="12"/>
      <c r="DU54" s="12">
        <f>SUM(CL54:CM54)+SUM(DE54:DP54)</f>
        <v>131.27500000000001</v>
      </c>
      <c r="DV54">
        <f>(DU54-CL54)/2</f>
        <v>58.137500000000003</v>
      </c>
      <c r="DW54">
        <f>BT54/4</f>
        <v>58</v>
      </c>
      <c r="ED54">
        <v>2.5</v>
      </c>
      <c r="EE54">
        <f>SUM(DV54:ED54)</f>
        <v>118.6375</v>
      </c>
      <c r="EF54">
        <f t="shared" si="16"/>
        <v>30.25</v>
      </c>
      <c r="EG54" s="12">
        <f>15+(15*0.25)</f>
        <v>18.75</v>
      </c>
      <c r="EP54" s="8">
        <f t="shared" si="17"/>
        <v>49</v>
      </c>
      <c r="EQ54" s="8">
        <f t="shared" si="4"/>
        <v>9.375</v>
      </c>
      <c r="ER54" s="8"/>
      <c r="ES54" s="8"/>
      <c r="ET54" s="10"/>
      <c r="EU54" s="10"/>
      <c r="EV54" s="8">
        <f t="shared" si="9"/>
        <v>9.375</v>
      </c>
    </row>
    <row r="55" spans="1:152" x14ac:dyDescent="0.25">
      <c r="A55">
        <v>45</v>
      </c>
      <c r="B55" s="8" t="s">
        <v>149</v>
      </c>
      <c r="C55" s="8"/>
      <c r="D55" s="8" t="s">
        <v>32</v>
      </c>
      <c r="E55" s="8" t="s">
        <v>7</v>
      </c>
      <c r="F55" s="8"/>
      <c r="G55" s="8"/>
      <c r="H55" s="8"/>
      <c r="I55" s="8"/>
      <c r="J55" s="8"/>
      <c r="K55" s="8"/>
      <c r="L55" s="8"/>
      <c r="M55" s="8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>
        <v>105</v>
      </c>
      <c r="BS55" s="10"/>
      <c r="BT55" s="11">
        <f>SUM(AX55:BS55)</f>
        <v>105</v>
      </c>
      <c r="BU55" s="11">
        <f>(BT55-AX55)/2</f>
        <v>52.5</v>
      </c>
      <c r="BV55" s="11"/>
      <c r="BW55" s="11"/>
      <c r="BX55" s="11"/>
      <c r="BY55" s="11"/>
      <c r="BZ55" s="11"/>
      <c r="CA55" s="11"/>
      <c r="CB55" s="11">
        <f t="shared" si="14"/>
        <v>52.5</v>
      </c>
      <c r="CC55" s="11">
        <f t="shared" si="15"/>
        <v>0</v>
      </c>
      <c r="CD55" s="11"/>
      <c r="CE55" s="11"/>
      <c r="CF55" s="11"/>
      <c r="CG55" s="11"/>
      <c r="CH55" s="11"/>
      <c r="CI55" s="11"/>
      <c r="CJ55" s="11">
        <f t="shared" si="2"/>
        <v>0</v>
      </c>
      <c r="DU55">
        <f>SUM(DE55:DT55)</f>
        <v>0</v>
      </c>
      <c r="DV55">
        <f>(DU55-CL55)/2</f>
        <v>0</v>
      </c>
      <c r="DW55">
        <f>BT55/4</f>
        <v>26.25</v>
      </c>
      <c r="EE55">
        <f>SUM(DV55:ED55)</f>
        <v>26.25</v>
      </c>
      <c r="EF55">
        <f t="shared" si="16"/>
        <v>13.125</v>
      </c>
      <c r="EP55" s="8">
        <f t="shared" si="17"/>
        <v>13.125</v>
      </c>
      <c r="EQ55" s="8">
        <f t="shared" si="4"/>
        <v>0</v>
      </c>
      <c r="ER55" s="8"/>
      <c r="ES55" s="8"/>
      <c r="ET55" s="10"/>
      <c r="EU55" s="10"/>
      <c r="EV55" s="8">
        <f t="shared" si="9"/>
        <v>0</v>
      </c>
    </row>
    <row r="56" spans="1:152" x14ac:dyDescent="0.25">
      <c r="A56">
        <v>46</v>
      </c>
      <c r="B56" s="8" t="s">
        <v>337</v>
      </c>
      <c r="C56" s="8"/>
      <c r="D56" s="8" t="s">
        <v>338</v>
      </c>
      <c r="E56" s="8" t="s">
        <v>8</v>
      </c>
      <c r="F56" s="8"/>
      <c r="G56" s="8"/>
      <c r="H56" s="8"/>
      <c r="I56" s="8"/>
      <c r="J56" s="8"/>
      <c r="K56" s="8"/>
      <c r="L56" s="8"/>
      <c r="M56" s="8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>
        <v>4</v>
      </c>
      <c r="Z56" s="10"/>
      <c r="AA56" s="11">
        <f>SUM(F56:Z56)</f>
        <v>4</v>
      </c>
      <c r="AB56" s="11">
        <f>AA56/2</f>
        <v>2</v>
      </c>
      <c r="AC56" s="11"/>
      <c r="AD56" s="11"/>
      <c r="AE56" s="11"/>
      <c r="AF56" s="11">
        <v>5</v>
      </c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>
        <v>48</v>
      </c>
      <c r="AR56" s="11"/>
      <c r="AS56" s="11"/>
      <c r="AT56" s="11"/>
      <c r="AU56" s="11"/>
      <c r="AV56" s="11"/>
      <c r="AW56" s="11">
        <f>SUM(AB56:AV56)</f>
        <v>55</v>
      </c>
      <c r="AX56" s="11">
        <f>(AW56-AB56)/2</f>
        <v>26.5</v>
      </c>
      <c r="AY56" s="11"/>
      <c r="AZ56" s="11"/>
      <c r="BA56" s="11">
        <v>2.4</v>
      </c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>
        <f>SUM(AX56:BS56)</f>
        <v>28.9</v>
      </c>
      <c r="BU56" s="11">
        <f>(BT56-AX56)/2</f>
        <v>1.1999999999999993</v>
      </c>
      <c r="BV56" s="11"/>
      <c r="BW56" s="11"/>
      <c r="BX56" s="11"/>
      <c r="BY56" s="11"/>
      <c r="BZ56" s="11"/>
      <c r="CA56" s="11"/>
      <c r="CB56" s="11">
        <f t="shared" si="14"/>
        <v>1.1999999999999993</v>
      </c>
      <c r="CC56" s="11">
        <f t="shared" si="15"/>
        <v>0</v>
      </c>
      <c r="CD56" s="11"/>
      <c r="CE56" s="11"/>
      <c r="CF56" s="11"/>
      <c r="CG56" s="11"/>
      <c r="CH56" s="11"/>
      <c r="CI56" s="11"/>
      <c r="CJ56" s="11">
        <f t="shared" si="2"/>
        <v>0</v>
      </c>
      <c r="CL56" s="12">
        <f>SUM(CO56:DC56)</f>
        <v>0</v>
      </c>
      <c r="CM56" s="12">
        <f>AW56/4</f>
        <v>13.75</v>
      </c>
      <c r="CN56" s="12">
        <f>AA56/2</f>
        <v>2</v>
      </c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D56" s="12">
        <f>SUM(CN56:CS56)</f>
        <v>2</v>
      </c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>
        <v>5</v>
      </c>
      <c r="DU56" s="12">
        <f>SUM(CL56:DT56)</f>
        <v>22.75</v>
      </c>
      <c r="DV56">
        <f>(DU56-CL56)/2</f>
        <v>11.375</v>
      </c>
      <c r="DW56">
        <f>BT56/4</f>
        <v>7.2249999999999996</v>
      </c>
      <c r="EE56">
        <f>SUM(DV56:DX56)</f>
        <v>18.600000000000001</v>
      </c>
      <c r="EF56">
        <f t="shared" si="16"/>
        <v>3.6125000000000007</v>
      </c>
      <c r="EP56" s="8">
        <f t="shared" si="17"/>
        <v>3.6125000000000007</v>
      </c>
      <c r="EQ56" s="8">
        <f t="shared" si="4"/>
        <v>0</v>
      </c>
      <c r="ER56" s="8"/>
      <c r="ES56" s="8"/>
      <c r="ET56" s="10"/>
      <c r="EU56" s="10"/>
      <c r="EV56" s="8">
        <f t="shared" si="9"/>
        <v>0</v>
      </c>
    </row>
    <row r="57" spans="1:152" x14ac:dyDescent="0.25">
      <c r="A57">
        <v>47</v>
      </c>
      <c r="B57" s="39" t="s">
        <v>86</v>
      </c>
      <c r="C57" s="39"/>
      <c r="D57" s="39" t="s">
        <v>516</v>
      </c>
      <c r="E57" s="39" t="s">
        <v>267</v>
      </c>
      <c r="CB57" s="72">
        <f t="shared" si="14"/>
        <v>0</v>
      </c>
      <c r="CC57" s="72">
        <f t="shared" si="15"/>
        <v>0</v>
      </c>
      <c r="CD57" s="72"/>
      <c r="CE57" s="72"/>
      <c r="CF57" s="72"/>
      <c r="CG57" s="72"/>
      <c r="CH57" s="72"/>
      <c r="CI57" s="72"/>
      <c r="CJ57" s="11">
        <f t="shared" si="2"/>
        <v>0</v>
      </c>
      <c r="EN57" s="12">
        <v>50</v>
      </c>
      <c r="EP57" s="8">
        <f>SUM(EF57:EK57)</f>
        <v>0</v>
      </c>
      <c r="EQ57" s="8">
        <f t="shared" si="4"/>
        <v>0</v>
      </c>
      <c r="ER57" s="8"/>
      <c r="ES57" s="8"/>
      <c r="ET57" s="10"/>
      <c r="EU57" s="10"/>
      <c r="EV57" s="8">
        <f t="shared" si="9"/>
        <v>0</v>
      </c>
    </row>
    <row r="58" spans="1:152" x14ac:dyDescent="0.25">
      <c r="A58">
        <v>48</v>
      </c>
      <c r="B58" s="8" t="s">
        <v>783</v>
      </c>
      <c r="C58" s="8"/>
      <c r="D58" s="8" t="s">
        <v>20</v>
      </c>
      <c r="E58" s="8" t="s">
        <v>537</v>
      </c>
      <c r="F58" s="8"/>
      <c r="G58" s="8"/>
      <c r="H58" s="8"/>
      <c r="I58" s="8"/>
      <c r="J58" s="8"/>
      <c r="K58" s="8"/>
      <c r="L58" s="8"/>
      <c r="M58" s="8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8"/>
      <c r="BU58" s="8"/>
      <c r="BV58" s="10"/>
      <c r="BW58" s="10"/>
      <c r="BX58" s="10"/>
      <c r="BY58" s="10"/>
      <c r="BZ58" s="10"/>
      <c r="CA58" s="10"/>
      <c r="CB58" s="11">
        <f t="shared" si="14"/>
        <v>0</v>
      </c>
      <c r="CC58" s="11">
        <f t="shared" si="15"/>
        <v>0</v>
      </c>
      <c r="CD58" s="11"/>
      <c r="CE58" s="11"/>
      <c r="CF58" s="11"/>
      <c r="CG58" s="11"/>
      <c r="CH58" s="11"/>
      <c r="CI58" s="11"/>
      <c r="CJ58" s="11">
        <f t="shared" si="2"/>
        <v>0</v>
      </c>
      <c r="EN58" s="12">
        <v>2.5</v>
      </c>
      <c r="EP58" s="8">
        <f>SUM(EF58:EK58)</f>
        <v>0</v>
      </c>
      <c r="EQ58" s="8">
        <f t="shared" si="4"/>
        <v>0</v>
      </c>
      <c r="ER58" s="8"/>
      <c r="ES58" s="8"/>
      <c r="ET58" s="10"/>
      <c r="EU58" s="10"/>
      <c r="EV58" s="8">
        <f t="shared" si="9"/>
        <v>0</v>
      </c>
    </row>
  </sheetData>
  <sortState xmlns:xlrd2="http://schemas.microsoft.com/office/spreadsheetml/2017/richdata2" ref="B11:EV58">
    <sortCondition descending="1" ref="CJ11:CJ58"/>
  </sortState>
  <mergeCells count="6">
    <mergeCell ref="B1:EV1"/>
    <mergeCell ref="B8:C10"/>
    <mergeCell ref="BX9:CA9"/>
    <mergeCell ref="CF9:CI9"/>
    <mergeCell ref="D4:CJ5"/>
    <mergeCell ref="CL4:EV5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N34"/>
  <sheetViews>
    <sheetView zoomScale="80" zoomScaleNormal="80" workbookViewId="0">
      <selection activeCell="CA41" sqref="CA41"/>
    </sheetView>
  </sheetViews>
  <sheetFormatPr baseColWidth="10" defaultRowHeight="15" x14ac:dyDescent="0.25"/>
  <cols>
    <col min="1" max="1" width="3.140625" bestFit="1" customWidth="1"/>
    <col min="2" max="2" width="13.42578125" bestFit="1" customWidth="1"/>
    <col min="3" max="3" width="11.42578125" bestFit="1" customWidth="1"/>
    <col min="4" max="4" width="12.7109375" bestFit="1" customWidth="1"/>
    <col min="5" max="5" width="18.28515625" bestFit="1" customWidth="1"/>
    <col min="6" max="6" width="6.42578125" hidden="1" customWidth="1"/>
    <col min="7" max="7" width="6.28515625" hidden="1" customWidth="1"/>
    <col min="8" max="8" width="7.28515625" hidden="1" customWidth="1"/>
    <col min="9" max="9" width="7.28515625" style="12" hidden="1" customWidth="1"/>
    <col min="10" max="10" width="7.28515625" hidden="1" customWidth="1"/>
    <col min="11" max="12" width="6.28515625" hidden="1" customWidth="1"/>
    <col min="13" max="15" width="6.28515625" style="12" hidden="1" customWidth="1"/>
    <col min="16" max="20" width="7.28515625" style="12" hidden="1" customWidth="1"/>
    <col min="21" max="23" width="6.28515625" style="12" hidden="1" customWidth="1"/>
    <col min="24" max="25" width="6.7109375" style="12" hidden="1" customWidth="1"/>
    <col min="26" max="26" width="0" hidden="1" customWidth="1"/>
    <col min="27" max="27" width="7.7109375" hidden="1" customWidth="1"/>
    <col min="28" max="38" width="6" hidden="1" customWidth="1"/>
    <col min="39" max="39" width="10.5703125" style="12" hidden="1" customWidth="1"/>
    <col min="40" max="45" width="6" style="12" hidden="1" customWidth="1"/>
    <col min="46" max="47" width="0" hidden="1" customWidth="1"/>
    <col min="48" max="52" width="6" hidden="1" customWidth="1"/>
    <col min="53" max="63" width="6" style="12" hidden="1" customWidth="1"/>
    <col min="64" max="64" width="6.85546875" style="12" hidden="1" customWidth="1"/>
    <col min="65" max="66" width="0" hidden="1" customWidth="1"/>
    <col min="67" max="67" width="7.42578125" style="12" hidden="1" customWidth="1"/>
    <col min="68" max="68" width="7.85546875" style="12" hidden="1" customWidth="1"/>
    <col min="69" max="69" width="7.42578125" style="12" hidden="1" customWidth="1"/>
    <col min="70" max="70" width="8.140625" style="12" hidden="1" customWidth="1"/>
    <col min="71" max="71" width="6.140625" style="12" hidden="1" customWidth="1"/>
    <col min="72" max="72" width="7.28515625" style="12" hidden="1" customWidth="1"/>
    <col min="75" max="75" width="8.7109375" style="12" customWidth="1"/>
    <col min="76" max="76" width="10.140625" style="12" customWidth="1"/>
    <col min="77" max="77" width="8.7109375" style="12" customWidth="1"/>
    <col min="78" max="79" width="7.85546875" style="12" customWidth="1"/>
    <col min="80" max="80" width="7.140625" style="12" customWidth="1"/>
    <col min="83" max="85" width="0" hidden="1" customWidth="1"/>
    <col min="86" max="86" width="10.140625" hidden="1" customWidth="1"/>
    <col min="87" max="90" width="6.42578125" hidden="1" customWidth="1"/>
    <col min="91" max="91" width="8.7109375" hidden="1" customWidth="1"/>
    <col min="92" max="97" width="7.28515625" hidden="1" customWidth="1"/>
    <col min="98" max="98" width="0" hidden="1" customWidth="1"/>
    <col min="99" max="99" width="10" hidden="1" customWidth="1"/>
    <col min="100" max="101" width="6.85546875" hidden="1" customWidth="1"/>
    <col min="102" max="103" width="7.42578125" hidden="1" customWidth="1"/>
    <col min="104" max="107" width="9.42578125" hidden="1" customWidth="1"/>
    <col min="108" max="108" width="7.140625" hidden="1" customWidth="1"/>
    <col min="109" max="111" width="7.5703125" hidden="1" customWidth="1"/>
    <col min="112" max="114" width="0" hidden="1" customWidth="1"/>
    <col min="115" max="121" width="6" style="12" hidden="1" customWidth="1"/>
    <col min="122" max="123" width="0" hidden="1" customWidth="1"/>
    <col min="124" max="126" width="6.7109375" style="12" hidden="1" customWidth="1"/>
    <col min="127" max="134" width="6" style="12" hidden="1" customWidth="1"/>
    <col min="137" max="137" width="11.42578125" style="12"/>
    <col min="138" max="138" width="6" style="12" bestFit="1" customWidth="1"/>
    <col min="139" max="143" width="6" style="12" customWidth="1"/>
  </cols>
  <sheetData>
    <row r="1" spans="1:144" ht="26.25" x14ac:dyDescent="0.4">
      <c r="B1" s="80" t="s">
        <v>3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  <c r="CG1" s="80"/>
      <c r="CH1" s="80"/>
      <c r="CI1" s="80"/>
      <c r="CJ1" s="80"/>
      <c r="CK1" s="80"/>
      <c r="CL1" s="80"/>
      <c r="CM1" s="80"/>
      <c r="CN1" s="80"/>
      <c r="CO1" s="80"/>
      <c r="CP1" s="80"/>
      <c r="CQ1" s="80"/>
      <c r="CR1" s="80"/>
      <c r="CS1" s="80"/>
      <c r="CT1" s="80"/>
      <c r="CU1" s="80"/>
      <c r="CV1" s="80"/>
      <c r="CW1" s="80"/>
      <c r="CX1" s="80"/>
      <c r="CY1" s="80"/>
      <c r="CZ1" s="80"/>
      <c r="DA1" s="80"/>
      <c r="DB1" s="80"/>
      <c r="DC1" s="80"/>
      <c r="DD1" s="80"/>
      <c r="DE1" s="80"/>
      <c r="DF1" s="80"/>
      <c r="DG1" s="80"/>
      <c r="DH1" s="80"/>
      <c r="DI1" s="80"/>
      <c r="DJ1" s="80"/>
      <c r="DK1" s="80"/>
      <c r="DL1" s="80"/>
      <c r="DM1" s="80"/>
      <c r="DN1" s="80"/>
      <c r="DO1" s="80"/>
      <c r="DP1" s="80"/>
      <c r="DQ1" s="80"/>
      <c r="DR1" s="80"/>
      <c r="DS1" s="80"/>
      <c r="DT1" s="80"/>
      <c r="DU1" s="80"/>
      <c r="DV1" s="80"/>
      <c r="DW1" s="80"/>
      <c r="DX1" s="80"/>
      <c r="DY1" s="80"/>
      <c r="DZ1" s="80"/>
      <c r="EA1" s="80"/>
      <c r="EB1" s="80"/>
      <c r="EC1" s="80"/>
      <c r="ED1" s="80"/>
      <c r="EE1" s="80"/>
    </row>
    <row r="2" spans="1:144" ht="15.75" thickBot="1" x14ac:dyDescent="0.3">
      <c r="C2" s="12"/>
      <c r="D2" s="12"/>
      <c r="E2" s="12"/>
    </row>
    <row r="3" spans="1:144" ht="15.75" thickTop="1" x14ac:dyDescent="0.25">
      <c r="B3" s="1" t="s">
        <v>0</v>
      </c>
      <c r="C3" s="4" t="s">
        <v>10</v>
      </c>
    </row>
    <row r="4" spans="1:144" ht="15.6" customHeight="1" x14ac:dyDescent="0.25">
      <c r="B4" s="2" t="s">
        <v>1</v>
      </c>
      <c r="C4" s="5" t="s">
        <v>84</v>
      </c>
      <c r="D4" s="81" t="s">
        <v>791</v>
      </c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2"/>
      <c r="BK4" s="82"/>
      <c r="BL4" s="82"/>
      <c r="BM4" s="82"/>
      <c r="BN4" s="82"/>
      <c r="BO4" s="82"/>
      <c r="BP4" s="82"/>
      <c r="BQ4" s="82"/>
      <c r="BR4" s="82"/>
      <c r="BS4" s="82"/>
      <c r="BT4" s="82"/>
      <c r="BU4" s="82"/>
      <c r="BV4" s="82"/>
      <c r="BW4" s="82"/>
      <c r="BX4" s="82"/>
      <c r="BY4" s="82"/>
      <c r="BZ4" s="82"/>
      <c r="CA4" s="82"/>
      <c r="CB4" s="82"/>
      <c r="CC4" s="82"/>
      <c r="CD4" s="23"/>
      <c r="CE4" s="82" t="s">
        <v>609</v>
      </c>
      <c r="CF4" s="82"/>
      <c r="CG4" s="82"/>
      <c r="CH4" s="82"/>
      <c r="CI4" s="82"/>
      <c r="CJ4" s="82"/>
      <c r="CK4" s="82"/>
      <c r="CL4" s="82"/>
      <c r="CM4" s="82"/>
      <c r="CN4" s="82"/>
      <c r="CO4" s="82"/>
      <c r="CP4" s="82"/>
      <c r="CQ4" s="82"/>
      <c r="CR4" s="82"/>
      <c r="CS4" s="82"/>
      <c r="CT4" s="82"/>
      <c r="CU4" s="82"/>
      <c r="CV4" s="82"/>
      <c r="CW4" s="82"/>
      <c r="CX4" s="82"/>
      <c r="CY4" s="82"/>
      <c r="CZ4" s="82"/>
      <c r="DA4" s="82"/>
      <c r="DB4" s="82"/>
      <c r="DC4" s="82"/>
      <c r="DD4" s="82"/>
      <c r="DE4" s="82"/>
      <c r="DF4" s="82"/>
      <c r="DG4" s="82"/>
      <c r="DH4" s="82"/>
      <c r="DI4" s="82"/>
      <c r="DJ4" s="82"/>
      <c r="DK4" s="82"/>
      <c r="DL4" s="82"/>
      <c r="DM4" s="82"/>
      <c r="DN4" s="82"/>
      <c r="DO4" s="82"/>
      <c r="DP4" s="82"/>
      <c r="DQ4" s="82"/>
      <c r="DR4" s="82"/>
      <c r="DS4" s="82"/>
      <c r="DT4" s="82"/>
      <c r="DU4" s="82"/>
      <c r="DV4" s="82"/>
      <c r="DW4" s="82"/>
      <c r="DX4" s="82"/>
      <c r="DY4" s="82"/>
      <c r="DZ4" s="82"/>
      <c r="EA4" s="82"/>
      <c r="EB4" s="82"/>
      <c r="EC4" s="82"/>
      <c r="ED4" s="82"/>
      <c r="EE4" s="82"/>
      <c r="EF4" s="82"/>
      <c r="EG4" s="82"/>
      <c r="EH4" s="82"/>
      <c r="EI4" s="82"/>
      <c r="EJ4" s="82"/>
      <c r="EK4" s="82"/>
      <c r="EL4" s="82"/>
      <c r="EM4" s="82"/>
      <c r="EN4" s="82"/>
    </row>
    <row r="5" spans="1:144" ht="16.149999999999999" customHeight="1" thickBot="1" x14ac:dyDescent="0.3">
      <c r="B5" s="3" t="s">
        <v>2</v>
      </c>
      <c r="C5" s="53" t="s">
        <v>72</v>
      </c>
      <c r="D5" s="81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2"/>
      <c r="BI5" s="82"/>
      <c r="BJ5" s="82"/>
      <c r="BK5" s="82"/>
      <c r="BL5" s="82"/>
      <c r="BM5" s="82"/>
      <c r="BN5" s="82"/>
      <c r="BO5" s="82"/>
      <c r="BP5" s="82"/>
      <c r="BQ5" s="82"/>
      <c r="BR5" s="82"/>
      <c r="BS5" s="82"/>
      <c r="BT5" s="82"/>
      <c r="BU5" s="82"/>
      <c r="BV5" s="82"/>
      <c r="BW5" s="82"/>
      <c r="BX5" s="82"/>
      <c r="BY5" s="82"/>
      <c r="BZ5" s="82"/>
      <c r="CA5" s="82"/>
      <c r="CB5" s="82"/>
      <c r="CC5" s="82"/>
      <c r="CD5" s="23"/>
      <c r="CE5" s="82"/>
      <c r="CF5" s="82"/>
      <c r="CG5" s="82"/>
      <c r="CH5" s="82"/>
      <c r="CI5" s="82"/>
      <c r="CJ5" s="82"/>
      <c r="CK5" s="82"/>
      <c r="CL5" s="82"/>
      <c r="CM5" s="82"/>
      <c r="CN5" s="82"/>
      <c r="CO5" s="82"/>
      <c r="CP5" s="82"/>
      <c r="CQ5" s="82"/>
      <c r="CR5" s="82"/>
      <c r="CS5" s="82"/>
      <c r="CT5" s="82"/>
      <c r="CU5" s="82"/>
      <c r="CV5" s="82"/>
      <c r="CW5" s="82"/>
      <c r="CX5" s="82"/>
      <c r="CY5" s="82"/>
      <c r="CZ5" s="82"/>
      <c r="DA5" s="82"/>
      <c r="DB5" s="82"/>
      <c r="DC5" s="82"/>
      <c r="DD5" s="82"/>
      <c r="DE5" s="82"/>
      <c r="DF5" s="82"/>
      <c r="DG5" s="82"/>
      <c r="DH5" s="82"/>
      <c r="DI5" s="82"/>
      <c r="DJ5" s="82"/>
      <c r="DK5" s="82"/>
      <c r="DL5" s="82"/>
      <c r="DM5" s="82"/>
      <c r="DN5" s="82"/>
      <c r="DO5" s="82"/>
      <c r="DP5" s="82"/>
      <c r="DQ5" s="82"/>
      <c r="DR5" s="82"/>
      <c r="DS5" s="82"/>
      <c r="DT5" s="82"/>
      <c r="DU5" s="82"/>
      <c r="DV5" s="82"/>
      <c r="DW5" s="82"/>
      <c r="DX5" s="82"/>
      <c r="DY5" s="82"/>
      <c r="DZ5" s="82"/>
      <c r="EA5" s="82"/>
      <c r="EB5" s="82"/>
      <c r="EC5" s="82"/>
      <c r="ED5" s="82"/>
      <c r="EE5" s="82"/>
      <c r="EF5" s="82"/>
      <c r="EG5" s="82"/>
      <c r="EH5" s="82"/>
      <c r="EI5" s="82"/>
      <c r="EJ5" s="82"/>
      <c r="EK5" s="82"/>
      <c r="EL5" s="82"/>
      <c r="EM5" s="82"/>
      <c r="EN5" s="82"/>
    </row>
    <row r="6" spans="1:144" ht="15.75" thickTop="1" x14ac:dyDescent="0.25"/>
    <row r="7" spans="1:144" ht="15.75" thickBot="1" x14ac:dyDescent="0.3"/>
    <row r="8" spans="1:144" ht="15.75" thickTop="1" x14ac:dyDescent="0.25">
      <c r="B8" s="73" t="s">
        <v>61</v>
      </c>
      <c r="C8" s="74"/>
      <c r="D8" s="1"/>
      <c r="E8" s="1"/>
      <c r="F8" s="4" t="s">
        <v>82</v>
      </c>
      <c r="G8" s="4" t="s">
        <v>170</v>
      </c>
      <c r="H8" s="4" t="s">
        <v>224</v>
      </c>
      <c r="I8" s="4" t="s">
        <v>82</v>
      </c>
      <c r="J8" s="4" t="s">
        <v>82</v>
      </c>
      <c r="K8" s="4" t="s">
        <v>287</v>
      </c>
      <c r="L8" s="4" t="s">
        <v>286</v>
      </c>
      <c r="M8" s="4" t="s">
        <v>289</v>
      </c>
      <c r="N8" s="4" t="s">
        <v>296</v>
      </c>
      <c r="O8" s="4" t="s">
        <v>82</v>
      </c>
      <c r="P8" s="4" t="s">
        <v>82</v>
      </c>
      <c r="Q8" s="4" t="s">
        <v>82</v>
      </c>
      <c r="R8" s="4" t="s">
        <v>82</v>
      </c>
      <c r="S8" s="4" t="s">
        <v>82</v>
      </c>
      <c r="T8" s="4" t="s">
        <v>316</v>
      </c>
      <c r="U8" s="4" t="s">
        <v>82</v>
      </c>
      <c r="V8" s="4" t="s">
        <v>82</v>
      </c>
      <c r="W8" s="4" t="s">
        <v>82</v>
      </c>
      <c r="X8" s="4" t="s">
        <v>334</v>
      </c>
      <c r="Y8" s="4" t="s">
        <v>334</v>
      </c>
      <c r="Z8" s="1"/>
      <c r="AA8" s="25">
        <v>44927</v>
      </c>
      <c r="AB8" s="29" t="s">
        <v>334</v>
      </c>
      <c r="AC8" s="29" t="s">
        <v>82</v>
      </c>
      <c r="AD8" s="29" t="s">
        <v>387</v>
      </c>
      <c r="AE8" s="29" t="s">
        <v>387</v>
      </c>
      <c r="AF8" s="29" t="s">
        <v>387</v>
      </c>
      <c r="AG8" s="29" t="s">
        <v>82</v>
      </c>
      <c r="AH8" s="29" t="s">
        <v>334</v>
      </c>
      <c r="AI8" s="29" t="s">
        <v>82</v>
      </c>
      <c r="AJ8" s="29" t="s">
        <v>82</v>
      </c>
      <c r="AK8" s="29" t="s">
        <v>82</v>
      </c>
      <c r="AL8" s="29" t="s">
        <v>82</v>
      </c>
      <c r="AM8" s="29" t="s">
        <v>82</v>
      </c>
      <c r="AN8" s="29" t="s">
        <v>334</v>
      </c>
      <c r="AO8" s="29" t="s">
        <v>334</v>
      </c>
      <c r="AP8" s="29" t="s">
        <v>82</v>
      </c>
      <c r="AQ8" s="29" t="s">
        <v>82</v>
      </c>
      <c r="AR8" s="29" t="s">
        <v>82</v>
      </c>
      <c r="AS8" s="29" t="s">
        <v>339</v>
      </c>
      <c r="AT8" s="1" t="s">
        <v>9</v>
      </c>
      <c r="AU8" s="29">
        <v>45292</v>
      </c>
      <c r="AV8" s="29" t="s">
        <v>82</v>
      </c>
      <c r="AW8" s="29" t="s">
        <v>82</v>
      </c>
      <c r="AX8" s="29" t="s">
        <v>82</v>
      </c>
      <c r="AY8" s="29" t="s">
        <v>82</v>
      </c>
      <c r="AZ8" s="29" t="s">
        <v>334</v>
      </c>
      <c r="BA8" s="29" t="s">
        <v>334</v>
      </c>
      <c r="BB8" s="29" t="s">
        <v>387</v>
      </c>
      <c r="BC8" s="29" t="s">
        <v>387</v>
      </c>
      <c r="BD8" s="29" t="s">
        <v>387</v>
      </c>
      <c r="BE8" s="29" t="s">
        <v>334</v>
      </c>
      <c r="BF8" s="29" t="s">
        <v>82</v>
      </c>
      <c r="BG8" s="29" t="s">
        <v>82</v>
      </c>
      <c r="BH8" s="29" t="s">
        <v>82</v>
      </c>
      <c r="BI8" s="29" t="s">
        <v>82</v>
      </c>
      <c r="BJ8" s="29" t="s">
        <v>82</v>
      </c>
      <c r="BK8" s="29" t="s">
        <v>334</v>
      </c>
      <c r="BL8" s="29" t="s">
        <v>339</v>
      </c>
      <c r="BM8" s="29" t="s">
        <v>9</v>
      </c>
      <c r="BN8" s="29">
        <v>45658</v>
      </c>
      <c r="BO8" s="29"/>
      <c r="BP8" s="29"/>
      <c r="BQ8" s="59"/>
      <c r="BR8" s="60"/>
      <c r="BS8" s="60"/>
      <c r="BT8" s="61"/>
      <c r="BU8" s="29" t="s">
        <v>9</v>
      </c>
      <c r="BV8" s="29">
        <v>46023</v>
      </c>
      <c r="BW8" s="29"/>
      <c r="BX8" s="29"/>
      <c r="BY8" s="59"/>
      <c r="BZ8" s="60"/>
      <c r="CA8" s="60"/>
      <c r="CB8" s="61"/>
      <c r="CC8" s="29" t="s">
        <v>612</v>
      </c>
      <c r="CD8" s="42"/>
      <c r="CE8" s="25">
        <v>44927</v>
      </c>
      <c r="CF8" s="1" t="s">
        <v>59</v>
      </c>
      <c r="CG8" s="1" t="s">
        <v>59</v>
      </c>
      <c r="CH8" s="4" t="s">
        <v>58</v>
      </c>
      <c r="CI8" s="4" t="s">
        <v>120</v>
      </c>
      <c r="CJ8" s="4" t="s">
        <v>77</v>
      </c>
      <c r="CK8" s="4" t="s">
        <v>77</v>
      </c>
      <c r="CL8" s="4" t="s">
        <v>302</v>
      </c>
      <c r="CM8" s="4" t="s">
        <v>79</v>
      </c>
      <c r="CN8" s="4" t="s">
        <v>79</v>
      </c>
      <c r="CO8" s="4" t="s">
        <v>325</v>
      </c>
      <c r="CP8" s="4" t="s">
        <v>77</v>
      </c>
      <c r="CQ8" s="4" t="s">
        <v>331</v>
      </c>
      <c r="CR8" s="4" t="s">
        <v>79</v>
      </c>
      <c r="CS8" s="4" t="s">
        <v>77</v>
      </c>
      <c r="CT8" s="1" t="s">
        <v>9</v>
      </c>
      <c r="CU8" s="1" t="s">
        <v>58</v>
      </c>
      <c r="CV8" s="1" t="s">
        <v>347</v>
      </c>
      <c r="CW8" s="1" t="s">
        <v>346</v>
      </c>
      <c r="CX8" s="1" t="s">
        <v>350</v>
      </c>
      <c r="CY8" s="1" t="s">
        <v>351</v>
      </c>
      <c r="CZ8" s="1" t="s">
        <v>377</v>
      </c>
      <c r="DA8" s="32" t="s">
        <v>381</v>
      </c>
      <c r="DB8" s="32" t="s">
        <v>399</v>
      </c>
      <c r="DC8" s="32" t="s">
        <v>405</v>
      </c>
      <c r="DD8" s="4" t="s">
        <v>331</v>
      </c>
      <c r="DE8" s="4" t="s">
        <v>120</v>
      </c>
      <c r="DF8" s="4" t="s">
        <v>443</v>
      </c>
      <c r="DG8" s="4" t="s">
        <v>335</v>
      </c>
      <c r="DH8" s="1" t="s">
        <v>9</v>
      </c>
      <c r="DI8" s="29">
        <v>45292</v>
      </c>
      <c r="DJ8" s="4" t="s">
        <v>59</v>
      </c>
      <c r="DK8" s="4" t="s">
        <v>302</v>
      </c>
      <c r="DL8" s="4" t="s">
        <v>77</v>
      </c>
      <c r="DM8" s="4" t="s">
        <v>77</v>
      </c>
      <c r="DN8" s="4" t="s">
        <v>464</v>
      </c>
      <c r="DO8" s="4" t="s">
        <v>302</v>
      </c>
      <c r="DP8" s="4" t="s">
        <v>505</v>
      </c>
      <c r="DQ8" s="4" t="s">
        <v>335</v>
      </c>
      <c r="DR8" s="4" t="s">
        <v>9</v>
      </c>
      <c r="DS8" s="25">
        <v>45658</v>
      </c>
      <c r="DT8" s="4" t="s">
        <v>464</v>
      </c>
      <c r="DU8" s="4" t="s">
        <v>77</v>
      </c>
      <c r="DV8" s="4" t="s">
        <v>505</v>
      </c>
      <c r="DW8" s="4" t="s">
        <v>120</v>
      </c>
      <c r="DX8" s="4" t="s">
        <v>505</v>
      </c>
      <c r="DY8" s="4" t="s">
        <v>512</v>
      </c>
      <c r="DZ8" s="4" t="s">
        <v>302</v>
      </c>
      <c r="EA8" s="4" t="s">
        <v>302</v>
      </c>
      <c r="EB8" s="4" t="s">
        <v>331</v>
      </c>
      <c r="EC8" s="4" t="s">
        <v>335</v>
      </c>
      <c r="ED8" s="4" t="s">
        <v>443</v>
      </c>
      <c r="EE8" s="4" t="s">
        <v>612</v>
      </c>
      <c r="EF8" s="29">
        <v>46023</v>
      </c>
      <c r="EG8" s="4" t="s">
        <v>58</v>
      </c>
      <c r="EH8" s="4" t="s">
        <v>120</v>
      </c>
      <c r="EI8" s="4" t="s">
        <v>505</v>
      </c>
      <c r="EJ8" s="4" t="s">
        <v>505</v>
      </c>
      <c r="EK8" s="4" t="s">
        <v>331</v>
      </c>
      <c r="EL8" s="4" t="s">
        <v>302</v>
      </c>
      <c r="EM8" s="4" t="s">
        <v>77</v>
      </c>
      <c r="EN8" s="1" t="s">
        <v>9</v>
      </c>
    </row>
    <row r="9" spans="1:144" x14ac:dyDescent="0.25">
      <c r="B9" s="75"/>
      <c r="C9" s="76"/>
      <c r="D9" s="2"/>
      <c r="E9" s="2"/>
      <c r="F9" s="14" t="s">
        <v>132</v>
      </c>
      <c r="G9" s="14" t="s">
        <v>171</v>
      </c>
      <c r="H9" s="14" t="s">
        <v>225</v>
      </c>
      <c r="I9" s="14" t="s">
        <v>266</v>
      </c>
      <c r="J9" s="14" t="s">
        <v>261</v>
      </c>
      <c r="K9" s="14" t="s">
        <v>278</v>
      </c>
      <c r="L9" s="14" t="s">
        <v>284</v>
      </c>
      <c r="M9" s="14" t="s">
        <v>290</v>
      </c>
      <c r="N9" s="14" t="s">
        <v>171</v>
      </c>
      <c r="O9" s="14" t="s">
        <v>304</v>
      </c>
      <c r="P9" s="14" t="s">
        <v>156</v>
      </c>
      <c r="Q9" s="14" t="s">
        <v>304</v>
      </c>
      <c r="R9" s="14" t="s">
        <v>261</v>
      </c>
      <c r="S9" s="14" t="s">
        <v>314</v>
      </c>
      <c r="T9" s="14" t="s">
        <v>317</v>
      </c>
      <c r="U9" s="14" t="s">
        <v>259</v>
      </c>
      <c r="V9" s="14" t="s">
        <v>314</v>
      </c>
      <c r="W9" s="14" t="s">
        <v>167</v>
      </c>
      <c r="X9" s="14" t="s">
        <v>335</v>
      </c>
      <c r="Y9" s="14" t="s">
        <v>339</v>
      </c>
      <c r="Z9" s="2" t="s">
        <v>9</v>
      </c>
      <c r="AA9" s="2"/>
      <c r="AB9" s="5" t="s">
        <v>287</v>
      </c>
      <c r="AC9" s="5" t="s">
        <v>167</v>
      </c>
      <c r="AD9" s="5" t="s">
        <v>286</v>
      </c>
      <c r="AE9" s="5" t="s">
        <v>289</v>
      </c>
      <c r="AF9" s="5" t="s">
        <v>287</v>
      </c>
      <c r="AG9" s="5" t="s">
        <v>261</v>
      </c>
      <c r="AH9" s="5" t="s">
        <v>286</v>
      </c>
      <c r="AI9" s="5" t="s">
        <v>420</v>
      </c>
      <c r="AJ9" s="5" t="s">
        <v>132</v>
      </c>
      <c r="AK9" s="5" t="s">
        <v>266</v>
      </c>
      <c r="AL9" s="5" t="s">
        <v>314</v>
      </c>
      <c r="AM9" s="5" t="s">
        <v>429</v>
      </c>
      <c r="AN9" s="5" t="s">
        <v>289</v>
      </c>
      <c r="AO9" s="5" t="s">
        <v>289</v>
      </c>
      <c r="AP9" s="5" t="s">
        <v>261</v>
      </c>
      <c r="AQ9" s="5" t="s">
        <v>308</v>
      </c>
      <c r="AR9" s="5" t="s">
        <v>420</v>
      </c>
      <c r="AS9" s="5"/>
      <c r="AT9" s="2"/>
      <c r="AU9" s="5"/>
      <c r="AV9" s="5" t="s">
        <v>266</v>
      </c>
      <c r="AW9" s="5" t="s">
        <v>492</v>
      </c>
      <c r="AX9" s="5" t="s">
        <v>420</v>
      </c>
      <c r="AY9" s="5" t="s">
        <v>167</v>
      </c>
      <c r="AZ9" s="5" t="s">
        <v>286</v>
      </c>
      <c r="BA9" s="5" t="s">
        <v>524</v>
      </c>
      <c r="BB9" s="5" t="s">
        <v>287</v>
      </c>
      <c r="BC9" s="5" t="s">
        <v>286</v>
      </c>
      <c r="BD9" s="5" t="s">
        <v>289</v>
      </c>
      <c r="BE9" s="5" t="s">
        <v>287</v>
      </c>
      <c r="BF9" s="5" t="s">
        <v>266</v>
      </c>
      <c r="BG9" s="5" t="s">
        <v>492</v>
      </c>
      <c r="BH9" s="5" t="s">
        <v>420</v>
      </c>
      <c r="BI9" s="5" t="s">
        <v>308</v>
      </c>
      <c r="BJ9" s="5" t="s">
        <v>132</v>
      </c>
      <c r="BK9" s="5" t="s">
        <v>289</v>
      </c>
      <c r="BL9" s="5" t="s">
        <v>606</v>
      </c>
      <c r="BM9" s="5"/>
      <c r="BN9" s="5"/>
      <c r="BO9" s="14" t="s">
        <v>82</v>
      </c>
      <c r="BP9" s="14" t="s">
        <v>387</v>
      </c>
      <c r="BQ9" s="77" t="s">
        <v>608</v>
      </c>
      <c r="BR9" s="78"/>
      <c r="BS9" s="78"/>
      <c r="BT9" s="79"/>
      <c r="BU9" s="5"/>
      <c r="BV9" s="5"/>
      <c r="BW9" s="14" t="s">
        <v>82</v>
      </c>
      <c r="BX9" s="14" t="s">
        <v>387</v>
      </c>
      <c r="BY9" s="77" t="s">
        <v>608</v>
      </c>
      <c r="BZ9" s="78"/>
      <c r="CA9" s="78"/>
      <c r="CB9" s="79"/>
      <c r="CC9" s="14"/>
      <c r="CD9" s="12"/>
      <c r="CE9" s="2"/>
      <c r="CF9" s="2" t="s">
        <v>60</v>
      </c>
      <c r="CG9" s="2" t="s">
        <v>60</v>
      </c>
      <c r="CH9" s="5"/>
      <c r="CI9" s="5" t="s">
        <v>121</v>
      </c>
      <c r="CJ9" s="5" t="s">
        <v>288</v>
      </c>
      <c r="CK9" s="5" t="s">
        <v>295</v>
      </c>
      <c r="CL9" s="5" t="s">
        <v>303</v>
      </c>
      <c r="CM9" s="5" t="s">
        <v>312</v>
      </c>
      <c r="CN9" s="5" t="s">
        <v>121</v>
      </c>
      <c r="CO9" s="5" t="s">
        <v>326</v>
      </c>
      <c r="CP9" s="5" t="s">
        <v>329</v>
      </c>
      <c r="CQ9" s="5" t="s">
        <v>332</v>
      </c>
      <c r="CR9" s="5" t="s">
        <v>332</v>
      </c>
      <c r="CS9" s="5" t="s">
        <v>333</v>
      </c>
      <c r="CT9" s="2"/>
      <c r="CU9" s="2"/>
      <c r="CV9" s="2"/>
      <c r="CW9" s="2"/>
      <c r="CX9" s="2"/>
      <c r="CY9" s="2"/>
      <c r="CZ9" s="2"/>
      <c r="DA9" s="33"/>
      <c r="DB9" s="33"/>
      <c r="DC9" s="33"/>
      <c r="DD9" s="5" t="s">
        <v>326</v>
      </c>
      <c r="DE9" s="5" t="s">
        <v>430</v>
      </c>
      <c r="DF9" s="5" t="s">
        <v>444</v>
      </c>
      <c r="DG9" s="5" t="s">
        <v>444</v>
      </c>
      <c r="DH9" s="2"/>
      <c r="DI9" s="12"/>
      <c r="DJ9" s="5" t="s">
        <v>60</v>
      </c>
      <c r="DK9" s="5" t="s">
        <v>456</v>
      </c>
      <c r="DL9" s="5" t="s">
        <v>458</v>
      </c>
      <c r="DM9" s="5" t="s">
        <v>333</v>
      </c>
      <c r="DN9" s="5"/>
      <c r="DO9" s="5" t="s">
        <v>311</v>
      </c>
      <c r="DP9" s="5" t="s">
        <v>444</v>
      </c>
      <c r="DQ9" s="5" t="s">
        <v>171</v>
      </c>
      <c r="DR9" s="5"/>
      <c r="DS9" s="2"/>
      <c r="DT9" s="5"/>
      <c r="DU9" s="5" t="s">
        <v>458</v>
      </c>
      <c r="DV9" s="5" t="s">
        <v>614</v>
      </c>
      <c r="DW9" s="5" t="s">
        <v>444</v>
      </c>
      <c r="DX9" s="5" t="s">
        <v>665</v>
      </c>
      <c r="DY9" s="5" t="s">
        <v>295</v>
      </c>
      <c r="DZ9" s="5" t="s">
        <v>544</v>
      </c>
      <c r="EA9" s="5" t="s">
        <v>758</v>
      </c>
      <c r="EB9" s="5" t="s">
        <v>326</v>
      </c>
      <c r="EC9" s="5" t="s">
        <v>171</v>
      </c>
      <c r="ED9" s="5" t="s">
        <v>544</v>
      </c>
      <c r="EE9" s="5"/>
      <c r="EF9" s="5"/>
      <c r="EG9" s="5"/>
      <c r="EH9" s="5" t="s">
        <v>225</v>
      </c>
      <c r="EI9" s="5" t="s">
        <v>332</v>
      </c>
      <c r="EJ9" s="5" t="s">
        <v>444</v>
      </c>
      <c r="EK9" s="5" t="s">
        <v>444</v>
      </c>
      <c r="EL9" s="5" t="s">
        <v>544</v>
      </c>
      <c r="EM9" s="5" t="s">
        <v>900</v>
      </c>
      <c r="EN9" s="2"/>
    </row>
    <row r="10" spans="1:144" x14ac:dyDescent="0.25">
      <c r="B10" s="75"/>
      <c r="C10" s="76"/>
      <c r="D10" s="2" t="s">
        <v>4</v>
      </c>
      <c r="E10" s="2" t="s">
        <v>5</v>
      </c>
      <c r="F10" s="15">
        <v>44660</v>
      </c>
      <c r="G10" s="5" t="s">
        <v>172</v>
      </c>
      <c r="H10" s="15">
        <v>44695</v>
      </c>
      <c r="I10" s="15">
        <v>44709</v>
      </c>
      <c r="J10" s="15">
        <v>44709</v>
      </c>
      <c r="K10" s="15">
        <v>44730</v>
      </c>
      <c r="L10" s="15">
        <v>44730</v>
      </c>
      <c r="M10" s="15">
        <v>44737</v>
      </c>
      <c r="N10" s="15">
        <v>44758</v>
      </c>
      <c r="O10" s="15">
        <v>44765</v>
      </c>
      <c r="P10" s="15">
        <v>44807</v>
      </c>
      <c r="Q10" s="15">
        <v>44814</v>
      </c>
      <c r="R10" s="15">
        <v>44814</v>
      </c>
      <c r="S10" s="15">
        <v>44814</v>
      </c>
      <c r="T10" s="15">
        <v>44828</v>
      </c>
      <c r="U10" s="15">
        <v>44849</v>
      </c>
      <c r="V10" s="15">
        <v>44856</v>
      </c>
      <c r="W10" s="15">
        <v>44863</v>
      </c>
      <c r="X10" s="15">
        <v>44891</v>
      </c>
      <c r="Y10" s="15">
        <v>44905</v>
      </c>
      <c r="Z10" s="2">
        <v>2022</v>
      </c>
      <c r="AA10" s="2"/>
      <c r="AB10" s="5" t="s">
        <v>172</v>
      </c>
      <c r="AC10" s="15" t="s">
        <v>386</v>
      </c>
      <c r="AD10" s="5" t="s">
        <v>388</v>
      </c>
      <c r="AE10" s="5" t="s">
        <v>396</v>
      </c>
      <c r="AF10" s="5" t="s">
        <v>400</v>
      </c>
      <c r="AG10" s="5" t="s">
        <v>408</v>
      </c>
      <c r="AH10" s="5" t="s">
        <v>412</v>
      </c>
      <c r="AI10" s="5" t="s">
        <v>421</v>
      </c>
      <c r="AJ10" s="5" t="s">
        <v>422</v>
      </c>
      <c r="AK10" s="5" t="s">
        <v>424</v>
      </c>
      <c r="AL10" s="5" t="s">
        <v>424</v>
      </c>
      <c r="AM10" s="5" t="s">
        <v>428</v>
      </c>
      <c r="AN10" s="5" t="s">
        <v>432</v>
      </c>
      <c r="AO10" s="5" t="s">
        <v>432</v>
      </c>
      <c r="AP10" s="5" t="s">
        <v>433</v>
      </c>
      <c r="AQ10" s="5" t="s">
        <v>439</v>
      </c>
      <c r="AR10" s="5" t="s">
        <v>446</v>
      </c>
      <c r="AS10" s="5" t="s">
        <v>453</v>
      </c>
      <c r="AT10" s="2">
        <v>2023</v>
      </c>
      <c r="AU10" s="35"/>
      <c r="AV10" s="35" t="s">
        <v>479</v>
      </c>
      <c r="AW10" s="35" t="s">
        <v>479</v>
      </c>
      <c r="AX10" s="35" t="s">
        <v>479</v>
      </c>
      <c r="AY10" s="35" t="s">
        <v>503</v>
      </c>
      <c r="AZ10" s="35" t="s">
        <v>513</v>
      </c>
      <c r="BA10" s="35" t="s">
        <v>525</v>
      </c>
      <c r="BB10" s="35" t="s">
        <v>534</v>
      </c>
      <c r="BC10" s="35" t="s">
        <v>534</v>
      </c>
      <c r="BD10" s="35" t="s">
        <v>546</v>
      </c>
      <c r="BE10" s="35" t="s">
        <v>550</v>
      </c>
      <c r="BF10" s="35" t="s">
        <v>558</v>
      </c>
      <c r="BG10" s="35" t="s">
        <v>564</v>
      </c>
      <c r="BH10" s="35" t="s">
        <v>559</v>
      </c>
      <c r="BI10" s="35" t="s">
        <v>567</v>
      </c>
      <c r="BJ10" s="35" t="s">
        <v>567</v>
      </c>
      <c r="BK10" s="35" t="s">
        <v>587</v>
      </c>
      <c r="BL10" s="35" t="s">
        <v>607</v>
      </c>
      <c r="BM10" s="35">
        <v>2024</v>
      </c>
      <c r="BN10" s="5"/>
      <c r="BO10" s="5"/>
      <c r="BP10" s="5"/>
      <c r="BQ10" s="5">
        <v>1</v>
      </c>
      <c r="BR10" s="5">
        <v>2</v>
      </c>
      <c r="BS10" s="5">
        <v>3</v>
      </c>
      <c r="BT10" s="5">
        <v>4</v>
      </c>
      <c r="BU10" s="5">
        <v>2025</v>
      </c>
      <c r="BV10" s="5"/>
      <c r="BW10" s="5"/>
      <c r="BX10" s="5"/>
      <c r="BY10" s="5">
        <v>1</v>
      </c>
      <c r="BZ10" s="5">
        <v>2</v>
      </c>
      <c r="CA10" s="5">
        <v>3</v>
      </c>
      <c r="CB10" s="5">
        <v>4</v>
      </c>
      <c r="CC10" s="5">
        <v>2026</v>
      </c>
      <c r="CD10" s="12"/>
      <c r="CE10" s="2"/>
      <c r="CF10" s="2"/>
      <c r="CG10" s="2"/>
      <c r="CH10" s="14">
        <v>44562</v>
      </c>
      <c r="CI10" s="14">
        <v>44652</v>
      </c>
      <c r="CJ10" s="14">
        <v>44736</v>
      </c>
      <c r="CK10" s="14">
        <v>44752</v>
      </c>
      <c r="CL10" s="14">
        <v>44743</v>
      </c>
      <c r="CM10" s="14">
        <v>44805</v>
      </c>
      <c r="CN10" s="14">
        <v>44821</v>
      </c>
      <c r="CO10" s="14">
        <v>44835</v>
      </c>
      <c r="CP10" s="14">
        <v>44835</v>
      </c>
      <c r="CQ10" s="14">
        <v>44868</v>
      </c>
      <c r="CR10" s="14">
        <v>44866</v>
      </c>
      <c r="CS10" s="14">
        <v>44866</v>
      </c>
      <c r="CT10" s="2">
        <v>2022</v>
      </c>
      <c r="CU10" s="7">
        <v>44927</v>
      </c>
      <c r="CV10" s="7">
        <v>44958</v>
      </c>
      <c r="CW10" s="7">
        <v>44958</v>
      </c>
      <c r="CX10" s="7">
        <v>44986</v>
      </c>
      <c r="CY10" s="7">
        <v>45017</v>
      </c>
      <c r="CZ10" s="7">
        <v>45047</v>
      </c>
      <c r="DA10" s="34">
        <v>45078</v>
      </c>
      <c r="DB10" s="34">
        <v>45108</v>
      </c>
      <c r="DC10" s="34" t="s">
        <v>407</v>
      </c>
      <c r="DD10" s="14">
        <v>45139</v>
      </c>
      <c r="DE10" s="14">
        <v>45184</v>
      </c>
      <c r="DF10" s="14">
        <v>45227</v>
      </c>
      <c r="DG10" s="14">
        <v>45255</v>
      </c>
      <c r="DH10" s="2">
        <v>2023</v>
      </c>
      <c r="DI10" s="12"/>
      <c r="DJ10" s="5"/>
      <c r="DK10" s="5" t="s">
        <v>457</v>
      </c>
      <c r="DL10" s="5" t="s">
        <v>461</v>
      </c>
      <c r="DM10" s="5" t="s">
        <v>463</v>
      </c>
      <c r="DN10" s="5" t="s">
        <v>465</v>
      </c>
      <c r="DO10" s="5" t="s">
        <v>474</v>
      </c>
      <c r="DP10" s="5" t="s">
        <v>507</v>
      </c>
      <c r="DQ10" s="5" t="s">
        <v>600</v>
      </c>
      <c r="DR10" s="5">
        <v>2024</v>
      </c>
      <c r="DS10" s="2"/>
      <c r="DT10" s="5" t="s">
        <v>610</v>
      </c>
      <c r="DU10" s="5" t="s">
        <v>611</v>
      </c>
      <c r="DV10" s="5" t="s">
        <v>615</v>
      </c>
      <c r="DW10" s="5" t="s">
        <v>649</v>
      </c>
      <c r="DX10" s="5" t="s">
        <v>666</v>
      </c>
      <c r="DY10" s="5" t="s">
        <v>715</v>
      </c>
      <c r="DZ10" s="5" t="s">
        <v>587</v>
      </c>
      <c r="EA10" s="5" t="s">
        <v>761</v>
      </c>
      <c r="EB10" s="5" t="s">
        <v>769</v>
      </c>
      <c r="EC10" s="5" t="s">
        <v>600</v>
      </c>
      <c r="ED10" s="5" t="s">
        <v>789</v>
      </c>
      <c r="EE10" s="5">
        <v>2025</v>
      </c>
      <c r="EF10" s="5"/>
      <c r="EG10" s="5" t="s">
        <v>849</v>
      </c>
      <c r="EH10" s="5" t="s">
        <v>851</v>
      </c>
      <c r="EI10" s="5" t="s">
        <v>545</v>
      </c>
      <c r="EJ10" s="5" t="s">
        <v>880</v>
      </c>
      <c r="EK10" s="5" t="s">
        <v>729</v>
      </c>
      <c r="EL10" s="5" t="s">
        <v>888</v>
      </c>
      <c r="EM10" s="5" t="s">
        <v>904</v>
      </c>
      <c r="EN10" s="2">
        <v>2026</v>
      </c>
    </row>
    <row r="11" spans="1:144" x14ac:dyDescent="0.25">
      <c r="A11">
        <v>1</v>
      </c>
      <c r="B11" s="27" t="s">
        <v>343</v>
      </c>
      <c r="C11" s="27"/>
      <c r="D11" s="27" t="s">
        <v>344</v>
      </c>
      <c r="E11" s="27" t="s">
        <v>38</v>
      </c>
      <c r="F11" s="8"/>
      <c r="G11" s="8"/>
      <c r="H11" s="8"/>
      <c r="I11" s="10"/>
      <c r="J11" s="8"/>
      <c r="K11" s="8"/>
      <c r="L11" s="8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8"/>
      <c r="AA11" s="8"/>
      <c r="AB11" s="8">
        <v>50</v>
      </c>
      <c r="AC11" s="8"/>
      <c r="AD11" s="8"/>
      <c r="AE11" s="8">
        <v>44.8</v>
      </c>
      <c r="AF11" s="8"/>
      <c r="AG11" s="8"/>
      <c r="AH11" s="8">
        <v>56</v>
      </c>
      <c r="AI11" s="8"/>
      <c r="AJ11" s="8"/>
      <c r="AK11" s="8"/>
      <c r="AL11" s="8"/>
      <c r="AM11" s="10"/>
      <c r="AN11" s="10"/>
      <c r="AO11" s="10">
        <v>70</v>
      </c>
      <c r="AP11" s="10"/>
      <c r="AQ11" s="10"/>
      <c r="AR11" s="10"/>
      <c r="AS11" s="10">
        <v>84</v>
      </c>
      <c r="AT11" s="11">
        <f>SUM(AA11:AS11)</f>
        <v>304.8</v>
      </c>
      <c r="AU11" s="11">
        <f>(AT11-AA11)/2</f>
        <v>152.4</v>
      </c>
      <c r="AV11" s="11"/>
      <c r="AW11" s="11"/>
      <c r="AX11" s="11"/>
      <c r="AY11" s="11"/>
      <c r="AZ11" s="11">
        <v>120</v>
      </c>
      <c r="BA11" s="11"/>
      <c r="BB11" s="11"/>
      <c r="BC11" s="11"/>
      <c r="BD11" s="11"/>
      <c r="BE11" s="11">
        <v>150</v>
      </c>
      <c r="BF11" s="11"/>
      <c r="BG11" s="11"/>
      <c r="BH11" s="11"/>
      <c r="BI11" s="11"/>
      <c r="BJ11" s="11">
        <v>48</v>
      </c>
      <c r="BK11" s="11">
        <v>150</v>
      </c>
      <c r="BL11" s="11"/>
      <c r="BM11" s="11">
        <f>SUM(AU11:BL11)</f>
        <v>620.4</v>
      </c>
      <c r="BN11" s="11">
        <f>(BM11-AU11)/2</f>
        <v>234</v>
      </c>
      <c r="BO11" s="11">
        <v>48</v>
      </c>
      <c r="BP11" s="11">
        <v>64</v>
      </c>
      <c r="BQ11" s="11">
        <v>150</v>
      </c>
      <c r="BR11" s="11">
        <v>100</v>
      </c>
      <c r="BS11" s="11">
        <v>200</v>
      </c>
      <c r="BT11" s="11">
        <v>150</v>
      </c>
      <c r="BU11" s="11">
        <f>SUM(BN11:BT11)</f>
        <v>946</v>
      </c>
      <c r="BV11" s="11">
        <f>(BU11-BN11)/2</f>
        <v>356</v>
      </c>
      <c r="BW11" s="11">
        <v>60</v>
      </c>
      <c r="BX11" s="11">
        <v>64</v>
      </c>
      <c r="BY11" s="11">
        <v>150</v>
      </c>
      <c r="BZ11" s="11"/>
      <c r="CA11" s="11"/>
      <c r="CB11" s="11"/>
      <c r="CC11" s="11">
        <f>SUM(BV11:CB11)</f>
        <v>630</v>
      </c>
      <c r="CD11" s="24"/>
      <c r="CE11" s="10">
        <f>SUM(CH11:CS11)/2</f>
        <v>0</v>
      </c>
      <c r="CF11" s="10">
        <f>AT11/4</f>
        <v>76.2</v>
      </c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11">
        <v>1.5</v>
      </c>
      <c r="CV11" s="11"/>
      <c r="CW11" s="11"/>
      <c r="CX11" s="11"/>
      <c r="CY11" s="11"/>
      <c r="CZ11" s="11"/>
      <c r="DA11" s="11">
        <v>5</v>
      </c>
      <c r="DB11" s="11"/>
      <c r="DC11" s="11"/>
      <c r="DD11" s="11"/>
      <c r="DE11" s="11"/>
      <c r="DF11" s="11"/>
      <c r="DG11" s="11"/>
      <c r="DH11" s="10">
        <f>SUM(CF11:DA11)</f>
        <v>82.7</v>
      </c>
      <c r="DI11" s="8">
        <f>(DH11-CE11)/2</f>
        <v>41.35</v>
      </c>
      <c r="DJ11" s="8">
        <f>BM11/4</f>
        <v>155.1</v>
      </c>
      <c r="DK11" s="10"/>
      <c r="DL11" s="10"/>
      <c r="DM11" s="10"/>
      <c r="DN11" s="10"/>
      <c r="DO11" s="10"/>
      <c r="DP11" s="10">
        <v>7.5</v>
      </c>
      <c r="DQ11" s="10">
        <v>50</v>
      </c>
      <c r="DR11" s="8">
        <f>SUM(DI11:DQ11)</f>
        <v>253.95</v>
      </c>
      <c r="DS11" s="8">
        <f>(DR11-DI11)/2</f>
        <v>106.3</v>
      </c>
      <c r="DT11" s="10">
        <v>30</v>
      </c>
      <c r="DU11" s="10"/>
      <c r="DV11" s="10"/>
      <c r="DW11" s="10"/>
      <c r="DX11" s="10"/>
      <c r="DY11" s="10"/>
      <c r="DZ11" s="10"/>
      <c r="EA11" s="10"/>
      <c r="EB11" s="10">
        <v>100</v>
      </c>
      <c r="EC11" s="10">
        <v>40</v>
      </c>
      <c r="ED11" s="10"/>
      <c r="EE11" s="8">
        <f>SUM(DS11:EC11)</f>
        <v>276.3</v>
      </c>
      <c r="EF11" s="8">
        <f>(EE11-DS11)/2</f>
        <v>85</v>
      </c>
      <c r="EG11" s="10">
        <v>25</v>
      </c>
      <c r="EH11" s="10"/>
      <c r="EI11" s="10">
        <v>7.5</v>
      </c>
      <c r="EJ11" s="10">
        <v>7.5</v>
      </c>
      <c r="EK11" s="10">
        <v>5</v>
      </c>
      <c r="EL11" s="10"/>
      <c r="EM11" s="10"/>
      <c r="EN11" s="27">
        <f>SUM(EF11:EK11)</f>
        <v>130</v>
      </c>
    </row>
    <row r="12" spans="1:144" x14ac:dyDescent="0.25">
      <c r="A12">
        <v>2</v>
      </c>
      <c r="B12" s="28" t="s">
        <v>103</v>
      </c>
      <c r="C12" s="28"/>
      <c r="D12" s="28" t="s">
        <v>441</v>
      </c>
      <c r="E12" s="28" t="s">
        <v>427</v>
      </c>
      <c r="F12" s="8"/>
      <c r="G12" s="8"/>
      <c r="H12" s="8"/>
      <c r="I12" s="10"/>
      <c r="J12" s="8"/>
      <c r="K12" s="8"/>
      <c r="L12" s="8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10"/>
      <c r="AN12" s="10"/>
      <c r="AO12" s="10"/>
      <c r="AP12" s="10"/>
      <c r="AQ12" s="10"/>
      <c r="AR12" s="10"/>
      <c r="AS12" s="10"/>
      <c r="AT12" s="8"/>
      <c r="AU12" s="8"/>
      <c r="AV12" s="8"/>
      <c r="AW12" s="8"/>
      <c r="AX12" s="8"/>
      <c r="AY12" s="8"/>
      <c r="AZ12" s="8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8"/>
      <c r="BN12" s="8"/>
      <c r="BO12" s="10"/>
      <c r="BP12" s="10">
        <v>64</v>
      </c>
      <c r="BQ12" s="10">
        <v>105</v>
      </c>
      <c r="BR12" s="10">
        <v>70</v>
      </c>
      <c r="BS12" s="10">
        <v>60</v>
      </c>
      <c r="BT12" s="10">
        <v>75</v>
      </c>
      <c r="BU12" s="11">
        <f>SUM(BN12:BT12)</f>
        <v>374</v>
      </c>
      <c r="BV12" s="11">
        <f>(BU12-BN12)/2</f>
        <v>187</v>
      </c>
      <c r="BW12" s="11"/>
      <c r="BX12" s="11">
        <v>64</v>
      </c>
      <c r="BY12" s="11">
        <v>60</v>
      </c>
      <c r="BZ12" s="11"/>
      <c r="CA12" s="11"/>
      <c r="CB12" s="11"/>
      <c r="CC12" s="11">
        <f>SUM(BV12:CB12)</f>
        <v>311</v>
      </c>
      <c r="CD12" s="24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10"/>
      <c r="DL12" s="10"/>
      <c r="DM12" s="10"/>
      <c r="DN12" s="10"/>
      <c r="DO12" s="10"/>
      <c r="DP12" s="10"/>
      <c r="DQ12" s="10"/>
      <c r="DR12" s="8"/>
      <c r="DS12" s="8"/>
      <c r="DT12" s="10">
        <v>22.5</v>
      </c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8">
        <f>SUM(DS12:DW12)</f>
        <v>22.5</v>
      </c>
      <c r="EF12" s="8">
        <f>(EE12-DS12)/2</f>
        <v>11.25</v>
      </c>
      <c r="EG12" s="10"/>
      <c r="EH12" s="10"/>
      <c r="EI12" s="10"/>
      <c r="EJ12" s="10"/>
      <c r="EK12" s="10"/>
      <c r="EL12" s="10"/>
      <c r="EM12" s="10"/>
      <c r="EN12" s="28">
        <f>SUM(EF12:EG12)</f>
        <v>11.25</v>
      </c>
    </row>
    <row r="13" spans="1:144" x14ac:dyDescent="0.25">
      <c r="A13">
        <v>3</v>
      </c>
      <c r="B13" s="8" t="s">
        <v>722</v>
      </c>
      <c r="C13" s="8"/>
      <c r="D13" s="8" t="s">
        <v>196</v>
      </c>
      <c r="E13" s="8" t="s">
        <v>53</v>
      </c>
      <c r="F13" s="8"/>
      <c r="G13" s="8"/>
      <c r="H13" s="8"/>
      <c r="I13" s="10"/>
      <c r="J13" s="8"/>
      <c r="K13" s="8"/>
      <c r="L13" s="8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10"/>
      <c r="AN13" s="10"/>
      <c r="AO13" s="10"/>
      <c r="AP13" s="10"/>
      <c r="AQ13" s="10"/>
      <c r="AR13" s="10"/>
      <c r="AS13" s="10"/>
      <c r="AT13" s="8"/>
      <c r="AU13" s="8"/>
      <c r="AV13" s="8"/>
      <c r="AW13" s="8"/>
      <c r="AX13" s="8"/>
      <c r="AY13" s="8"/>
      <c r="AZ13" s="8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8"/>
      <c r="BN13" s="8"/>
      <c r="BO13" s="10">
        <v>36</v>
      </c>
      <c r="BP13" s="10">
        <v>48</v>
      </c>
      <c r="BQ13" s="10">
        <v>6</v>
      </c>
      <c r="BR13" s="10">
        <v>44.8</v>
      </c>
      <c r="BS13" s="10">
        <v>7.5</v>
      </c>
      <c r="BT13" s="10">
        <v>100</v>
      </c>
      <c r="BU13" s="11">
        <f>SUM(BN13:BT13)</f>
        <v>242.3</v>
      </c>
      <c r="BV13" s="11">
        <f>(BU13-BN13)/2</f>
        <v>121.15</v>
      </c>
      <c r="BW13" s="11">
        <v>36</v>
      </c>
      <c r="BX13" s="11">
        <v>3.2</v>
      </c>
      <c r="BY13" s="11">
        <v>75</v>
      </c>
      <c r="BZ13" s="11"/>
      <c r="CA13" s="11"/>
      <c r="CB13" s="11"/>
      <c r="CC13" s="11">
        <f>SUM(BV13:CB13)</f>
        <v>235.35</v>
      </c>
      <c r="CD13" s="24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10"/>
      <c r="DL13" s="10"/>
      <c r="DM13" s="10"/>
      <c r="DN13" s="10"/>
      <c r="DO13" s="10"/>
      <c r="DP13" s="10"/>
      <c r="DQ13" s="10"/>
      <c r="DR13" s="8">
        <f>SUM(DI13:DQ13)</f>
        <v>0</v>
      </c>
      <c r="DS13" s="8">
        <f>(DR13-DI13)/2</f>
        <v>0</v>
      </c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8">
        <f>SUM(DS13:DW13)</f>
        <v>0</v>
      </c>
      <c r="EF13" s="8">
        <f>(EE13-DS13)/2</f>
        <v>0</v>
      </c>
      <c r="EG13" s="10">
        <v>1.25</v>
      </c>
      <c r="EH13" s="10"/>
      <c r="EI13" s="10"/>
      <c r="EJ13" s="10"/>
      <c r="EK13" s="10"/>
      <c r="EL13" s="10"/>
      <c r="EM13" s="10"/>
      <c r="EN13" s="8">
        <f>SUM(EF13:EG13)</f>
        <v>1.25</v>
      </c>
    </row>
    <row r="14" spans="1:144" x14ac:dyDescent="0.25">
      <c r="A14" s="68">
        <v>4</v>
      </c>
      <c r="B14" s="8" t="s">
        <v>754</v>
      </c>
      <c r="C14" s="8"/>
      <c r="D14" s="8" t="s">
        <v>75</v>
      </c>
      <c r="E14" s="8" t="s">
        <v>76</v>
      </c>
      <c r="F14" s="8"/>
      <c r="G14" s="8"/>
      <c r="H14" s="8"/>
      <c r="I14" s="10"/>
      <c r="J14" s="8"/>
      <c r="K14" s="8"/>
      <c r="L14" s="8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10"/>
      <c r="AN14" s="10"/>
      <c r="AO14" s="10"/>
      <c r="AP14" s="10"/>
      <c r="AQ14" s="10"/>
      <c r="AR14" s="10"/>
      <c r="AS14" s="10"/>
      <c r="AT14" s="8"/>
      <c r="AU14" s="8"/>
      <c r="AV14" s="8"/>
      <c r="AW14" s="8"/>
      <c r="AX14" s="8"/>
      <c r="AY14" s="8"/>
      <c r="AZ14" s="8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8"/>
      <c r="BN14" s="8"/>
      <c r="BO14" s="10"/>
      <c r="BP14" s="10">
        <v>64</v>
      </c>
      <c r="BQ14" s="10">
        <v>75</v>
      </c>
      <c r="BR14" s="10">
        <v>140</v>
      </c>
      <c r="BS14" s="10"/>
      <c r="BT14" s="10"/>
      <c r="BU14" s="11">
        <f>SUM(BN14:BT14)</f>
        <v>279</v>
      </c>
      <c r="BV14" s="11">
        <f>(BU14-BN14)/2</f>
        <v>139.5</v>
      </c>
      <c r="BW14" s="11">
        <v>42</v>
      </c>
      <c r="BX14" s="11"/>
      <c r="BY14" s="11"/>
      <c r="BZ14" s="11"/>
      <c r="CA14" s="11"/>
      <c r="CB14" s="11"/>
      <c r="CC14" s="11">
        <f>SUM(BV14:CB14)</f>
        <v>181.5</v>
      </c>
      <c r="CD14" s="24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10"/>
      <c r="DL14" s="10"/>
      <c r="DM14" s="10"/>
      <c r="DN14" s="10"/>
      <c r="DO14" s="10"/>
      <c r="DP14" s="10"/>
      <c r="DQ14" s="10"/>
      <c r="DR14" s="8">
        <f>SUM(DI14:DQ14)</f>
        <v>0</v>
      </c>
      <c r="DS14" s="8">
        <f>(DR14-DI14)/2</f>
        <v>0</v>
      </c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8">
        <f>SUM(DS14:DW14)</f>
        <v>0</v>
      </c>
      <c r="EF14" s="8">
        <f>(EE14-DS14)/2</f>
        <v>0</v>
      </c>
      <c r="EG14" s="10"/>
      <c r="EH14" s="10"/>
      <c r="EI14" s="10"/>
      <c r="EJ14" s="10"/>
      <c r="EK14" s="10"/>
      <c r="EL14" s="10"/>
      <c r="EM14" s="10"/>
      <c r="EN14" s="8">
        <f>SUM(EF14:EG14)</f>
        <v>0</v>
      </c>
    </row>
    <row r="15" spans="1:144" x14ac:dyDescent="0.25">
      <c r="A15">
        <v>5</v>
      </c>
      <c r="B15" s="8" t="s">
        <v>190</v>
      </c>
      <c r="C15" s="8"/>
      <c r="D15" s="8" t="s">
        <v>32</v>
      </c>
      <c r="E15" s="8" t="s">
        <v>306</v>
      </c>
      <c r="F15" s="8"/>
      <c r="G15" s="8"/>
      <c r="H15" s="8"/>
      <c r="I15" s="10"/>
      <c r="J15" s="8"/>
      <c r="K15" s="8"/>
      <c r="L15" s="8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10"/>
      <c r="AN15" s="10"/>
      <c r="AO15" s="10"/>
      <c r="AP15" s="10"/>
      <c r="AQ15" s="10"/>
      <c r="AR15" s="10"/>
      <c r="AS15" s="10"/>
      <c r="AT15" s="8"/>
      <c r="AU15" s="8"/>
      <c r="AV15" s="8"/>
      <c r="AW15" s="8"/>
      <c r="AX15" s="8"/>
      <c r="AY15" s="8"/>
      <c r="AZ15" s="8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8"/>
      <c r="BN15" s="8"/>
      <c r="BO15" s="10"/>
      <c r="BP15" s="10"/>
      <c r="BQ15" s="10"/>
      <c r="BR15" s="10"/>
      <c r="BS15" s="10"/>
      <c r="BT15" s="10"/>
      <c r="BU15" s="8"/>
      <c r="BV15" s="11"/>
      <c r="BW15" s="10">
        <v>48</v>
      </c>
      <c r="BX15" s="10"/>
      <c r="BY15" s="10">
        <v>105</v>
      </c>
      <c r="BZ15" s="10"/>
      <c r="CA15" s="10"/>
      <c r="CB15" s="10"/>
      <c r="CC15" s="11">
        <f>SUM(BV15:CB15)</f>
        <v>153</v>
      </c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10"/>
      <c r="DL15" s="10"/>
      <c r="DM15" s="10"/>
      <c r="DN15" s="10"/>
      <c r="DO15" s="10"/>
      <c r="DP15" s="10"/>
      <c r="DQ15" s="10"/>
      <c r="DR15" s="8"/>
      <c r="DS15" s="8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8">
        <f>SUM(DS15:DW15)</f>
        <v>0</v>
      </c>
      <c r="EF15" s="8">
        <f>(EE15-DS15)/2</f>
        <v>0</v>
      </c>
      <c r="EG15" s="10"/>
      <c r="EH15" s="10"/>
      <c r="EI15" s="10"/>
      <c r="EJ15" s="10"/>
      <c r="EK15" s="10"/>
      <c r="EL15" s="10"/>
      <c r="EM15" s="10"/>
      <c r="EN15" s="8">
        <f>SUM(EF15:EG15)</f>
        <v>0</v>
      </c>
    </row>
    <row r="16" spans="1:144" x14ac:dyDescent="0.25">
      <c r="A16">
        <v>6</v>
      </c>
      <c r="B16" s="8" t="s">
        <v>867</v>
      </c>
      <c r="C16" s="8"/>
      <c r="D16" s="8" t="s">
        <v>35</v>
      </c>
      <c r="E16" s="8" t="s">
        <v>632</v>
      </c>
      <c r="F16" s="8"/>
      <c r="G16" s="8"/>
      <c r="H16" s="8"/>
      <c r="I16" s="10"/>
      <c r="J16" s="8"/>
      <c r="K16" s="8"/>
      <c r="L16" s="8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10"/>
      <c r="AN16" s="10"/>
      <c r="AO16" s="10"/>
      <c r="AP16" s="10"/>
      <c r="AQ16" s="10"/>
      <c r="AR16" s="10"/>
      <c r="AS16" s="10"/>
      <c r="AT16" s="8"/>
      <c r="AU16" s="8"/>
      <c r="AV16" s="8"/>
      <c r="AW16" s="8"/>
      <c r="AX16" s="8"/>
      <c r="AY16" s="8"/>
      <c r="AZ16" s="8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8"/>
      <c r="BN16" s="8"/>
      <c r="BO16" s="10"/>
      <c r="BP16" s="10"/>
      <c r="BQ16" s="10"/>
      <c r="BR16" s="10"/>
      <c r="BS16" s="10"/>
      <c r="BT16" s="10"/>
      <c r="BU16" s="8"/>
      <c r="BV16" s="8"/>
      <c r="BW16" s="10">
        <v>36</v>
      </c>
      <c r="BX16" s="10">
        <v>64</v>
      </c>
      <c r="BY16" s="10"/>
      <c r="BZ16" s="10"/>
      <c r="CA16" s="10"/>
      <c r="CB16" s="10"/>
      <c r="CC16" s="11">
        <f>SUM(BV16:CB16)</f>
        <v>100</v>
      </c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10"/>
      <c r="DL16" s="10"/>
      <c r="DM16" s="10"/>
      <c r="DN16" s="10"/>
      <c r="DO16" s="10"/>
      <c r="DP16" s="10"/>
      <c r="DQ16" s="10"/>
      <c r="DR16" s="8"/>
      <c r="DS16" s="8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8">
        <f>SUM(DS16:DW16)</f>
        <v>0</v>
      </c>
      <c r="EF16" s="8">
        <f>(EE16-DS16)/2</f>
        <v>0</v>
      </c>
      <c r="EG16" s="10"/>
      <c r="EH16" s="10"/>
      <c r="EI16" s="10"/>
      <c r="EJ16" s="10"/>
      <c r="EK16" s="10"/>
      <c r="EL16" s="10"/>
      <c r="EM16" s="10"/>
      <c r="EN16" s="8">
        <f>SUM(EF16:EG16)</f>
        <v>0</v>
      </c>
    </row>
    <row r="17" spans="1:144" x14ac:dyDescent="0.25">
      <c r="A17">
        <v>7</v>
      </c>
      <c r="B17" s="8" t="s">
        <v>191</v>
      </c>
      <c r="C17" s="8"/>
      <c r="D17" s="8" t="s">
        <v>398</v>
      </c>
      <c r="E17" s="8" t="s">
        <v>7</v>
      </c>
      <c r="F17" s="8"/>
      <c r="G17" s="8"/>
      <c r="H17" s="8"/>
      <c r="I17" s="10"/>
      <c r="J17" s="8"/>
      <c r="K17" s="8"/>
      <c r="L17" s="8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8"/>
      <c r="AA17" s="8"/>
      <c r="AB17" s="8"/>
      <c r="AC17" s="8"/>
      <c r="AD17" s="8"/>
      <c r="AE17" s="8">
        <v>3.2</v>
      </c>
      <c r="AF17" s="8"/>
      <c r="AG17" s="8"/>
      <c r="AH17" s="8"/>
      <c r="AI17" s="8"/>
      <c r="AJ17" s="8">
        <v>2.4</v>
      </c>
      <c r="AK17" s="8"/>
      <c r="AL17" s="8"/>
      <c r="AM17" s="10"/>
      <c r="AN17" s="10"/>
      <c r="AO17" s="10">
        <v>5</v>
      </c>
      <c r="AP17" s="10"/>
      <c r="AQ17" s="10"/>
      <c r="AR17" s="10"/>
      <c r="AS17" s="10"/>
      <c r="AT17" s="11">
        <f>SUM(AA17:AS17)</f>
        <v>10.6</v>
      </c>
      <c r="AU17" s="11">
        <f>(AT17-AA17)/2</f>
        <v>5.3</v>
      </c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>
        <v>2.4</v>
      </c>
      <c r="BK17" s="11">
        <v>7.5</v>
      </c>
      <c r="BL17" s="11"/>
      <c r="BM17" s="11">
        <f>SUM(AU17:BL17)</f>
        <v>15.2</v>
      </c>
      <c r="BN17" s="11">
        <f>(BM17-AU17)/2</f>
        <v>4.9499999999999993</v>
      </c>
      <c r="BO17" s="11">
        <v>2.4</v>
      </c>
      <c r="BP17" s="11">
        <v>3.2</v>
      </c>
      <c r="BQ17" s="11">
        <v>105</v>
      </c>
      <c r="BR17" s="11">
        <v>10</v>
      </c>
      <c r="BS17" s="11"/>
      <c r="BT17" s="11"/>
      <c r="BU17" s="11">
        <f>SUM(BN17:BT17)</f>
        <v>125.55</v>
      </c>
      <c r="BV17" s="11">
        <f>(BU17-BN17)/2</f>
        <v>60.3</v>
      </c>
      <c r="BW17" s="11">
        <v>30</v>
      </c>
      <c r="BX17" s="11"/>
      <c r="BY17" s="11">
        <v>7.5</v>
      </c>
      <c r="BZ17" s="11"/>
      <c r="CA17" s="11"/>
      <c r="CB17" s="11"/>
      <c r="CC17" s="11">
        <f>SUM(BV17:CB17)</f>
        <v>97.8</v>
      </c>
      <c r="CD17" s="24"/>
      <c r="CE17" s="10">
        <f>SUM(CH17:CS17)/2</f>
        <v>0</v>
      </c>
      <c r="CF17" s="10">
        <f>AT17/4</f>
        <v>2.65</v>
      </c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>
        <f>SUM(CE17:CF17)</f>
        <v>2.65</v>
      </c>
      <c r="DI17" s="8">
        <f>(DH17-CE17)/2</f>
        <v>1.325</v>
      </c>
      <c r="DJ17" s="8">
        <f>BM17/4</f>
        <v>3.8</v>
      </c>
      <c r="DK17" s="10"/>
      <c r="DL17" s="10"/>
      <c r="DM17" s="10"/>
      <c r="DN17" s="10"/>
      <c r="DO17" s="10"/>
      <c r="DP17" s="10"/>
      <c r="DQ17" s="10"/>
      <c r="DR17" s="8">
        <f>SUM(DI17:DQ17)</f>
        <v>5.125</v>
      </c>
      <c r="DS17" s="8">
        <f>(DR17-DI17)/2</f>
        <v>1.9</v>
      </c>
      <c r="DT17" s="10"/>
      <c r="DU17" s="10"/>
      <c r="DV17" s="10"/>
      <c r="DW17" s="10"/>
      <c r="DX17" s="10"/>
      <c r="DY17" s="10"/>
      <c r="DZ17" s="10"/>
      <c r="EA17" s="10"/>
      <c r="EB17" s="10"/>
      <c r="EC17" s="10">
        <v>2</v>
      </c>
      <c r="ED17" s="10"/>
      <c r="EE17" s="8">
        <f>SUM(DS17:EC17)</f>
        <v>3.9</v>
      </c>
      <c r="EF17" s="8">
        <f>(EE17-DS17)/2</f>
        <v>1</v>
      </c>
      <c r="EG17" s="10"/>
      <c r="EH17" s="10"/>
      <c r="EI17" s="10"/>
      <c r="EJ17" s="10"/>
      <c r="EK17" s="10"/>
      <c r="EL17" s="10"/>
      <c r="EM17" s="10"/>
      <c r="EN17" s="8">
        <f>SUM(EF17:EG17)</f>
        <v>1</v>
      </c>
    </row>
    <row r="18" spans="1:144" x14ac:dyDescent="0.25">
      <c r="A18">
        <v>8</v>
      </c>
      <c r="B18" s="8" t="s">
        <v>698</v>
      </c>
      <c r="C18" s="8"/>
      <c r="D18" s="8" t="s">
        <v>703</v>
      </c>
      <c r="E18" s="8" t="s">
        <v>553</v>
      </c>
      <c r="F18" s="8"/>
      <c r="G18" s="8"/>
      <c r="H18" s="8"/>
      <c r="I18" s="10"/>
      <c r="J18" s="8"/>
      <c r="K18" s="8"/>
      <c r="L18" s="8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10"/>
      <c r="AN18" s="10"/>
      <c r="AO18" s="10"/>
      <c r="AP18" s="10"/>
      <c r="AQ18" s="10"/>
      <c r="AR18" s="10"/>
      <c r="AS18" s="10"/>
      <c r="AT18" s="8"/>
      <c r="AU18" s="8"/>
      <c r="AV18" s="8"/>
      <c r="AW18" s="8"/>
      <c r="AX18" s="8"/>
      <c r="AY18" s="8"/>
      <c r="AZ18" s="8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8"/>
      <c r="BN18" s="8"/>
      <c r="BO18" s="10">
        <v>36</v>
      </c>
      <c r="BP18" s="10"/>
      <c r="BQ18" s="10">
        <v>50</v>
      </c>
      <c r="BR18" s="10">
        <v>36</v>
      </c>
      <c r="BS18" s="10">
        <v>39</v>
      </c>
      <c r="BT18" s="10">
        <v>10</v>
      </c>
      <c r="BU18" s="11">
        <f>SUM(BN18:BT18)</f>
        <v>171</v>
      </c>
      <c r="BV18" s="11">
        <f>(BU18-BN18)/2</f>
        <v>85.5</v>
      </c>
      <c r="BW18" s="11"/>
      <c r="BX18" s="11">
        <v>3.2</v>
      </c>
      <c r="BY18" s="11"/>
      <c r="BZ18" s="11"/>
      <c r="CA18" s="11"/>
      <c r="CB18" s="11"/>
      <c r="CC18" s="11">
        <f>SUM(BV18:CB18)</f>
        <v>88.7</v>
      </c>
      <c r="CD18" s="24"/>
      <c r="DH18" s="8"/>
      <c r="DI18" s="8"/>
      <c r="DJ18" s="8"/>
      <c r="DK18" s="10"/>
      <c r="DL18" s="10"/>
      <c r="DM18" s="10"/>
      <c r="DN18" s="10"/>
      <c r="DO18" s="10"/>
      <c r="DP18" s="10"/>
      <c r="DQ18" s="10"/>
      <c r="DR18" s="8">
        <f>SUM(DI18:DQ18)</f>
        <v>0</v>
      </c>
      <c r="DS18" s="8">
        <f>(DR18-DI18)/2</f>
        <v>0</v>
      </c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8">
        <f>SUM(DS18:DW18)</f>
        <v>0</v>
      </c>
      <c r="EF18" s="8">
        <f>(EE18-DS18)/2</f>
        <v>0</v>
      </c>
      <c r="EG18" s="10"/>
      <c r="EH18" s="10"/>
      <c r="EI18" s="10"/>
      <c r="EJ18" s="10"/>
      <c r="EK18" s="10"/>
      <c r="EL18" s="10"/>
      <c r="EM18" s="10"/>
      <c r="EN18" s="8">
        <f>SUM(EF18:EG18)</f>
        <v>0</v>
      </c>
    </row>
    <row r="19" spans="1:144" x14ac:dyDescent="0.25">
      <c r="A19">
        <v>9</v>
      </c>
      <c r="B19" s="20" t="s">
        <v>150</v>
      </c>
      <c r="C19" s="20" t="s">
        <v>145</v>
      </c>
      <c r="D19" s="20" t="s">
        <v>35</v>
      </c>
      <c r="E19" s="20" t="s">
        <v>205</v>
      </c>
      <c r="F19" s="11"/>
      <c r="G19" s="11">
        <v>100</v>
      </c>
      <c r="H19" s="11">
        <v>100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>
        <v>80</v>
      </c>
      <c r="Y19" s="11">
        <v>150</v>
      </c>
      <c r="Z19" s="11">
        <f>SUM(F19:Y19)</f>
        <v>430</v>
      </c>
      <c r="AA19" s="11">
        <f>Z19/2</f>
        <v>215</v>
      </c>
      <c r="AB19" s="11"/>
      <c r="AC19" s="11"/>
      <c r="AD19" s="11"/>
      <c r="AE19" s="11"/>
      <c r="AF19" s="11"/>
      <c r="AG19" s="11"/>
      <c r="AH19" s="11" t="s">
        <v>132</v>
      </c>
      <c r="AI19" s="11"/>
      <c r="AJ19" s="11"/>
      <c r="AK19" s="11"/>
      <c r="AL19" s="11"/>
      <c r="AM19" s="11"/>
      <c r="AN19" s="11" t="s">
        <v>132</v>
      </c>
      <c r="AO19" s="11" t="s">
        <v>132</v>
      </c>
      <c r="AP19" s="11"/>
      <c r="AQ19" s="11"/>
      <c r="AR19" s="11"/>
      <c r="AS19" s="11"/>
      <c r="AT19" s="11">
        <f>SUM(AA19:AS19)</f>
        <v>215</v>
      </c>
      <c r="AU19" s="11">
        <f>(AT19-AA19)/2</f>
        <v>0</v>
      </c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>
        <v>200</v>
      </c>
      <c r="BM19" s="11">
        <f>SUM(AU19:BL19)</f>
        <v>200</v>
      </c>
      <c r="BN19" s="11">
        <f>(BM19-AU19)/2</f>
        <v>100</v>
      </c>
      <c r="BO19" s="11"/>
      <c r="BP19" s="11"/>
      <c r="BQ19" s="11">
        <v>120</v>
      </c>
      <c r="BR19" s="11"/>
      <c r="BS19" s="11"/>
      <c r="BT19" s="11"/>
      <c r="BU19" s="11">
        <f>SUM(BN19:BT19)</f>
        <v>220</v>
      </c>
      <c r="BV19" s="11">
        <f>(BU19-BN19)/2</f>
        <v>60</v>
      </c>
      <c r="BW19" s="11"/>
      <c r="BX19" s="11"/>
      <c r="BY19" s="11"/>
      <c r="BZ19" s="11"/>
      <c r="CA19" s="11"/>
      <c r="CB19" s="11"/>
      <c r="CC19" s="11">
        <f>SUM(BV19:CB19)</f>
        <v>60</v>
      </c>
      <c r="CD19" s="24"/>
      <c r="CE19" s="12">
        <f>SUM(CH19:CS19)/2</f>
        <v>255</v>
      </c>
      <c r="CF19" s="12">
        <f>AT19/4</f>
        <v>53.75</v>
      </c>
      <c r="CG19" s="12">
        <f>Z19/2</f>
        <v>215</v>
      </c>
      <c r="CH19" s="12">
        <f>20+20*1/2</f>
        <v>30</v>
      </c>
      <c r="CI19" s="12">
        <v>150</v>
      </c>
      <c r="CJ19" s="12">
        <v>25</v>
      </c>
      <c r="CK19" s="12">
        <v>25</v>
      </c>
      <c r="CL19" s="12">
        <v>25</v>
      </c>
      <c r="CM19" s="12">
        <v>70</v>
      </c>
      <c r="CN19" s="12">
        <v>50</v>
      </c>
      <c r="CO19" s="12">
        <v>100</v>
      </c>
      <c r="CP19" s="12">
        <v>10</v>
      </c>
      <c r="CQ19" s="12"/>
      <c r="CR19" s="12"/>
      <c r="CS19" s="12">
        <v>25</v>
      </c>
      <c r="CT19" s="12">
        <f>SUM(CG19:CS19)</f>
        <v>725</v>
      </c>
      <c r="CU19" s="12">
        <v>30</v>
      </c>
      <c r="CV19" s="12">
        <v>25</v>
      </c>
      <c r="CW19" s="12">
        <v>80</v>
      </c>
      <c r="CX19" s="12">
        <v>25</v>
      </c>
      <c r="CY19" s="12">
        <v>80</v>
      </c>
      <c r="CZ19" s="12">
        <v>50</v>
      </c>
      <c r="DA19" s="12"/>
      <c r="DB19" s="12">
        <v>50</v>
      </c>
      <c r="DC19" s="12">
        <v>70</v>
      </c>
      <c r="DD19" s="12"/>
      <c r="DE19" s="12">
        <v>108</v>
      </c>
      <c r="DF19" s="12">
        <v>210</v>
      </c>
      <c r="DG19" s="12">
        <v>100</v>
      </c>
      <c r="DH19" s="10">
        <f>SUM(CE19:CF19)+SUM(CU19:DG19)</f>
        <v>1136.75</v>
      </c>
      <c r="DI19" s="8">
        <f>(DH19-CE19)/2</f>
        <v>440.875</v>
      </c>
      <c r="DJ19" s="8">
        <f>BM19/4</f>
        <v>50</v>
      </c>
      <c r="DK19" s="10">
        <v>48</v>
      </c>
      <c r="DL19" s="10">
        <v>25</v>
      </c>
      <c r="DM19" s="10">
        <v>90</v>
      </c>
      <c r="DN19" s="10"/>
      <c r="DO19" s="10">
        <v>48</v>
      </c>
      <c r="DP19" s="10"/>
      <c r="DQ19" s="10"/>
      <c r="DR19" s="8">
        <f>SUM(DI19:DO19)</f>
        <v>701.875</v>
      </c>
      <c r="DS19" s="8">
        <f>(DR19-DI19)/2</f>
        <v>130.5</v>
      </c>
      <c r="DT19" s="10"/>
      <c r="DU19" s="10">
        <v>80</v>
      </c>
      <c r="DV19" s="10">
        <v>150</v>
      </c>
      <c r="DW19" s="10">
        <v>150</v>
      </c>
      <c r="DX19" s="10">
        <v>7.5</v>
      </c>
      <c r="DY19" s="10">
        <v>25</v>
      </c>
      <c r="DZ19" s="10">
        <v>15</v>
      </c>
      <c r="EA19" s="10">
        <v>15</v>
      </c>
      <c r="EB19" s="10"/>
      <c r="EC19" s="10"/>
      <c r="ED19" s="10">
        <v>200</v>
      </c>
      <c r="EE19" s="8">
        <f>SUM(DS19:ED19)</f>
        <v>773</v>
      </c>
      <c r="EF19" s="8">
        <f>(EE19-DS19)/2</f>
        <v>321.25</v>
      </c>
      <c r="EG19" s="10"/>
      <c r="EH19" s="10">
        <v>300</v>
      </c>
      <c r="EI19" s="10">
        <v>150</v>
      </c>
      <c r="EJ19" s="10">
        <v>150</v>
      </c>
      <c r="EK19" s="10">
        <v>100</v>
      </c>
      <c r="EL19" s="10">
        <v>108</v>
      </c>
      <c r="EM19" s="10">
        <v>25</v>
      </c>
      <c r="EN19" s="26">
        <f>SUM(EF19:EM19)</f>
        <v>1154.25</v>
      </c>
    </row>
    <row r="20" spans="1:144" x14ac:dyDescent="0.25">
      <c r="A20">
        <v>10</v>
      </c>
      <c r="B20" s="8" t="s">
        <v>101</v>
      </c>
      <c r="C20" s="8"/>
      <c r="D20" s="8" t="s">
        <v>673</v>
      </c>
      <c r="E20" s="8" t="s">
        <v>651</v>
      </c>
      <c r="F20" s="8"/>
      <c r="G20" s="8"/>
      <c r="H20" s="8"/>
      <c r="I20" s="10"/>
      <c r="J20" s="8"/>
      <c r="K20" s="8"/>
      <c r="L20" s="8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10"/>
      <c r="AN20" s="10"/>
      <c r="AO20" s="10"/>
      <c r="AP20" s="10"/>
      <c r="AQ20" s="10"/>
      <c r="AR20" s="10"/>
      <c r="AS20" s="10"/>
      <c r="AT20" s="8"/>
      <c r="AU20" s="8"/>
      <c r="AV20" s="8"/>
      <c r="AW20" s="8"/>
      <c r="AX20" s="8"/>
      <c r="AY20" s="8"/>
      <c r="AZ20" s="8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8"/>
      <c r="BN20" s="8"/>
      <c r="BO20" s="10"/>
      <c r="BP20" s="10"/>
      <c r="BQ20" s="10">
        <v>75</v>
      </c>
      <c r="BR20" s="10"/>
      <c r="BS20" s="10"/>
      <c r="BT20" s="10"/>
      <c r="BU20" s="11">
        <f>SUM(BN20:BT20)</f>
        <v>75</v>
      </c>
      <c r="BV20" s="11">
        <f>(BU20-BN20)/2</f>
        <v>37.5</v>
      </c>
      <c r="BW20" s="11"/>
      <c r="BX20" s="11"/>
      <c r="BY20" s="11"/>
      <c r="BZ20" s="11"/>
      <c r="CA20" s="11"/>
      <c r="CB20" s="11"/>
      <c r="CC20" s="11">
        <f>SUM(BV20:CB20)</f>
        <v>37.5</v>
      </c>
      <c r="CD20" s="24"/>
      <c r="DR20" s="8"/>
      <c r="DS20" s="8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8">
        <f>SUM(DS20:DW20)</f>
        <v>0</v>
      </c>
      <c r="EF20" s="8">
        <f>(EE20-DS20)/2</f>
        <v>0</v>
      </c>
      <c r="EG20" s="10"/>
      <c r="EH20" s="10"/>
      <c r="EI20" s="10"/>
      <c r="EJ20" s="10"/>
      <c r="EK20" s="10"/>
      <c r="EL20" s="10"/>
      <c r="EM20" s="10"/>
      <c r="EN20" s="8">
        <f>SUM(EF20:EG20)</f>
        <v>0</v>
      </c>
    </row>
    <row r="21" spans="1:144" x14ac:dyDescent="0.25">
      <c r="A21">
        <v>11</v>
      </c>
      <c r="B21" s="8" t="s">
        <v>226</v>
      </c>
      <c r="C21" s="8"/>
      <c r="D21" s="8" t="s">
        <v>28</v>
      </c>
      <c r="E21" s="8" t="s">
        <v>43</v>
      </c>
      <c r="F21" s="8"/>
      <c r="G21" s="8"/>
      <c r="H21" s="8"/>
      <c r="I21" s="10"/>
      <c r="J21" s="8"/>
      <c r="K21" s="8"/>
      <c r="L21" s="8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10"/>
      <c r="AN21" s="10"/>
      <c r="AO21" s="10"/>
      <c r="AP21" s="10"/>
      <c r="AQ21" s="10"/>
      <c r="AR21" s="10"/>
      <c r="AS21" s="10"/>
      <c r="AT21" s="8"/>
      <c r="AU21" s="8"/>
      <c r="AV21" s="8"/>
      <c r="AW21" s="8"/>
      <c r="AX21" s="8"/>
      <c r="AY21" s="8"/>
      <c r="AZ21" s="8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8"/>
      <c r="BN21" s="8"/>
      <c r="BO21" s="10"/>
      <c r="BP21" s="10"/>
      <c r="BQ21" s="10"/>
      <c r="BR21" s="10"/>
      <c r="BS21" s="10"/>
      <c r="BT21" s="10"/>
      <c r="BU21" s="8"/>
      <c r="BV21" s="8"/>
      <c r="BW21" s="10">
        <v>36</v>
      </c>
      <c r="BX21" s="10"/>
      <c r="BY21" s="10"/>
      <c r="BZ21" s="10"/>
      <c r="CA21" s="10"/>
      <c r="CB21" s="10"/>
      <c r="CC21" s="11">
        <f>SUM(BV21:CB21)</f>
        <v>36</v>
      </c>
      <c r="DR21" s="8"/>
      <c r="DS21" s="8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8">
        <f>SUM(DS21:DW21)</f>
        <v>0</v>
      </c>
      <c r="EF21" s="8">
        <f>(EE21-DS21)/2</f>
        <v>0</v>
      </c>
      <c r="EG21" s="10"/>
      <c r="EH21" s="10"/>
      <c r="EI21" s="10"/>
      <c r="EJ21" s="10"/>
      <c r="EK21" s="10"/>
      <c r="EL21" s="10"/>
      <c r="EM21" s="10"/>
      <c r="EN21" s="8">
        <f>SUM(EF21:EG21)</f>
        <v>0</v>
      </c>
    </row>
    <row r="22" spans="1:144" x14ac:dyDescent="0.25">
      <c r="A22">
        <v>12</v>
      </c>
      <c r="B22" s="8" t="s">
        <v>195</v>
      </c>
      <c r="C22" s="8"/>
      <c r="D22" s="8" t="s">
        <v>263</v>
      </c>
      <c r="E22" s="8" t="s">
        <v>577</v>
      </c>
      <c r="F22" s="8"/>
      <c r="G22" s="8"/>
      <c r="H22" s="8"/>
      <c r="I22" s="10"/>
      <c r="J22" s="8"/>
      <c r="K22" s="8"/>
      <c r="L22" s="8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10"/>
      <c r="AN22" s="10"/>
      <c r="AO22" s="10"/>
      <c r="AP22" s="10"/>
      <c r="AQ22" s="10"/>
      <c r="AR22" s="10"/>
      <c r="AS22" s="10"/>
      <c r="AT22" s="8"/>
      <c r="AU22" s="8"/>
      <c r="AV22" s="8"/>
      <c r="AW22" s="8"/>
      <c r="AX22" s="8"/>
      <c r="AY22" s="8"/>
      <c r="AZ22" s="8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8"/>
      <c r="BN22" s="8"/>
      <c r="BO22" s="10"/>
      <c r="BP22" s="10"/>
      <c r="BQ22" s="10"/>
      <c r="BR22" s="10"/>
      <c r="BS22" s="10"/>
      <c r="BT22" s="10"/>
      <c r="BU22" s="8"/>
      <c r="BV22" s="8"/>
      <c r="BW22" s="10">
        <v>36</v>
      </c>
      <c r="BX22" s="10"/>
      <c r="BY22" s="10"/>
      <c r="BZ22" s="10"/>
      <c r="CA22" s="10"/>
      <c r="CB22" s="10"/>
      <c r="CC22" s="11">
        <f>SUM(BV22:CB22)</f>
        <v>36</v>
      </c>
      <c r="DR22" s="8"/>
      <c r="DS22" s="8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8">
        <f>SUM(DS22:DW22)</f>
        <v>0</v>
      </c>
      <c r="EF22" s="8">
        <f>(EE22-DS22)/2</f>
        <v>0</v>
      </c>
      <c r="EG22" s="10"/>
      <c r="EH22" s="10"/>
      <c r="EI22" s="10"/>
      <c r="EJ22" s="10"/>
      <c r="EK22" s="10"/>
      <c r="EL22" s="10"/>
      <c r="EM22" s="10"/>
      <c r="EN22" s="8">
        <f>SUM(EF22:EG22)</f>
        <v>0</v>
      </c>
    </row>
    <row r="23" spans="1:144" x14ac:dyDescent="0.25">
      <c r="A23">
        <v>13</v>
      </c>
      <c r="B23" s="8" t="s">
        <v>903</v>
      </c>
      <c r="C23" s="8"/>
      <c r="D23" s="8" t="s">
        <v>158</v>
      </c>
      <c r="E23" s="8" t="s">
        <v>547</v>
      </c>
      <c r="F23" s="8"/>
      <c r="G23" s="8"/>
      <c r="H23" s="8"/>
      <c r="I23" s="10"/>
      <c r="J23" s="8"/>
      <c r="K23" s="8"/>
      <c r="L23" s="8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10"/>
      <c r="AN23" s="10"/>
      <c r="AO23" s="10"/>
      <c r="AP23" s="10"/>
      <c r="AQ23" s="10"/>
      <c r="AR23" s="10"/>
      <c r="AS23" s="10"/>
      <c r="AT23" s="8"/>
      <c r="AU23" s="8"/>
      <c r="AV23" s="8"/>
      <c r="AW23" s="8"/>
      <c r="AX23" s="8"/>
      <c r="AY23" s="8"/>
      <c r="AZ23" s="8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8"/>
      <c r="BN23" s="8"/>
      <c r="BO23" s="10"/>
      <c r="BP23" s="10"/>
      <c r="BQ23" s="10"/>
      <c r="BR23" s="10"/>
      <c r="BS23" s="10"/>
      <c r="BT23" s="10"/>
      <c r="BU23" s="8"/>
      <c r="BV23" s="8"/>
      <c r="BW23" s="10">
        <v>36</v>
      </c>
      <c r="BX23" s="10"/>
      <c r="BY23" s="10"/>
      <c r="BZ23" s="10"/>
      <c r="CA23" s="10"/>
      <c r="CB23" s="10"/>
      <c r="CC23" s="11">
        <f>SUM(BV23:CB23)</f>
        <v>36</v>
      </c>
      <c r="DR23" s="8"/>
      <c r="DS23" s="8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8">
        <f>SUM(DS23:DW23)</f>
        <v>0</v>
      </c>
      <c r="EF23" s="8">
        <f>(EE23-DS23)/2</f>
        <v>0</v>
      </c>
      <c r="EG23" s="10"/>
      <c r="EH23" s="10"/>
      <c r="EI23" s="10"/>
      <c r="EJ23" s="10"/>
      <c r="EK23" s="10"/>
      <c r="EL23" s="10"/>
      <c r="EM23" s="10"/>
      <c r="EN23" s="8">
        <f>SUM(EF23:EG23)</f>
        <v>0</v>
      </c>
    </row>
    <row r="24" spans="1:144" x14ac:dyDescent="0.25">
      <c r="A24">
        <v>14</v>
      </c>
      <c r="B24" s="8" t="s">
        <v>905</v>
      </c>
      <c r="C24" s="8"/>
      <c r="D24" s="8" t="s">
        <v>705</v>
      </c>
      <c r="E24" s="8" t="s">
        <v>906</v>
      </c>
      <c r="F24" s="8"/>
      <c r="G24" s="8"/>
      <c r="H24" s="8"/>
      <c r="I24" s="10"/>
      <c r="J24" s="8"/>
      <c r="K24" s="8"/>
      <c r="L24" s="8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10"/>
      <c r="AN24" s="10"/>
      <c r="AO24" s="10"/>
      <c r="AP24" s="10"/>
      <c r="AQ24" s="10"/>
      <c r="AR24" s="10"/>
      <c r="AS24" s="10"/>
      <c r="AT24" s="8"/>
      <c r="AU24" s="8"/>
      <c r="AV24" s="8"/>
      <c r="AW24" s="8"/>
      <c r="AX24" s="8"/>
      <c r="AY24" s="8"/>
      <c r="AZ24" s="8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8"/>
      <c r="BN24" s="8"/>
      <c r="BO24" s="10"/>
      <c r="BP24" s="10"/>
      <c r="BQ24" s="10"/>
      <c r="BR24" s="10"/>
      <c r="BS24" s="10"/>
      <c r="BT24" s="10"/>
      <c r="BU24" s="8"/>
      <c r="BV24" s="8"/>
      <c r="BW24" s="10">
        <v>36</v>
      </c>
      <c r="BX24" s="10"/>
      <c r="BY24" s="10"/>
      <c r="BZ24" s="10"/>
      <c r="CA24" s="10"/>
      <c r="CB24" s="10"/>
      <c r="CC24" s="11">
        <f>SUM(BV24:CB24)</f>
        <v>36</v>
      </c>
      <c r="DR24" s="8"/>
      <c r="DS24" s="8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8">
        <f>SUM(DS24:DW24)</f>
        <v>0</v>
      </c>
      <c r="EF24" s="8">
        <f>(EE24-DS24)/2</f>
        <v>0</v>
      </c>
      <c r="EG24" s="10"/>
      <c r="EH24" s="10"/>
      <c r="EI24" s="10"/>
      <c r="EJ24" s="10"/>
      <c r="EK24" s="10"/>
      <c r="EL24" s="10"/>
      <c r="EM24" s="10"/>
      <c r="EN24" s="8">
        <f>SUM(EF24:EG24)</f>
        <v>0</v>
      </c>
    </row>
    <row r="25" spans="1:144" x14ac:dyDescent="0.25">
      <c r="A25">
        <v>15</v>
      </c>
      <c r="B25" s="8" t="s">
        <v>915</v>
      </c>
      <c r="C25" s="8"/>
      <c r="D25" s="8" t="s">
        <v>26</v>
      </c>
      <c r="E25" s="8" t="s">
        <v>229</v>
      </c>
      <c r="F25" s="8"/>
      <c r="G25" s="8"/>
      <c r="H25" s="8"/>
      <c r="I25" s="10"/>
      <c r="J25" s="8"/>
      <c r="K25" s="8"/>
      <c r="L25" s="8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10"/>
      <c r="AN25" s="10"/>
      <c r="AO25" s="10"/>
      <c r="AP25" s="10"/>
      <c r="AQ25" s="10"/>
      <c r="AR25" s="10"/>
      <c r="AS25" s="10"/>
      <c r="AT25" s="8"/>
      <c r="AU25" s="8"/>
      <c r="AV25" s="8"/>
      <c r="AW25" s="8"/>
      <c r="AX25" s="8"/>
      <c r="AY25" s="8"/>
      <c r="AZ25" s="8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8"/>
      <c r="BN25" s="8"/>
      <c r="BO25" s="10"/>
      <c r="BP25" s="10"/>
      <c r="BQ25" s="10"/>
      <c r="BR25" s="10"/>
      <c r="BS25" s="10"/>
      <c r="BT25" s="10"/>
      <c r="BU25" s="8"/>
      <c r="BV25" s="8"/>
      <c r="BW25" s="10">
        <v>36</v>
      </c>
      <c r="BX25" s="10"/>
      <c r="BY25" s="10"/>
      <c r="BZ25" s="10"/>
      <c r="CA25" s="10"/>
      <c r="CB25" s="10"/>
      <c r="CC25" s="11">
        <f>SUM(BV25:CB25)</f>
        <v>36</v>
      </c>
      <c r="EE25" s="8">
        <f>SUM(DS25:DW25)</f>
        <v>0</v>
      </c>
      <c r="EF25" s="8">
        <f>(EE25-DS25)/2</f>
        <v>0</v>
      </c>
      <c r="EG25" s="10"/>
      <c r="EH25" s="10"/>
      <c r="EI25" s="10"/>
      <c r="EJ25" s="10"/>
      <c r="EK25" s="10"/>
      <c r="EL25" s="10"/>
      <c r="EM25" s="10"/>
      <c r="EN25" s="8">
        <f>SUM(EF25:EG25)</f>
        <v>0</v>
      </c>
    </row>
    <row r="26" spans="1:144" x14ac:dyDescent="0.25">
      <c r="A26">
        <v>16</v>
      </c>
      <c r="B26" s="85" t="s">
        <v>320</v>
      </c>
      <c r="C26" s="85"/>
      <c r="D26" s="85" t="s">
        <v>321</v>
      </c>
      <c r="E26" s="85" t="s">
        <v>113</v>
      </c>
      <c r="F26" s="8"/>
      <c r="G26" s="8"/>
      <c r="H26" s="8"/>
      <c r="I26" s="10"/>
      <c r="J26" s="8"/>
      <c r="K26" s="8"/>
      <c r="L26" s="8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10"/>
      <c r="AN26" s="10"/>
      <c r="AO26" s="10"/>
      <c r="AP26" s="10"/>
      <c r="AQ26" s="10"/>
      <c r="AR26" s="10"/>
      <c r="AS26" s="10"/>
      <c r="AT26" s="8"/>
      <c r="AU26" s="8"/>
      <c r="AV26" s="8"/>
      <c r="AW26" s="8"/>
      <c r="AX26" s="8"/>
      <c r="AY26" s="8"/>
      <c r="AZ26" s="8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8"/>
      <c r="BN26" s="8"/>
      <c r="BO26" s="10"/>
      <c r="BP26" s="10"/>
      <c r="BQ26" s="10"/>
      <c r="BR26" s="10"/>
      <c r="BS26" s="10"/>
      <c r="BT26" s="10"/>
      <c r="BU26" s="8"/>
      <c r="BV26" s="8"/>
      <c r="BW26" s="10">
        <v>36</v>
      </c>
      <c r="BX26" s="10"/>
      <c r="BY26" s="10"/>
      <c r="BZ26" s="10"/>
      <c r="CA26" s="10"/>
      <c r="CB26" s="10"/>
      <c r="CC26" s="11">
        <f>SUM(BV26:CB26)</f>
        <v>36</v>
      </c>
      <c r="EE26" s="8">
        <f>SUM(DS26:DW26)</f>
        <v>0</v>
      </c>
      <c r="EF26" s="8">
        <f>(EE26-DS26)/2</f>
        <v>0</v>
      </c>
      <c r="EG26" s="10"/>
      <c r="EH26" s="10"/>
      <c r="EI26" s="10"/>
      <c r="EJ26" s="10"/>
      <c r="EK26" s="10"/>
      <c r="EL26" s="10"/>
      <c r="EM26" s="10"/>
      <c r="EN26" s="8">
        <f>SUM(EF26:EG26)</f>
        <v>0</v>
      </c>
    </row>
    <row r="27" spans="1:144" x14ac:dyDescent="0.25">
      <c r="A27">
        <v>17</v>
      </c>
      <c r="B27" s="8" t="s">
        <v>645</v>
      </c>
      <c r="C27" s="8"/>
      <c r="D27" s="8" t="s">
        <v>32</v>
      </c>
      <c r="E27" s="8" t="s">
        <v>646</v>
      </c>
      <c r="F27" s="8"/>
      <c r="G27" s="8"/>
      <c r="H27" s="8"/>
      <c r="I27" s="10"/>
      <c r="J27" s="8"/>
      <c r="K27" s="8"/>
      <c r="L27" s="8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10"/>
      <c r="AN27" s="10"/>
      <c r="AO27" s="10"/>
      <c r="AP27" s="10"/>
      <c r="AQ27" s="10"/>
      <c r="AR27" s="10"/>
      <c r="AS27" s="10"/>
      <c r="AT27" s="8"/>
      <c r="AU27" s="8"/>
      <c r="AV27" s="8"/>
      <c r="AW27" s="8"/>
      <c r="AX27" s="8"/>
      <c r="AY27" s="8"/>
      <c r="AZ27" s="8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8"/>
      <c r="BN27" s="8"/>
      <c r="BO27" s="10">
        <v>36</v>
      </c>
      <c r="BP27" s="10"/>
      <c r="BQ27" s="10">
        <v>7.5</v>
      </c>
      <c r="BR27" s="10"/>
      <c r="BS27" s="10"/>
      <c r="BT27" s="10"/>
      <c r="BU27" s="11">
        <f>SUM(BN27:BT27)</f>
        <v>43.5</v>
      </c>
      <c r="BV27" s="11">
        <f>(BU27-BN27)/2</f>
        <v>21.75</v>
      </c>
      <c r="BW27" s="11"/>
      <c r="BX27" s="11"/>
      <c r="BY27" s="11"/>
      <c r="BZ27" s="11"/>
      <c r="CA27" s="11"/>
      <c r="CB27" s="11"/>
      <c r="CC27" s="11">
        <f>SUM(BV27:CB27)</f>
        <v>21.75</v>
      </c>
      <c r="CD27" s="24"/>
      <c r="EE27" s="8">
        <f>SUM(DS27:DW27)</f>
        <v>0</v>
      </c>
      <c r="EF27" s="8">
        <f>(EE27-DS27)/2</f>
        <v>0</v>
      </c>
      <c r="EG27" s="10"/>
      <c r="EH27" s="10"/>
      <c r="EI27" s="10"/>
      <c r="EJ27" s="10"/>
      <c r="EK27" s="10"/>
      <c r="EL27" s="10"/>
      <c r="EM27" s="10"/>
      <c r="EN27" s="8">
        <f>SUM(EF27:EG27)</f>
        <v>0</v>
      </c>
    </row>
    <row r="28" spans="1:144" x14ac:dyDescent="0.25">
      <c r="A28">
        <v>18</v>
      </c>
      <c r="B28" s="8" t="s">
        <v>247</v>
      </c>
      <c r="C28" s="8"/>
      <c r="D28" s="8" t="s">
        <v>29</v>
      </c>
      <c r="E28" s="8" t="s">
        <v>632</v>
      </c>
      <c r="F28" s="8"/>
      <c r="G28" s="8"/>
      <c r="H28" s="8"/>
      <c r="I28" s="10"/>
      <c r="J28" s="8"/>
      <c r="K28" s="8"/>
      <c r="L28" s="8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10"/>
      <c r="AN28" s="10"/>
      <c r="AO28" s="10"/>
      <c r="AP28" s="10"/>
      <c r="AQ28" s="10"/>
      <c r="AR28" s="10"/>
      <c r="AS28" s="10"/>
      <c r="AT28" s="8"/>
      <c r="AU28" s="8"/>
      <c r="AV28" s="8"/>
      <c r="AW28" s="8"/>
      <c r="AX28" s="8"/>
      <c r="AY28" s="8"/>
      <c r="AZ28" s="8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8"/>
      <c r="BN28" s="8"/>
      <c r="BO28" s="10">
        <v>36</v>
      </c>
      <c r="BP28" s="10"/>
      <c r="BQ28" s="10"/>
      <c r="BR28" s="10"/>
      <c r="BS28" s="10"/>
      <c r="BT28" s="10"/>
      <c r="BU28" s="11">
        <f>SUM(BN28:BT28)</f>
        <v>36</v>
      </c>
      <c r="BV28" s="11">
        <f>(BU28-BN28)/2</f>
        <v>18</v>
      </c>
      <c r="BW28" s="11"/>
      <c r="BX28" s="11"/>
      <c r="BY28" s="11"/>
      <c r="BZ28" s="11"/>
      <c r="CA28" s="11"/>
      <c r="CB28" s="11"/>
      <c r="CC28" s="11">
        <f>SUM(BV28:CB28)</f>
        <v>18</v>
      </c>
      <c r="CD28" s="24"/>
      <c r="EE28" s="8">
        <f>SUM(DS28:DW28)</f>
        <v>0</v>
      </c>
      <c r="EF28" s="8">
        <f>(EE28-DS28)/2</f>
        <v>0</v>
      </c>
      <c r="EG28" s="10"/>
      <c r="EH28" s="10"/>
      <c r="EI28" s="10"/>
      <c r="EJ28" s="10"/>
      <c r="EK28" s="10"/>
      <c r="EL28" s="10"/>
      <c r="EM28" s="10"/>
      <c r="EN28" s="8">
        <f>SUM(EF28:EG28)</f>
        <v>0</v>
      </c>
    </row>
    <row r="29" spans="1:144" x14ac:dyDescent="0.25">
      <c r="A29">
        <v>19</v>
      </c>
      <c r="B29" s="8" t="s">
        <v>527</v>
      </c>
      <c r="C29" s="8"/>
      <c r="D29" s="8" t="s">
        <v>659</v>
      </c>
      <c r="E29" s="8" t="s">
        <v>330</v>
      </c>
      <c r="F29" s="8"/>
      <c r="G29" s="8"/>
      <c r="H29" s="8"/>
      <c r="I29" s="10"/>
      <c r="J29" s="8"/>
      <c r="K29" s="8"/>
      <c r="L29" s="8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10"/>
      <c r="AN29" s="10"/>
      <c r="AO29" s="10"/>
      <c r="AP29" s="10"/>
      <c r="AQ29" s="10"/>
      <c r="AR29" s="10"/>
      <c r="AS29" s="10"/>
      <c r="AT29" s="8"/>
      <c r="AU29" s="8"/>
      <c r="AV29" s="8"/>
      <c r="AW29" s="8"/>
      <c r="AX29" s="8"/>
      <c r="AY29" s="8"/>
      <c r="AZ29" s="8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8"/>
      <c r="BN29" s="8"/>
      <c r="BO29" s="10">
        <v>36</v>
      </c>
      <c r="BP29" s="10"/>
      <c r="BQ29" s="10"/>
      <c r="BR29" s="10"/>
      <c r="BS29" s="10"/>
      <c r="BT29" s="10"/>
      <c r="BU29" s="11">
        <f>SUM(BN29:BT29)</f>
        <v>36</v>
      </c>
      <c r="BV29" s="11">
        <f>(BU29-BN29)/2</f>
        <v>18</v>
      </c>
      <c r="BW29" s="11"/>
      <c r="BX29" s="11"/>
      <c r="BY29" s="11"/>
      <c r="BZ29" s="11"/>
      <c r="CA29" s="11"/>
      <c r="CB29" s="11"/>
      <c r="CC29" s="11">
        <f>SUM(BV29:CB29)</f>
        <v>18</v>
      </c>
      <c r="CD29" s="24"/>
      <c r="EE29" s="8">
        <f>SUM(DS29:DW29)</f>
        <v>0</v>
      </c>
      <c r="EF29" s="8">
        <f>(EE29-DS29)/2</f>
        <v>0</v>
      </c>
      <c r="EG29" s="10"/>
      <c r="EH29" s="10"/>
      <c r="EI29" s="10"/>
      <c r="EJ29" s="10"/>
      <c r="EK29" s="10"/>
      <c r="EL29" s="10"/>
      <c r="EM29" s="10"/>
      <c r="EN29" s="8">
        <f>SUM(EF29:EG29)</f>
        <v>0</v>
      </c>
    </row>
    <row r="30" spans="1:144" x14ac:dyDescent="0.25">
      <c r="A30">
        <v>20</v>
      </c>
      <c r="B30" s="8" t="s">
        <v>191</v>
      </c>
      <c r="C30" s="8"/>
      <c r="D30" s="8" t="s">
        <v>590</v>
      </c>
      <c r="E30" s="8" t="s">
        <v>7</v>
      </c>
      <c r="F30" s="8"/>
      <c r="G30" s="8"/>
      <c r="H30" s="8"/>
      <c r="I30" s="10"/>
      <c r="J30" s="8"/>
      <c r="K30" s="8"/>
      <c r="L30" s="8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10"/>
      <c r="AN30" s="10"/>
      <c r="AO30" s="10"/>
      <c r="AP30" s="10"/>
      <c r="AQ30" s="10"/>
      <c r="AR30" s="10"/>
      <c r="AS30" s="10"/>
      <c r="AT30" s="8"/>
      <c r="AU30" s="8"/>
      <c r="AV30" s="8"/>
      <c r="AW30" s="8"/>
      <c r="AX30" s="8"/>
      <c r="AY30" s="8"/>
      <c r="AZ30" s="8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>
        <v>7.5</v>
      </c>
      <c r="BL30" s="10"/>
      <c r="BM30" s="11">
        <f>SUM(AU30:BL30)</f>
        <v>7.5</v>
      </c>
      <c r="BN30" s="11">
        <f>(BM30-AU30)/2</f>
        <v>3.75</v>
      </c>
      <c r="BO30" s="11"/>
      <c r="BP30" s="11"/>
      <c r="BQ30" s="11">
        <v>7.5</v>
      </c>
      <c r="BR30" s="11"/>
      <c r="BS30" s="11"/>
      <c r="BT30" s="11"/>
      <c r="BU30" s="11">
        <f>SUM(BN30:BT30)</f>
        <v>11.25</v>
      </c>
      <c r="BV30" s="11">
        <f>(BU30-BN30)/2</f>
        <v>3.75</v>
      </c>
      <c r="BW30" s="11">
        <v>3</v>
      </c>
      <c r="BX30" s="11"/>
      <c r="BY30" s="11"/>
      <c r="BZ30" s="11"/>
      <c r="CA30" s="11"/>
      <c r="CB30" s="11"/>
      <c r="CC30" s="11">
        <f>SUM(BV30:CB30)</f>
        <v>6.75</v>
      </c>
      <c r="CD30" s="24"/>
      <c r="DH30" s="12">
        <f>SUM(CE30:CF30)+SUM(CU30:DG30)</f>
        <v>0</v>
      </c>
      <c r="DI30">
        <f>(DH30-CE30)/2</f>
        <v>0</v>
      </c>
      <c r="DJ30">
        <f>BM30/4</f>
        <v>1.875</v>
      </c>
      <c r="DQ30" s="12">
        <v>2.5</v>
      </c>
      <c r="DR30">
        <f>SUM(DI30:DQ30)</f>
        <v>4.375</v>
      </c>
      <c r="DS30">
        <f>(DR30-DI30)/2</f>
        <v>2.1875</v>
      </c>
      <c r="EE30" s="8">
        <f>SUM(DS30:DW30)</f>
        <v>2.1875</v>
      </c>
      <c r="EF30" s="8">
        <f>(EE30-DS30)/2</f>
        <v>0</v>
      </c>
      <c r="EG30" s="10"/>
      <c r="EH30" s="10"/>
      <c r="EI30" s="10"/>
      <c r="EJ30" s="10"/>
      <c r="EK30" s="10"/>
      <c r="EL30" s="10"/>
      <c r="EM30" s="10"/>
      <c r="EN30" s="8">
        <f>SUM(EF30:EG30)</f>
        <v>0</v>
      </c>
    </row>
    <row r="31" spans="1:144" x14ac:dyDescent="0.25">
      <c r="A31">
        <v>21</v>
      </c>
      <c r="B31" s="8" t="s">
        <v>868</v>
      </c>
      <c r="C31" s="8"/>
      <c r="D31" s="8" t="s">
        <v>207</v>
      </c>
      <c r="E31" s="8" t="s">
        <v>869</v>
      </c>
      <c r="F31" s="8"/>
      <c r="G31" s="8"/>
      <c r="H31" s="8"/>
      <c r="I31" s="10"/>
      <c r="J31" s="8"/>
      <c r="K31" s="8"/>
      <c r="L31" s="8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10"/>
      <c r="AN31" s="10"/>
      <c r="AO31" s="10"/>
      <c r="AP31" s="10"/>
      <c r="AQ31" s="10"/>
      <c r="AR31" s="10"/>
      <c r="AS31" s="10"/>
      <c r="AT31" s="8"/>
      <c r="AU31" s="8"/>
      <c r="AV31" s="8"/>
      <c r="AW31" s="8"/>
      <c r="AX31" s="8"/>
      <c r="AY31" s="8"/>
      <c r="AZ31" s="8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8"/>
      <c r="BN31" s="8"/>
      <c r="BO31" s="10"/>
      <c r="BP31" s="10"/>
      <c r="BQ31" s="10"/>
      <c r="BR31" s="10"/>
      <c r="BS31" s="10"/>
      <c r="BT31" s="10"/>
      <c r="BU31" s="8"/>
      <c r="BV31" s="8"/>
      <c r="BW31" s="10"/>
      <c r="BX31" s="10">
        <v>3.2</v>
      </c>
      <c r="BY31" s="10"/>
      <c r="BZ31" s="10"/>
      <c r="CA31" s="10"/>
      <c r="CB31" s="10"/>
      <c r="CC31" s="11">
        <f>SUM(BV31:CB31)</f>
        <v>3.2</v>
      </c>
      <c r="EE31" s="8">
        <f>SUM(DS31:DW31)</f>
        <v>0</v>
      </c>
      <c r="EF31" s="8">
        <f>(EE31-DS31)/2</f>
        <v>0</v>
      </c>
      <c r="EG31" s="10"/>
      <c r="EH31" s="10"/>
      <c r="EI31" s="10"/>
      <c r="EJ31" s="10"/>
      <c r="EK31" s="10"/>
      <c r="EL31" s="10"/>
      <c r="EM31" s="10"/>
      <c r="EN31" s="8">
        <f>SUM(EF31:EG31)</f>
        <v>0</v>
      </c>
    </row>
    <row r="32" spans="1:144" x14ac:dyDescent="0.25">
      <c r="A32">
        <v>22</v>
      </c>
      <c r="B32" s="8" t="s">
        <v>704</v>
      </c>
      <c r="C32" s="8"/>
      <c r="D32" s="8" t="s">
        <v>705</v>
      </c>
      <c r="E32" s="8" t="s">
        <v>706</v>
      </c>
      <c r="F32" s="8"/>
      <c r="G32" s="8"/>
      <c r="H32" s="8"/>
      <c r="I32" s="10"/>
      <c r="J32" s="8"/>
      <c r="K32" s="8"/>
      <c r="L32" s="8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10"/>
      <c r="AN32" s="10"/>
      <c r="AO32" s="10"/>
      <c r="AP32" s="10"/>
      <c r="AQ32" s="10"/>
      <c r="AR32" s="10"/>
      <c r="AS32" s="10"/>
      <c r="AT32" s="8"/>
      <c r="AU32" s="8"/>
      <c r="AV32" s="8"/>
      <c r="AW32" s="8"/>
      <c r="AX32" s="8"/>
      <c r="AY32" s="8"/>
      <c r="AZ32" s="8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8"/>
      <c r="BN32" s="8"/>
      <c r="BO32" s="10"/>
      <c r="BP32" s="10"/>
      <c r="BQ32" s="10">
        <v>5</v>
      </c>
      <c r="BR32" s="10"/>
      <c r="BS32" s="10"/>
      <c r="BT32" s="10"/>
      <c r="BU32" s="11">
        <f>SUM(BN32:BT32)</f>
        <v>5</v>
      </c>
      <c r="BV32" s="11">
        <f>(BU32-BN32)/2</f>
        <v>2.5</v>
      </c>
      <c r="BW32" s="11"/>
      <c r="BX32" s="11"/>
      <c r="BY32" s="11"/>
      <c r="BZ32" s="11"/>
      <c r="CA32" s="11"/>
      <c r="CB32" s="11"/>
      <c r="CC32" s="11">
        <f>SUM(BV32:CB32)</f>
        <v>2.5</v>
      </c>
      <c r="CD32" s="24"/>
      <c r="DR32">
        <f>SUM(DI32:DQ32)</f>
        <v>0</v>
      </c>
      <c r="DS32">
        <f>(DR32-DI32)/2</f>
        <v>0</v>
      </c>
      <c r="EE32" s="8">
        <f>SUM(DS32:DW32)</f>
        <v>0</v>
      </c>
      <c r="EF32" s="8">
        <f>(EE32-DS32)/2</f>
        <v>0</v>
      </c>
      <c r="EG32" s="10"/>
      <c r="EH32" s="10"/>
      <c r="EI32" s="10"/>
      <c r="EJ32" s="10"/>
      <c r="EK32" s="10"/>
      <c r="EL32" s="10"/>
      <c r="EM32" s="10"/>
      <c r="EN32" s="8">
        <f>SUM(EF32:EG32)</f>
        <v>0</v>
      </c>
    </row>
    <row r="33" spans="1:144" x14ac:dyDescent="0.25">
      <c r="A33">
        <v>23</v>
      </c>
      <c r="B33" s="8" t="s">
        <v>796</v>
      </c>
      <c r="C33" s="8"/>
      <c r="D33" s="8" t="s">
        <v>797</v>
      </c>
      <c r="E33" s="8" t="s">
        <v>306</v>
      </c>
      <c r="F33" s="8"/>
      <c r="G33" s="8"/>
      <c r="H33" s="8"/>
      <c r="I33" s="10"/>
      <c r="J33" s="8"/>
      <c r="K33" s="8"/>
      <c r="L33" s="8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10"/>
      <c r="AN33" s="10"/>
      <c r="AO33" s="10"/>
      <c r="AP33" s="10"/>
      <c r="AQ33" s="10"/>
      <c r="AR33" s="10"/>
      <c r="AS33" s="10"/>
      <c r="AT33" s="8"/>
      <c r="AU33" s="8"/>
      <c r="AV33" s="8"/>
      <c r="AW33" s="8"/>
      <c r="AX33" s="8"/>
      <c r="AY33" s="8"/>
      <c r="AZ33" s="8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8"/>
      <c r="BN33" s="8"/>
      <c r="BO33" s="10"/>
      <c r="BP33" s="10"/>
      <c r="BQ33" s="10"/>
      <c r="BR33" s="10"/>
      <c r="BS33" s="10"/>
      <c r="BT33" s="10"/>
      <c r="BU33" s="8"/>
      <c r="BV33" s="8"/>
      <c r="BW33" s="10">
        <v>2.4</v>
      </c>
      <c r="BX33" s="10"/>
      <c r="BY33" s="10"/>
      <c r="BZ33" s="10"/>
      <c r="CA33" s="10"/>
      <c r="CB33" s="10"/>
      <c r="CC33" s="11">
        <f>SUM(BV33:CB33)</f>
        <v>2.4</v>
      </c>
      <c r="EE33" s="8">
        <f>SUM(DS33:DW33)</f>
        <v>0</v>
      </c>
      <c r="EF33" s="8">
        <f>(EE33-DS33)/2</f>
        <v>0</v>
      </c>
      <c r="EG33" s="10"/>
      <c r="EH33" s="10"/>
      <c r="EI33" s="10"/>
      <c r="EJ33" s="10"/>
      <c r="EK33" s="10"/>
      <c r="EL33" s="10"/>
      <c r="EM33" s="10"/>
      <c r="EN33" s="8">
        <f>SUM(EF33:EG33)</f>
        <v>0</v>
      </c>
    </row>
    <row r="34" spans="1:144" x14ac:dyDescent="0.25">
      <c r="A34">
        <v>24</v>
      </c>
      <c r="B34" s="8" t="s">
        <v>69</v>
      </c>
      <c r="C34" s="8"/>
      <c r="D34" s="8" t="s">
        <v>22</v>
      </c>
      <c r="E34" s="8" t="s">
        <v>31</v>
      </c>
      <c r="F34" s="86"/>
      <c r="G34" s="87"/>
      <c r="H34" s="87">
        <v>36</v>
      </c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8">
        <f>SUM(F34:Y34)</f>
        <v>36</v>
      </c>
      <c r="AA34" s="88">
        <f>Z34/2</f>
        <v>18</v>
      </c>
      <c r="AB34" s="88">
        <v>36</v>
      </c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88"/>
      <c r="AS34" s="88"/>
      <c r="AT34" s="88">
        <f>SUM(AA34:AS34)</f>
        <v>54</v>
      </c>
      <c r="AU34" s="88">
        <f>(AT34-AA34)/2</f>
        <v>18</v>
      </c>
      <c r="AV34" s="88"/>
      <c r="AW34" s="88">
        <v>36</v>
      </c>
      <c r="AX34" s="88"/>
      <c r="AY34" s="88"/>
      <c r="AZ34" s="88"/>
      <c r="BA34" s="88">
        <v>50</v>
      </c>
      <c r="BB34" s="88">
        <v>3.2</v>
      </c>
      <c r="BC34" s="88"/>
      <c r="BD34" s="88"/>
      <c r="BE34" s="88"/>
      <c r="BF34" s="88"/>
      <c r="BG34" s="88"/>
      <c r="BH34" s="88"/>
      <c r="BI34" s="88"/>
      <c r="BJ34" s="88"/>
      <c r="BK34" s="88">
        <v>75</v>
      </c>
      <c r="BL34" s="88"/>
      <c r="BM34" s="88">
        <f>SUM(AU34:BL34)</f>
        <v>182.2</v>
      </c>
      <c r="BN34" s="88">
        <f>(BM34-AU34)/2</f>
        <v>82.1</v>
      </c>
      <c r="BO34" s="88"/>
      <c r="BP34" s="88">
        <v>3.2</v>
      </c>
      <c r="BQ34" s="88"/>
      <c r="BR34" s="88"/>
      <c r="BS34" s="88"/>
      <c r="BT34" s="88"/>
      <c r="BU34" s="11">
        <f>SUM(BN34:BT34)</f>
        <v>85.3</v>
      </c>
      <c r="BV34" s="11">
        <f>(BU34-BN34)/2</f>
        <v>1.6000000000000014</v>
      </c>
      <c r="BW34" s="11"/>
      <c r="BX34" s="11"/>
      <c r="BY34" s="11"/>
      <c r="BZ34" s="11"/>
      <c r="CA34" s="11"/>
      <c r="CB34" s="11"/>
      <c r="CC34" s="11">
        <f>SUM(BV34:CB34)</f>
        <v>1.6000000000000014</v>
      </c>
      <c r="CD34" s="24"/>
      <c r="CE34" s="12">
        <f>SUM(CH34:CS34)/2</f>
        <v>0.75</v>
      </c>
      <c r="CF34" s="12">
        <f>AT34/4</f>
        <v>13.5</v>
      </c>
      <c r="CG34" s="12">
        <f>Z34/2</f>
        <v>18</v>
      </c>
      <c r="CH34" s="12">
        <f>1+1*1/2</f>
        <v>1.5</v>
      </c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>
        <f>SUM(CG34:CI34)</f>
        <v>19.5</v>
      </c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>
        <f>SUM(CE34:CF34)</f>
        <v>14.25</v>
      </c>
      <c r="DI34">
        <f>(DH34-CE34)/2</f>
        <v>6.75</v>
      </c>
      <c r="DJ34">
        <f>BM34/4</f>
        <v>45.55</v>
      </c>
      <c r="DQ34" s="12">
        <v>25</v>
      </c>
      <c r="DR34">
        <f>SUM(DI34:DQ34)</f>
        <v>77.3</v>
      </c>
      <c r="DS34">
        <f>(DR34-DI34)/2</f>
        <v>35.274999999999999</v>
      </c>
      <c r="DT34" s="12">
        <v>1.5</v>
      </c>
      <c r="EE34" s="8">
        <f>SUM(DS34:DW34)</f>
        <v>36.774999999999999</v>
      </c>
      <c r="EF34" s="8">
        <f>(EE34-DS34)/2</f>
        <v>0.75</v>
      </c>
      <c r="EG34" s="10"/>
      <c r="EH34" s="10"/>
      <c r="EI34" s="10"/>
      <c r="EJ34" s="10"/>
      <c r="EK34" s="10"/>
      <c r="EL34" s="10"/>
      <c r="EM34" s="10"/>
      <c r="EN34" s="8">
        <f>SUM(EF34:EG34)</f>
        <v>0.75</v>
      </c>
    </row>
  </sheetData>
  <sortState xmlns:xlrd2="http://schemas.microsoft.com/office/spreadsheetml/2017/richdata2" ref="B11:EN34">
    <sortCondition descending="1" ref="CC11:CC34"/>
  </sortState>
  <mergeCells count="6">
    <mergeCell ref="B8:C10"/>
    <mergeCell ref="BQ9:BT9"/>
    <mergeCell ref="B1:EE1"/>
    <mergeCell ref="BY9:CB9"/>
    <mergeCell ref="D4:CC5"/>
    <mergeCell ref="CE4:EN5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abs-48</vt:lpstr>
      <vt:lpstr>abs-52</vt:lpstr>
      <vt:lpstr>abs-57</vt:lpstr>
      <vt:lpstr>abs -63</vt:lpstr>
      <vt:lpstr>abs-70</vt:lpstr>
      <vt:lpstr>abs-78</vt:lpstr>
      <vt:lpstr>abs+78</vt:lpstr>
      <vt:lpstr>abs-60</vt:lpstr>
      <vt:lpstr>abs-66</vt:lpstr>
      <vt:lpstr>abs-73</vt:lpstr>
      <vt:lpstr>abs-81</vt:lpstr>
      <vt:lpstr>abs-90</vt:lpstr>
      <vt:lpstr>abs-100</vt:lpstr>
      <vt:lpstr>abs+100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</dc:creator>
  <cp:lastModifiedBy>01fejuchile 2025</cp:lastModifiedBy>
  <cp:lastPrinted>2015-03-13T14:15:56Z</cp:lastPrinted>
  <dcterms:created xsi:type="dcterms:W3CDTF">2015-01-14T22:24:54Z</dcterms:created>
  <dcterms:modified xsi:type="dcterms:W3CDTF">2026-09-02T15:22:34Z</dcterms:modified>
</cp:coreProperties>
</file>