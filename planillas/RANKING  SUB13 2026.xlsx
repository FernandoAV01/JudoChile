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4.xml" ContentType="application/vnd.ms-excel.person+xml"/>
  <Override PartName="/xl/persons/person19.xml" ContentType="application/vnd.ms-excel.person+xml"/>
  <Override PartName="/xl/persons/person25.xml" ContentType="application/vnd.ms-excel.person+xml"/>
  <Override PartName="/xl/persons/person40.xml" ContentType="application/vnd.ms-excel.person+xml"/>
  <Override PartName="/xl/persons/person46.xml" ContentType="application/vnd.ms-excel.person+xml"/>
  <Override PartName="/xl/persons/person20.xml" ContentType="application/vnd.ms-excel.person+xml"/>
  <Override PartName="/xl/persons/person2.xml" ContentType="application/vnd.ms-excel.person+xml"/>
  <Override PartName="/xl/persons/person9.xml" ContentType="application/vnd.ms-excel.person+xml"/>
  <Override PartName="/xl/persons/person14.xml" ContentType="application/vnd.ms-excel.person+xml"/>
  <Override PartName="/xl/persons/person22.xml" ContentType="application/vnd.ms-excel.person+xml"/>
  <Override PartName="/xl/persons/person31.xml" ContentType="application/vnd.ms-excel.person+xml"/>
  <Override PartName="/xl/persons/person35.xml" ContentType="application/vnd.ms-excel.person+xml"/>
  <Override PartName="/xl/persons/person43.xml" ContentType="application/vnd.ms-excel.person+xml"/>
  <Override PartName="/xl/persons/person51.xml" ContentType="application/vnd.ms-excel.person+xml"/>
  <Override PartName="/xl/persons/person38.xml" ContentType="application/vnd.ms-excel.person+xml"/>
  <Override PartName="/xl/persons/person23.xml" ContentType="application/vnd.ms-excel.person+xml"/>
  <Override PartName="/xl/persons/person16.xml" ContentType="application/vnd.ms-excel.person+xml"/>
  <Override PartName="/xl/persons/person11.xml" ContentType="application/vnd.ms-excel.person+xml"/>
  <Override PartName="/xl/persons/person8.xml" ContentType="application/vnd.ms-excel.person+xml"/>
  <Override PartName="/xl/persons/person26.xml" ContentType="application/vnd.ms-excel.person+xml"/>
  <Override PartName="/xl/persons/person34.xml" ContentType="application/vnd.ms-excel.person+xml"/>
  <Override PartName="/xl/persons/person42.xml" ContentType="application/vnd.ms-excel.person+xml"/>
  <Override PartName="/xl/persons/person47.xml" ContentType="application/vnd.ms-excel.person+xml"/>
  <Override PartName="/xl/persons/person53.xml" ContentType="application/vnd.ms-excel.person+xml"/>
  <Override PartName="/xl/persons/person29.xml" ContentType="application/vnd.ms-excel.person+xml"/>
  <Override PartName="/xl/persons/person50.xml" ContentType="application/vnd.ms-excel.person+xml"/>
  <Override PartName="/xl/persons/person0.xml" ContentType="application/vnd.ms-excel.person+xml"/>
  <Override PartName="/xl/persons/person10.xml" ContentType="application/vnd.ms-excel.person+xml"/>
  <Override PartName="/xl/persons/person15.xml" ContentType="application/vnd.ms-excel.person+xml"/>
  <Override PartName="/xl/persons/person24.xml" ContentType="application/vnd.ms-excel.person+xml"/>
  <Override PartName="/xl/persons/person37.xml" ContentType="application/vnd.ms-excel.person+xml"/>
  <Override PartName="/xl/persons/person45.xml" ContentType="application/vnd.ms-excel.person+xml"/>
  <Override PartName="/xl/persons/person3.xml" ContentType="application/vnd.ms-excel.person+xml"/>
  <Override PartName="/xl/persons/person49.xml" ContentType="application/vnd.ms-excel.person+xml"/>
  <Override PartName="/xl/persons/person41.xml" ContentType="application/vnd.ms-excel.person+xml"/>
  <Override PartName="/xl/persons/person33.xml" ContentType="application/vnd.ms-excel.person+xml"/>
  <Override PartName="/xl/persons/person18.xml" ContentType="application/vnd.ms-excel.person+xml"/>
  <Override PartName="/xl/persons/person36.xml" ContentType="application/vnd.ms-excel.person+xml"/>
  <Override PartName="/xl/persons/person1.xml" ContentType="application/vnd.ms-excel.person+xml"/>
  <Override PartName="/xl/persons/person5.xml" ContentType="application/vnd.ms-excel.person+xml"/>
  <Override PartName="/xl/persons/person13.xml" ContentType="application/vnd.ms-excel.person+xml"/>
  <Override PartName="/xl/persons/person27.xml" ContentType="application/vnd.ms-excel.person+xml"/>
  <Override PartName="/xl/persons/person.xml" ContentType="application/vnd.ms-excel.person+xml"/>
  <Override PartName="/xl/persons/person52.xml" ContentType="application/vnd.ms-excel.person+xml"/>
  <Override PartName="/xl/persons/person44.xml" ContentType="application/vnd.ms-excel.person+xml"/>
  <Override PartName="/xl/persons/person39.xml" ContentType="application/vnd.ms-excel.person+xml"/>
  <Override PartName="/xl/persons/person7.xml" ContentType="application/vnd.ms-excel.person+xml"/>
  <Override PartName="/xl/persons/person21.xml" ContentType="application/vnd.ms-excel.person+xml"/>
  <Override PartName="/xl/persons/person30.xml" ContentType="application/vnd.ms-excel.person+xml"/>
  <Override PartName="/xl/persons/person17.xml" ContentType="application/vnd.ms-excel.person+xml"/>
  <Override PartName="/xl/persons/person54.xml" ContentType="application/vnd.ms-excel.person+xml"/>
  <Override PartName="/xl/persons/person12.xml" ContentType="application/vnd.ms-excel.person+xml"/>
  <Override PartName="/xl/persons/person28.xml" ContentType="application/vnd.ms-excel.person+xml"/>
  <Override PartName="/xl/persons/person32.xml" ContentType="application/vnd.ms-excel.person+xml"/>
  <Override PartName="/xl/persons/person48.xml" ContentType="application/vnd.ms-excel.person+xml"/>
  <Override PartName="/xl/persons/person6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juc\Desktop\jo\2026\RANKING\"/>
    </mc:Choice>
  </mc:AlternateContent>
  <xr:revisionPtr revIDLastSave="0" documentId="13_ncr:1_{1E6FFD23-7534-4490-90DC-2ED5019CE523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-32" sheetId="29" r:id="rId1"/>
    <sheet name="-36" sheetId="28" r:id="rId2"/>
    <sheet name="-40" sheetId="1" r:id="rId3"/>
    <sheet name="-44" sheetId="16" r:id="rId4"/>
    <sheet name="-48" sheetId="17" r:id="rId5"/>
    <sheet name="-52" sheetId="18" r:id="rId6"/>
    <sheet name="-57" sheetId="19" r:id="rId7"/>
    <sheet name="-63" sheetId="35" r:id="rId8"/>
    <sheet name="+63" sheetId="34" r:id="rId9"/>
    <sheet name="-35M" sheetId="32" r:id="rId10"/>
    <sheet name="-40M" sheetId="30" r:id="rId11"/>
    <sheet name="-45M" sheetId="31" r:id="rId12"/>
    <sheet name="-50M" sheetId="27" r:id="rId13"/>
    <sheet name="-55M" sheetId="22" r:id="rId14"/>
    <sheet name="-60M" sheetId="23" r:id="rId15"/>
    <sheet name="-66M" sheetId="24" r:id="rId16"/>
    <sheet name="-73M" sheetId="36" r:id="rId17"/>
    <sheet name="+73M" sheetId="25" r:id="rId18"/>
  </sheets>
  <calcPr calcId="191029"/>
</workbook>
</file>

<file path=xl/calcChain.xml><?xml version="1.0" encoding="utf-8"?>
<calcChain xmlns="http://schemas.openxmlformats.org/spreadsheetml/2006/main">
  <c r="CS23" i="19" l="1"/>
  <c r="CF26" i="27"/>
  <c r="CS20" i="35"/>
  <c r="BV20" i="1"/>
  <c r="CP18" i="22"/>
  <c r="CP23" i="22"/>
  <c r="CP36" i="22"/>
  <c r="CF35" i="27"/>
  <c r="BV32" i="31"/>
  <c r="AM25" i="32"/>
  <c r="CH20" i="23"/>
  <c r="BH32" i="30"/>
  <c r="CJ26" i="16"/>
  <c r="BV29" i="31"/>
  <c r="AM20" i="32"/>
  <c r="CL18" i="17"/>
  <c r="CL28" i="17"/>
  <c r="AM24" i="32"/>
  <c r="BA17" i="28"/>
  <c r="BV27" i="31"/>
  <c r="CJ23" i="16"/>
  <c r="BA12" i="28"/>
  <c r="BA14" i="28"/>
  <c r="BA13" i="28"/>
  <c r="BA15" i="28"/>
  <c r="BA16" i="28"/>
  <c r="BA18" i="28"/>
  <c r="BA20" i="28"/>
  <c r="BA22" i="28"/>
  <c r="BA23" i="28"/>
  <c r="CS22" i="19"/>
  <c r="BH31" i="30" l="1"/>
  <c r="BH36" i="30"/>
  <c r="BH39" i="30"/>
  <c r="BH40" i="30"/>
  <c r="BH37" i="30"/>
  <c r="BH26" i="30"/>
  <c r="BV17" i="1"/>
  <c r="CJ21" i="16"/>
  <c r="CJ31" i="16"/>
  <c r="CF20" i="27" l="1"/>
  <c r="CF25" i="27"/>
  <c r="CI28" i="18"/>
  <c r="CS19" i="19"/>
  <c r="CI27" i="18"/>
  <c r="CL14" i="17"/>
  <c r="CL21" i="17"/>
  <c r="CJ32" i="16"/>
  <c r="CJ33" i="16"/>
  <c r="CP17" i="22"/>
  <c r="CP35" i="22"/>
  <c r="BV16" i="31"/>
  <c r="BH34" i="30"/>
  <c r="BH24" i="30"/>
  <c r="AM22" i="32"/>
  <c r="AS13" i="29"/>
  <c r="CL16" i="17"/>
  <c r="CJ35" i="16"/>
  <c r="DA15" i="25"/>
  <c r="CP34" i="22"/>
  <c r="CF23" i="27"/>
  <c r="BV26" i="31"/>
  <c r="AM16" i="32"/>
  <c r="BV23" i="1"/>
  <c r="CJ24" i="16"/>
  <c r="CJ34" i="16"/>
  <c r="CP12" i="22"/>
  <c r="CP19" i="22"/>
  <c r="CP33" i="22"/>
  <c r="CF29" i="27"/>
  <c r="CF32" i="27"/>
  <c r="CF33" i="27"/>
  <c r="BV35" i="31"/>
  <c r="BV24" i="31"/>
  <c r="BV33" i="31"/>
  <c r="BV31" i="31"/>
  <c r="BH30" i="30"/>
  <c r="BH23" i="30"/>
  <c r="AM23" i="32"/>
  <c r="CS18" i="19"/>
  <c r="CI17" i="18"/>
  <c r="CB13" i="18"/>
  <c r="CH19" i="23"/>
  <c r="CI29" i="18"/>
  <c r="CP13" i="22"/>
  <c r="CM11" i="24"/>
  <c r="CM12" i="36"/>
  <c r="CJ17" i="16"/>
  <c r="CP11" i="22"/>
  <c r="CP28" i="22"/>
  <c r="CF21" i="27"/>
  <c r="BV20" i="31"/>
  <c r="BH29" i="30"/>
  <c r="BH27" i="30"/>
  <c r="AM13" i="32"/>
  <c r="BV19" i="1"/>
  <c r="CP26" i="22"/>
  <c r="BH15" i="30"/>
  <c r="CH11" i="23" l="1"/>
  <c r="CH18" i="23"/>
  <c r="CP22" i="22"/>
  <c r="CF18" i="27"/>
  <c r="BV13" i="31"/>
  <c r="BH13" i="30"/>
  <c r="BH11" i="30"/>
  <c r="BH16" i="30"/>
  <c r="BH28" i="30"/>
  <c r="AM18" i="32"/>
  <c r="AM19" i="32"/>
  <c r="AM14" i="32"/>
  <c r="AM11" i="32"/>
  <c r="CS20" i="19"/>
  <c r="CI14" i="18"/>
  <c r="CL12" i="17"/>
  <c r="BV18" i="1"/>
  <c r="BA12" i="30"/>
  <c r="BY15" i="27"/>
  <c r="BV11" i="31" l="1"/>
  <c r="BH12" i="30"/>
  <c r="AS11" i="29"/>
  <c r="BH18" i="30"/>
  <c r="CI23" i="18"/>
  <c r="CL22" i="17"/>
  <c r="CP21" i="22"/>
  <c r="CF17" i="27"/>
  <c r="CH13" i="23"/>
  <c r="BV25" i="31"/>
  <c r="BH14" i="30"/>
  <c r="CS21" i="19"/>
  <c r="BV13" i="1"/>
  <c r="CF16" i="27"/>
  <c r="CS15" i="19"/>
  <c r="CI13" i="18"/>
  <c r="CL23" i="17"/>
  <c r="CF13" i="27"/>
  <c r="BV28" i="31"/>
  <c r="BH21" i="30"/>
  <c r="CS16" i="19"/>
  <c r="CS13" i="19"/>
  <c r="CS24" i="19"/>
  <c r="BV11" i="1"/>
  <c r="BV24" i="1"/>
  <c r="CM11" i="36"/>
  <c r="CF12" i="27"/>
  <c r="CF14" i="27"/>
  <c r="CF36" i="27"/>
  <c r="BV12" i="31"/>
  <c r="BV14" i="31"/>
  <c r="BV15" i="31"/>
  <c r="BH25" i="30"/>
  <c r="BH35" i="30"/>
  <c r="CH12" i="23"/>
  <c r="CJ12" i="16"/>
  <c r="CF15" i="27"/>
  <c r="BV17" i="31"/>
  <c r="CJ36" i="16"/>
  <c r="DA19" i="25"/>
  <c r="BY11" i="27"/>
  <c r="CF11" i="27" s="1"/>
  <c r="BH19" i="30"/>
  <c r="AM15" i="32"/>
  <c r="CI22" i="18"/>
  <c r="CL15" i="17"/>
  <c r="BV12" i="1"/>
  <c r="CS19" i="34"/>
  <c r="CS18" i="34"/>
  <c r="CS16" i="34"/>
  <c r="CS17" i="34"/>
  <c r="CS15" i="34"/>
  <c r="CS12" i="34"/>
  <c r="CS13" i="34"/>
  <c r="CS11" i="34"/>
  <c r="CS14" i="34"/>
  <c r="CS14" i="35"/>
  <c r="CS13" i="35"/>
  <c r="CS16" i="35"/>
  <c r="CS17" i="35"/>
  <c r="CS12" i="35"/>
  <c r="CS19" i="35"/>
  <c r="CS15" i="35"/>
  <c r="CS18" i="35"/>
  <c r="CS11" i="35"/>
  <c r="CA20" i="18" l="1"/>
  <c r="CB20" i="18" s="1"/>
  <c r="CI20" i="18" s="1"/>
  <c r="AZ38" i="30"/>
  <c r="BA38" i="30" s="1"/>
  <c r="BH38" i="30" s="1"/>
  <c r="BX31" i="27"/>
  <c r="BY31" i="27" s="1"/>
  <c r="CF31" i="27" s="1"/>
  <c r="CA18" i="18" l="1"/>
  <c r="CB18" i="18" s="1"/>
  <c r="CI18" i="18" s="1"/>
  <c r="CE22" i="24"/>
  <c r="CF22" i="24" s="1"/>
  <c r="CM22" i="24" s="1"/>
  <c r="BZ17" i="23"/>
  <c r="CA17" i="23" s="1"/>
  <c r="CH17" i="23" s="1"/>
  <c r="CH31" i="22"/>
  <c r="CI31" i="22" s="1"/>
  <c r="CP31" i="22" s="1"/>
  <c r="BN36" i="31"/>
  <c r="BO36" i="31" s="1"/>
  <c r="BV36" i="31" s="1"/>
  <c r="BX28" i="27"/>
  <c r="BY28" i="27" s="1"/>
  <c r="CF28" i="27" s="1"/>
  <c r="CK25" i="19"/>
  <c r="CL25" i="19" s="1"/>
  <c r="CS25" i="19" s="1"/>
  <c r="CI16" i="18"/>
  <c r="CD25" i="17"/>
  <c r="CE25" i="17" s="1"/>
  <c r="CL25" i="17" s="1"/>
  <c r="CH37" i="22"/>
  <c r="CI37" i="22" s="1"/>
  <c r="CP37" i="22" s="1"/>
  <c r="BX19" i="27"/>
  <c r="BY19" i="27" s="1"/>
  <c r="CF19" i="27" s="1"/>
  <c r="AZ41" i="30"/>
  <c r="BA41" i="30" s="1"/>
  <c r="BH41" i="30" s="1"/>
  <c r="CA19" i="18"/>
  <c r="CB19" i="18" s="1"/>
  <c r="CI19" i="18" s="1"/>
  <c r="CA21" i="18"/>
  <c r="CB21" i="18" s="1"/>
  <c r="CI21" i="18" s="1"/>
  <c r="CB13" i="16"/>
  <c r="CC13" i="16" s="1"/>
  <c r="CJ13" i="16" s="1"/>
  <c r="AZ22" i="30"/>
  <c r="BA22" i="30" s="1"/>
  <c r="BH22" i="30" s="1"/>
  <c r="BX27" i="27"/>
  <c r="BY27" i="27" s="1"/>
  <c r="CF27" i="27" s="1"/>
  <c r="CA25" i="18" l="1"/>
  <c r="CB25" i="18" s="1"/>
  <c r="CI25" i="18" s="1"/>
  <c r="CH20" i="22" l="1"/>
  <c r="CI20" i="22" s="1"/>
  <c r="CP20" i="22" s="1"/>
  <c r="CE21" i="24"/>
  <c r="CF21" i="24" s="1"/>
  <c r="CM21" i="24" s="1"/>
  <c r="CH38" i="22"/>
  <c r="CI38" i="22" s="1"/>
  <c r="CP38" i="22" s="1"/>
  <c r="CK26" i="19"/>
  <c r="CL26" i="19" s="1"/>
  <c r="CS26" i="19" s="1"/>
  <c r="CK30" i="19"/>
  <c r="CL30" i="19" s="1"/>
  <c r="CS30" i="19" s="1"/>
  <c r="CD26" i="17" l="1"/>
  <c r="CE26" i="17" s="1"/>
  <c r="CL26" i="17" s="1"/>
  <c r="BN16" i="1"/>
  <c r="BO16" i="1" s="1"/>
  <c r="BV16" i="1" s="1"/>
  <c r="CE20" i="24"/>
  <c r="CF20" i="24" s="1"/>
  <c r="CM20" i="24" s="1"/>
  <c r="CA12" i="18"/>
  <c r="CB12" i="18" s="1"/>
  <c r="CI12" i="18" s="1"/>
  <c r="CE19" i="24"/>
  <c r="CF19" i="24" s="1"/>
  <c r="CM19" i="24" s="1"/>
  <c r="CE15" i="24"/>
  <c r="CF15" i="24" s="1"/>
  <c r="CM15" i="24" s="1"/>
  <c r="BZ24" i="23"/>
  <c r="CA24" i="23" s="1"/>
  <c r="CH24" i="23" s="1"/>
  <c r="CH30" i="22"/>
  <c r="CI30" i="22" s="1"/>
  <c r="CP30" i="22" s="1"/>
  <c r="CH24" i="22"/>
  <c r="CI24" i="22" s="1"/>
  <c r="CP24" i="22" s="1"/>
  <c r="AZ20" i="30"/>
  <c r="BA20" i="30" s="1"/>
  <c r="BH20" i="30" s="1"/>
  <c r="AE21" i="32"/>
  <c r="AF21" i="32" s="1"/>
  <c r="AM21" i="32" s="1"/>
  <c r="CB20" i="16" l="1"/>
  <c r="CC20" i="16" s="1"/>
  <c r="CJ20" i="16" s="1"/>
  <c r="CB22" i="16"/>
  <c r="CC22" i="16" s="1"/>
  <c r="CJ22" i="16" s="1"/>
  <c r="CB37" i="16"/>
  <c r="CC37" i="16" s="1"/>
  <c r="CJ37" i="16" s="1"/>
  <c r="CE23" i="24"/>
  <c r="CF23" i="24" s="1"/>
  <c r="CM23" i="24" s="1"/>
  <c r="CH16" i="22"/>
  <c r="CI16" i="22" s="1"/>
  <c r="CP16" i="22" s="1"/>
  <c r="CB25" i="16"/>
  <c r="CC25" i="16" s="1"/>
  <c r="CJ25" i="16" s="1"/>
  <c r="CB28" i="16"/>
  <c r="CC28" i="16" s="1"/>
  <c r="CJ28" i="16" s="1"/>
  <c r="BN14" i="1"/>
  <c r="BO14" i="1" s="1"/>
  <c r="BV14" i="1" s="1"/>
  <c r="AS11" i="28"/>
  <c r="AT11" i="28" s="1"/>
  <c r="BA11" i="28" s="1"/>
  <c r="AS21" i="28"/>
  <c r="AT21" i="28" s="1"/>
  <c r="BA21" i="28" s="1"/>
  <c r="AK12" i="29"/>
  <c r="AL12" i="29" s="1"/>
  <c r="AS12" i="29" s="1"/>
  <c r="CS18" i="25"/>
  <c r="CT18" i="25" s="1"/>
  <c r="DA18" i="25" s="1"/>
  <c r="BZ23" i="23"/>
  <c r="CA23" i="23" s="1"/>
  <c r="CH23" i="23" s="1"/>
  <c r="BX34" i="27"/>
  <c r="BY34" i="27" s="1"/>
  <c r="CF34" i="27" s="1"/>
  <c r="BX37" i="27"/>
  <c r="BY37" i="27" s="1"/>
  <c r="CF37" i="27" s="1"/>
  <c r="BX38" i="27"/>
  <c r="BY38" i="27" s="1"/>
  <c r="CF38" i="27" s="1"/>
  <c r="BN30" i="31"/>
  <c r="BO30" i="31" s="1"/>
  <c r="BV30" i="31" s="1"/>
  <c r="AS19" i="28"/>
  <c r="AT19" i="28" s="1"/>
  <c r="BA19" i="28" s="1"/>
  <c r="CK27" i="19"/>
  <c r="CL27" i="19" s="1"/>
  <c r="CS27" i="19" s="1"/>
  <c r="CA15" i="18"/>
  <c r="CB15" i="18" s="1"/>
  <c r="CI15" i="18" s="1"/>
  <c r="CA26" i="18"/>
  <c r="CB26" i="18" s="1"/>
  <c r="CI26" i="18" s="1"/>
  <c r="CB18" i="16"/>
  <c r="CC18" i="16" s="1"/>
  <c r="CJ18" i="16" s="1"/>
  <c r="CB14" i="16"/>
  <c r="CC14" i="16" s="1"/>
  <c r="CJ14" i="16" s="1"/>
  <c r="CB11" i="16"/>
  <c r="CC11" i="16" s="1"/>
  <c r="CJ11" i="16" s="1"/>
  <c r="CB27" i="16"/>
  <c r="CC27" i="16" s="1"/>
  <c r="CJ27" i="16" s="1"/>
  <c r="CB29" i="16"/>
  <c r="CC29" i="16" s="1"/>
  <c r="CJ29" i="16" s="1"/>
  <c r="CB16" i="16"/>
  <c r="CC16" i="16" s="1"/>
  <c r="CJ16" i="16" s="1"/>
  <c r="CB15" i="16"/>
  <c r="CC15" i="16" s="1"/>
  <c r="CJ15" i="16" s="1"/>
  <c r="CS12" i="25"/>
  <c r="CT12" i="25" s="1"/>
  <c r="DA12" i="25" s="1"/>
  <c r="CE16" i="24"/>
  <c r="CF16" i="24" s="1"/>
  <c r="CM16" i="24" s="1"/>
  <c r="BZ21" i="23"/>
  <c r="CA21" i="23" s="1"/>
  <c r="CH21" i="23" s="1"/>
  <c r="BZ25" i="23"/>
  <c r="CA25" i="23" s="1"/>
  <c r="CH25" i="23" s="1"/>
  <c r="CH27" i="22"/>
  <c r="CI27" i="22" s="1"/>
  <c r="CP27" i="22" s="1"/>
  <c r="BX24" i="27"/>
  <c r="BY24" i="27" s="1"/>
  <c r="CF24" i="27" s="1"/>
  <c r="AZ17" i="30"/>
  <c r="BA17" i="30" s="1"/>
  <c r="BH17" i="30" s="1"/>
  <c r="AZ33" i="30"/>
  <c r="BA33" i="30" s="1"/>
  <c r="BH33" i="30" s="1"/>
  <c r="AE17" i="32"/>
  <c r="AF17" i="32" s="1"/>
  <c r="AM17" i="32" s="1"/>
  <c r="CS24" i="25"/>
  <c r="CT24" i="25" s="1"/>
  <c r="DA24" i="25" s="1"/>
  <c r="CK17" i="19"/>
  <c r="CL17" i="19" s="1"/>
  <c r="CS17" i="19" s="1"/>
  <c r="CK14" i="19"/>
  <c r="CL14" i="19" s="1"/>
  <c r="CS14" i="19" s="1"/>
  <c r="CK29" i="19"/>
  <c r="CL29" i="19" s="1"/>
  <c r="CS29" i="19" s="1"/>
  <c r="CK11" i="19"/>
  <c r="CL11" i="19" s="1"/>
  <c r="CS11" i="19" s="1"/>
  <c r="CK28" i="19"/>
  <c r="CL28" i="19" s="1"/>
  <c r="CS28" i="19" s="1"/>
  <c r="CA11" i="18"/>
  <c r="CB11" i="18" s="1"/>
  <c r="CI11" i="18" s="1"/>
  <c r="CA24" i="18"/>
  <c r="CB24" i="18" s="1"/>
  <c r="CI24" i="18" s="1"/>
  <c r="CD24" i="17"/>
  <c r="CE24" i="17" s="1"/>
  <c r="CL24" i="17" s="1"/>
  <c r="CD11" i="17"/>
  <c r="CE11" i="17" s="1"/>
  <c r="CL11" i="17" s="1"/>
  <c r="CS21" i="25"/>
  <c r="CT21" i="25" s="1"/>
  <c r="DA21" i="25" s="1"/>
  <c r="CS23" i="25"/>
  <c r="CT23" i="25" s="1"/>
  <c r="DA23" i="25" s="1"/>
  <c r="CE18" i="24"/>
  <c r="CF18" i="24" s="1"/>
  <c r="CM18" i="24" s="1"/>
  <c r="CE14" i="24"/>
  <c r="CF14" i="24" s="1"/>
  <c r="CM14" i="24" s="1"/>
  <c r="CH14" i="22"/>
  <c r="CI14" i="22" s="1"/>
  <c r="CP14" i="22" s="1"/>
  <c r="CH25" i="22"/>
  <c r="CI25" i="22" s="1"/>
  <c r="CP25" i="22" s="1"/>
  <c r="CH15" i="22"/>
  <c r="CI15" i="22" s="1"/>
  <c r="CP15" i="22" s="1"/>
  <c r="CH29" i="22"/>
  <c r="CI29" i="22" s="1"/>
  <c r="CP29" i="22" s="1"/>
  <c r="CH32" i="22"/>
  <c r="CI32" i="22" s="1"/>
  <c r="CP32" i="22" s="1"/>
  <c r="BX22" i="27"/>
  <c r="BY22" i="27" s="1"/>
  <c r="CF22" i="27" s="1"/>
  <c r="CD17" i="17"/>
  <c r="CE17" i="17" s="1"/>
  <c r="CL17" i="17" s="1"/>
  <c r="BZ16" i="23" l="1"/>
  <c r="CA16" i="23" s="1"/>
  <c r="CH16" i="23" s="1"/>
  <c r="BN22" i="1"/>
  <c r="BO22" i="1" s="1"/>
  <c r="BV22" i="1" s="1"/>
  <c r="BZ14" i="23"/>
  <c r="CA14" i="23" s="1"/>
  <c r="CH14" i="23" s="1"/>
  <c r="BN21" i="31"/>
  <c r="BO21" i="31" s="1"/>
  <c r="BV21" i="31" s="1"/>
  <c r="BN37" i="31"/>
  <c r="BO37" i="31" s="1"/>
  <c r="BV37" i="31" s="1"/>
  <c r="BN22" i="31"/>
  <c r="BO22" i="31" s="1"/>
  <c r="BV22" i="31" s="1"/>
  <c r="CD27" i="17"/>
  <c r="CE27" i="17" s="1"/>
  <c r="CL27" i="17" s="1"/>
  <c r="BZ15" i="23"/>
  <c r="CA15" i="23" s="1"/>
  <c r="CH15" i="23" s="1"/>
  <c r="BZ22" i="23"/>
  <c r="CA22" i="23" s="1"/>
  <c r="CH22" i="23" s="1"/>
  <c r="BZ26" i="23"/>
  <c r="CA26" i="23" s="1"/>
  <c r="CH26" i="23" s="1"/>
  <c r="CS22" i="25"/>
  <c r="CT22" i="25" s="1"/>
  <c r="DA22" i="25" s="1"/>
  <c r="CS14" i="25"/>
  <c r="CT14" i="25" s="1"/>
  <c r="DA14" i="25" s="1"/>
  <c r="CS20" i="25"/>
  <c r="CT20" i="25" s="1"/>
  <c r="DA20" i="25" s="1"/>
  <c r="CS25" i="25"/>
  <c r="CT25" i="25" s="1"/>
  <c r="DA25" i="25" s="1"/>
  <c r="CS17" i="25"/>
  <c r="CT17" i="25" s="1"/>
  <c r="DA17" i="25" s="1"/>
  <c r="CE13" i="24"/>
  <c r="CF13" i="24" s="1"/>
  <c r="CM13" i="24" s="1"/>
  <c r="BN21" i="1"/>
  <c r="BO21" i="1" s="1"/>
  <c r="BV21" i="1" s="1"/>
  <c r="DA11" i="25"/>
  <c r="CD20" i="17"/>
  <c r="CE20" i="17" s="1"/>
  <c r="CL20" i="17" s="1"/>
  <c r="CD19" i="17"/>
  <c r="CE19" i="17" s="1"/>
  <c r="CL19" i="17" s="1"/>
  <c r="CD13" i="17"/>
  <c r="CE13" i="17" s="1"/>
  <c r="CL13" i="17" s="1"/>
  <c r="CD29" i="17"/>
  <c r="CE29" i="17" s="1"/>
  <c r="CL29" i="17" s="1"/>
  <c r="CE24" i="24"/>
  <c r="CF24" i="24" s="1"/>
  <c r="CM24" i="24" s="1"/>
  <c r="CE25" i="24"/>
  <c r="CF25" i="24" s="1"/>
  <c r="CM25" i="24" s="1"/>
  <c r="BN15" i="1"/>
  <c r="BO15" i="1" s="1"/>
  <c r="BV15" i="1" s="1"/>
  <c r="AE12" i="32"/>
  <c r="AF12" i="32" s="1"/>
  <c r="AM12" i="32" s="1"/>
  <c r="CS16" i="25"/>
  <c r="CT16" i="25" s="1"/>
  <c r="DA16" i="25" s="1"/>
  <c r="CC12" i="19" l="1"/>
  <c r="CD12" i="19" s="1"/>
  <c r="CK12" i="19" s="1"/>
  <c r="CL12" i="19" s="1"/>
  <c r="CS12" i="19" s="1"/>
  <c r="BT30" i="16"/>
  <c r="BU30" i="16" s="1"/>
  <c r="CB30" i="16" s="1"/>
  <c r="CC30" i="16" s="1"/>
  <c r="CJ30" i="16" s="1"/>
  <c r="BT38" i="16"/>
  <c r="BU38" i="16" s="1"/>
  <c r="CB38" i="16" s="1"/>
  <c r="CC38" i="16" s="1"/>
  <c r="CJ38" i="16" s="1"/>
  <c r="BT19" i="16"/>
  <c r="BU19" i="16" s="1"/>
  <c r="CB19" i="16" s="1"/>
  <c r="CC19" i="16" s="1"/>
  <c r="CJ19" i="16" s="1"/>
  <c r="CK13" i="25"/>
  <c r="CL13" i="25" s="1"/>
  <c r="CS13" i="25" s="1"/>
  <c r="CT13" i="25" s="1"/>
  <c r="DA13" i="25" s="1"/>
  <c r="CK26" i="25"/>
  <c r="CL26" i="25" s="1"/>
  <c r="CS26" i="25" s="1"/>
  <c r="CT26" i="25" s="1"/>
  <c r="DA26" i="25" s="1"/>
  <c r="CK27" i="25"/>
  <c r="CL27" i="25" s="1"/>
  <c r="CS27" i="25" s="1"/>
  <c r="CT27" i="25" s="1"/>
  <c r="DA27" i="25" s="1"/>
  <c r="BW17" i="24"/>
  <c r="BX17" i="24" s="1"/>
  <c r="CE17" i="24" s="1"/>
  <c r="CF17" i="24" s="1"/>
  <c r="CM17" i="24" s="1"/>
  <c r="BW12" i="24"/>
  <c r="BX12" i="24" s="1"/>
  <c r="CE12" i="24" s="1"/>
  <c r="CF12" i="24" s="1"/>
  <c r="CM12" i="24" s="1"/>
  <c r="BP30" i="27"/>
  <c r="BQ30" i="27" s="1"/>
  <c r="BX30" i="27" s="1"/>
  <c r="BY30" i="27" s="1"/>
  <c r="CF30" i="27" s="1"/>
  <c r="BF19" i="31"/>
  <c r="BG19" i="31" s="1"/>
  <c r="BN19" i="31" s="1"/>
  <c r="BO19" i="31" s="1"/>
  <c r="BV19" i="31" s="1"/>
  <c r="BF34" i="31"/>
  <c r="BG34" i="31" s="1"/>
  <c r="BN34" i="31" s="1"/>
  <c r="BO34" i="31" s="1"/>
  <c r="BV34" i="31" s="1"/>
  <c r="BF18" i="31"/>
  <c r="BG18" i="31" s="1"/>
  <c r="BN18" i="31" s="1"/>
  <c r="BO18" i="31" s="1"/>
  <c r="BV18" i="31" s="1"/>
  <c r="BF23" i="31"/>
  <c r="BG23" i="31" s="1"/>
  <c r="BN23" i="31" s="1"/>
  <c r="BO23" i="31" s="1"/>
  <c r="BV23" i="31" s="1"/>
</calcChain>
</file>

<file path=xl/sharedStrings.xml><?xml version="1.0" encoding="utf-8"?>
<sst xmlns="http://schemas.openxmlformats.org/spreadsheetml/2006/main" count="3953" uniqueCount="554">
  <si>
    <t>CATEG.</t>
  </si>
  <si>
    <t>SEXO</t>
  </si>
  <si>
    <t>PESO</t>
  </si>
  <si>
    <t>FEDERACION DE JUDO DE CHILE</t>
  </si>
  <si>
    <t>NOMBRE</t>
  </si>
  <si>
    <t>CLUB</t>
  </si>
  <si>
    <t>TOTAL</t>
  </si>
  <si>
    <t>F</t>
  </si>
  <si>
    <t>APELLIDOS</t>
  </si>
  <si>
    <t>RE</t>
  </si>
  <si>
    <t>XII</t>
  </si>
  <si>
    <t>M</t>
  </si>
  <si>
    <t>PUDETO</t>
  </si>
  <si>
    <t>SUB 13</t>
  </si>
  <si>
    <t>MATIAS</t>
  </si>
  <si>
    <t>VICTORIA</t>
  </si>
  <si>
    <t>NAC</t>
  </si>
  <si>
    <t>CARAB ARICA</t>
  </si>
  <si>
    <t>XV</t>
  </si>
  <si>
    <t>GONZALEZ</t>
  </si>
  <si>
    <t>EMILIO</t>
  </si>
  <si>
    <t>HERRERA</t>
  </si>
  <si>
    <t>I</t>
  </si>
  <si>
    <t>NAGASAKI</t>
  </si>
  <si>
    <t>DRAGON</t>
  </si>
  <si>
    <t>SHIHAN</t>
  </si>
  <si>
    <t>HIROSHIMA</t>
  </si>
  <si>
    <t>MAHO</t>
  </si>
  <si>
    <t>AGUILAR</t>
  </si>
  <si>
    <t>BENJAMIN</t>
  </si>
  <si>
    <t>IX</t>
  </si>
  <si>
    <t>FRANCISCA</t>
  </si>
  <si>
    <t>MELLA</t>
  </si>
  <si>
    <t>NA CC</t>
  </si>
  <si>
    <t>STGO</t>
  </si>
  <si>
    <t>CALDERON</t>
  </si>
  <si>
    <t>FUKUOKA</t>
  </si>
  <si>
    <t>PUDAHUEL</t>
  </si>
  <si>
    <t>ANTONIA</t>
  </si>
  <si>
    <t>ZENRYOKU</t>
  </si>
  <si>
    <t>TORRES</t>
  </si>
  <si>
    <t>SHIRU</t>
  </si>
  <si>
    <t>REYES</t>
  </si>
  <si>
    <t>COLLADO</t>
  </si>
  <si>
    <t>ROJAS</t>
  </si>
  <si>
    <t>RODRIGUEZ</t>
  </si>
  <si>
    <t>PANGUI</t>
  </si>
  <si>
    <t>AGUSTIN</t>
  </si>
  <si>
    <t>MUÑOZ</t>
  </si>
  <si>
    <t>MARTIN</t>
  </si>
  <si>
    <t>SAN MARTIN</t>
  </si>
  <si>
    <t>IGNACIO</t>
  </si>
  <si>
    <t>SOTO</t>
  </si>
  <si>
    <t>FRANCO</t>
  </si>
  <si>
    <t>FLORES</t>
  </si>
  <si>
    <t>NA ZS</t>
  </si>
  <si>
    <t>PAN</t>
  </si>
  <si>
    <t>KOSAI</t>
  </si>
  <si>
    <t>VICENTE</t>
  </si>
  <si>
    <t>SEISHIN</t>
  </si>
  <si>
    <t>ARAYA</t>
  </si>
  <si>
    <t>V</t>
  </si>
  <si>
    <t>BANZAI</t>
  </si>
  <si>
    <t>VALENTINA</t>
  </si>
  <si>
    <t>CONSTANZA</t>
  </si>
  <si>
    <t>III-IV</t>
  </si>
  <si>
    <t>FUENTEVILLA</t>
  </si>
  <si>
    <t>KAZOKU JC</t>
  </si>
  <si>
    <t>FUJIYAMA</t>
  </si>
  <si>
    <t>ALFARO</t>
  </si>
  <si>
    <t>II</t>
  </si>
  <si>
    <t>RAMOS</t>
  </si>
  <si>
    <t>ZC</t>
  </si>
  <si>
    <t>KODOMOTACHI</t>
  </si>
  <si>
    <t>JOAQUIN</t>
  </si>
  <si>
    <t>VIÑA</t>
  </si>
  <si>
    <t>ZS</t>
  </si>
  <si>
    <t>SJM</t>
  </si>
  <si>
    <t>RIO CRUCES</t>
  </si>
  <si>
    <t>ARUKI KATA</t>
  </si>
  <si>
    <t>ZN</t>
  </si>
  <si>
    <t>IQQ</t>
  </si>
  <si>
    <t>BASTIAN</t>
  </si>
  <si>
    <t>JUAN</t>
  </si>
  <si>
    <t>NA ZC</t>
  </si>
  <si>
    <t>XIV</t>
  </si>
  <si>
    <t>SAEZ</t>
  </si>
  <si>
    <t>KOBAYASHI</t>
  </si>
  <si>
    <t>GABRIEL</t>
  </si>
  <si>
    <t>XIII</t>
  </si>
  <si>
    <t>MARIN</t>
  </si>
  <si>
    <t>ISIDORA</t>
  </si>
  <si>
    <t>ATARI</t>
  </si>
  <si>
    <t>MATEO</t>
  </si>
  <si>
    <t>VIII</t>
  </si>
  <si>
    <t>IRIGOYEN</t>
  </si>
  <si>
    <t>NA ZN</t>
  </si>
  <si>
    <t>AH</t>
  </si>
  <si>
    <t>OLIVARES</t>
  </si>
  <si>
    <t>GAJARDO</t>
  </si>
  <si>
    <t>SU</t>
  </si>
  <si>
    <t>ARG</t>
  </si>
  <si>
    <t>PE</t>
  </si>
  <si>
    <t>NA</t>
  </si>
  <si>
    <t>FN</t>
  </si>
  <si>
    <t>02.04</t>
  </si>
  <si>
    <t>01.04</t>
  </si>
  <si>
    <t>ARACENA</t>
  </si>
  <si>
    <t>08.04</t>
  </si>
  <si>
    <t>FERNANDA</t>
  </si>
  <si>
    <t>15.04</t>
  </si>
  <si>
    <t>29.04</t>
  </si>
  <si>
    <t>MAMANI</t>
  </si>
  <si>
    <t>LAGOS</t>
  </si>
  <si>
    <t>GOMEZ</t>
  </si>
  <si>
    <t>CRISTIAN</t>
  </si>
  <si>
    <t>ALGARROBO</t>
  </si>
  <si>
    <t>SAIGO KIDS</t>
  </si>
  <si>
    <t>TRINIDAD</t>
  </si>
  <si>
    <t>SAMIRA</t>
  </si>
  <si>
    <t>ACAD ROMO</t>
  </si>
  <si>
    <t>27.05</t>
  </si>
  <si>
    <t>MARIA</t>
  </si>
  <si>
    <t>20.05</t>
  </si>
  <si>
    <t>CAES DE RUA</t>
  </si>
  <si>
    <t>YAMASHITA</t>
  </si>
  <si>
    <t>10.06</t>
  </si>
  <si>
    <t>ZO</t>
  </si>
  <si>
    <t>17.06</t>
  </si>
  <si>
    <t>IGNACIA</t>
  </si>
  <si>
    <t>LOPEZ</t>
  </si>
  <si>
    <t>MARCOS</t>
  </si>
  <si>
    <t>MONSERRAT</t>
  </si>
  <si>
    <t>24.06</t>
  </si>
  <si>
    <t>01.07</t>
  </si>
  <si>
    <t>AMARO</t>
  </si>
  <si>
    <t>PERU</t>
  </si>
  <si>
    <t>14.07</t>
  </si>
  <si>
    <t>15.07</t>
  </si>
  <si>
    <t>LUIS</t>
  </si>
  <si>
    <t>29.07</t>
  </si>
  <si>
    <t>TALCAHUANO</t>
  </si>
  <si>
    <t>V-VI</t>
  </si>
  <si>
    <t>05.08</t>
  </si>
  <si>
    <t>COLCHAGUA</t>
  </si>
  <si>
    <t>ARTURO</t>
  </si>
  <si>
    <t>12.08</t>
  </si>
  <si>
    <t>19.08</t>
  </si>
  <si>
    <t>PAR</t>
  </si>
  <si>
    <t>17.08</t>
  </si>
  <si>
    <t>26.08</t>
  </si>
  <si>
    <t>09.09</t>
  </si>
  <si>
    <t>SOFIA</t>
  </si>
  <si>
    <t>VII-VIII-XVI</t>
  </si>
  <si>
    <t>FULEHO</t>
  </si>
  <si>
    <t>30.07</t>
  </si>
  <si>
    <t>30.09</t>
  </si>
  <si>
    <t>UTA</t>
  </si>
  <si>
    <t>07.10</t>
  </si>
  <si>
    <t>X</t>
  </si>
  <si>
    <t>08.10</t>
  </si>
  <si>
    <t>14.10</t>
  </si>
  <si>
    <t>MAITE</t>
  </si>
  <si>
    <t>XI</t>
  </si>
  <si>
    <t>11.11</t>
  </si>
  <si>
    <t>09.12</t>
  </si>
  <si>
    <t>06.04</t>
  </si>
  <si>
    <t>BADILLA</t>
  </si>
  <si>
    <t>SANDOVAL</t>
  </si>
  <si>
    <t>ALANIS</t>
  </si>
  <si>
    <t>SUAREZ</t>
  </si>
  <si>
    <t>CORREA</t>
  </si>
  <si>
    <t>DINASTIA</t>
  </si>
  <si>
    <t>SALVADOR</t>
  </si>
  <si>
    <t>SUPANTA</t>
  </si>
  <si>
    <t>SOTELO</t>
  </si>
  <si>
    <t>CORDOVA</t>
  </si>
  <si>
    <t>MARIANA</t>
  </si>
  <si>
    <t>MARYJOSE</t>
  </si>
  <si>
    <t>CID</t>
  </si>
  <si>
    <t>ADOLFO</t>
  </si>
  <si>
    <t>RM</t>
  </si>
  <si>
    <t>HENRIQUEZ</t>
  </si>
  <si>
    <t>PATRICIO</t>
  </si>
  <si>
    <t>COLOMBA</t>
  </si>
  <si>
    <t>20.04</t>
  </si>
  <si>
    <t>BARRIENTOS</t>
  </si>
  <si>
    <t>BENYAMINE</t>
  </si>
  <si>
    <t>BUDOKAN</t>
  </si>
  <si>
    <t>VALDERRAMA</t>
  </si>
  <si>
    <t>DAFNE</t>
  </si>
  <si>
    <t>VALDES</t>
  </si>
  <si>
    <t>SALCEDO</t>
  </si>
  <si>
    <t>ROBLEDO</t>
  </si>
  <si>
    <t>NEIRA</t>
  </si>
  <si>
    <t>EMILIANO</t>
  </si>
  <si>
    <t>JARA</t>
  </si>
  <si>
    <t>RISEI SAKURA</t>
  </si>
  <si>
    <t>FUENTES</t>
  </si>
  <si>
    <t>27.04</t>
  </si>
  <si>
    <t>FACUNDO</t>
  </si>
  <si>
    <t>IZQUIERDO</t>
  </si>
  <si>
    <t>VICTOR SAITO</t>
  </si>
  <si>
    <t>FERNANDEZ</t>
  </si>
  <si>
    <t>VALERIN</t>
  </si>
  <si>
    <t>ISC SAN BERNARDO</t>
  </si>
  <si>
    <t>OSSES</t>
  </si>
  <si>
    <t>18.05</t>
  </si>
  <si>
    <t>NOELIA</t>
  </si>
  <si>
    <t>CC</t>
  </si>
  <si>
    <t>01.06</t>
  </si>
  <si>
    <t>ASTORGA</t>
  </si>
  <si>
    <t>DIEGO</t>
  </si>
  <si>
    <t>CRISOSTOMO</t>
  </si>
  <si>
    <t>LEROU</t>
  </si>
  <si>
    <t>ELIETTE</t>
  </si>
  <si>
    <t>HARROS</t>
  </si>
  <si>
    <t>15.06</t>
  </si>
  <si>
    <t>ANTHONY</t>
  </si>
  <si>
    <t>EMILIA</t>
  </si>
  <si>
    <t>22.06</t>
  </si>
  <si>
    <t>BRUNO</t>
  </si>
  <si>
    <t>13.07</t>
  </si>
  <si>
    <t>BALTAZAR</t>
  </si>
  <si>
    <t>XPRO</t>
  </si>
  <si>
    <t>CAMILA</t>
  </si>
  <si>
    <t>31.08</t>
  </si>
  <si>
    <t>24.08</t>
  </si>
  <si>
    <t>07.09</t>
  </si>
  <si>
    <t>RICARDO</t>
  </si>
  <si>
    <t>JUDO CARBON</t>
  </si>
  <si>
    <t>ESTRELLA</t>
  </si>
  <si>
    <t>08.09</t>
  </si>
  <si>
    <t>14.09</t>
  </si>
  <si>
    <t>VILLANUEVA</t>
  </si>
  <si>
    <t>MONRROY</t>
  </si>
  <si>
    <t>X-XIV</t>
  </si>
  <si>
    <t>28.09</t>
  </si>
  <si>
    <t>12.10</t>
  </si>
  <si>
    <t>COL</t>
  </si>
  <si>
    <t>11.10</t>
  </si>
  <si>
    <t>CF</t>
  </si>
  <si>
    <t>02.11</t>
  </si>
  <si>
    <t>CUB</t>
  </si>
  <si>
    <t>28.11</t>
  </si>
  <si>
    <t>CONCE</t>
  </si>
  <si>
    <t>14.12</t>
  </si>
  <si>
    <t>RE / ZO / NA</t>
  </si>
  <si>
    <t>ELIAS</t>
  </si>
  <si>
    <t>SIUL</t>
  </si>
  <si>
    <t>OZANAM</t>
  </si>
  <si>
    <t>GUTIERREZ</t>
  </si>
  <si>
    <t>OLYMPIC DREAM</t>
  </si>
  <si>
    <t>AARON</t>
  </si>
  <si>
    <t>CULIPRAN</t>
  </si>
  <si>
    <t>FLOREZ</t>
  </si>
  <si>
    <t>KEVIN</t>
  </si>
  <si>
    <t>ALLENDES</t>
  </si>
  <si>
    <t>RUBEN</t>
  </si>
  <si>
    <t>RAFAELLA</t>
  </si>
  <si>
    <t>LOUCEL</t>
  </si>
  <si>
    <t>DEMI</t>
  </si>
  <si>
    <t>ESCOBAR</t>
  </si>
  <si>
    <t>BOLBARAN</t>
  </si>
  <si>
    <t>VALENCIA</t>
  </si>
  <si>
    <t>CACERES</t>
  </si>
  <si>
    <t>JOSEFA</t>
  </si>
  <si>
    <t>ALMEIDA</t>
  </si>
  <si>
    <t>CENIZARIO</t>
  </si>
  <si>
    <t>ADRIAN</t>
  </si>
  <si>
    <t>ZEGARRA</t>
  </si>
  <si>
    <t>LUCIANO</t>
  </si>
  <si>
    <t>CHAPARRO</t>
  </si>
  <si>
    <t>CUELLAR</t>
  </si>
  <si>
    <t>PROFUMO</t>
  </si>
  <si>
    <t>NIÑEZ</t>
  </si>
  <si>
    <t>GERARDO</t>
  </si>
  <si>
    <t>CAVIEDES</t>
  </si>
  <si>
    <t>MATILDA</t>
  </si>
  <si>
    <t>BRICEÑO</t>
  </si>
  <si>
    <t>MAYLEN</t>
  </si>
  <si>
    <t>LEONES TARAPACA</t>
  </si>
  <si>
    <t>SACHUN</t>
  </si>
  <si>
    <t>LUANA</t>
  </si>
  <si>
    <t>ZOE</t>
  </si>
  <si>
    <t>ROCA</t>
  </si>
  <si>
    <t>CISTERNAS</t>
  </si>
  <si>
    <t>VILLA</t>
  </si>
  <si>
    <t>OJEDA</t>
  </si>
  <si>
    <t>MAXIMO</t>
  </si>
  <si>
    <t>FLAVIO</t>
  </si>
  <si>
    <t>HUILLITRUL</t>
  </si>
  <si>
    <t>KUMIKATA</t>
  </si>
  <si>
    <t>ALVARADO</t>
  </si>
  <si>
    <t>JULIETHA</t>
  </si>
  <si>
    <t>TOMODACHI</t>
  </si>
  <si>
    <t>AGUSTINA</t>
  </si>
  <si>
    <t>MENDOZA</t>
  </si>
  <si>
    <t>CESAR</t>
  </si>
  <si>
    <t>SEPULVEDA</t>
  </si>
  <si>
    <t>CARLOS</t>
  </si>
  <si>
    <t>ROMERO</t>
  </si>
  <si>
    <t>SIMON</t>
  </si>
  <si>
    <t>EDUARDO</t>
  </si>
  <si>
    <t>CANALES</t>
  </si>
  <si>
    <t>GAVILAN</t>
  </si>
  <si>
    <t>ETCHEGOYEN</t>
  </si>
  <si>
    <t>KIREI</t>
  </si>
  <si>
    <t>CHUQUIRUNA</t>
  </si>
  <si>
    <t>LORENZO</t>
  </si>
  <si>
    <t>MOLINA</t>
  </si>
  <si>
    <t>PAULA</t>
  </si>
  <si>
    <t>CATALAN</t>
  </si>
  <si>
    <t>BARBARA</t>
  </si>
  <si>
    <t>NEFTALI</t>
  </si>
  <si>
    <t>ORTEGA</t>
  </si>
  <si>
    <t>MANKE</t>
  </si>
  <si>
    <t>SHIN YU</t>
  </si>
  <si>
    <t>PEDRO</t>
  </si>
  <si>
    <t>VILLEGAS</t>
  </si>
  <si>
    <t>VALPARAISO</t>
  </si>
  <si>
    <t>TRIAS</t>
  </si>
  <si>
    <t>NICOLE</t>
  </si>
  <si>
    <t>HUENCHUPAN</t>
  </si>
  <si>
    <t>LUCAS</t>
  </si>
  <si>
    <t>GIULIANO</t>
  </si>
  <si>
    <t>DOMENICO</t>
  </si>
  <si>
    <t>OLIVOS</t>
  </si>
  <si>
    <t>TOMAS</t>
  </si>
  <si>
    <t>QUEZADA</t>
  </si>
  <si>
    <t>SAN IGNACIO</t>
  </si>
  <si>
    <t>SALIM</t>
  </si>
  <si>
    <t>MAULEN</t>
  </si>
  <si>
    <t>AMANDA</t>
  </si>
  <si>
    <t>POBLETE</t>
  </si>
  <si>
    <t>CRISTINA</t>
  </si>
  <si>
    <t>CARMONA</t>
  </si>
  <si>
    <t>ALONDRA</t>
  </si>
  <si>
    <t>LEAL</t>
  </si>
  <si>
    <t>RETAMAL</t>
  </si>
  <si>
    <t>KURAMA HOKI</t>
  </si>
  <si>
    <t>AYARDE</t>
  </si>
  <si>
    <t>VALERO</t>
  </si>
  <si>
    <t>MIKELT</t>
  </si>
  <si>
    <t>SANTIAGO</t>
  </si>
  <si>
    <t>TALCA</t>
  </si>
  <si>
    <t>MULLER</t>
  </si>
  <si>
    <t>TIRADO</t>
  </si>
  <si>
    <t>EMILY</t>
  </si>
  <si>
    <t>PEÑA</t>
  </si>
  <si>
    <t>KLEIDYMAR</t>
  </si>
  <si>
    <t>MANUELA</t>
  </si>
  <si>
    <t>TOBORGA</t>
  </si>
  <si>
    <t>KELVIN</t>
  </si>
  <si>
    <t>AGUILERA</t>
  </si>
  <si>
    <t>PIZARRO</t>
  </si>
  <si>
    <t>SALFATE</t>
  </si>
  <si>
    <t>SOTOMAYOR</t>
  </si>
  <si>
    <t>U DE CHILE</t>
  </si>
  <si>
    <t>NICOLAS</t>
  </si>
  <si>
    <t>URRUTIA</t>
  </si>
  <si>
    <t>HECTOR</t>
  </si>
  <si>
    <t>ARROYO</t>
  </si>
  <si>
    <t>FRANK</t>
  </si>
  <si>
    <t>ALONSO</t>
  </si>
  <si>
    <t>CAMPOS</t>
  </si>
  <si>
    <t>ANTARA</t>
  </si>
  <si>
    <t>FLORENCIA</t>
  </si>
  <si>
    <t>ZUÑIGA</t>
  </si>
  <si>
    <t>LUCIANA</t>
  </si>
  <si>
    <t>PEREZ</t>
  </si>
  <si>
    <t>CABEZAS</t>
  </si>
  <si>
    <t>AURORA</t>
  </si>
  <si>
    <t>LOBOS</t>
  </si>
  <si>
    <t>SENSEI TEMUCO</t>
  </si>
  <si>
    <t>JUDO QUILICURA</t>
  </si>
  <si>
    <t>RENATA</t>
  </si>
  <si>
    <t>DAYHNA</t>
  </si>
  <si>
    <t>MATEI</t>
  </si>
  <si>
    <t>SAMANTHA</t>
  </si>
  <si>
    <t>ARTEGA</t>
  </si>
  <si>
    <t>ANTONELLA</t>
  </si>
  <si>
    <t>SEGUEL</t>
  </si>
  <si>
    <t>ISABELLA</t>
  </si>
  <si>
    <t>CHOL CHOL</t>
  </si>
  <si>
    <t>LEANDRO</t>
  </si>
  <si>
    <t>PENNA</t>
  </si>
  <si>
    <t>CAROLINE</t>
  </si>
  <si>
    <t>DE LA GUARDA</t>
  </si>
  <si>
    <t>RANDY</t>
  </si>
  <si>
    <t>HINODE</t>
  </si>
  <si>
    <t>TABORGA</t>
  </si>
  <si>
    <t>SARA</t>
  </si>
  <si>
    <t>CDUSS</t>
  </si>
  <si>
    <t>RANKING NACIONAL 2026</t>
  </si>
  <si>
    <t>M63</t>
  </si>
  <si>
    <t>M73</t>
  </si>
  <si>
    <t>AYALA</t>
  </si>
  <si>
    <t>EMMA</t>
  </si>
  <si>
    <t>JAIME CHARLES</t>
  </si>
  <si>
    <t>AEDO</t>
  </si>
  <si>
    <t>BELTRAN</t>
  </si>
  <si>
    <t>PARRA</t>
  </si>
  <si>
    <t>VIÑA DEL MAR</t>
  </si>
  <si>
    <t>TOLEDO</t>
  </si>
  <si>
    <t>BURGOS</t>
  </si>
  <si>
    <t>STEPHAN</t>
  </si>
  <si>
    <t>VIOLETA</t>
  </si>
  <si>
    <t>IKIKATA</t>
  </si>
  <si>
    <t>LIZAMA</t>
  </si>
  <si>
    <t>GARRIDO</t>
  </si>
  <si>
    <t>PRISCILLA</t>
  </si>
  <si>
    <t>PINTO</t>
  </si>
  <si>
    <t>KIDO CURACAVI</t>
  </si>
  <si>
    <t>DAVID</t>
  </si>
  <si>
    <t xml:space="preserve">DYLAN </t>
  </si>
  <si>
    <t>JUDO QUILICRUA</t>
  </si>
  <si>
    <t>PETSEVOI</t>
  </si>
  <si>
    <t>ANDREI</t>
  </si>
  <si>
    <t>CAÑAS</t>
  </si>
  <si>
    <t>MENARES</t>
  </si>
  <si>
    <t>NAHUEL</t>
  </si>
  <si>
    <t>MEZA</t>
  </si>
  <si>
    <t>STEVEN</t>
  </si>
  <si>
    <t>JOSEFINA</t>
  </si>
  <si>
    <t>JUDO ORIENTE</t>
  </si>
  <si>
    <t>ELOISA</t>
  </si>
  <si>
    <t>RABY</t>
  </si>
  <si>
    <t>SHIRO SAIGO KIDS</t>
  </si>
  <si>
    <t>PALACIOS</t>
  </si>
  <si>
    <t>MOISES</t>
  </si>
  <si>
    <t>PGN</t>
  </si>
  <si>
    <t>MARCHANT</t>
  </si>
  <si>
    <t>GARCIA</t>
  </si>
  <si>
    <t>ANGELES</t>
  </si>
  <si>
    <t>AMALIA</t>
  </si>
  <si>
    <t>GODOY</t>
  </si>
  <si>
    <t>BERENGUELA</t>
  </si>
  <si>
    <t>DAMIAN</t>
  </si>
  <si>
    <t>MANKE PUCON</t>
  </si>
  <si>
    <t>JAIMES</t>
  </si>
  <si>
    <t>SKARLET</t>
  </si>
  <si>
    <t>MAURA</t>
  </si>
  <si>
    <t>TAPIA</t>
  </si>
  <si>
    <t>SCARLET</t>
  </si>
  <si>
    <t>RIVAS</t>
  </si>
  <si>
    <t>AMENAY</t>
  </si>
  <si>
    <t>HERNANDEZ</t>
  </si>
  <si>
    <t>CATALINA</t>
  </si>
  <si>
    <t>33.6</t>
  </si>
  <si>
    <t>MAYLEEN</t>
  </si>
  <si>
    <t>LEONES DE TARAPACA</t>
  </si>
  <si>
    <t xml:space="preserve">SOTO </t>
  </si>
  <si>
    <t>JORDAN</t>
  </si>
  <si>
    <t>ERICK</t>
  </si>
  <si>
    <t>ILLESCA</t>
  </si>
  <si>
    <t>RUBIO</t>
  </si>
  <si>
    <t>RENZO</t>
  </si>
  <si>
    <t>HOLTMAN</t>
  </si>
  <si>
    <t>INARA</t>
  </si>
  <si>
    <t>RENATO</t>
  </si>
  <si>
    <t>SHIN GI TAI</t>
  </si>
  <si>
    <t>PINO</t>
  </si>
  <si>
    <t>MELLADO</t>
  </si>
  <si>
    <t>PAREDES</t>
  </si>
  <si>
    <t>JULIAN</t>
  </si>
  <si>
    <t>ALARCON</t>
  </si>
  <si>
    <t>CONTENTE</t>
  </si>
  <si>
    <t>DOMINGO</t>
  </si>
  <si>
    <t>A</t>
  </si>
  <si>
    <t>CARDENAS</t>
  </si>
  <si>
    <t>NOEMI</t>
  </si>
  <si>
    <t>FARIAS</t>
  </si>
  <si>
    <t>BENAVIDES</t>
  </si>
  <si>
    <t>KODOKAN CHILE</t>
  </si>
  <si>
    <t>GANA</t>
  </si>
  <si>
    <t>IKIGAI</t>
  </si>
  <si>
    <t>SEGOVIA</t>
  </si>
  <si>
    <t>CLEMENTE</t>
  </si>
  <si>
    <t>SAN SEI</t>
  </si>
  <si>
    <t>NUNEZ</t>
  </si>
  <si>
    <t>GASPAR</t>
  </si>
  <si>
    <t>QUILICURA</t>
  </si>
  <si>
    <t>BECK</t>
  </si>
  <si>
    <t>ADRIANO</t>
  </si>
  <si>
    <t>CARABINEROS DE CHILE</t>
  </si>
  <si>
    <t>MAGNA</t>
  </si>
  <si>
    <t>PINTANA</t>
  </si>
  <si>
    <t>MENA</t>
  </si>
  <si>
    <t>AVENDANO</t>
  </si>
  <si>
    <t>YEICOB</t>
  </si>
  <si>
    <t>GUIDO</t>
  </si>
  <si>
    <t>SAMURAI</t>
  </si>
  <si>
    <t>RUIZ</t>
  </si>
  <si>
    <t>GARCES</t>
  </si>
  <si>
    <t>LEONOR</t>
  </si>
  <si>
    <t>KAZOKU LS</t>
  </si>
  <si>
    <t>ALVAREZ</t>
  </si>
  <si>
    <t>CARBINEROS DE CHILE</t>
  </si>
  <si>
    <t>CINTTHYA</t>
  </si>
  <si>
    <t>CHUSEIKAN</t>
  </si>
  <si>
    <t>NAVARETTE</t>
  </si>
  <si>
    <t>RAIMUNDO</t>
  </si>
  <si>
    <t>MARQUEZ</t>
  </si>
  <si>
    <t>DEIVI</t>
  </si>
  <si>
    <t>VIVANCO</t>
  </si>
  <si>
    <t>SANCHE</t>
  </si>
  <si>
    <t>OSORNO</t>
  </si>
  <si>
    <t>SUSEJ</t>
  </si>
  <si>
    <t>JUDO NUBLE</t>
  </si>
  <si>
    <t>AINARDI</t>
  </si>
  <si>
    <t>COLOMBIA</t>
  </si>
  <si>
    <t>PROY G NAVIA</t>
  </si>
  <si>
    <t>OSVALDO</t>
  </si>
  <si>
    <t>GONZALO</t>
  </si>
  <si>
    <t>VASQUEZ</t>
  </si>
  <si>
    <t>OTERO</t>
  </si>
  <si>
    <t>DANILLA</t>
  </si>
  <si>
    <t>DUQUE</t>
  </si>
  <si>
    <t>JHENDELYN</t>
  </si>
  <si>
    <t>AGUILA</t>
  </si>
  <si>
    <t>MIA</t>
  </si>
  <si>
    <t>ESCONDIDA</t>
  </si>
  <si>
    <t>GUENCHOR</t>
  </si>
  <si>
    <t>LA MERCED</t>
  </si>
  <si>
    <t>SALDANA</t>
  </si>
  <si>
    <t>DYNAMIS SHOGUN</t>
  </si>
  <si>
    <t>DYLAN</t>
  </si>
  <si>
    <t>HUENCHUMAN</t>
  </si>
  <si>
    <t>CINTHIA</t>
  </si>
  <si>
    <t>ARIEL</t>
  </si>
  <si>
    <t>JIN KAN</t>
  </si>
  <si>
    <t>QUISPE</t>
  </si>
  <si>
    <t>JOSEPH</t>
  </si>
  <si>
    <t>FUNDACIO AEDAR</t>
  </si>
  <si>
    <t>CASTILLO</t>
  </si>
  <si>
    <t>ADAL</t>
  </si>
  <si>
    <t>ALEXANDER</t>
  </si>
  <si>
    <t>FUNDACION AEDAR</t>
  </si>
  <si>
    <t>CARACAMO</t>
  </si>
  <si>
    <t>MARAMBIO</t>
  </si>
  <si>
    <t>JHOEL</t>
  </si>
  <si>
    <t>ALACA</t>
  </si>
  <si>
    <t>MAYRA</t>
  </si>
  <si>
    <t>BARRIGA</t>
  </si>
  <si>
    <t>ALEJANDRO</t>
  </si>
  <si>
    <t>CHANGAS</t>
  </si>
  <si>
    <t>CRISTOPHER</t>
  </si>
  <si>
    <t>MY GARDEN</t>
  </si>
  <si>
    <t>ESTRADA</t>
  </si>
  <si>
    <t>ROBERT</t>
  </si>
  <si>
    <t>ARANCIBIA</t>
  </si>
  <si>
    <t>SHOGAI</t>
  </si>
  <si>
    <t>ROSSEL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</si>
</sst>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17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2" xfId="0" applyNumberFormat="1" applyBorder="1"/>
    <xf numFmtId="17" fontId="0" fillId="0" borderId="1" xfId="0" applyNumberFormat="1" applyBorder="1"/>
    <xf numFmtId="17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17" fontId="0" fillId="0" borderId="12" xfId="0" applyNumberFormat="1" applyBorder="1"/>
    <xf numFmtId="17" fontId="0" fillId="0" borderId="6" xfId="0" applyNumberFormat="1" applyBorder="1"/>
    <xf numFmtId="17" fontId="0" fillId="0" borderId="8" xfId="0" applyNumberForma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0" fillId="2" borderId="0" xfId="0" applyFill="1"/>
    <xf numFmtId="0" fontId="5" fillId="2" borderId="0" xfId="0" applyFont="1" applyFill="1"/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7" xfId="0" applyNumberForma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4.xml"/><Relationship Id="rId21" Type="http://schemas.openxmlformats.org/officeDocument/2006/relationships/sharedStrings" Target="sharedStrings.xml"/><Relationship Id="rId42" Type="http://schemas.microsoft.com/office/2017/10/relationships/person" Target="persons/person19.xml"/><Relationship Id="rId47" Type="http://schemas.microsoft.com/office/2017/10/relationships/person" Target="persons/person25.xml"/><Relationship Id="rId63" Type="http://schemas.microsoft.com/office/2017/10/relationships/person" Target="persons/person40.xml"/><Relationship Id="rId68" Type="http://schemas.microsoft.com/office/2017/10/relationships/person" Target="persons/person46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40" Type="http://schemas.microsoft.com/office/2017/10/relationships/person" Target="persons/person20.xml"/><Relationship Id="rId24" Type="http://schemas.microsoft.com/office/2017/10/relationships/person" Target="persons/person2.xml"/><Relationship Id="rId32" Type="http://schemas.microsoft.com/office/2017/10/relationships/person" Target="persons/person9.xml"/><Relationship Id="rId37" Type="http://schemas.microsoft.com/office/2017/10/relationships/person" Target="persons/person14.xml"/><Relationship Id="rId45" Type="http://schemas.microsoft.com/office/2017/10/relationships/person" Target="persons/person22.xml"/><Relationship Id="rId53" Type="http://schemas.microsoft.com/office/2017/10/relationships/person" Target="persons/person31.xml"/><Relationship Id="rId58" Type="http://schemas.microsoft.com/office/2017/10/relationships/person" Target="persons/person35.xml"/><Relationship Id="rId66" Type="http://schemas.microsoft.com/office/2017/10/relationships/person" Target="persons/person43.xml"/><Relationship Id="rId74" Type="http://schemas.microsoft.com/office/2017/10/relationships/person" Target="persons/person51.xml"/><Relationship Id="rId5" Type="http://schemas.openxmlformats.org/officeDocument/2006/relationships/worksheet" Target="worksheets/sheet5.xml"/><Relationship Id="rId61" Type="http://schemas.microsoft.com/office/2017/10/relationships/person" Target="persons/person38.xml"/><Relationship Id="rId19" Type="http://schemas.openxmlformats.org/officeDocument/2006/relationships/theme" Target="theme/theme1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Relationship Id="rId43" Type="http://schemas.microsoft.com/office/2017/10/relationships/person" Target="persons/person23.xml"/><Relationship Id="rId35" Type="http://schemas.microsoft.com/office/2017/10/relationships/person" Target="persons/person16.xml"/><Relationship Id="rId27" Type="http://schemas.microsoft.com/office/2017/10/relationships/person" Target="persons/person11.xml"/><Relationship Id="rId30" Type="http://schemas.microsoft.com/office/2017/10/relationships/person" Target="persons/person8.xml"/><Relationship Id="rId48" Type="http://schemas.microsoft.com/office/2017/10/relationships/person" Target="persons/person26.xml"/><Relationship Id="rId56" Type="http://schemas.microsoft.com/office/2017/10/relationships/person" Target="persons/person34.xml"/><Relationship Id="rId64" Type="http://schemas.microsoft.com/office/2017/10/relationships/person" Target="persons/person42.xml"/><Relationship Id="rId69" Type="http://schemas.microsoft.com/office/2017/10/relationships/person" Target="persons/person47.xml"/><Relationship Id="rId77" Type="http://schemas.microsoft.com/office/2017/10/relationships/person" Target="persons/person53.xml"/><Relationship Id="rId8" Type="http://schemas.openxmlformats.org/officeDocument/2006/relationships/worksheet" Target="worksheets/sheet8.xml"/><Relationship Id="rId51" Type="http://schemas.microsoft.com/office/2017/10/relationships/person" Target="persons/person29.xml"/><Relationship Id="rId72" Type="http://schemas.microsoft.com/office/2017/10/relationships/person" Target="persons/person5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0.xml"/><Relationship Id="rId33" Type="http://schemas.microsoft.com/office/2017/10/relationships/person" Target="persons/person10.xml"/><Relationship Id="rId38" Type="http://schemas.microsoft.com/office/2017/10/relationships/person" Target="persons/person15.xml"/><Relationship Id="rId46" Type="http://schemas.microsoft.com/office/2017/10/relationships/person" Target="persons/person24.xml"/><Relationship Id="rId59" Type="http://schemas.microsoft.com/office/2017/10/relationships/person" Target="persons/person37.xml"/><Relationship Id="rId67" Type="http://schemas.microsoft.com/office/2017/10/relationships/person" Target="persons/person45.xml"/><Relationship Id="rId20" Type="http://schemas.openxmlformats.org/officeDocument/2006/relationships/styles" Target="styles.xml"/><Relationship Id="rId75" Type="http://schemas.microsoft.com/office/2017/10/relationships/person" Target="persons/person3.xml"/><Relationship Id="rId70" Type="http://schemas.microsoft.com/office/2017/10/relationships/person" Target="persons/person49.xml"/><Relationship Id="rId62" Type="http://schemas.microsoft.com/office/2017/10/relationships/person" Target="persons/person41.xml"/><Relationship Id="rId54" Type="http://schemas.microsoft.com/office/2017/10/relationships/person" Target="persons/person33.xml"/><Relationship Id="rId41" Type="http://schemas.microsoft.com/office/2017/10/relationships/person" Target="persons/person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57" Type="http://schemas.microsoft.com/office/2017/10/relationships/person" Target="persons/person36.xml"/><Relationship Id="rId23" Type="http://schemas.microsoft.com/office/2017/10/relationships/person" Target="persons/person1.xml"/><Relationship Id="rId28" Type="http://schemas.microsoft.com/office/2017/10/relationships/person" Target="persons/person5.xml"/><Relationship Id="rId36" Type="http://schemas.microsoft.com/office/2017/10/relationships/person" Target="persons/person13.xml"/><Relationship Id="rId49" Type="http://schemas.microsoft.com/office/2017/10/relationships/person" Target="persons/person27.xml"/><Relationship Id="rId10" Type="http://schemas.openxmlformats.org/officeDocument/2006/relationships/worksheet" Target="worksheets/sheet10.xml"/><Relationship Id="rId78" Type="http://schemas.microsoft.com/office/2017/10/relationships/person" Target="persons/person.xml"/><Relationship Id="rId73" Type="http://schemas.microsoft.com/office/2017/10/relationships/person" Target="persons/person52.xml"/><Relationship Id="rId65" Type="http://schemas.microsoft.com/office/2017/10/relationships/person" Target="persons/person44.xml"/><Relationship Id="rId60" Type="http://schemas.microsoft.com/office/2017/10/relationships/person" Target="persons/person39.xml"/><Relationship Id="rId31" Type="http://schemas.microsoft.com/office/2017/10/relationships/person" Target="persons/person7.xml"/><Relationship Id="rId44" Type="http://schemas.microsoft.com/office/2017/10/relationships/person" Target="persons/person21.xml"/><Relationship Id="rId52" Type="http://schemas.microsoft.com/office/2017/10/relationships/person" Target="persons/person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microsoft.com/office/2017/10/relationships/person" Target="persons/person17.xml"/><Relationship Id="rId76" Type="http://schemas.microsoft.com/office/2017/10/relationships/person" Target="persons/person54.xml"/><Relationship Id="rId34" Type="http://schemas.microsoft.com/office/2017/10/relationships/person" Target="persons/person12.xml"/><Relationship Id="rId50" Type="http://schemas.microsoft.com/office/2017/10/relationships/person" Target="persons/person28.xml"/><Relationship Id="rId55" Type="http://schemas.microsoft.com/office/2017/10/relationships/person" Target="persons/person32.xml"/><Relationship Id="rId7" Type="http://schemas.openxmlformats.org/officeDocument/2006/relationships/worksheet" Target="worksheets/sheet7.xml"/><Relationship Id="rId71" Type="http://schemas.microsoft.com/office/2017/10/relationships/person" Target="persons/person48.xml"/><Relationship Id="rId2" Type="http://schemas.openxmlformats.org/officeDocument/2006/relationships/worksheet" Target="worksheets/sheet2.xml"/><Relationship Id="rId29" Type="http://schemas.microsoft.com/office/2017/10/relationships/person" Target="persons/person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36</xdr:col>
      <xdr:colOff>304800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791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45</xdr:col>
      <xdr:colOff>59531</xdr:colOff>
      <xdr:row>0</xdr:row>
      <xdr:rowOff>18256</xdr:rowOff>
    </xdr:from>
    <xdr:to>
      <xdr:col>45</xdr:col>
      <xdr:colOff>677480</xdr:colOff>
      <xdr:row>4</xdr:row>
      <xdr:rowOff>158591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4187" y="18256"/>
          <a:ext cx="617949" cy="10571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52388</xdr:colOff>
      <xdr:row>0</xdr:row>
      <xdr:rowOff>0</xdr:rowOff>
    </xdr:from>
    <xdr:to>
      <xdr:col>53</xdr:col>
      <xdr:colOff>687482</xdr:colOff>
      <xdr:row>5</xdr:row>
      <xdr:rowOff>118745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6576" y="0"/>
          <a:ext cx="635094" cy="1226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74</xdr:col>
      <xdr:colOff>23812</xdr:colOff>
      <xdr:row>0</xdr:row>
      <xdr:rowOff>0</xdr:rowOff>
    </xdr:from>
    <xdr:to>
      <xdr:col>74</xdr:col>
      <xdr:colOff>666526</xdr:colOff>
      <xdr:row>3</xdr:row>
      <xdr:rowOff>169703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0" y="0"/>
          <a:ext cx="642714" cy="9078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85</xdr:col>
      <xdr:colOff>47625</xdr:colOff>
      <xdr:row>0</xdr:row>
      <xdr:rowOff>0</xdr:rowOff>
    </xdr:from>
    <xdr:to>
      <xdr:col>85</xdr:col>
      <xdr:colOff>352425</xdr:colOff>
      <xdr:row>1</xdr:row>
      <xdr:rowOff>118745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536781" y="0"/>
          <a:ext cx="304800" cy="452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88</xdr:col>
      <xdr:colOff>19729</xdr:colOff>
      <xdr:row>0</xdr:row>
      <xdr:rowOff>22791</xdr:rowOff>
    </xdr:from>
    <xdr:to>
      <xdr:col>88</xdr:col>
      <xdr:colOff>665616</xdr:colOff>
      <xdr:row>4</xdr:row>
      <xdr:rowOff>45776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4885" y="22791"/>
          <a:ext cx="645887" cy="9397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9866</xdr:colOff>
      <xdr:row>0</xdr:row>
      <xdr:rowOff>0</xdr:rowOff>
    </xdr:from>
    <xdr:to>
      <xdr:col>90</xdr:col>
      <xdr:colOff>631441</xdr:colOff>
      <xdr:row>4</xdr:row>
      <xdr:rowOff>11909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3116" y="0"/>
          <a:ext cx="621575" cy="9286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87</xdr:col>
      <xdr:colOff>32659</xdr:colOff>
      <xdr:row>0</xdr:row>
      <xdr:rowOff>0</xdr:rowOff>
    </xdr:from>
    <xdr:to>
      <xdr:col>87</xdr:col>
      <xdr:colOff>606699</xdr:colOff>
      <xdr:row>4</xdr:row>
      <xdr:rowOff>39369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1159" y="0"/>
          <a:ext cx="574040" cy="956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97</xdr:col>
      <xdr:colOff>44563</xdr:colOff>
      <xdr:row>0</xdr:row>
      <xdr:rowOff>11907</xdr:rowOff>
    </xdr:from>
    <xdr:to>
      <xdr:col>97</xdr:col>
      <xdr:colOff>663783</xdr:colOff>
      <xdr:row>4</xdr:row>
      <xdr:rowOff>173197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3532" y="11907"/>
          <a:ext cx="619220" cy="10780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97</xdr:col>
      <xdr:colOff>0</xdr:colOff>
      <xdr:row>0</xdr:row>
      <xdr:rowOff>0</xdr:rowOff>
    </xdr:from>
    <xdr:to>
      <xdr:col>97</xdr:col>
      <xdr:colOff>615749</xdr:colOff>
      <xdr:row>4</xdr:row>
      <xdr:rowOff>150398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B6C1C4-2530-A584-47A4-CA6298B6E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0781" y="0"/>
          <a:ext cx="615749" cy="10790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97</xdr:col>
      <xdr:colOff>0</xdr:colOff>
      <xdr:row>0</xdr:row>
      <xdr:rowOff>0</xdr:rowOff>
    </xdr:from>
    <xdr:to>
      <xdr:col>97</xdr:col>
      <xdr:colOff>615749</xdr:colOff>
      <xdr:row>4</xdr:row>
      <xdr:rowOff>150398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D4C195-20C2-7E71-6FBA-2D82F9CC3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0781" y="0"/>
          <a:ext cx="615749" cy="10790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40600</xdr:colOff>
      <xdr:row>0</xdr:row>
      <xdr:rowOff>0</xdr:rowOff>
    </xdr:from>
    <xdr:to>
      <xdr:col>39</xdr:col>
      <xdr:colOff>506983</xdr:colOff>
      <xdr:row>4</xdr:row>
      <xdr:rowOff>147637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9475" y="0"/>
          <a:ext cx="466383" cy="106441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60</xdr:col>
      <xdr:colOff>47625</xdr:colOff>
      <xdr:row>0</xdr:row>
      <xdr:rowOff>0</xdr:rowOff>
    </xdr:from>
    <xdr:to>
      <xdr:col>60</xdr:col>
      <xdr:colOff>652239</xdr:colOff>
      <xdr:row>5</xdr:row>
      <xdr:rowOff>118745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8969" y="0"/>
          <a:ext cx="604614" cy="12260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65</xdr:col>
      <xdr:colOff>304800</xdr:colOff>
      <xdr:row>3</xdr:row>
      <xdr:rowOff>41275</xdr:rowOff>
    </xdr:to>
    <xdr:sp macro="" textlink="">
      <xdr:nvSpPr>
        <xdr:cNvPr id="2" name="AutoShape 5" descr="Feju Chile - Home | Facebook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203950" y="0"/>
          <a:ext cx="304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74</xdr:col>
      <xdr:colOff>64295</xdr:colOff>
      <xdr:row>0</xdr:row>
      <xdr:rowOff>10885</xdr:rowOff>
    </xdr:from>
    <xdr:to>
      <xdr:col>74</xdr:col>
      <xdr:colOff>718439</xdr:colOff>
      <xdr:row>5</xdr:row>
      <xdr:rowOff>79465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8514" y="10885"/>
          <a:ext cx="654144" cy="11758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84</xdr:col>
      <xdr:colOff>35040</xdr:colOff>
      <xdr:row>0</xdr:row>
      <xdr:rowOff>11906</xdr:rowOff>
    </xdr:from>
    <xdr:to>
      <xdr:col>84</xdr:col>
      <xdr:colOff>696710</xdr:colOff>
      <xdr:row>4</xdr:row>
      <xdr:rowOff>80486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0665" y="11906"/>
          <a:ext cx="661670" cy="98536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94</xdr:col>
      <xdr:colOff>58510</xdr:colOff>
      <xdr:row>0</xdr:row>
      <xdr:rowOff>21771</xdr:rowOff>
    </xdr:from>
    <xdr:to>
      <xdr:col>94</xdr:col>
      <xdr:colOff>729706</xdr:colOff>
      <xdr:row>4</xdr:row>
      <xdr:rowOff>71936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4135" y="21771"/>
          <a:ext cx="671196" cy="9669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85</xdr:col>
      <xdr:colOff>752134</xdr:colOff>
      <xdr:row>0</xdr:row>
      <xdr:rowOff>9865</xdr:rowOff>
    </xdr:from>
    <xdr:to>
      <xdr:col>86</xdr:col>
      <xdr:colOff>562269</xdr:colOff>
      <xdr:row>4</xdr:row>
      <xdr:rowOff>51139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74853" y="9865"/>
          <a:ext cx="572135" cy="95805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91</xdr:col>
      <xdr:colOff>56468</xdr:colOff>
      <xdr:row>0</xdr:row>
      <xdr:rowOff>23812</xdr:rowOff>
    </xdr:from>
    <xdr:to>
      <xdr:col>91</xdr:col>
      <xdr:colOff>630508</xdr:colOff>
      <xdr:row>4</xdr:row>
      <xdr:rowOff>57466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2124" y="23812"/>
          <a:ext cx="574040" cy="9504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91</xdr:col>
      <xdr:colOff>0</xdr:colOff>
      <xdr:row>0</xdr:row>
      <xdr:rowOff>0</xdr:rowOff>
    </xdr:from>
    <xdr:to>
      <xdr:col>91</xdr:col>
      <xdr:colOff>573074</xdr:colOff>
      <xdr:row>4</xdr:row>
      <xdr:rowOff>22370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BA5FA2-4B92-4678-865A-490EBCCA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0781" y="0"/>
          <a:ext cx="573074" cy="95105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105</xdr:col>
      <xdr:colOff>2</xdr:colOff>
      <xdr:row>0</xdr:row>
      <xdr:rowOff>10885</xdr:rowOff>
    </xdr:from>
    <xdr:to>
      <xdr:col>105</xdr:col>
      <xdr:colOff>682626</xdr:colOff>
      <xdr:row>4</xdr:row>
      <xdr:rowOff>79465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1377" y="10885"/>
          <a:ext cx="682624" cy="9853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"/>
  <sheetViews>
    <sheetView zoomScale="80" zoomScaleNormal="80" workbookViewId="0">
      <selection activeCell="AQ27" sqref="AQ27"/>
    </sheetView>
  </sheetViews>
  <sheetFormatPr baseColWidth="10" defaultRowHeight="15" x14ac:dyDescent="0.25"/>
  <cols>
    <col min="1" max="1" width="2" bestFit="1" customWidth="1"/>
    <col min="2" max="2" width="12.42578125" bestFit="1" customWidth="1"/>
    <col min="4" max="4" width="16" customWidth="1"/>
    <col min="5" max="5" width="13.85546875" bestFit="1" customWidth="1"/>
    <col min="6" max="6" width="6.7109375" hidden="1" customWidth="1"/>
    <col min="7" max="7" width="7.28515625" hidden="1" customWidth="1"/>
    <col min="8" max="8" width="0" hidden="1" customWidth="1"/>
    <col min="9" max="9" width="6.85546875" hidden="1" customWidth="1"/>
    <col min="10" max="16" width="5.5703125" hidden="1" customWidth="1"/>
    <col min="17" max="17" width="6.28515625" hidden="1" customWidth="1"/>
    <col min="18" max="18" width="6.85546875" hidden="1" customWidth="1"/>
    <col min="19" max="27" width="5.5703125" hidden="1" customWidth="1"/>
    <col min="28" max="28" width="6.85546875" style="7" hidden="1" customWidth="1"/>
    <col min="29" max="29" width="6.28515625" hidden="1" customWidth="1"/>
    <col min="30" max="30" width="7.85546875" hidden="1" customWidth="1"/>
    <col min="31" max="31" width="6.7109375" style="7" hidden="1" customWidth="1"/>
    <col min="32" max="32" width="8.140625" style="7" hidden="1" customWidth="1"/>
    <col min="33" max="33" width="6.140625" style="7" hidden="1" customWidth="1"/>
    <col min="34" max="34" width="7.5703125" style="7" hidden="1" customWidth="1"/>
    <col min="35" max="35" width="7.42578125" style="7" hidden="1" customWidth="1"/>
    <col min="36" max="36" width="8.28515625" style="7" hidden="1" customWidth="1"/>
    <col min="39" max="39" width="11.42578125" style="7"/>
    <col min="40" max="40" width="8.42578125" style="7" customWidth="1"/>
    <col min="41" max="41" width="7.28515625" style="7" customWidth="1"/>
    <col min="42" max="44" width="11.42578125" style="7"/>
  </cols>
  <sheetData>
    <row r="1" spans="1:45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5.75" thickBot="1" x14ac:dyDescent="0.3">
      <c r="C2" s="7"/>
      <c r="D2" s="7"/>
      <c r="E2" s="7"/>
    </row>
    <row r="3" spans="1:45" ht="15.75" thickTop="1" x14ac:dyDescent="0.25">
      <c r="B3" s="1" t="s">
        <v>0</v>
      </c>
      <c r="C3" s="4" t="s">
        <v>13</v>
      </c>
    </row>
    <row r="4" spans="1:45" ht="14.45" customHeight="1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</row>
    <row r="5" spans="1:45" ht="15" customHeight="1" thickBot="1" x14ac:dyDescent="0.3">
      <c r="B5" s="3" t="s">
        <v>2</v>
      </c>
      <c r="C5" s="14">
        <v>-32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</row>
    <row r="6" spans="1:45" ht="15.75" thickTop="1" x14ac:dyDescent="0.25"/>
    <row r="7" spans="1:45" ht="15.75" thickBot="1" x14ac:dyDescent="0.3"/>
    <row r="8" spans="1:45" ht="15.75" thickTop="1" x14ac:dyDescent="0.25">
      <c r="B8" s="24" t="s">
        <v>8</v>
      </c>
      <c r="C8" s="25"/>
      <c r="D8" s="1"/>
      <c r="E8" s="1"/>
      <c r="F8" s="4" t="s">
        <v>9</v>
      </c>
      <c r="G8" s="4" t="s">
        <v>96</v>
      </c>
      <c r="H8" s="1"/>
      <c r="I8" s="12">
        <v>44927</v>
      </c>
      <c r="J8" s="4" t="s">
        <v>9</v>
      </c>
      <c r="K8" s="4" t="s">
        <v>103</v>
      </c>
      <c r="L8" s="4" t="s">
        <v>9</v>
      </c>
      <c r="M8" s="4" t="s">
        <v>127</v>
      </c>
      <c r="N8" s="4" t="s">
        <v>127</v>
      </c>
      <c r="O8" s="4" t="s">
        <v>9</v>
      </c>
      <c r="P8" s="4" t="s">
        <v>9</v>
      </c>
      <c r="Q8" s="4" t="s">
        <v>6</v>
      </c>
      <c r="R8" s="13">
        <v>45292</v>
      </c>
      <c r="S8" s="13" t="s">
        <v>9</v>
      </c>
      <c r="T8" s="13" t="s">
        <v>127</v>
      </c>
      <c r="U8" s="13" t="s">
        <v>127</v>
      </c>
      <c r="V8" s="13" t="s">
        <v>103</v>
      </c>
      <c r="W8" s="13" t="s">
        <v>9</v>
      </c>
      <c r="X8" s="13" t="s">
        <v>9</v>
      </c>
      <c r="Y8" s="13" t="s">
        <v>9</v>
      </c>
      <c r="Z8" s="13" t="s">
        <v>103</v>
      </c>
      <c r="AA8" s="13" t="s">
        <v>241</v>
      </c>
      <c r="AB8" s="13" t="s">
        <v>104</v>
      </c>
      <c r="AC8" s="13" t="s">
        <v>6</v>
      </c>
      <c r="AD8" s="13">
        <v>45658</v>
      </c>
      <c r="AE8" s="13"/>
      <c r="AF8" s="13"/>
      <c r="AG8" s="18"/>
      <c r="AH8" s="19"/>
      <c r="AI8" s="19"/>
      <c r="AJ8" s="20"/>
      <c r="AK8" s="13" t="s">
        <v>6</v>
      </c>
      <c r="AL8" s="13">
        <v>46023</v>
      </c>
      <c r="AM8" s="13"/>
      <c r="AN8" s="13"/>
      <c r="AO8" s="18"/>
      <c r="AP8" s="19"/>
      <c r="AQ8" s="19"/>
      <c r="AR8" s="20"/>
      <c r="AS8" s="13" t="s">
        <v>6</v>
      </c>
    </row>
    <row r="9" spans="1:45" x14ac:dyDescent="0.25">
      <c r="B9" s="26"/>
      <c r="C9" s="27"/>
      <c r="D9" s="2"/>
      <c r="E9" s="2"/>
      <c r="F9" s="8" t="s">
        <v>22</v>
      </c>
      <c r="G9" s="8" t="s">
        <v>97</v>
      </c>
      <c r="H9" s="2" t="s">
        <v>6</v>
      </c>
      <c r="I9" s="2"/>
      <c r="J9" s="5" t="s">
        <v>85</v>
      </c>
      <c r="K9" s="8" t="s">
        <v>72</v>
      </c>
      <c r="L9" s="8" t="s">
        <v>89</v>
      </c>
      <c r="M9" s="8" t="s">
        <v>76</v>
      </c>
      <c r="N9" s="8" t="s">
        <v>72</v>
      </c>
      <c r="O9" s="8" t="s">
        <v>89</v>
      </c>
      <c r="P9" s="8" t="s">
        <v>85</v>
      </c>
      <c r="Q9" s="5"/>
      <c r="R9" s="5"/>
      <c r="S9" s="5" t="s">
        <v>181</v>
      </c>
      <c r="T9" s="5" t="s">
        <v>72</v>
      </c>
      <c r="U9" s="5" t="s">
        <v>80</v>
      </c>
      <c r="V9" s="5" t="s">
        <v>72</v>
      </c>
      <c r="W9" s="5" t="s">
        <v>18</v>
      </c>
      <c r="X9" s="5" t="s">
        <v>181</v>
      </c>
      <c r="Y9" s="5" t="s">
        <v>65</v>
      </c>
      <c r="Z9" s="5" t="s">
        <v>80</v>
      </c>
      <c r="AA9" s="5" t="s">
        <v>181</v>
      </c>
      <c r="AB9" s="5" t="s">
        <v>245</v>
      </c>
      <c r="AC9" s="5"/>
      <c r="AD9" s="5"/>
      <c r="AE9" s="8" t="s">
        <v>9</v>
      </c>
      <c r="AF9" s="8" t="s">
        <v>127</v>
      </c>
      <c r="AG9" s="28" t="s">
        <v>247</v>
      </c>
      <c r="AH9" s="29"/>
      <c r="AI9" s="29"/>
      <c r="AJ9" s="30"/>
      <c r="AK9" s="5"/>
      <c r="AL9" s="5"/>
      <c r="AM9" s="8" t="s">
        <v>9</v>
      </c>
      <c r="AN9" s="8" t="s">
        <v>127</v>
      </c>
      <c r="AO9" s="28" t="s">
        <v>247</v>
      </c>
      <c r="AP9" s="29"/>
      <c r="AQ9" s="29"/>
      <c r="AR9" s="30"/>
      <c r="AS9" s="5"/>
    </row>
    <row r="10" spans="1:45" x14ac:dyDescent="0.25">
      <c r="B10" s="34"/>
      <c r="C10" s="35"/>
      <c r="D10" s="2" t="s">
        <v>4</v>
      </c>
      <c r="E10" s="2" t="s">
        <v>5</v>
      </c>
      <c r="F10" s="9">
        <v>44779</v>
      </c>
      <c r="G10" s="9">
        <v>44828</v>
      </c>
      <c r="H10" s="2">
        <v>2022</v>
      </c>
      <c r="I10" s="2"/>
      <c r="J10" s="5" t="s">
        <v>108</v>
      </c>
      <c r="K10" s="5" t="s">
        <v>111</v>
      </c>
      <c r="L10" s="5" t="s">
        <v>121</v>
      </c>
      <c r="M10" s="5" t="s">
        <v>128</v>
      </c>
      <c r="N10" s="5" t="s">
        <v>134</v>
      </c>
      <c r="O10" s="5" t="s">
        <v>147</v>
      </c>
      <c r="P10" s="5" t="s">
        <v>151</v>
      </c>
      <c r="Q10" s="5">
        <v>2023</v>
      </c>
      <c r="R10" s="15"/>
      <c r="S10" s="15" t="s">
        <v>166</v>
      </c>
      <c r="T10" s="15" t="s">
        <v>217</v>
      </c>
      <c r="U10" s="15" t="s">
        <v>220</v>
      </c>
      <c r="V10" s="15" t="s">
        <v>222</v>
      </c>
      <c r="W10" s="15" t="s">
        <v>227</v>
      </c>
      <c r="X10" s="15" t="s">
        <v>227</v>
      </c>
      <c r="Y10" s="15" t="s">
        <v>233</v>
      </c>
      <c r="Z10" s="15" t="s">
        <v>238</v>
      </c>
      <c r="AA10" s="15" t="s">
        <v>242</v>
      </c>
      <c r="AB10" s="15" t="s">
        <v>246</v>
      </c>
      <c r="AC10" s="15">
        <v>2024</v>
      </c>
      <c r="AD10" s="5"/>
      <c r="AE10" s="5"/>
      <c r="AF10" s="5"/>
      <c r="AG10" s="5">
        <v>1</v>
      </c>
      <c r="AH10" s="5">
        <v>2</v>
      </c>
      <c r="AI10" s="5">
        <v>3</v>
      </c>
      <c r="AJ10" s="5">
        <v>4</v>
      </c>
      <c r="AK10" s="5">
        <v>2025</v>
      </c>
      <c r="AL10" s="5"/>
      <c r="AM10" s="5"/>
      <c r="AN10" s="5"/>
      <c r="AO10" s="5">
        <v>1</v>
      </c>
      <c r="AP10" s="5">
        <v>2</v>
      </c>
      <c r="AQ10" s="5">
        <v>3</v>
      </c>
      <c r="AR10" s="5">
        <v>4</v>
      </c>
      <c r="AS10" s="5">
        <v>2026</v>
      </c>
    </row>
    <row r="11" spans="1:45" x14ac:dyDescent="0.25">
      <c r="A11">
        <v>1</v>
      </c>
      <c r="B11" s="6" t="s">
        <v>443</v>
      </c>
      <c r="C11" s="6"/>
      <c r="D11" s="6" t="s">
        <v>444</v>
      </c>
      <c r="E11" s="6" t="s">
        <v>17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0"/>
      <c r="AC11" s="6"/>
      <c r="AD11" s="6"/>
      <c r="AE11" s="10"/>
      <c r="AF11" s="10"/>
      <c r="AG11" s="10"/>
      <c r="AH11" s="10"/>
      <c r="AI11" s="10"/>
      <c r="AJ11" s="10"/>
      <c r="AK11" s="6"/>
      <c r="AL11" s="6"/>
      <c r="AM11" s="10">
        <v>36</v>
      </c>
      <c r="AN11" s="10">
        <v>48</v>
      </c>
      <c r="AO11" s="10">
        <v>120</v>
      </c>
      <c r="AP11" s="10">
        <v>36</v>
      </c>
      <c r="AQ11" s="10"/>
      <c r="AR11" s="10">
        <v>4</v>
      </c>
      <c r="AS11" s="6">
        <f>SUM(AL11:AR11)</f>
        <v>244</v>
      </c>
    </row>
    <row r="12" spans="1:45" x14ac:dyDescent="0.25">
      <c r="A12">
        <v>2</v>
      </c>
      <c r="B12" s="6" t="s">
        <v>365</v>
      </c>
      <c r="C12" s="6"/>
      <c r="D12" s="6" t="s">
        <v>31</v>
      </c>
      <c r="E12" s="6" t="s">
        <v>197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0"/>
      <c r="AC12" s="6"/>
      <c r="AD12" s="6"/>
      <c r="AE12" s="10">
        <v>36</v>
      </c>
      <c r="AF12" s="10">
        <v>48</v>
      </c>
      <c r="AG12" s="10">
        <v>6</v>
      </c>
      <c r="AH12" s="10">
        <v>33.6</v>
      </c>
      <c r="AI12" s="10">
        <v>44.8</v>
      </c>
      <c r="AJ12" s="10">
        <v>8</v>
      </c>
      <c r="AK12" s="6">
        <f>SUM(AD12:AJ12)</f>
        <v>176.39999999999998</v>
      </c>
      <c r="AL12" s="6">
        <f>(AK12-AD12)/2</f>
        <v>88.199999999999989</v>
      </c>
      <c r="AM12" s="10">
        <v>36</v>
      </c>
      <c r="AN12" s="10">
        <v>48</v>
      </c>
      <c r="AO12" s="10">
        <v>6</v>
      </c>
      <c r="AP12" s="10">
        <v>36</v>
      </c>
      <c r="AQ12" s="10"/>
      <c r="AR12" s="10"/>
      <c r="AS12" s="6">
        <f>SUM(AL12:AR12)</f>
        <v>214.2</v>
      </c>
    </row>
    <row r="13" spans="1:45" x14ac:dyDescent="0.25">
      <c r="A13" s="21">
        <v>3</v>
      </c>
      <c r="B13" s="6" t="s">
        <v>510</v>
      </c>
      <c r="C13" s="6"/>
      <c r="D13" s="6" t="s">
        <v>511</v>
      </c>
      <c r="E13" s="6" t="s">
        <v>316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0"/>
      <c r="AC13" s="6"/>
      <c r="AD13" s="6"/>
      <c r="AE13" s="10"/>
      <c r="AF13" s="10"/>
      <c r="AG13" s="10"/>
      <c r="AH13" s="10"/>
      <c r="AI13" s="10"/>
      <c r="AJ13" s="10"/>
      <c r="AK13" s="6"/>
      <c r="AL13" s="6"/>
      <c r="AM13" s="10"/>
      <c r="AN13" s="10">
        <v>48</v>
      </c>
      <c r="AO13" s="10"/>
      <c r="AP13" s="10"/>
      <c r="AQ13" s="10"/>
      <c r="AR13" s="10"/>
      <c r="AS13" s="6">
        <f>SUM(AL13:AR13)</f>
        <v>48</v>
      </c>
    </row>
  </sheetData>
  <sortState xmlns:xlrd2="http://schemas.microsoft.com/office/spreadsheetml/2017/richdata2" ref="B11:AS13">
    <sortCondition descending="1" ref="AS11:AS13"/>
  </sortState>
  <mergeCells count="5">
    <mergeCell ref="B8:C10"/>
    <mergeCell ref="AG9:AJ9"/>
    <mergeCell ref="AO9:AR9"/>
    <mergeCell ref="B1:AS1"/>
    <mergeCell ref="D4:AS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3"/>
  <sheetViews>
    <sheetView zoomScale="80" zoomScaleNormal="80" workbookViewId="0">
      <selection activeCell="AU33" sqref="AU33"/>
    </sheetView>
  </sheetViews>
  <sheetFormatPr baseColWidth="10" defaultRowHeight="15" x14ac:dyDescent="0.25"/>
  <cols>
    <col min="1" max="1" width="3" bestFit="1" customWidth="1"/>
    <col min="2" max="2" width="13.42578125" bestFit="1" customWidth="1"/>
    <col min="4" max="4" width="11.7109375" bestFit="1" customWidth="1"/>
    <col min="5" max="5" width="15.140625" bestFit="1" customWidth="1"/>
    <col min="6" max="7" width="6.42578125" hidden="1" customWidth="1"/>
    <col min="8" max="14" width="7.28515625" hidden="1" customWidth="1"/>
    <col min="15" max="15" width="0" hidden="1" customWidth="1"/>
    <col min="16" max="16" width="6.85546875" hidden="1" customWidth="1"/>
    <col min="17" max="30" width="5.5703125" hidden="1" customWidth="1"/>
    <col min="31" max="31" width="6.28515625" hidden="1" customWidth="1"/>
    <col min="32" max="33" width="6.85546875" hidden="1" customWidth="1"/>
    <col min="34" max="36" width="5.5703125" hidden="1" customWidth="1"/>
    <col min="37" max="37" width="6.28515625" style="7" hidden="1" customWidth="1"/>
    <col min="38" max="38" width="7.85546875" style="7" hidden="1" customWidth="1"/>
    <col min="39" max="39" width="8.140625" style="7" hidden="1" customWidth="1"/>
    <col min="40" max="40" width="8.28515625" style="7" hidden="1" customWidth="1"/>
    <col min="41" max="41" width="6.7109375" style="7" hidden="1" customWidth="1"/>
    <col min="42" max="42" width="7.140625" style="7" hidden="1" customWidth="1"/>
    <col min="43" max="43" width="7" style="7" hidden="1" customWidth="1"/>
    <col min="44" max="44" width="7.7109375" style="7" hidden="1" customWidth="1"/>
    <col min="47" max="47" width="9.140625" style="7" customWidth="1"/>
    <col min="48" max="48" width="7.42578125" style="7" customWidth="1"/>
    <col min="49" max="49" width="8.140625" style="7" customWidth="1"/>
    <col min="50" max="52" width="7" style="7" customWidth="1"/>
  </cols>
  <sheetData>
    <row r="1" spans="1:53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</row>
    <row r="2" spans="1:53" ht="15.75" thickBot="1" x14ac:dyDescent="0.3">
      <c r="C2" s="7"/>
      <c r="D2" s="7"/>
      <c r="E2" s="7"/>
    </row>
    <row r="3" spans="1:53" ht="15.75" thickTop="1" x14ac:dyDescent="0.25">
      <c r="B3" s="1" t="s">
        <v>0</v>
      </c>
      <c r="C3" s="4" t="s">
        <v>13</v>
      </c>
    </row>
    <row r="4" spans="1:53" ht="14.45" customHeight="1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</row>
    <row r="5" spans="1:53" ht="15" customHeight="1" thickBot="1" x14ac:dyDescent="0.3">
      <c r="B5" s="3" t="s">
        <v>2</v>
      </c>
      <c r="C5" s="14">
        <v>-36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</row>
    <row r="6" spans="1:53" ht="15.75" thickTop="1" x14ac:dyDescent="0.25"/>
    <row r="7" spans="1:53" ht="15.75" thickBot="1" x14ac:dyDescent="0.3"/>
    <row r="8" spans="1:53" ht="15.75" thickTop="1" x14ac:dyDescent="0.25">
      <c r="B8" s="24" t="s">
        <v>8</v>
      </c>
      <c r="C8" s="25"/>
      <c r="D8" s="1"/>
      <c r="E8" s="1"/>
      <c r="F8" s="4" t="s">
        <v>9</v>
      </c>
      <c r="G8" s="4" t="s">
        <v>33</v>
      </c>
      <c r="H8" s="4" t="s">
        <v>55</v>
      </c>
      <c r="I8" s="4" t="s">
        <v>72</v>
      </c>
      <c r="J8" s="4" t="s">
        <v>80</v>
      </c>
      <c r="K8" s="4" t="s">
        <v>84</v>
      </c>
      <c r="L8" s="4" t="s">
        <v>9</v>
      </c>
      <c r="M8" s="4" t="s">
        <v>9</v>
      </c>
      <c r="N8" s="4" t="s">
        <v>100</v>
      </c>
      <c r="O8" s="1"/>
      <c r="P8" s="12">
        <v>44927</v>
      </c>
      <c r="Q8" s="4" t="s">
        <v>9</v>
      </c>
      <c r="R8" s="4" t="s">
        <v>103</v>
      </c>
      <c r="S8" s="4" t="s">
        <v>9</v>
      </c>
      <c r="T8" s="4" t="s">
        <v>127</v>
      </c>
      <c r="U8" s="4" t="s">
        <v>127</v>
      </c>
      <c r="V8" s="4" t="s">
        <v>127</v>
      </c>
      <c r="W8" s="4" t="s">
        <v>9</v>
      </c>
      <c r="X8" s="4" t="s">
        <v>103</v>
      </c>
      <c r="Y8" s="4" t="s">
        <v>9</v>
      </c>
      <c r="Z8" s="4" t="s">
        <v>9</v>
      </c>
      <c r="AA8" s="4" t="s">
        <v>103</v>
      </c>
      <c r="AB8" s="4" t="s">
        <v>9</v>
      </c>
      <c r="AC8" s="4" t="s">
        <v>9</v>
      </c>
      <c r="AD8" s="4" t="s">
        <v>104</v>
      </c>
      <c r="AE8" s="4" t="s">
        <v>6</v>
      </c>
      <c r="AF8" s="13">
        <v>45292</v>
      </c>
      <c r="AG8" s="13" t="s">
        <v>9</v>
      </c>
      <c r="AH8" s="13" t="s">
        <v>9</v>
      </c>
      <c r="AI8" s="13" t="s">
        <v>127</v>
      </c>
      <c r="AJ8" s="13" t="s">
        <v>103</v>
      </c>
      <c r="AK8" s="13" t="s">
        <v>6</v>
      </c>
      <c r="AL8" s="13">
        <v>45658</v>
      </c>
      <c r="AM8" s="13"/>
      <c r="AN8" s="13"/>
      <c r="AO8" s="18"/>
      <c r="AP8" s="19"/>
      <c r="AQ8" s="19"/>
      <c r="AR8" s="20"/>
      <c r="AS8" s="13" t="s">
        <v>6</v>
      </c>
      <c r="AT8" s="13">
        <v>46023</v>
      </c>
      <c r="AU8" s="13"/>
      <c r="AV8" s="13"/>
      <c r="AW8" s="18"/>
      <c r="AX8" s="19"/>
      <c r="AY8" s="19"/>
      <c r="AZ8" s="20"/>
      <c r="BA8" s="13" t="s">
        <v>6</v>
      </c>
    </row>
    <row r="9" spans="1:53" x14ac:dyDescent="0.25">
      <c r="B9" s="26"/>
      <c r="C9" s="27"/>
      <c r="D9" s="2"/>
      <c r="E9" s="2"/>
      <c r="F9" s="8" t="s">
        <v>22</v>
      </c>
      <c r="G9" s="8" t="s">
        <v>34</v>
      </c>
      <c r="H9" s="8" t="s">
        <v>56</v>
      </c>
      <c r="I9" s="8" t="s">
        <v>75</v>
      </c>
      <c r="J9" s="8" t="s">
        <v>81</v>
      </c>
      <c r="K9" s="8" t="s">
        <v>34</v>
      </c>
      <c r="L9" s="8" t="s">
        <v>22</v>
      </c>
      <c r="M9" s="8" t="s">
        <v>70</v>
      </c>
      <c r="N9" s="8" t="s">
        <v>101</v>
      </c>
      <c r="O9" s="2" t="s">
        <v>6</v>
      </c>
      <c r="P9" s="2"/>
      <c r="Q9" s="8" t="s">
        <v>22</v>
      </c>
      <c r="R9" s="8" t="s">
        <v>72</v>
      </c>
      <c r="S9" s="8" t="s">
        <v>70</v>
      </c>
      <c r="T9" s="8" t="s">
        <v>76</v>
      </c>
      <c r="U9" s="8" t="s">
        <v>80</v>
      </c>
      <c r="V9" s="8" t="s">
        <v>72</v>
      </c>
      <c r="W9" s="8" t="s">
        <v>65</v>
      </c>
      <c r="X9" s="8" t="s">
        <v>76</v>
      </c>
      <c r="Y9" s="8" t="s">
        <v>22</v>
      </c>
      <c r="Z9" s="8" t="s">
        <v>89</v>
      </c>
      <c r="AA9" s="8" t="s">
        <v>80</v>
      </c>
      <c r="AB9" s="8" t="s">
        <v>159</v>
      </c>
      <c r="AC9" s="8" t="s">
        <v>30</v>
      </c>
      <c r="AD9" s="8"/>
      <c r="AE9" s="2"/>
      <c r="AF9" s="5"/>
      <c r="AG9" s="5" t="s">
        <v>65</v>
      </c>
      <c r="AH9" s="5" t="s">
        <v>85</v>
      </c>
      <c r="AI9" s="5" t="s">
        <v>72</v>
      </c>
      <c r="AJ9" s="5" t="s">
        <v>72</v>
      </c>
      <c r="AK9" s="5"/>
      <c r="AL9" s="5"/>
      <c r="AM9" s="8" t="s">
        <v>9</v>
      </c>
      <c r="AN9" s="8" t="s">
        <v>127</v>
      </c>
      <c r="AO9" s="28" t="s">
        <v>247</v>
      </c>
      <c r="AP9" s="29"/>
      <c r="AQ9" s="29"/>
      <c r="AR9" s="30"/>
      <c r="AS9" s="5"/>
      <c r="AT9" s="5"/>
      <c r="AU9" s="8" t="s">
        <v>9</v>
      </c>
      <c r="AV9" s="8" t="s">
        <v>127</v>
      </c>
      <c r="AW9" s="28" t="s">
        <v>247</v>
      </c>
      <c r="AX9" s="29"/>
      <c r="AY9" s="29"/>
      <c r="AZ9" s="30"/>
      <c r="BA9" s="5"/>
    </row>
    <row r="10" spans="1:53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44681</v>
      </c>
      <c r="H10" s="9">
        <v>44696</v>
      </c>
      <c r="I10" s="9">
        <v>44730</v>
      </c>
      <c r="J10" s="9">
        <v>44737</v>
      </c>
      <c r="K10" s="9">
        <v>44759</v>
      </c>
      <c r="L10" s="9">
        <v>44779</v>
      </c>
      <c r="M10" s="9">
        <v>44800</v>
      </c>
      <c r="N10" s="9">
        <v>44868</v>
      </c>
      <c r="O10" s="2">
        <v>2022</v>
      </c>
      <c r="P10" s="2"/>
      <c r="Q10" s="2" t="s">
        <v>106</v>
      </c>
      <c r="R10" s="5" t="s">
        <v>111</v>
      </c>
      <c r="S10" s="5" t="s">
        <v>123</v>
      </c>
      <c r="T10" s="5" t="s">
        <v>128</v>
      </c>
      <c r="U10" s="5" t="s">
        <v>133</v>
      </c>
      <c r="V10" s="5" t="s">
        <v>134</v>
      </c>
      <c r="W10" s="5" t="s">
        <v>138</v>
      </c>
      <c r="X10" s="5" t="s">
        <v>140</v>
      </c>
      <c r="Y10" s="5" t="s">
        <v>146</v>
      </c>
      <c r="Z10" s="5" t="s">
        <v>147</v>
      </c>
      <c r="AA10" s="5" t="s">
        <v>156</v>
      </c>
      <c r="AB10" s="5" t="s">
        <v>160</v>
      </c>
      <c r="AC10" s="5" t="s">
        <v>161</v>
      </c>
      <c r="AD10" s="5" t="s">
        <v>165</v>
      </c>
      <c r="AE10" s="2">
        <v>2023</v>
      </c>
      <c r="AF10" s="15"/>
      <c r="AG10" s="15" t="s">
        <v>166</v>
      </c>
      <c r="AH10" s="15" t="s">
        <v>166</v>
      </c>
      <c r="AI10" s="15" t="s">
        <v>217</v>
      </c>
      <c r="AJ10" s="15" t="s">
        <v>222</v>
      </c>
      <c r="AK10" s="15">
        <v>2024</v>
      </c>
      <c r="AL10" s="5"/>
      <c r="AM10" s="5"/>
      <c r="AN10" s="5"/>
      <c r="AO10" s="5">
        <v>1</v>
      </c>
      <c r="AP10" s="5">
        <v>2</v>
      </c>
      <c r="AQ10" s="5">
        <v>3</v>
      </c>
      <c r="AR10" s="5">
        <v>4</v>
      </c>
      <c r="AS10" s="5">
        <v>2025</v>
      </c>
      <c r="AT10" s="5"/>
      <c r="AU10" s="5"/>
      <c r="AV10" s="5"/>
      <c r="AW10" s="5">
        <v>1</v>
      </c>
      <c r="AX10" s="5">
        <v>2</v>
      </c>
      <c r="AY10" s="5">
        <v>3</v>
      </c>
      <c r="AZ10" s="5">
        <v>4</v>
      </c>
      <c r="BA10" s="5">
        <v>2026</v>
      </c>
    </row>
    <row r="11" spans="1:53" x14ac:dyDescent="0.25">
      <c r="A11">
        <v>1</v>
      </c>
      <c r="B11" s="6" t="s">
        <v>66</v>
      </c>
      <c r="C11" s="6"/>
      <c r="D11" s="6" t="s">
        <v>366</v>
      </c>
      <c r="E11" s="6" t="s">
        <v>197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0"/>
      <c r="AL11" s="10"/>
      <c r="AM11" s="10">
        <v>36</v>
      </c>
      <c r="AN11" s="10">
        <v>64</v>
      </c>
      <c r="AO11" s="10">
        <v>120</v>
      </c>
      <c r="AP11" s="10">
        <v>160</v>
      </c>
      <c r="AQ11" s="10">
        <v>90</v>
      </c>
      <c r="AR11" s="10">
        <v>64</v>
      </c>
      <c r="AS11" s="6">
        <f>SUM(AL11:AR11)</f>
        <v>534</v>
      </c>
      <c r="AT11" s="6">
        <f>(AS11-AL11)/2</f>
        <v>267</v>
      </c>
      <c r="AU11" s="10">
        <v>33.6</v>
      </c>
      <c r="AV11" s="10">
        <v>40</v>
      </c>
      <c r="AW11" s="10">
        <v>75</v>
      </c>
      <c r="AX11" s="10">
        <v>33.6</v>
      </c>
      <c r="AY11" s="10"/>
      <c r="AZ11" s="10"/>
      <c r="BA11" s="6">
        <f t="shared" ref="BA11:BA23" si="0">SUM(AT11:AZ11)</f>
        <v>449.20000000000005</v>
      </c>
    </row>
    <row r="12" spans="1:53" x14ac:dyDescent="0.25">
      <c r="A12">
        <v>2</v>
      </c>
      <c r="B12" s="6" t="s">
        <v>19</v>
      </c>
      <c r="C12" s="6"/>
      <c r="D12" s="6" t="s">
        <v>208</v>
      </c>
      <c r="E12" s="6" t="s">
        <v>41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0"/>
      <c r="AL12" s="10"/>
      <c r="AM12" s="10"/>
      <c r="AN12" s="10"/>
      <c r="AO12" s="10"/>
      <c r="AP12" s="10"/>
      <c r="AQ12" s="10"/>
      <c r="AR12" s="10"/>
      <c r="AS12" s="6"/>
      <c r="AT12" s="6"/>
      <c r="AU12" s="10">
        <v>48</v>
      </c>
      <c r="AV12" s="10">
        <v>80</v>
      </c>
      <c r="AW12" s="10">
        <v>150</v>
      </c>
      <c r="AX12" s="10">
        <v>48</v>
      </c>
      <c r="AY12" s="10"/>
      <c r="AZ12" s="10">
        <v>80</v>
      </c>
      <c r="BA12" s="6">
        <f t="shared" si="0"/>
        <v>406</v>
      </c>
    </row>
    <row r="13" spans="1:53" x14ac:dyDescent="0.25">
      <c r="A13">
        <v>3</v>
      </c>
      <c r="B13" s="6" t="s">
        <v>206</v>
      </c>
      <c r="C13" s="6"/>
      <c r="D13" s="6" t="s">
        <v>63</v>
      </c>
      <c r="E13" s="6" t="s">
        <v>39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10"/>
      <c r="AL13" s="10"/>
      <c r="AM13" s="10"/>
      <c r="AN13" s="10"/>
      <c r="AO13" s="10"/>
      <c r="AP13" s="10"/>
      <c r="AQ13" s="10"/>
      <c r="AR13" s="10"/>
      <c r="AS13" s="6"/>
      <c r="AT13" s="6"/>
      <c r="AU13" s="10">
        <v>33.6</v>
      </c>
      <c r="AV13" s="10">
        <v>40</v>
      </c>
      <c r="AW13" s="10">
        <v>105</v>
      </c>
      <c r="AX13" s="10">
        <v>60</v>
      </c>
      <c r="AY13" s="10">
        <v>33.6</v>
      </c>
      <c r="AZ13" s="10"/>
      <c r="BA13" s="6">
        <f t="shared" si="0"/>
        <v>272.2</v>
      </c>
    </row>
    <row r="14" spans="1:53" x14ac:dyDescent="0.25">
      <c r="A14" s="21">
        <v>4</v>
      </c>
      <c r="B14" s="6" t="s">
        <v>66</v>
      </c>
      <c r="C14" s="6"/>
      <c r="D14" s="6" t="s">
        <v>435</v>
      </c>
      <c r="E14" s="6" t="s">
        <v>197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10"/>
      <c r="AL14" s="10"/>
      <c r="AM14" s="10"/>
      <c r="AN14" s="10"/>
      <c r="AO14" s="10"/>
      <c r="AP14" s="10"/>
      <c r="AQ14" s="10"/>
      <c r="AR14" s="10"/>
      <c r="AS14" s="6"/>
      <c r="AT14" s="6"/>
      <c r="AU14" s="10">
        <v>48</v>
      </c>
      <c r="AV14" s="10">
        <v>56</v>
      </c>
      <c r="AW14" s="10">
        <v>75</v>
      </c>
      <c r="AX14" s="10">
        <v>48</v>
      </c>
      <c r="AY14" s="10"/>
      <c r="AZ14" s="10"/>
      <c r="BA14" s="6">
        <f t="shared" si="0"/>
        <v>227</v>
      </c>
    </row>
    <row r="15" spans="1:53" x14ac:dyDescent="0.25">
      <c r="A15">
        <v>5</v>
      </c>
      <c r="B15" s="6" t="s">
        <v>112</v>
      </c>
      <c r="C15" s="6"/>
      <c r="D15" s="6" t="s">
        <v>177</v>
      </c>
      <c r="E15" s="6" t="s">
        <v>23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10"/>
      <c r="AL15" s="10"/>
      <c r="AM15" s="10"/>
      <c r="AN15" s="10"/>
      <c r="AO15" s="10"/>
      <c r="AP15" s="10"/>
      <c r="AQ15" s="10"/>
      <c r="AR15" s="10"/>
      <c r="AS15" s="6"/>
      <c r="AT15" s="6">
        <v>126</v>
      </c>
      <c r="AU15" s="10">
        <v>36</v>
      </c>
      <c r="AV15" s="10">
        <v>3.2</v>
      </c>
      <c r="AW15" s="10"/>
      <c r="AX15" s="10"/>
      <c r="AY15" s="10"/>
      <c r="AZ15" s="10"/>
      <c r="BA15" s="6">
        <f t="shared" si="0"/>
        <v>165.2</v>
      </c>
    </row>
    <row r="16" spans="1:53" x14ac:dyDescent="0.25">
      <c r="A16">
        <v>6</v>
      </c>
      <c r="B16" s="6" t="s">
        <v>518</v>
      </c>
      <c r="C16" s="6"/>
      <c r="D16" s="6" t="s">
        <v>519</v>
      </c>
      <c r="E16" s="6" t="s">
        <v>390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10"/>
      <c r="AL16" s="10"/>
      <c r="AM16" s="10"/>
      <c r="AN16" s="10"/>
      <c r="AO16" s="10"/>
      <c r="AP16" s="10"/>
      <c r="AQ16" s="10"/>
      <c r="AR16" s="10"/>
      <c r="AS16" s="6"/>
      <c r="AT16" s="6"/>
      <c r="AU16" s="10"/>
      <c r="AV16" s="10">
        <v>64</v>
      </c>
      <c r="AW16" s="10"/>
      <c r="AX16" s="10"/>
      <c r="AY16" s="10"/>
      <c r="AZ16" s="10"/>
      <c r="BA16" s="6">
        <f t="shared" si="0"/>
        <v>64</v>
      </c>
    </row>
    <row r="17" spans="1:53" x14ac:dyDescent="0.25">
      <c r="A17">
        <v>7</v>
      </c>
      <c r="B17" s="6" t="s">
        <v>510</v>
      </c>
      <c r="C17" s="6"/>
      <c r="D17" s="6" t="s">
        <v>511</v>
      </c>
      <c r="E17" s="6" t="s">
        <v>316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10"/>
      <c r="AL17" s="10"/>
      <c r="AM17" s="10"/>
      <c r="AN17" s="10"/>
      <c r="AO17" s="10"/>
      <c r="AP17" s="10"/>
      <c r="AQ17" s="10"/>
      <c r="AR17" s="10"/>
      <c r="AS17" s="6"/>
      <c r="AT17" s="6"/>
      <c r="AU17" s="10">
        <v>36</v>
      </c>
      <c r="AV17" s="10"/>
      <c r="AW17" s="10"/>
      <c r="AX17" s="10"/>
      <c r="AY17" s="10"/>
      <c r="AZ17" s="10"/>
      <c r="BA17" s="6">
        <f t="shared" si="0"/>
        <v>36</v>
      </c>
    </row>
    <row r="18" spans="1:53" x14ac:dyDescent="0.25">
      <c r="A18">
        <v>8</v>
      </c>
      <c r="B18" s="6" t="s">
        <v>491</v>
      </c>
      <c r="C18" s="6"/>
      <c r="D18" s="6" t="s">
        <v>383</v>
      </c>
      <c r="E18" s="6" t="s">
        <v>492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10"/>
      <c r="AL18" s="10"/>
      <c r="AM18" s="10"/>
      <c r="AN18" s="10"/>
      <c r="AO18" s="10"/>
      <c r="AP18" s="10"/>
      <c r="AQ18" s="10"/>
      <c r="AR18" s="10"/>
      <c r="AS18" s="6"/>
      <c r="AT18" s="6"/>
      <c r="AU18" s="10">
        <v>2.4</v>
      </c>
      <c r="AV18" s="10">
        <v>28.8</v>
      </c>
      <c r="AW18" s="10"/>
      <c r="AX18" s="10"/>
      <c r="AY18" s="10"/>
      <c r="AZ18" s="10"/>
      <c r="BA18" s="6">
        <f t="shared" si="0"/>
        <v>31.2</v>
      </c>
    </row>
    <row r="19" spans="1:53" x14ac:dyDescent="0.25">
      <c r="A19">
        <v>9</v>
      </c>
      <c r="B19" s="6" t="s">
        <v>48</v>
      </c>
      <c r="C19" s="6"/>
      <c r="D19" s="6" t="s">
        <v>351</v>
      </c>
      <c r="E19" s="6" t="s">
        <v>224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10"/>
      <c r="AL19" s="10"/>
      <c r="AM19" s="10"/>
      <c r="AN19" s="10"/>
      <c r="AO19" s="10">
        <v>60</v>
      </c>
      <c r="AP19" s="10"/>
      <c r="AQ19" s="10"/>
      <c r="AR19" s="10"/>
      <c r="AS19" s="6">
        <f>SUM(AL19:AR19)</f>
        <v>60</v>
      </c>
      <c r="AT19" s="6">
        <f>(AS19-AL19)/2</f>
        <v>30</v>
      </c>
      <c r="AU19" s="10"/>
      <c r="AV19" s="10"/>
      <c r="AW19" s="10"/>
      <c r="AX19" s="10"/>
      <c r="AY19" s="10"/>
      <c r="AZ19" s="10"/>
      <c r="BA19" s="6">
        <f t="shared" si="0"/>
        <v>30</v>
      </c>
    </row>
    <row r="20" spans="1:53" x14ac:dyDescent="0.25">
      <c r="A20">
        <v>10</v>
      </c>
      <c r="B20" s="6" t="s">
        <v>21</v>
      </c>
      <c r="C20" s="6"/>
      <c r="D20" s="6" t="s">
        <v>424</v>
      </c>
      <c r="E20" s="6" t="s">
        <v>425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10"/>
      <c r="AL20" s="10"/>
      <c r="AM20" s="10"/>
      <c r="AN20" s="10"/>
      <c r="AO20" s="10"/>
      <c r="AP20" s="10"/>
      <c r="AQ20" s="10"/>
      <c r="AR20" s="10"/>
      <c r="AS20" s="6"/>
      <c r="AT20" s="6"/>
      <c r="AU20" s="10">
        <v>2.4</v>
      </c>
      <c r="AV20" s="10">
        <v>4</v>
      </c>
      <c r="AW20" s="10">
        <v>7.5</v>
      </c>
      <c r="AX20" s="10"/>
      <c r="AY20" s="10"/>
      <c r="AZ20" s="10"/>
      <c r="BA20" s="6">
        <f t="shared" si="0"/>
        <v>13.9</v>
      </c>
    </row>
    <row r="21" spans="1:53" x14ac:dyDescent="0.25">
      <c r="A21">
        <v>11</v>
      </c>
      <c r="B21" s="6" t="s">
        <v>113</v>
      </c>
      <c r="C21" s="6"/>
      <c r="D21" s="6" t="s">
        <v>367</v>
      </c>
      <c r="E21" s="6" t="s">
        <v>393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10"/>
      <c r="AL21" s="10"/>
      <c r="AM21" s="10"/>
      <c r="AN21" s="10">
        <v>3.2</v>
      </c>
      <c r="AO21" s="10">
        <v>6</v>
      </c>
      <c r="AP21" s="10">
        <v>3.2</v>
      </c>
      <c r="AQ21" s="10">
        <v>8</v>
      </c>
      <c r="AR21" s="23"/>
      <c r="AS21" s="6">
        <f>SUM(AL21:AR21)</f>
        <v>20.399999999999999</v>
      </c>
      <c r="AT21" s="6">
        <f>(AS21-AL21)/2</f>
        <v>10.199999999999999</v>
      </c>
      <c r="AU21" s="10"/>
      <c r="AV21" s="10"/>
      <c r="AW21" s="10"/>
      <c r="AX21" s="10"/>
      <c r="AY21" s="10"/>
      <c r="AZ21" s="10"/>
      <c r="BA21" s="6">
        <f t="shared" si="0"/>
        <v>10.199999999999999</v>
      </c>
    </row>
    <row r="22" spans="1:53" x14ac:dyDescent="0.25">
      <c r="A22">
        <v>12</v>
      </c>
      <c r="B22" s="6" t="s">
        <v>436</v>
      </c>
      <c r="C22" s="6"/>
      <c r="D22" s="6" t="s">
        <v>38</v>
      </c>
      <c r="E22" s="6" t="s">
        <v>197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10"/>
      <c r="AL22" s="10"/>
      <c r="AM22" s="10"/>
      <c r="AN22" s="10"/>
      <c r="AO22" s="10"/>
      <c r="AP22" s="10"/>
      <c r="AQ22" s="10"/>
      <c r="AR22" s="23"/>
      <c r="AS22" s="6"/>
      <c r="AT22" s="6"/>
      <c r="AU22" s="10">
        <v>2.4</v>
      </c>
      <c r="AV22" s="10"/>
      <c r="AW22" s="10">
        <v>7.5</v>
      </c>
      <c r="AX22" s="10"/>
      <c r="AY22" s="10"/>
      <c r="AZ22" s="10"/>
      <c r="BA22" s="6">
        <f t="shared" si="0"/>
        <v>9.9</v>
      </c>
    </row>
    <row r="23" spans="1:53" x14ac:dyDescent="0.25">
      <c r="B23" s="6" t="s">
        <v>493</v>
      </c>
      <c r="C23" s="6"/>
      <c r="D23" s="6" t="s">
        <v>459</v>
      </c>
      <c r="E23" s="6" t="s">
        <v>62</v>
      </c>
      <c r="AS23" s="6"/>
      <c r="AT23" s="6"/>
      <c r="AU23" s="10"/>
      <c r="AV23" s="10">
        <v>4</v>
      </c>
      <c r="AW23" s="10"/>
      <c r="AX23" s="10"/>
      <c r="AY23" s="10"/>
      <c r="AZ23" s="10"/>
      <c r="BA23" s="6">
        <f t="shared" si="0"/>
        <v>4</v>
      </c>
    </row>
  </sheetData>
  <sortState xmlns:xlrd2="http://schemas.microsoft.com/office/spreadsheetml/2017/richdata2" ref="B11:BA23">
    <sortCondition descending="1" ref="BA11:BA23"/>
  </sortState>
  <mergeCells count="5">
    <mergeCell ref="B8:C10"/>
    <mergeCell ref="AO9:AR9"/>
    <mergeCell ref="AW9:AZ9"/>
    <mergeCell ref="D4:BA5"/>
    <mergeCell ref="B1:BA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24"/>
  <sheetViews>
    <sheetView zoomScale="80" zoomScaleNormal="80" workbookViewId="0">
      <selection activeCell="BS31" sqref="BS31"/>
    </sheetView>
  </sheetViews>
  <sheetFormatPr baseColWidth="10" defaultRowHeight="15" x14ac:dyDescent="0.25"/>
  <cols>
    <col min="1" max="1" width="3" bestFit="1" customWidth="1"/>
    <col min="2" max="2" width="12.42578125" bestFit="1" customWidth="1"/>
    <col min="3" max="3" width="9.85546875" bestFit="1" customWidth="1"/>
    <col min="4" max="4" width="12.28515625" bestFit="1" customWidth="1"/>
    <col min="5" max="5" width="14.85546875" bestFit="1" customWidth="1"/>
    <col min="6" max="6" width="6.5703125" hidden="1" customWidth="1"/>
    <col min="7" max="7" width="6.5703125" style="7" hidden="1" customWidth="1"/>
    <col min="8" max="9" width="6.42578125" hidden="1" customWidth="1"/>
    <col min="10" max="10" width="7.28515625" hidden="1" customWidth="1"/>
    <col min="11" max="12" width="7.28515625" style="7" hidden="1" customWidth="1"/>
    <col min="13" max="15" width="6.28515625" style="7" hidden="1" customWidth="1"/>
    <col min="16" max="16" width="6.7109375" style="7" hidden="1" customWidth="1"/>
    <col min="17" max="20" width="7.28515625" style="7" hidden="1" customWidth="1"/>
    <col min="21" max="21" width="11" hidden="1" customWidth="1"/>
    <col min="22" max="22" width="6.85546875" style="7" hidden="1" customWidth="1"/>
    <col min="23" max="35" width="5.5703125" hidden="1" customWidth="1"/>
    <col min="36" max="36" width="6.28515625" hidden="1" customWidth="1"/>
    <col min="37" max="37" width="6.85546875" hidden="1" customWidth="1"/>
    <col min="38" max="42" width="5.5703125" hidden="1" customWidth="1"/>
    <col min="43" max="56" width="5.5703125" style="7" hidden="1" customWidth="1"/>
    <col min="57" max="57" width="6.85546875" style="7" hidden="1" customWidth="1"/>
    <col min="58" max="58" width="6.28515625" style="7" hidden="1" customWidth="1"/>
    <col min="59" max="59" width="9.42578125" style="7" hidden="1" customWidth="1"/>
    <col min="60" max="61" width="5.42578125" style="7" hidden="1" customWidth="1"/>
    <col min="62" max="62" width="6.7109375" style="7" hidden="1" customWidth="1"/>
    <col min="63" max="63" width="8.140625" style="7" hidden="1" customWidth="1"/>
    <col min="64" max="65" width="0" style="7" hidden="1" customWidth="1"/>
    <col min="68" max="68" width="9.140625" style="7" customWidth="1"/>
    <col min="69" max="69" width="10" style="7" customWidth="1"/>
    <col min="70" max="70" width="7.42578125" style="7" customWidth="1"/>
    <col min="71" max="73" width="6.42578125" style="7" customWidth="1"/>
  </cols>
  <sheetData>
    <row r="1" spans="1:74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4" ht="15.75" thickBot="1" x14ac:dyDescent="0.3">
      <c r="C2" s="7"/>
      <c r="D2" s="7"/>
      <c r="E2" s="7"/>
    </row>
    <row r="3" spans="1:74" ht="15.75" thickTop="1" x14ac:dyDescent="0.25">
      <c r="B3" s="1" t="s">
        <v>0</v>
      </c>
      <c r="C3" s="4" t="s">
        <v>13</v>
      </c>
    </row>
    <row r="4" spans="1:74" ht="14.65" customHeight="1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74" ht="15" customHeight="1" thickBot="1" x14ac:dyDescent="0.3">
      <c r="B5" s="3" t="s">
        <v>2</v>
      </c>
      <c r="C5" s="14">
        <v>-40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</row>
    <row r="6" spans="1:74" ht="15.75" thickTop="1" x14ac:dyDescent="0.25"/>
    <row r="7" spans="1:74" ht="15.75" thickBot="1" x14ac:dyDescent="0.3"/>
    <row r="8" spans="1:74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9</v>
      </c>
      <c r="I8" s="4" t="s">
        <v>33</v>
      </c>
      <c r="J8" s="4" t="s">
        <v>55</v>
      </c>
      <c r="K8" s="4" t="s">
        <v>9</v>
      </c>
      <c r="L8" s="4" t="s">
        <v>72</v>
      </c>
      <c r="M8" s="4" t="s">
        <v>76</v>
      </c>
      <c r="N8" s="4" t="s">
        <v>80</v>
      </c>
      <c r="O8" s="4" t="s">
        <v>84</v>
      </c>
      <c r="P8" s="4" t="s">
        <v>9</v>
      </c>
      <c r="Q8" s="4" t="s">
        <v>9</v>
      </c>
      <c r="R8" s="4" t="s">
        <v>9</v>
      </c>
      <c r="S8" s="4" t="s">
        <v>96</v>
      </c>
      <c r="T8" s="4" t="s">
        <v>100</v>
      </c>
      <c r="U8" s="1"/>
      <c r="V8" s="13">
        <v>44927</v>
      </c>
      <c r="W8" s="4" t="s">
        <v>9</v>
      </c>
      <c r="X8" s="4" t="s">
        <v>9</v>
      </c>
      <c r="Y8" s="4" t="s">
        <v>103</v>
      </c>
      <c r="Z8" s="4" t="s">
        <v>9</v>
      </c>
      <c r="AA8" s="4" t="s">
        <v>9</v>
      </c>
      <c r="AB8" s="4" t="s">
        <v>127</v>
      </c>
      <c r="AC8" s="4" t="s">
        <v>127</v>
      </c>
      <c r="AD8" s="4" t="s">
        <v>127</v>
      </c>
      <c r="AE8" s="4" t="s">
        <v>9</v>
      </c>
      <c r="AF8" s="4" t="s">
        <v>9</v>
      </c>
      <c r="AG8" s="4" t="s">
        <v>103</v>
      </c>
      <c r="AH8" s="4" t="s">
        <v>9</v>
      </c>
      <c r="AI8" s="4" t="s">
        <v>104</v>
      </c>
      <c r="AJ8" s="4" t="s">
        <v>6</v>
      </c>
      <c r="AK8" s="13">
        <v>45292</v>
      </c>
      <c r="AL8" s="13" t="s">
        <v>9</v>
      </c>
      <c r="AM8" s="13" t="s">
        <v>9</v>
      </c>
      <c r="AN8" s="13" t="s">
        <v>9</v>
      </c>
      <c r="AO8" s="13" t="s">
        <v>9</v>
      </c>
      <c r="AP8" s="13" t="s">
        <v>9</v>
      </c>
      <c r="AQ8" s="13" t="s">
        <v>103</v>
      </c>
      <c r="AR8" s="13" t="s">
        <v>9</v>
      </c>
      <c r="AS8" s="13" t="s">
        <v>103</v>
      </c>
      <c r="AT8" s="13" t="s">
        <v>127</v>
      </c>
      <c r="AU8" s="13" t="s">
        <v>127</v>
      </c>
      <c r="AV8" s="13" t="s">
        <v>127</v>
      </c>
      <c r="AW8" s="13" t="s">
        <v>103</v>
      </c>
      <c r="AX8" s="13" t="s">
        <v>9</v>
      </c>
      <c r="AY8" s="13" t="s">
        <v>9</v>
      </c>
      <c r="AZ8" s="13" t="s">
        <v>9</v>
      </c>
      <c r="BA8" s="13" t="s">
        <v>9</v>
      </c>
      <c r="BB8" s="13" t="s">
        <v>103</v>
      </c>
      <c r="BC8" s="13" t="s">
        <v>100</v>
      </c>
      <c r="BD8" s="13" t="s">
        <v>241</v>
      </c>
      <c r="BE8" s="13" t="s">
        <v>104</v>
      </c>
      <c r="BF8" s="13" t="s">
        <v>6</v>
      </c>
      <c r="BG8" s="13">
        <v>45658</v>
      </c>
      <c r="BH8" s="13"/>
      <c r="BI8" s="13"/>
      <c r="BJ8" s="18"/>
      <c r="BK8" s="19"/>
      <c r="BL8" s="19"/>
      <c r="BM8" s="20"/>
      <c r="BN8" s="13" t="s">
        <v>6</v>
      </c>
      <c r="BO8" s="13">
        <v>46023</v>
      </c>
      <c r="BP8" s="13"/>
      <c r="BQ8" s="13"/>
      <c r="BR8" s="18"/>
      <c r="BS8" s="19"/>
      <c r="BT8" s="19"/>
      <c r="BU8" s="20"/>
      <c r="BV8" s="13" t="s">
        <v>6</v>
      </c>
    </row>
    <row r="9" spans="1:74" x14ac:dyDescent="0.25">
      <c r="B9" s="26"/>
      <c r="C9" s="27"/>
      <c r="D9" s="2"/>
      <c r="E9" s="2"/>
      <c r="F9" s="8" t="s">
        <v>22</v>
      </c>
      <c r="G9" s="8" t="s">
        <v>10</v>
      </c>
      <c r="H9" s="5" t="s">
        <v>30</v>
      </c>
      <c r="I9" s="8" t="s">
        <v>34</v>
      </c>
      <c r="J9" s="8" t="s">
        <v>56</v>
      </c>
      <c r="K9" s="8" t="s">
        <v>65</v>
      </c>
      <c r="L9" s="8" t="s">
        <v>75</v>
      </c>
      <c r="M9" s="8" t="s">
        <v>77</v>
      </c>
      <c r="N9" s="8" t="s">
        <v>81</v>
      </c>
      <c r="O9" s="8" t="s">
        <v>34</v>
      </c>
      <c r="P9" s="8" t="s">
        <v>22</v>
      </c>
      <c r="Q9" s="8" t="s">
        <v>10</v>
      </c>
      <c r="R9" s="8" t="s">
        <v>89</v>
      </c>
      <c r="S9" s="8" t="s">
        <v>97</v>
      </c>
      <c r="T9" s="8" t="s">
        <v>101</v>
      </c>
      <c r="U9" s="2" t="s">
        <v>6</v>
      </c>
      <c r="V9" s="5"/>
      <c r="W9" s="8" t="s">
        <v>22</v>
      </c>
      <c r="X9" s="8" t="s">
        <v>85</v>
      </c>
      <c r="Y9" s="8" t="s">
        <v>72</v>
      </c>
      <c r="Z9" s="8" t="s">
        <v>70</v>
      </c>
      <c r="AA9" s="8" t="s">
        <v>89</v>
      </c>
      <c r="AB9" s="8" t="s">
        <v>76</v>
      </c>
      <c r="AC9" s="8" t="s">
        <v>80</v>
      </c>
      <c r="AD9" s="8" t="s">
        <v>72</v>
      </c>
      <c r="AE9" s="8" t="s">
        <v>70</v>
      </c>
      <c r="AF9" s="8" t="s">
        <v>18</v>
      </c>
      <c r="AG9" s="8" t="s">
        <v>80</v>
      </c>
      <c r="AH9" s="8" t="s">
        <v>65</v>
      </c>
      <c r="AI9" s="8"/>
      <c r="AJ9" s="2"/>
      <c r="AK9" s="5"/>
      <c r="AL9" s="5" t="s">
        <v>85</v>
      </c>
      <c r="AM9" s="5" t="s">
        <v>181</v>
      </c>
      <c r="AN9" s="5" t="s">
        <v>142</v>
      </c>
      <c r="AO9" s="5" t="s">
        <v>22</v>
      </c>
      <c r="AP9" s="5" t="s">
        <v>30</v>
      </c>
      <c r="AQ9" s="5" t="s">
        <v>76</v>
      </c>
      <c r="AR9" s="5" t="s">
        <v>159</v>
      </c>
      <c r="AS9" s="5" t="s">
        <v>209</v>
      </c>
      <c r="AT9" s="5" t="s">
        <v>76</v>
      </c>
      <c r="AU9" s="5" t="s">
        <v>72</v>
      </c>
      <c r="AV9" s="5" t="s">
        <v>80</v>
      </c>
      <c r="AW9" s="5" t="s">
        <v>72</v>
      </c>
      <c r="AX9" s="5" t="s">
        <v>181</v>
      </c>
      <c r="AY9" s="5" t="s">
        <v>142</v>
      </c>
      <c r="AZ9" s="5" t="s">
        <v>22</v>
      </c>
      <c r="BA9" s="5" t="s">
        <v>236</v>
      </c>
      <c r="BB9" s="5" t="s">
        <v>80</v>
      </c>
      <c r="BC9" s="5" t="s">
        <v>239</v>
      </c>
      <c r="BD9" s="5" t="s">
        <v>181</v>
      </c>
      <c r="BE9" s="5" t="s">
        <v>245</v>
      </c>
      <c r="BF9" s="5"/>
      <c r="BG9" s="5"/>
      <c r="BH9" s="8" t="s">
        <v>9</v>
      </c>
      <c r="BI9" s="8" t="s">
        <v>127</v>
      </c>
      <c r="BJ9" s="28" t="s">
        <v>247</v>
      </c>
      <c r="BK9" s="29"/>
      <c r="BL9" s="29"/>
      <c r="BM9" s="30"/>
      <c r="BN9" s="5"/>
      <c r="BO9" s="5"/>
      <c r="BP9" s="8" t="s">
        <v>9</v>
      </c>
      <c r="BQ9" s="8" t="s">
        <v>127</v>
      </c>
      <c r="BR9" s="28" t="s">
        <v>247</v>
      </c>
      <c r="BS9" s="29"/>
      <c r="BT9" s="29"/>
      <c r="BU9" s="30"/>
      <c r="BV9" s="5"/>
    </row>
    <row r="10" spans="1:74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44653</v>
      </c>
      <c r="H10" s="9">
        <v>44674</v>
      </c>
      <c r="I10" s="9">
        <v>44681</v>
      </c>
      <c r="J10" s="9">
        <v>44696</v>
      </c>
      <c r="K10" s="9">
        <v>44709</v>
      </c>
      <c r="L10" s="9">
        <v>44730</v>
      </c>
      <c r="M10" s="9">
        <v>44730</v>
      </c>
      <c r="N10" s="9">
        <v>44737</v>
      </c>
      <c r="O10" s="9">
        <v>44759</v>
      </c>
      <c r="P10" s="9">
        <v>44779</v>
      </c>
      <c r="Q10" s="9">
        <v>44814</v>
      </c>
      <c r="R10" s="9">
        <v>44814</v>
      </c>
      <c r="S10" s="9">
        <v>44828</v>
      </c>
      <c r="T10" s="9">
        <v>44868</v>
      </c>
      <c r="U10" s="2">
        <v>2022</v>
      </c>
      <c r="V10" s="5"/>
      <c r="W10" s="2" t="s">
        <v>106</v>
      </c>
      <c r="X10" s="5" t="s">
        <v>108</v>
      </c>
      <c r="Y10" s="5" t="s">
        <v>111</v>
      </c>
      <c r="Z10" s="5" t="s">
        <v>123</v>
      </c>
      <c r="AA10" s="5" t="s">
        <v>121</v>
      </c>
      <c r="AB10" s="5" t="s">
        <v>128</v>
      </c>
      <c r="AC10" s="5" t="s">
        <v>133</v>
      </c>
      <c r="AD10" s="5" t="s">
        <v>134</v>
      </c>
      <c r="AE10" s="5" t="s">
        <v>147</v>
      </c>
      <c r="AF10" s="5" t="s">
        <v>150</v>
      </c>
      <c r="AG10" s="5" t="s">
        <v>156</v>
      </c>
      <c r="AH10" s="5" t="s">
        <v>158</v>
      </c>
      <c r="AI10" s="5" t="s">
        <v>165</v>
      </c>
      <c r="AJ10" s="2">
        <v>2023</v>
      </c>
      <c r="AK10" s="15"/>
      <c r="AL10" s="15" t="s">
        <v>166</v>
      </c>
      <c r="AM10" s="15" t="s">
        <v>166</v>
      </c>
      <c r="AN10" s="15" t="s">
        <v>166</v>
      </c>
      <c r="AO10" s="15" t="s">
        <v>199</v>
      </c>
      <c r="AP10" s="15" t="s">
        <v>199</v>
      </c>
      <c r="AQ10" s="15" t="s">
        <v>207</v>
      </c>
      <c r="AR10" s="15" t="s">
        <v>210</v>
      </c>
      <c r="AS10" s="15" t="s">
        <v>210</v>
      </c>
      <c r="AT10" s="15" t="s">
        <v>217</v>
      </c>
      <c r="AU10" s="15" t="s">
        <v>217</v>
      </c>
      <c r="AV10" s="15" t="s">
        <v>220</v>
      </c>
      <c r="AW10" s="15" t="s">
        <v>222</v>
      </c>
      <c r="AX10" s="15" t="s">
        <v>227</v>
      </c>
      <c r="AY10" s="15" t="s">
        <v>226</v>
      </c>
      <c r="AZ10" s="15" t="s">
        <v>228</v>
      </c>
      <c r="BA10" s="15" t="s">
        <v>237</v>
      </c>
      <c r="BB10" s="15" t="s">
        <v>238</v>
      </c>
      <c r="BC10" s="15" t="s">
        <v>240</v>
      </c>
      <c r="BD10" s="15" t="s">
        <v>242</v>
      </c>
      <c r="BE10" s="15" t="s">
        <v>246</v>
      </c>
      <c r="BF10" s="15">
        <v>2024</v>
      </c>
      <c r="BG10" s="5"/>
      <c r="BH10" s="5"/>
      <c r="BI10" s="5"/>
      <c r="BJ10" s="5">
        <v>1</v>
      </c>
      <c r="BK10" s="5">
        <v>2</v>
      </c>
      <c r="BL10" s="5">
        <v>3</v>
      </c>
      <c r="BM10" s="5">
        <v>4</v>
      </c>
      <c r="BN10" s="5">
        <v>2025</v>
      </c>
      <c r="BO10" s="5"/>
      <c r="BP10" s="5"/>
      <c r="BQ10" s="5"/>
      <c r="BR10" s="5">
        <v>1</v>
      </c>
      <c r="BS10" s="5">
        <v>2</v>
      </c>
      <c r="BT10" s="5">
        <v>3</v>
      </c>
      <c r="BU10" s="5">
        <v>4</v>
      </c>
      <c r="BV10" s="5">
        <v>2026</v>
      </c>
    </row>
    <row r="11" spans="1:74" x14ac:dyDescent="0.25">
      <c r="A11">
        <v>1</v>
      </c>
      <c r="B11" s="10" t="s">
        <v>234</v>
      </c>
      <c r="C11" s="6"/>
      <c r="D11" s="6" t="s">
        <v>426</v>
      </c>
      <c r="E11" s="6" t="s">
        <v>39</v>
      </c>
      <c r="F11" s="6"/>
      <c r="G11" s="10"/>
      <c r="H11" s="6"/>
      <c r="I11" s="6"/>
      <c r="J11" s="6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6"/>
      <c r="V11" s="10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6"/>
      <c r="BO11" s="6"/>
      <c r="BP11" s="10">
        <v>48</v>
      </c>
      <c r="BQ11" s="10">
        <v>40</v>
      </c>
      <c r="BR11" s="10">
        <v>84</v>
      </c>
      <c r="BS11" s="10">
        <v>80</v>
      </c>
      <c r="BT11" s="10">
        <v>48</v>
      </c>
      <c r="BU11" s="10"/>
      <c r="BV11" s="6">
        <f t="shared" ref="BV11:BV24" si="0">SUM(BO11:BU11)</f>
        <v>300</v>
      </c>
    </row>
    <row r="12" spans="1:74" x14ac:dyDescent="0.25">
      <c r="A12">
        <v>2</v>
      </c>
      <c r="B12" s="10" t="s">
        <v>397</v>
      </c>
      <c r="C12" s="6"/>
      <c r="D12" s="6" t="s">
        <v>398</v>
      </c>
      <c r="E12" s="6" t="s">
        <v>36</v>
      </c>
      <c r="F12" s="6"/>
      <c r="G12" s="10"/>
      <c r="H12" s="6"/>
      <c r="I12" s="6"/>
      <c r="J12" s="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6"/>
      <c r="V12" s="10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6"/>
      <c r="BO12" s="6"/>
      <c r="BP12" s="10">
        <v>48</v>
      </c>
      <c r="BQ12" s="10">
        <v>4</v>
      </c>
      <c r="BR12" s="10">
        <v>120</v>
      </c>
      <c r="BS12" s="10">
        <v>4</v>
      </c>
      <c r="BT12" s="10">
        <v>36</v>
      </c>
      <c r="BU12" s="10">
        <v>4</v>
      </c>
      <c r="BV12" s="6">
        <f t="shared" si="0"/>
        <v>216</v>
      </c>
    </row>
    <row r="13" spans="1:74" x14ac:dyDescent="0.25">
      <c r="A13">
        <v>3</v>
      </c>
      <c r="B13" s="10" t="s">
        <v>21</v>
      </c>
      <c r="C13" s="6"/>
      <c r="D13" s="6" t="s">
        <v>348</v>
      </c>
      <c r="E13" s="6" t="s">
        <v>197</v>
      </c>
      <c r="F13" s="6"/>
      <c r="G13" s="10"/>
      <c r="H13" s="6"/>
      <c r="I13" s="6"/>
      <c r="J13" s="6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6"/>
      <c r="V13" s="10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6"/>
      <c r="BO13" s="6">
        <v>72.5</v>
      </c>
      <c r="BP13" s="10">
        <v>36</v>
      </c>
      <c r="BQ13" s="10">
        <v>40</v>
      </c>
      <c r="BR13" s="10">
        <v>6</v>
      </c>
      <c r="BS13" s="10">
        <v>36</v>
      </c>
      <c r="BT13" s="10"/>
      <c r="BU13" s="10"/>
      <c r="BV13" s="6">
        <f t="shared" si="0"/>
        <v>190.5</v>
      </c>
    </row>
    <row r="14" spans="1:74" x14ac:dyDescent="0.25">
      <c r="A14" s="21">
        <v>4</v>
      </c>
      <c r="B14" s="10" t="s">
        <v>368</v>
      </c>
      <c r="C14" s="6"/>
      <c r="D14" s="6" t="s">
        <v>369</v>
      </c>
      <c r="E14" s="6" t="s">
        <v>358</v>
      </c>
      <c r="F14" s="6"/>
      <c r="G14" s="10"/>
      <c r="H14" s="6"/>
      <c r="I14" s="6"/>
      <c r="J14" s="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6"/>
      <c r="V14" s="10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>
        <v>36</v>
      </c>
      <c r="BI14" s="10">
        <v>64</v>
      </c>
      <c r="BJ14" s="10"/>
      <c r="BK14" s="10">
        <v>100</v>
      </c>
      <c r="BL14" s="10"/>
      <c r="BM14" s="10"/>
      <c r="BN14" s="6">
        <f>SUM(BG14:BM14)</f>
        <v>200</v>
      </c>
      <c r="BO14" s="6">
        <f>(BN14-BG14)/2</f>
        <v>100</v>
      </c>
      <c r="BP14" s="10">
        <v>33.6</v>
      </c>
      <c r="BQ14" s="10">
        <v>56</v>
      </c>
      <c r="BR14" s="10"/>
      <c r="BS14" s="10"/>
      <c r="BT14" s="10"/>
      <c r="BU14" s="10"/>
      <c r="BV14" s="6">
        <f t="shared" si="0"/>
        <v>189.6</v>
      </c>
    </row>
    <row r="15" spans="1:74" x14ac:dyDescent="0.25">
      <c r="A15">
        <v>5</v>
      </c>
      <c r="B15" s="10" t="s">
        <v>265</v>
      </c>
      <c r="C15" s="6"/>
      <c r="D15" s="6" t="s">
        <v>119</v>
      </c>
      <c r="E15" s="6" t="s">
        <v>24</v>
      </c>
      <c r="F15" s="6"/>
      <c r="G15" s="10"/>
      <c r="H15" s="6"/>
      <c r="I15" s="6"/>
      <c r="J15" s="6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6"/>
      <c r="V15" s="10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>
        <v>36</v>
      </c>
      <c r="BI15" s="10">
        <v>48</v>
      </c>
      <c r="BJ15" s="10">
        <v>120</v>
      </c>
      <c r="BK15" s="10">
        <v>120</v>
      </c>
      <c r="BL15" s="10"/>
      <c r="BM15" s="10"/>
      <c r="BN15" s="6">
        <f>SUM(BG15:BM15)</f>
        <v>324</v>
      </c>
      <c r="BO15" s="6">
        <f>(BN15-BG15)/2</f>
        <v>162</v>
      </c>
      <c r="BP15" s="10"/>
      <c r="BQ15" s="10"/>
      <c r="BR15" s="10"/>
      <c r="BS15" s="10"/>
      <c r="BT15" s="10"/>
      <c r="BU15" s="10"/>
      <c r="BV15" s="6">
        <f t="shared" si="0"/>
        <v>162</v>
      </c>
    </row>
    <row r="16" spans="1:74" x14ac:dyDescent="0.25">
      <c r="A16">
        <v>6</v>
      </c>
      <c r="B16" s="6" t="s">
        <v>48</v>
      </c>
      <c r="C16" s="6"/>
      <c r="D16" s="6" t="s">
        <v>351</v>
      </c>
      <c r="E16" s="6" t="s">
        <v>224</v>
      </c>
      <c r="F16" s="6"/>
      <c r="G16" s="10"/>
      <c r="H16" s="6"/>
      <c r="I16" s="6"/>
      <c r="J16" s="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6"/>
      <c r="V16" s="10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>
        <v>80</v>
      </c>
      <c r="BK16" s="10"/>
      <c r="BL16" s="10"/>
      <c r="BM16" s="10"/>
      <c r="BN16" s="6">
        <f>SUM(BG16:BM16)</f>
        <v>80</v>
      </c>
      <c r="BO16" s="6">
        <f>(BN16-BG16)/2</f>
        <v>40</v>
      </c>
      <c r="BP16" s="10"/>
      <c r="BQ16" s="10">
        <v>80</v>
      </c>
      <c r="BR16" s="10"/>
      <c r="BS16" s="10"/>
      <c r="BT16" s="10"/>
      <c r="BU16" s="10"/>
      <c r="BV16" s="6">
        <f t="shared" si="0"/>
        <v>120</v>
      </c>
    </row>
    <row r="17" spans="1:74" x14ac:dyDescent="0.25">
      <c r="A17">
        <v>7</v>
      </c>
      <c r="B17" s="10" t="s">
        <v>21</v>
      </c>
      <c r="C17" s="6"/>
      <c r="D17" s="6" t="s">
        <v>424</v>
      </c>
      <c r="E17" s="6" t="s">
        <v>425</v>
      </c>
      <c r="F17" s="6"/>
      <c r="G17" s="10"/>
      <c r="H17" s="6"/>
      <c r="I17" s="6"/>
      <c r="J17" s="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6"/>
      <c r="V17" s="10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6"/>
      <c r="BO17" s="6"/>
      <c r="BP17" s="10">
        <v>2.4</v>
      </c>
      <c r="BQ17" s="10"/>
      <c r="BR17" s="10">
        <v>56</v>
      </c>
      <c r="BS17" s="10"/>
      <c r="BT17" s="10"/>
      <c r="BU17" s="10"/>
      <c r="BV17" s="6">
        <f t="shared" si="0"/>
        <v>58.4</v>
      </c>
    </row>
    <row r="18" spans="1:74" x14ac:dyDescent="0.25">
      <c r="A18">
        <v>8</v>
      </c>
      <c r="B18" s="10" t="s">
        <v>265</v>
      </c>
      <c r="C18" s="6"/>
      <c r="D18" s="6" t="s">
        <v>118</v>
      </c>
      <c r="E18" s="6" t="s">
        <v>202</v>
      </c>
      <c r="F18" s="6"/>
      <c r="G18" s="10"/>
      <c r="H18" s="6"/>
      <c r="I18" s="6"/>
      <c r="J18" s="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6"/>
      <c r="V18" s="10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6"/>
      <c r="BO18" s="6"/>
      <c r="BP18" s="10">
        <v>36</v>
      </c>
      <c r="BQ18" s="10"/>
      <c r="BR18" s="10"/>
      <c r="BS18" s="10"/>
      <c r="BT18" s="10"/>
      <c r="BU18" s="10"/>
      <c r="BV18" s="6">
        <f t="shared" si="0"/>
        <v>36</v>
      </c>
    </row>
    <row r="19" spans="1:74" x14ac:dyDescent="0.25">
      <c r="A19">
        <v>9</v>
      </c>
      <c r="B19" s="10" t="s">
        <v>458</v>
      </c>
      <c r="C19" s="6"/>
      <c r="D19" s="6" t="s">
        <v>459</v>
      </c>
      <c r="E19" s="6" t="s">
        <v>295</v>
      </c>
      <c r="F19" s="6"/>
      <c r="G19" s="10"/>
      <c r="H19" s="6"/>
      <c r="I19" s="6"/>
      <c r="J19" s="6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6"/>
      <c r="V19" s="10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6"/>
      <c r="BO19" s="6"/>
      <c r="BP19" s="10">
        <v>36</v>
      </c>
      <c r="BQ19" s="10"/>
      <c r="BR19" s="10"/>
      <c r="BS19" s="10"/>
      <c r="BT19" s="10"/>
      <c r="BU19" s="10"/>
      <c r="BV19" s="6">
        <f t="shared" si="0"/>
        <v>36</v>
      </c>
    </row>
    <row r="20" spans="1:74" x14ac:dyDescent="0.25">
      <c r="A20">
        <v>10</v>
      </c>
      <c r="B20" s="10" t="s">
        <v>493</v>
      </c>
      <c r="C20" s="6"/>
      <c r="D20" s="6" t="s">
        <v>459</v>
      </c>
      <c r="E20" s="6" t="s">
        <v>62</v>
      </c>
      <c r="F20" s="6"/>
      <c r="G20" s="10"/>
      <c r="H20" s="6"/>
      <c r="I20" s="6"/>
      <c r="J20" s="6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6"/>
      <c r="V20" s="10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6"/>
      <c r="BO20" s="6"/>
      <c r="BP20" s="10">
        <v>33.6</v>
      </c>
      <c r="BQ20" s="10"/>
      <c r="BR20" s="10"/>
      <c r="BS20" s="10"/>
      <c r="BT20" s="10"/>
      <c r="BU20" s="10"/>
      <c r="BV20" s="6">
        <f t="shared" si="0"/>
        <v>33.6</v>
      </c>
    </row>
    <row r="21" spans="1:74" x14ac:dyDescent="0.25">
      <c r="A21">
        <v>11</v>
      </c>
      <c r="B21" s="10" t="s">
        <v>293</v>
      </c>
      <c r="C21" s="6"/>
      <c r="D21" s="6" t="s">
        <v>294</v>
      </c>
      <c r="E21" s="6" t="s">
        <v>295</v>
      </c>
      <c r="F21" s="6"/>
      <c r="G21" s="10"/>
      <c r="H21" s="6"/>
      <c r="I21" s="6"/>
      <c r="J21" s="6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6"/>
      <c r="V21" s="10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>
        <v>36</v>
      </c>
      <c r="BI21" s="10"/>
      <c r="BJ21" s="10">
        <v>6</v>
      </c>
      <c r="BK21" s="10"/>
      <c r="BL21" s="10"/>
      <c r="BM21" s="10"/>
      <c r="BN21" s="6">
        <f>SUM(BG21:BM21)</f>
        <v>42</v>
      </c>
      <c r="BO21" s="6">
        <f>(BN21-BG21)/2</f>
        <v>21</v>
      </c>
      <c r="BP21" s="10"/>
      <c r="BQ21" s="10"/>
      <c r="BR21" s="10"/>
      <c r="BS21" s="10"/>
      <c r="BT21" s="10"/>
      <c r="BU21" s="10"/>
      <c r="BV21" s="6">
        <f t="shared" si="0"/>
        <v>21</v>
      </c>
    </row>
    <row r="22" spans="1:74" x14ac:dyDescent="0.25">
      <c r="A22">
        <v>12</v>
      </c>
      <c r="B22" s="10" t="s">
        <v>310</v>
      </c>
      <c r="C22" s="6"/>
      <c r="D22" s="6" t="s">
        <v>311</v>
      </c>
      <c r="E22" s="6" t="s">
        <v>172</v>
      </c>
      <c r="F22" s="6"/>
      <c r="G22" s="10"/>
      <c r="H22" s="6"/>
      <c r="I22" s="6"/>
      <c r="J22" s="6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6"/>
      <c r="V22" s="10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>
        <v>36</v>
      </c>
      <c r="BI22" s="10"/>
      <c r="BJ22" s="10"/>
      <c r="BK22" s="10"/>
      <c r="BL22" s="10"/>
      <c r="BM22" s="10"/>
      <c r="BN22" s="6">
        <f>SUM(BG22:BM22)</f>
        <v>36</v>
      </c>
      <c r="BO22" s="6">
        <f>(BN22-BG22)/2</f>
        <v>18</v>
      </c>
      <c r="BP22" s="10"/>
      <c r="BQ22" s="10"/>
      <c r="BR22" s="10"/>
      <c r="BS22" s="10"/>
      <c r="BT22" s="10"/>
      <c r="BU22" s="10"/>
      <c r="BV22" s="6">
        <f t="shared" si="0"/>
        <v>18</v>
      </c>
    </row>
    <row r="23" spans="1:74" x14ac:dyDescent="0.25">
      <c r="A23">
        <v>13</v>
      </c>
      <c r="B23" s="10" t="s">
        <v>45</v>
      </c>
      <c r="C23" s="6"/>
      <c r="D23" s="6" t="s">
        <v>499</v>
      </c>
      <c r="E23" s="6" t="s">
        <v>73</v>
      </c>
      <c r="F23" s="6"/>
      <c r="G23" s="10"/>
      <c r="H23" s="6"/>
      <c r="I23" s="6"/>
      <c r="J23" s="6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6"/>
      <c r="V23" s="10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6"/>
      <c r="BO23" s="6"/>
      <c r="BP23" s="10"/>
      <c r="BQ23" s="10">
        <v>4</v>
      </c>
      <c r="BR23" s="10"/>
      <c r="BS23" s="10"/>
      <c r="BT23" s="10"/>
      <c r="BU23" s="10"/>
      <c r="BV23" s="6">
        <f t="shared" si="0"/>
        <v>4</v>
      </c>
    </row>
    <row r="24" spans="1:74" x14ac:dyDescent="0.25">
      <c r="A24">
        <v>14</v>
      </c>
      <c r="B24" s="10" t="s">
        <v>113</v>
      </c>
      <c r="C24" s="6"/>
      <c r="D24" s="6" t="s">
        <v>367</v>
      </c>
      <c r="E24" s="6" t="s">
        <v>393</v>
      </c>
      <c r="F24" s="6"/>
      <c r="G24" s="10"/>
      <c r="H24" s="6"/>
      <c r="I24" s="6"/>
      <c r="J24" s="6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6"/>
      <c r="V24" s="10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6"/>
      <c r="BO24" s="6"/>
      <c r="BP24" s="10">
        <v>2.4</v>
      </c>
      <c r="BQ24" s="10"/>
      <c r="BR24" s="10"/>
      <c r="BS24" s="10"/>
      <c r="BT24" s="10"/>
      <c r="BU24" s="10"/>
      <c r="BV24" s="6">
        <f t="shared" si="0"/>
        <v>2.4</v>
      </c>
    </row>
  </sheetData>
  <sortState xmlns:xlrd2="http://schemas.microsoft.com/office/spreadsheetml/2017/richdata2" ref="B11:BV24">
    <sortCondition descending="1" ref="BV11:BV24"/>
  </sortState>
  <mergeCells count="5">
    <mergeCell ref="B8:C10"/>
    <mergeCell ref="BJ9:BM9"/>
    <mergeCell ref="BR9:BU9"/>
    <mergeCell ref="D4:BV5"/>
    <mergeCell ref="B1:BV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38"/>
  <sheetViews>
    <sheetView zoomScale="80" zoomScaleNormal="80" workbookViewId="0">
      <selection activeCell="CN20" sqref="CN20"/>
    </sheetView>
  </sheetViews>
  <sheetFormatPr baseColWidth="10" defaultRowHeight="15" x14ac:dyDescent="0.25"/>
  <cols>
    <col min="1" max="1" width="3.140625" bestFit="1" customWidth="1"/>
    <col min="2" max="2" width="13.85546875" bestFit="1" customWidth="1"/>
    <col min="3" max="3" width="13.28515625" bestFit="1" customWidth="1"/>
    <col min="4" max="4" width="12.7109375" bestFit="1" customWidth="1"/>
    <col min="5" max="5" width="22" bestFit="1" customWidth="1"/>
    <col min="6" max="7" width="6.42578125" hidden="1" customWidth="1"/>
    <col min="8" max="10" width="7.28515625" style="7" hidden="1" customWidth="1"/>
    <col min="11" max="15" width="6.28515625" style="7" hidden="1" customWidth="1"/>
    <col min="16" max="17" width="6.7109375" style="7" hidden="1" customWidth="1"/>
    <col min="18" max="23" width="7.28515625" style="7" hidden="1" customWidth="1"/>
    <col min="24" max="24" width="0" hidden="1" customWidth="1"/>
    <col min="25" max="26" width="6.85546875" style="7" hidden="1" customWidth="1"/>
    <col min="27" max="27" width="6" hidden="1" customWidth="1"/>
    <col min="28" max="35" width="6" style="7" hidden="1" customWidth="1"/>
    <col min="36" max="37" width="5.5703125" style="7" hidden="1" customWidth="1"/>
    <col min="38" max="47" width="6" style="7" hidden="1" customWidth="1"/>
    <col min="48" max="48" width="6.7109375" hidden="1" customWidth="1"/>
    <col min="49" max="49" width="7.7109375" hidden="1" customWidth="1"/>
    <col min="50" max="50" width="10.5703125" hidden="1" customWidth="1"/>
    <col min="51" max="59" width="6" hidden="1" customWidth="1"/>
    <col min="60" max="70" width="6" style="7" hidden="1" customWidth="1"/>
    <col min="71" max="71" width="7.28515625" style="7" hidden="1" customWidth="1"/>
    <col min="72" max="72" width="7" hidden="1" customWidth="1"/>
    <col min="73" max="73" width="7.85546875" hidden="1" customWidth="1"/>
    <col min="74" max="75" width="5.5703125" style="7" hidden="1" customWidth="1"/>
    <col min="76" max="77" width="4.42578125" style="7" hidden="1" customWidth="1"/>
    <col min="78" max="78" width="5.5703125" style="7" hidden="1" customWidth="1"/>
    <col min="79" max="79" width="4.42578125" style="7" hidden="1" customWidth="1"/>
    <col min="82" max="82" width="8" style="7" customWidth="1"/>
    <col min="83" max="83" width="7.85546875" style="7" customWidth="1"/>
    <col min="84" max="84" width="8.5703125" style="7" customWidth="1"/>
    <col min="85" max="85" width="8" style="7" customWidth="1"/>
    <col min="86" max="86" width="8.5703125" style="7" customWidth="1"/>
  </cols>
  <sheetData>
    <row r="1" spans="1:88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</row>
    <row r="2" spans="1:88" ht="15.75" thickBot="1" x14ac:dyDescent="0.3">
      <c r="C2" s="7"/>
      <c r="D2" s="7"/>
      <c r="E2" s="7"/>
    </row>
    <row r="3" spans="1:88" ht="15.75" thickTop="1" x14ac:dyDescent="0.25">
      <c r="B3" s="1" t="s">
        <v>0</v>
      </c>
      <c r="C3" s="4" t="s">
        <v>13</v>
      </c>
    </row>
    <row r="4" spans="1:88" ht="14.65" customHeight="1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</row>
    <row r="5" spans="1:88" ht="15" customHeight="1" thickBot="1" x14ac:dyDescent="0.3">
      <c r="B5" s="3" t="s">
        <v>2</v>
      </c>
      <c r="C5" s="14">
        <v>-44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</row>
    <row r="6" spans="1:88" ht="15.75" thickTop="1" x14ac:dyDescent="0.25"/>
    <row r="7" spans="1:88" ht="15.75" thickBot="1" x14ac:dyDescent="0.3"/>
    <row r="8" spans="1:88" ht="15.75" thickTop="1" x14ac:dyDescent="0.25">
      <c r="B8" s="24" t="s">
        <v>8</v>
      </c>
      <c r="C8" s="25"/>
      <c r="D8" s="1"/>
      <c r="E8" s="1"/>
      <c r="F8" s="4" t="s">
        <v>9</v>
      </c>
      <c r="G8" s="4" t="s">
        <v>33</v>
      </c>
      <c r="H8" s="4" t="s">
        <v>55</v>
      </c>
      <c r="I8" s="4" t="s">
        <v>9</v>
      </c>
      <c r="J8" s="4" t="s">
        <v>9</v>
      </c>
      <c r="K8" s="4" t="s">
        <v>72</v>
      </c>
      <c r="L8" s="4" t="s">
        <v>76</v>
      </c>
      <c r="M8" s="4" t="s">
        <v>80</v>
      </c>
      <c r="N8" s="4" t="s">
        <v>84</v>
      </c>
      <c r="O8" s="4" t="s">
        <v>9</v>
      </c>
      <c r="P8" s="4" t="s">
        <v>9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96</v>
      </c>
      <c r="V8" s="4" t="s">
        <v>9</v>
      </c>
      <c r="W8" s="4" t="s">
        <v>103</v>
      </c>
      <c r="X8" s="1"/>
      <c r="Y8" s="13">
        <v>44927</v>
      </c>
      <c r="Z8" s="4" t="s">
        <v>9</v>
      </c>
      <c r="AA8" s="4" t="s">
        <v>9</v>
      </c>
      <c r="AB8" s="4" t="s">
        <v>9</v>
      </c>
      <c r="AC8" s="4" t="s">
        <v>9</v>
      </c>
      <c r="AD8" s="4" t="s">
        <v>103</v>
      </c>
      <c r="AE8" s="4" t="s">
        <v>9</v>
      </c>
      <c r="AF8" s="4" t="s">
        <v>9</v>
      </c>
      <c r="AG8" s="4" t="s">
        <v>127</v>
      </c>
      <c r="AH8" s="4" t="s">
        <v>127</v>
      </c>
      <c r="AI8" s="4" t="s">
        <v>127</v>
      </c>
      <c r="AJ8" s="4" t="s">
        <v>102</v>
      </c>
      <c r="AK8" s="4" t="s">
        <v>103</v>
      </c>
      <c r="AL8" s="4" t="s">
        <v>9</v>
      </c>
      <c r="AM8" s="4" t="s">
        <v>9</v>
      </c>
      <c r="AN8" s="4" t="s">
        <v>100</v>
      </c>
      <c r="AO8" s="4" t="s">
        <v>9</v>
      </c>
      <c r="AP8" s="4" t="s">
        <v>9</v>
      </c>
      <c r="AQ8" s="4" t="s">
        <v>9</v>
      </c>
      <c r="AR8" s="4" t="s">
        <v>9</v>
      </c>
      <c r="AS8" s="4" t="s">
        <v>103</v>
      </c>
      <c r="AT8" s="4" t="s">
        <v>9</v>
      </c>
      <c r="AU8" s="4" t="s">
        <v>104</v>
      </c>
      <c r="AV8" s="4" t="s">
        <v>6</v>
      </c>
      <c r="AW8" s="13">
        <v>45292</v>
      </c>
      <c r="AX8" s="13" t="s">
        <v>9</v>
      </c>
      <c r="AY8" s="13" t="s">
        <v>9</v>
      </c>
      <c r="AZ8" s="13" t="s">
        <v>9</v>
      </c>
      <c r="BA8" s="13" t="s">
        <v>9</v>
      </c>
      <c r="BB8" s="13" t="s">
        <v>9</v>
      </c>
      <c r="BC8" s="13" t="s">
        <v>9</v>
      </c>
      <c r="BD8" s="13" t="s">
        <v>9</v>
      </c>
      <c r="BE8" s="13" t="s">
        <v>9</v>
      </c>
      <c r="BF8" s="13" t="s">
        <v>103</v>
      </c>
      <c r="BG8" s="13" t="s">
        <v>9</v>
      </c>
      <c r="BH8" s="13" t="s">
        <v>103</v>
      </c>
      <c r="BI8" s="13" t="s">
        <v>127</v>
      </c>
      <c r="BJ8" s="13" t="s">
        <v>127</v>
      </c>
      <c r="BK8" s="13" t="s">
        <v>127</v>
      </c>
      <c r="BL8" s="13" t="s">
        <v>103</v>
      </c>
      <c r="BM8" s="13" t="s">
        <v>9</v>
      </c>
      <c r="BN8" s="13" t="s">
        <v>9</v>
      </c>
      <c r="BO8" s="13" t="s">
        <v>9</v>
      </c>
      <c r="BP8" s="13" t="s">
        <v>9</v>
      </c>
      <c r="BQ8" s="13" t="s">
        <v>103</v>
      </c>
      <c r="BR8" s="13" t="s">
        <v>241</v>
      </c>
      <c r="BS8" s="13" t="s">
        <v>104</v>
      </c>
      <c r="BT8" s="13" t="s">
        <v>6</v>
      </c>
      <c r="BU8" s="13">
        <v>45658</v>
      </c>
      <c r="BV8" s="13"/>
      <c r="BW8" s="13"/>
      <c r="BX8" s="18"/>
      <c r="BY8" s="19"/>
      <c r="BZ8" s="19"/>
      <c r="CA8" s="20"/>
      <c r="CB8" s="13" t="s">
        <v>6</v>
      </c>
      <c r="CC8" s="13">
        <v>46023</v>
      </c>
      <c r="CD8" s="13"/>
      <c r="CE8" s="13"/>
      <c r="CF8" s="18"/>
      <c r="CG8" s="19"/>
      <c r="CH8" s="19"/>
      <c r="CI8" s="17"/>
      <c r="CJ8" s="13" t="s">
        <v>6</v>
      </c>
    </row>
    <row r="9" spans="1:88" x14ac:dyDescent="0.25">
      <c r="B9" s="26"/>
      <c r="C9" s="27"/>
      <c r="D9" s="2"/>
      <c r="E9" s="2"/>
      <c r="F9" s="8" t="s">
        <v>22</v>
      </c>
      <c r="G9" s="8" t="s">
        <v>34</v>
      </c>
      <c r="H9" s="8" t="s">
        <v>56</v>
      </c>
      <c r="I9" s="8" t="s">
        <v>61</v>
      </c>
      <c r="J9" s="8" t="s">
        <v>65</v>
      </c>
      <c r="K9" s="8" t="s">
        <v>75</v>
      </c>
      <c r="L9" s="8" t="s">
        <v>77</v>
      </c>
      <c r="M9" s="8" t="s">
        <v>81</v>
      </c>
      <c r="N9" s="8" t="s">
        <v>34</v>
      </c>
      <c r="O9" s="8" t="s">
        <v>85</v>
      </c>
      <c r="P9" s="8" t="s">
        <v>18</v>
      </c>
      <c r="Q9" s="8" t="s">
        <v>70</v>
      </c>
      <c r="R9" s="8" t="s">
        <v>85</v>
      </c>
      <c r="S9" s="8" t="s">
        <v>65</v>
      </c>
      <c r="T9" s="8" t="s">
        <v>89</v>
      </c>
      <c r="U9" s="8" t="s">
        <v>97</v>
      </c>
      <c r="V9" s="8" t="s">
        <v>89</v>
      </c>
      <c r="W9" s="8" t="s">
        <v>104</v>
      </c>
      <c r="X9" s="2" t="s">
        <v>6</v>
      </c>
      <c r="Y9" s="5"/>
      <c r="Z9" s="8" t="s">
        <v>22</v>
      </c>
      <c r="AA9" s="8" t="s">
        <v>10</v>
      </c>
      <c r="AB9" s="8" t="s">
        <v>85</v>
      </c>
      <c r="AC9" s="8" t="s">
        <v>18</v>
      </c>
      <c r="AD9" s="8" t="s">
        <v>72</v>
      </c>
      <c r="AE9" s="8" t="s">
        <v>70</v>
      </c>
      <c r="AF9" s="8" t="s">
        <v>89</v>
      </c>
      <c r="AG9" s="8" t="s">
        <v>76</v>
      </c>
      <c r="AH9" s="8" t="s">
        <v>80</v>
      </c>
      <c r="AI9" s="8" t="s">
        <v>72</v>
      </c>
      <c r="AJ9" s="8" t="s">
        <v>136</v>
      </c>
      <c r="AK9" s="8" t="s">
        <v>76</v>
      </c>
      <c r="AL9" s="8" t="s">
        <v>142</v>
      </c>
      <c r="AM9" s="8" t="s">
        <v>22</v>
      </c>
      <c r="AN9" s="8" t="s">
        <v>148</v>
      </c>
      <c r="AO9" s="8" t="s">
        <v>89</v>
      </c>
      <c r="AP9" s="8" t="s">
        <v>70</v>
      </c>
      <c r="AQ9" s="8" t="s">
        <v>18</v>
      </c>
      <c r="AR9" s="8" t="s">
        <v>85</v>
      </c>
      <c r="AS9" s="8" t="s">
        <v>80</v>
      </c>
      <c r="AT9" s="8" t="s">
        <v>10</v>
      </c>
      <c r="AU9" s="8"/>
      <c r="AV9" s="2"/>
      <c r="AW9" s="5"/>
      <c r="AX9" s="5" t="s">
        <v>153</v>
      </c>
      <c r="AY9" s="5" t="s">
        <v>10</v>
      </c>
      <c r="AZ9" s="5" t="s">
        <v>85</v>
      </c>
      <c r="BA9" s="5" t="s">
        <v>142</v>
      </c>
      <c r="BB9" s="5" t="s">
        <v>65</v>
      </c>
      <c r="BC9" s="5" t="s">
        <v>181</v>
      </c>
      <c r="BD9" s="5" t="s">
        <v>18</v>
      </c>
      <c r="BE9" s="5" t="s">
        <v>22</v>
      </c>
      <c r="BF9" s="5" t="s">
        <v>76</v>
      </c>
      <c r="BG9" s="5" t="s">
        <v>159</v>
      </c>
      <c r="BH9" s="5" t="s">
        <v>209</v>
      </c>
      <c r="BI9" s="5" t="s">
        <v>76</v>
      </c>
      <c r="BJ9" s="5" t="s">
        <v>72</v>
      </c>
      <c r="BK9" s="5" t="s">
        <v>80</v>
      </c>
      <c r="BL9" s="5" t="s">
        <v>72</v>
      </c>
      <c r="BM9" s="5" t="s">
        <v>18</v>
      </c>
      <c r="BN9" s="5" t="s">
        <v>22</v>
      </c>
      <c r="BO9" s="5" t="s">
        <v>65</v>
      </c>
      <c r="BP9" s="5" t="s">
        <v>236</v>
      </c>
      <c r="BQ9" s="5" t="s">
        <v>80</v>
      </c>
      <c r="BR9" s="5" t="s">
        <v>181</v>
      </c>
      <c r="BS9" s="5" t="s">
        <v>245</v>
      </c>
      <c r="BT9" s="5"/>
      <c r="BU9" s="5"/>
      <c r="BV9" s="8" t="s">
        <v>9</v>
      </c>
      <c r="BW9" s="8" t="s">
        <v>127</v>
      </c>
      <c r="BX9" s="28" t="s">
        <v>247</v>
      </c>
      <c r="BY9" s="29"/>
      <c r="BZ9" s="29"/>
      <c r="CA9" s="30"/>
      <c r="CB9" s="5"/>
      <c r="CC9" s="5"/>
      <c r="CD9" s="8" t="s">
        <v>9</v>
      </c>
      <c r="CE9" s="8" t="s">
        <v>127</v>
      </c>
      <c r="CF9" s="28" t="s">
        <v>247</v>
      </c>
      <c r="CG9" s="29"/>
      <c r="CH9" s="29"/>
      <c r="CI9" s="30"/>
      <c r="CJ9" s="5"/>
    </row>
    <row r="10" spans="1:88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44681</v>
      </c>
      <c r="H10" s="9">
        <v>44696</v>
      </c>
      <c r="I10" s="9">
        <v>44709</v>
      </c>
      <c r="J10" s="9">
        <v>44709</v>
      </c>
      <c r="K10" s="9">
        <v>44730</v>
      </c>
      <c r="L10" s="9">
        <v>44730</v>
      </c>
      <c r="M10" s="9">
        <v>44737</v>
      </c>
      <c r="N10" s="9">
        <v>44759</v>
      </c>
      <c r="O10" s="9">
        <v>44765</v>
      </c>
      <c r="P10" s="9">
        <v>44793</v>
      </c>
      <c r="Q10" s="9">
        <v>44800</v>
      </c>
      <c r="R10" s="9">
        <v>44814</v>
      </c>
      <c r="S10" s="9">
        <v>44814</v>
      </c>
      <c r="T10" s="9">
        <v>44814</v>
      </c>
      <c r="U10" s="9">
        <v>44828</v>
      </c>
      <c r="V10" s="9">
        <v>44856</v>
      </c>
      <c r="W10" s="9">
        <v>44905</v>
      </c>
      <c r="X10" s="2">
        <v>2022</v>
      </c>
      <c r="Y10" s="5"/>
      <c r="Z10" s="2" t="s">
        <v>106</v>
      </c>
      <c r="AA10" s="2" t="s">
        <v>105</v>
      </c>
      <c r="AB10" s="5" t="s">
        <v>108</v>
      </c>
      <c r="AC10" s="5" t="s">
        <v>110</v>
      </c>
      <c r="AD10" s="5" t="s">
        <v>111</v>
      </c>
      <c r="AE10" s="5" t="s">
        <v>123</v>
      </c>
      <c r="AF10" s="5" t="s">
        <v>121</v>
      </c>
      <c r="AG10" s="5" t="s">
        <v>128</v>
      </c>
      <c r="AH10" s="5" t="s">
        <v>133</v>
      </c>
      <c r="AI10" s="5" t="s">
        <v>134</v>
      </c>
      <c r="AJ10" s="5" t="s">
        <v>137</v>
      </c>
      <c r="AK10" s="5" t="s">
        <v>140</v>
      </c>
      <c r="AL10" s="5" t="s">
        <v>143</v>
      </c>
      <c r="AM10" s="5" t="s">
        <v>146</v>
      </c>
      <c r="AN10" s="5" t="s">
        <v>149</v>
      </c>
      <c r="AO10" s="5" t="s">
        <v>147</v>
      </c>
      <c r="AP10" s="5" t="s">
        <v>147</v>
      </c>
      <c r="AQ10" s="5" t="s">
        <v>150</v>
      </c>
      <c r="AR10" s="5" t="s">
        <v>151</v>
      </c>
      <c r="AS10" s="5" t="s">
        <v>156</v>
      </c>
      <c r="AT10" s="5" t="s">
        <v>161</v>
      </c>
      <c r="AU10" s="5" t="s">
        <v>165</v>
      </c>
      <c r="AV10" s="2">
        <v>2023</v>
      </c>
      <c r="AW10" s="15"/>
      <c r="AX10" s="15" t="s">
        <v>166</v>
      </c>
      <c r="AY10" s="15" t="s">
        <v>166</v>
      </c>
      <c r="AZ10" s="15" t="s">
        <v>166</v>
      </c>
      <c r="BA10" s="15" t="s">
        <v>166</v>
      </c>
      <c r="BB10" s="15" t="s">
        <v>166</v>
      </c>
      <c r="BC10" s="15" t="s">
        <v>166</v>
      </c>
      <c r="BD10" s="15" t="s">
        <v>185</v>
      </c>
      <c r="BE10" s="15" t="s">
        <v>199</v>
      </c>
      <c r="BF10" s="15" t="s">
        <v>207</v>
      </c>
      <c r="BG10" s="15" t="s">
        <v>210</v>
      </c>
      <c r="BH10" s="15" t="s">
        <v>210</v>
      </c>
      <c r="BI10" s="15" t="s">
        <v>217</v>
      </c>
      <c r="BJ10" s="15" t="s">
        <v>217</v>
      </c>
      <c r="BK10" s="15" t="s">
        <v>220</v>
      </c>
      <c r="BL10" s="15" t="s">
        <v>222</v>
      </c>
      <c r="BM10" s="15" t="s">
        <v>227</v>
      </c>
      <c r="BN10" s="15" t="s">
        <v>228</v>
      </c>
      <c r="BO10" s="15" t="s">
        <v>233</v>
      </c>
      <c r="BP10" s="15" t="s">
        <v>237</v>
      </c>
      <c r="BQ10" s="15" t="s">
        <v>238</v>
      </c>
      <c r="BR10" s="15" t="s">
        <v>242</v>
      </c>
      <c r="BS10" s="15" t="s">
        <v>246</v>
      </c>
      <c r="BT10" s="15">
        <v>2024</v>
      </c>
      <c r="BU10" s="5"/>
      <c r="BV10" s="5"/>
      <c r="BW10" s="5"/>
      <c r="BX10" s="5">
        <v>1</v>
      </c>
      <c r="BY10" s="5">
        <v>2</v>
      </c>
      <c r="BZ10" s="5">
        <v>3</v>
      </c>
      <c r="CA10" s="5">
        <v>4</v>
      </c>
      <c r="CB10" s="5">
        <v>2025</v>
      </c>
      <c r="CC10" s="5"/>
      <c r="CD10" s="5"/>
      <c r="CE10" s="5"/>
      <c r="CF10" s="5">
        <v>1</v>
      </c>
      <c r="CG10" s="5">
        <v>2</v>
      </c>
      <c r="CH10" s="5">
        <v>3</v>
      </c>
      <c r="CI10" s="5">
        <v>4</v>
      </c>
      <c r="CJ10" s="5">
        <v>2026</v>
      </c>
    </row>
    <row r="11" spans="1:88" x14ac:dyDescent="0.25">
      <c r="A11">
        <v>1</v>
      </c>
      <c r="B11" s="10" t="s">
        <v>347</v>
      </c>
      <c r="C11" s="6"/>
      <c r="D11" s="6" t="s">
        <v>266</v>
      </c>
      <c r="E11" s="6" t="s">
        <v>26</v>
      </c>
      <c r="F11" s="6"/>
      <c r="G11" s="6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6"/>
      <c r="Y11" s="10"/>
      <c r="Z11" s="10"/>
      <c r="AA11" s="6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6"/>
      <c r="BU11" s="6"/>
      <c r="BV11" s="10">
        <v>33.6</v>
      </c>
      <c r="BW11" s="10">
        <v>56</v>
      </c>
      <c r="BX11" s="10">
        <v>75</v>
      </c>
      <c r="BY11" s="10">
        <v>100</v>
      </c>
      <c r="BZ11" s="10">
        <v>75</v>
      </c>
      <c r="CA11" s="10">
        <v>75</v>
      </c>
      <c r="CB11" s="6">
        <f>SUM(BU11:CA11)</f>
        <v>414.6</v>
      </c>
      <c r="CC11" s="6">
        <f>(CB11-BU11)/2</f>
        <v>207.3</v>
      </c>
      <c r="CD11" s="10">
        <v>33.6</v>
      </c>
      <c r="CE11" s="10">
        <v>80</v>
      </c>
      <c r="CF11" s="10">
        <v>150</v>
      </c>
      <c r="CG11" s="10"/>
      <c r="CH11" s="10"/>
      <c r="CI11" s="6"/>
      <c r="CJ11" s="6">
        <f t="shared" ref="CJ11:CJ38" si="0">SUM(CC11:CI11)</f>
        <v>470.9</v>
      </c>
    </row>
    <row r="12" spans="1:88" x14ac:dyDescent="0.25">
      <c r="A12">
        <v>2</v>
      </c>
      <c r="B12" s="6" t="s">
        <v>260</v>
      </c>
      <c r="C12" s="6"/>
      <c r="D12" s="6" t="s">
        <v>261</v>
      </c>
      <c r="E12" s="6" t="s">
        <v>39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6"/>
      <c r="AE12" s="10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10"/>
      <c r="AW12" s="6"/>
      <c r="AX12" s="6"/>
      <c r="AY12" s="6"/>
      <c r="AZ12" s="6"/>
      <c r="BA12" s="6"/>
      <c r="BB12" s="6"/>
      <c r="BC12" s="6"/>
      <c r="BD12" s="6"/>
      <c r="BE12" s="6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6"/>
      <c r="BW12" s="6"/>
      <c r="BX12" s="10">
        <v>2.4</v>
      </c>
      <c r="BY12" s="10">
        <v>80</v>
      </c>
      <c r="BZ12" s="10">
        <v>75</v>
      </c>
      <c r="CA12" s="10">
        <v>50</v>
      </c>
      <c r="CB12" s="10"/>
      <c r="CC12" s="6">
        <v>165.7</v>
      </c>
      <c r="CD12" s="10">
        <v>42</v>
      </c>
      <c r="CE12" s="10">
        <v>64</v>
      </c>
      <c r="CF12" s="10">
        <v>75</v>
      </c>
      <c r="CG12" s="10">
        <v>80</v>
      </c>
      <c r="CH12" s="10">
        <v>36</v>
      </c>
      <c r="CI12" s="6"/>
      <c r="CJ12" s="6">
        <f t="shared" si="0"/>
        <v>462.7</v>
      </c>
    </row>
    <row r="13" spans="1:88" x14ac:dyDescent="0.25">
      <c r="A13">
        <v>3</v>
      </c>
      <c r="B13" s="10" t="s">
        <v>265</v>
      </c>
      <c r="C13" s="6"/>
      <c r="D13" s="6" t="s">
        <v>119</v>
      </c>
      <c r="E13" s="6" t="s">
        <v>24</v>
      </c>
      <c r="F13" s="6"/>
      <c r="G13" s="6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6"/>
      <c r="Y13" s="10"/>
      <c r="Z13" s="10"/>
      <c r="AA13" s="6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6"/>
      <c r="BU13" s="6"/>
      <c r="BV13" s="10">
        <v>48</v>
      </c>
      <c r="BW13" s="10">
        <v>40</v>
      </c>
      <c r="BX13" s="10">
        <v>150</v>
      </c>
      <c r="BY13" s="10">
        <v>200</v>
      </c>
      <c r="BZ13" s="10"/>
      <c r="CA13" s="10"/>
      <c r="CB13" s="6">
        <f>SUM(BU13:CA13)</f>
        <v>438</v>
      </c>
      <c r="CC13" s="6">
        <f>(CB13-BU13)/2</f>
        <v>219</v>
      </c>
      <c r="CD13" s="10">
        <v>48</v>
      </c>
      <c r="CE13" s="10">
        <v>56</v>
      </c>
      <c r="CF13" s="10">
        <v>75</v>
      </c>
      <c r="CG13" s="10"/>
      <c r="CH13" s="10"/>
      <c r="CI13" s="6"/>
      <c r="CJ13" s="6">
        <f t="shared" si="0"/>
        <v>398</v>
      </c>
    </row>
    <row r="14" spans="1:88" x14ac:dyDescent="0.25">
      <c r="A14">
        <v>4</v>
      </c>
      <c r="B14" s="10" t="s">
        <v>312</v>
      </c>
      <c r="C14" s="6"/>
      <c r="D14" s="6" t="s">
        <v>313</v>
      </c>
      <c r="E14" s="6" t="s">
        <v>87</v>
      </c>
      <c r="F14" s="6"/>
      <c r="G14" s="6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6"/>
      <c r="Y14" s="10"/>
      <c r="Z14" s="10"/>
      <c r="AA14" s="6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6"/>
      <c r="BU14" s="6"/>
      <c r="BV14" s="10">
        <v>48</v>
      </c>
      <c r="BW14" s="10">
        <v>40</v>
      </c>
      <c r="BX14" s="10">
        <v>75</v>
      </c>
      <c r="BY14" s="10">
        <v>75</v>
      </c>
      <c r="BZ14" s="10">
        <v>36</v>
      </c>
      <c r="CA14" s="10">
        <v>10</v>
      </c>
      <c r="CB14" s="6">
        <f>SUM(BU14:CA14)</f>
        <v>284</v>
      </c>
      <c r="CC14" s="6">
        <f>(CB14-BU14)/2</f>
        <v>142</v>
      </c>
      <c r="CD14" s="10">
        <v>33.6</v>
      </c>
      <c r="CE14" s="10">
        <v>40</v>
      </c>
      <c r="CF14" s="10">
        <v>105</v>
      </c>
      <c r="CG14" s="10"/>
      <c r="CH14" s="10"/>
      <c r="CI14" s="6"/>
      <c r="CJ14" s="6">
        <f t="shared" si="0"/>
        <v>320.60000000000002</v>
      </c>
    </row>
    <row r="15" spans="1:88" x14ac:dyDescent="0.25">
      <c r="A15">
        <v>5</v>
      </c>
      <c r="B15" s="10" t="s">
        <v>310</v>
      </c>
      <c r="C15" s="6"/>
      <c r="D15" s="6" t="s">
        <v>311</v>
      </c>
      <c r="E15" s="6" t="s">
        <v>172</v>
      </c>
      <c r="F15" s="6"/>
      <c r="G15" s="6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6"/>
      <c r="Y15" s="10"/>
      <c r="Z15" s="10"/>
      <c r="AA15" s="6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6"/>
      <c r="BU15" s="6"/>
      <c r="BV15" s="10">
        <v>2.4</v>
      </c>
      <c r="BW15" s="10">
        <v>64</v>
      </c>
      <c r="BX15" s="10">
        <v>70</v>
      </c>
      <c r="BY15" s="10">
        <v>54</v>
      </c>
      <c r="BZ15" s="10">
        <v>140</v>
      </c>
      <c r="CA15" s="10">
        <v>75</v>
      </c>
      <c r="CB15" s="6">
        <f>SUM(BU15:CA15)</f>
        <v>405.4</v>
      </c>
      <c r="CC15" s="6">
        <f>(CB15-BU15)/2</f>
        <v>202.7</v>
      </c>
      <c r="CD15" s="10">
        <v>48</v>
      </c>
      <c r="CE15" s="10"/>
      <c r="CF15" s="10">
        <v>54</v>
      </c>
      <c r="CG15" s="10"/>
      <c r="CH15" s="10"/>
      <c r="CI15" s="6"/>
      <c r="CJ15" s="6">
        <f t="shared" si="0"/>
        <v>304.7</v>
      </c>
    </row>
    <row r="16" spans="1:88" x14ac:dyDescent="0.25">
      <c r="A16">
        <v>6</v>
      </c>
      <c r="B16" s="10" t="s">
        <v>346</v>
      </c>
      <c r="C16" s="6"/>
      <c r="D16" s="6" t="s">
        <v>38</v>
      </c>
      <c r="E16" s="6" t="s">
        <v>57</v>
      </c>
      <c r="F16" s="6"/>
      <c r="G16" s="6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6"/>
      <c r="Y16" s="10"/>
      <c r="Z16" s="10"/>
      <c r="AA16" s="6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6"/>
      <c r="BU16" s="6"/>
      <c r="BV16" s="10"/>
      <c r="BW16" s="10">
        <v>80</v>
      </c>
      <c r="BX16" s="10">
        <v>100</v>
      </c>
      <c r="BY16" s="10">
        <v>54</v>
      </c>
      <c r="BZ16" s="10">
        <v>44.8</v>
      </c>
      <c r="CA16" s="10">
        <v>72</v>
      </c>
      <c r="CB16" s="6">
        <f>SUM(BU16:CA16)</f>
        <v>350.8</v>
      </c>
      <c r="CC16" s="6">
        <f>(CB16-BU16)/2</f>
        <v>175.4</v>
      </c>
      <c r="CD16" s="10">
        <v>48</v>
      </c>
      <c r="CE16" s="10"/>
      <c r="CF16" s="10">
        <v>7.5</v>
      </c>
      <c r="CG16" s="10">
        <v>36</v>
      </c>
      <c r="CH16" s="10"/>
      <c r="CI16" s="6"/>
      <c r="CJ16" s="6">
        <f t="shared" si="0"/>
        <v>266.89999999999998</v>
      </c>
    </row>
    <row r="17" spans="1:88" x14ac:dyDescent="0.25">
      <c r="A17">
        <v>7</v>
      </c>
      <c r="B17" s="10" t="s">
        <v>52</v>
      </c>
      <c r="C17" s="6"/>
      <c r="D17" s="6" t="s">
        <v>15</v>
      </c>
      <c r="E17" s="6" t="s">
        <v>461</v>
      </c>
      <c r="F17" s="6"/>
      <c r="G17" s="6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6"/>
      <c r="Y17" s="10"/>
      <c r="Z17" s="10"/>
      <c r="AA17" s="6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6"/>
      <c r="BU17" s="6"/>
      <c r="BV17" s="10"/>
      <c r="BW17" s="10"/>
      <c r="BX17" s="10"/>
      <c r="BY17" s="10"/>
      <c r="BZ17" s="10"/>
      <c r="CA17" s="10"/>
      <c r="CB17" s="6"/>
      <c r="CC17" s="6"/>
      <c r="CD17" s="10">
        <v>36</v>
      </c>
      <c r="CE17" s="10">
        <v>64</v>
      </c>
      <c r="CF17" s="10">
        <v>7.5</v>
      </c>
      <c r="CG17" s="10">
        <v>36</v>
      </c>
      <c r="CH17" s="10"/>
      <c r="CI17" s="6"/>
      <c r="CJ17" s="6">
        <f t="shared" si="0"/>
        <v>143.5</v>
      </c>
    </row>
    <row r="18" spans="1:88" x14ac:dyDescent="0.25">
      <c r="A18" s="21">
        <v>8</v>
      </c>
      <c r="B18" s="10" t="s">
        <v>167</v>
      </c>
      <c r="C18" s="6"/>
      <c r="D18" s="6" t="s">
        <v>122</v>
      </c>
      <c r="E18" s="6" t="s">
        <v>116</v>
      </c>
      <c r="F18" s="6"/>
      <c r="G18" s="6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6"/>
      <c r="Y18" s="10"/>
      <c r="Z18" s="10"/>
      <c r="AA18" s="6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6"/>
      <c r="BU18" s="6">
        <v>51.6</v>
      </c>
      <c r="BV18" s="10">
        <v>36</v>
      </c>
      <c r="BW18" s="10"/>
      <c r="BX18" s="10">
        <v>54</v>
      </c>
      <c r="BY18" s="10">
        <v>50</v>
      </c>
      <c r="BZ18" s="10">
        <v>105</v>
      </c>
      <c r="CA18" s="10">
        <v>36</v>
      </c>
      <c r="CB18" s="6">
        <f>SUM(BU18:CA18)</f>
        <v>332.6</v>
      </c>
      <c r="CC18" s="6">
        <f>(CB18-BU18)/2</f>
        <v>140.5</v>
      </c>
      <c r="CD18" s="10"/>
      <c r="CE18" s="10"/>
      <c r="CF18" s="10"/>
      <c r="CG18" s="10"/>
      <c r="CH18" s="10"/>
      <c r="CI18" s="6"/>
      <c r="CJ18" s="6">
        <f t="shared" si="0"/>
        <v>140.5</v>
      </c>
    </row>
    <row r="19" spans="1:88" x14ac:dyDescent="0.25">
      <c r="A19">
        <v>9</v>
      </c>
      <c r="B19" s="10" t="s">
        <v>191</v>
      </c>
      <c r="C19" s="6"/>
      <c r="D19" s="6" t="s">
        <v>379</v>
      </c>
      <c r="E19" s="6" t="s">
        <v>157</v>
      </c>
      <c r="F19" s="6"/>
      <c r="G19" s="6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6"/>
      <c r="Y19" s="10"/>
      <c r="Z19" s="10"/>
      <c r="AA19" s="6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6"/>
      <c r="AW19" s="6"/>
      <c r="AX19" s="6"/>
      <c r="AY19" s="6"/>
      <c r="AZ19" s="6"/>
      <c r="BA19" s="6"/>
      <c r="BB19" s="6"/>
      <c r="BC19" s="6"/>
      <c r="BD19" s="6">
        <v>2.4</v>
      </c>
      <c r="BE19" s="6"/>
      <c r="BF19" s="6"/>
      <c r="BG19" s="6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6">
        <f>SUM(AW19:BS19)</f>
        <v>2.4</v>
      </c>
      <c r="BU19" s="6">
        <f>(BT19-AW19)/2</f>
        <v>1.2</v>
      </c>
      <c r="BV19" s="10">
        <v>36</v>
      </c>
      <c r="BW19" s="10">
        <v>4</v>
      </c>
      <c r="BX19" s="10">
        <v>105</v>
      </c>
      <c r="BY19" s="10">
        <v>100</v>
      </c>
      <c r="BZ19" s="10"/>
      <c r="CA19" s="10"/>
      <c r="CB19" s="6">
        <f>SUM(BU19:CA19)</f>
        <v>246.2</v>
      </c>
      <c r="CC19" s="6">
        <f>(CB19-BU19)/2</f>
        <v>122.5</v>
      </c>
      <c r="CD19" s="10"/>
      <c r="CE19" s="10"/>
      <c r="CF19" s="10"/>
      <c r="CG19" s="10"/>
      <c r="CH19" s="10"/>
      <c r="CI19" s="6"/>
      <c r="CJ19" s="6">
        <f t="shared" si="0"/>
        <v>122.5</v>
      </c>
    </row>
    <row r="20" spans="1:88" x14ac:dyDescent="0.25">
      <c r="A20">
        <v>10</v>
      </c>
      <c r="B20" s="10" t="s">
        <v>71</v>
      </c>
      <c r="C20" s="6"/>
      <c r="D20" s="6" t="s">
        <v>184</v>
      </c>
      <c r="E20" s="6" t="s">
        <v>374</v>
      </c>
      <c r="F20" s="6"/>
      <c r="G20" s="6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6"/>
      <c r="Y20" s="10"/>
      <c r="Z20" s="10"/>
      <c r="AA20" s="6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6"/>
      <c r="BU20" s="6"/>
      <c r="BV20" s="10">
        <v>36</v>
      </c>
      <c r="BW20" s="10">
        <v>64</v>
      </c>
      <c r="BX20" s="10">
        <v>56</v>
      </c>
      <c r="BY20" s="10"/>
      <c r="BZ20" s="10"/>
      <c r="CA20" s="10"/>
      <c r="CB20" s="6">
        <f>SUM(BU20:CA20)</f>
        <v>156</v>
      </c>
      <c r="CC20" s="6">
        <f>(CB20-BU20)/2</f>
        <v>78</v>
      </c>
      <c r="CD20" s="10">
        <v>36</v>
      </c>
      <c r="CE20" s="10"/>
      <c r="CF20" s="10"/>
      <c r="CG20" s="10"/>
      <c r="CH20" s="10"/>
      <c r="CI20" s="6"/>
      <c r="CJ20" s="6">
        <f t="shared" si="0"/>
        <v>114</v>
      </c>
    </row>
    <row r="21" spans="1:88" x14ac:dyDescent="0.25">
      <c r="A21">
        <v>11</v>
      </c>
      <c r="B21" s="6" t="s">
        <v>48</v>
      </c>
      <c r="C21" s="6"/>
      <c r="D21" s="6" t="s">
        <v>351</v>
      </c>
      <c r="E21" s="6" t="s">
        <v>224</v>
      </c>
      <c r="F21" s="6"/>
      <c r="G21" s="6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6"/>
      <c r="Y21" s="10"/>
      <c r="Z21" s="10"/>
      <c r="AA21" s="6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6"/>
      <c r="BU21" s="6"/>
      <c r="BV21" s="10"/>
      <c r="BW21" s="10"/>
      <c r="BX21" s="10"/>
      <c r="BY21" s="10"/>
      <c r="BZ21" s="10"/>
      <c r="CA21" s="10"/>
      <c r="CB21" s="6"/>
      <c r="CC21" s="6"/>
      <c r="CD21" s="10">
        <v>48</v>
      </c>
      <c r="CE21" s="10"/>
      <c r="CF21" s="10">
        <v>56</v>
      </c>
      <c r="CG21" s="10"/>
      <c r="CH21" s="10"/>
      <c r="CI21" s="6"/>
      <c r="CJ21" s="6">
        <f t="shared" si="0"/>
        <v>104</v>
      </c>
    </row>
    <row r="22" spans="1:88" x14ac:dyDescent="0.25">
      <c r="A22">
        <v>12</v>
      </c>
      <c r="B22" s="10" t="s">
        <v>293</v>
      </c>
      <c r="C22" s="6"/>
      <c r="D22" s="6" t="s">
        <v>294</v>
      </c>
      <c r="E22" s="6" t="s">
        <v>295</v>
      </c>
      <c r="F22" s="6"/>
      <c r="G22" s="6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6"/>
      <c r="Y22" s="10"/>
      <c r="Z22" s="10"/>
      <c r="AA22" s="6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6"/>
      <c r="BU22" s="6"/>
      <c r="BV22" s="10"/>
      <c r="BW22" s="10">
        <v>40</v>
      </c>
      <c r="BX22" s="10">
        <v>54</v>
      </c>
      <c r="BY22" s="10"/>
      <c r="BZ22" s="10"/>
      <c r="CA22" s="10"/>
      <c r="CB22" s="6">
        <f>SUM(BU22:CA22)</f>
        <v>94</v>
      </c>
      <c r="CC22" s="6">
        <f>(CB22-BU22)/2</f>
        <v>47</v>
      </c>
      <c r="CD22" s="10"/>
      <c r="CE22" s="10">
        <v>44.8</v>
      </c>
      <c r="CF22" s="10"/>
      <c r="CG22" s="10"/>
      <c r="CH22" s="10"/>
      <c r="CI22" s="6"/>
      <c r="CJ22" s="6">
        <f t="shared" si="0"/>
        <v>91.8</v>
      </c>
    </row>
    <row r="23" spans="1:88" x14ac:dyDescent="0.25">
      <c r="A23">
        <v>13</v>
      </c>
      <c r="B23" s="10" t="s">
        <v>45</v>
      </c>
      <c r="C23" s="6"/>
      <c r="D23" s="6" t="s">
        <v>529</v>
      </c>
      <c r="E23" s="6" t="s">
        <v>73</v>
      </c>
      <c r="F23" s="6"/>
      <c r="G23" s="6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6"/>
      <c r="Y23" s="10"/>
      <c r="Z23" s="10"/>
      <c r="AA23" s="6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6"/>
      <c r="BU23" s="6"/>
      <c r="BV23" s="10"/>
      <c r="BW23" s="10"/>
      <c r="BX23" s="10"/>
      <c r="BY23" s="10"/>
      <c r="BZ23" s="10"/>
      <c r="CA23" s="10"/>
      <c r="CB23" s="6"/>
      <c r="CC23" s="6"/>
      <c r="CD23" s="10">
        <v>48</v>
      </c>
      <c r="CE23" s="10"/>
      <c r="CF23" s="10"/>
      <c r="CG23" s="10"/>
      <c r="CH23" s="10"/>
      <c r="CI23" s="6"/>
      <c r="CJ23" s="6">
        <f t="shared" si="0"/>
        <v>48</v>
      </c>
    </row>
    <row r="24" spans="1:88" x14ac:dyDescent="0.25">
      <c r="A24">
        <v>14</v>
      </c>
      <c r="B24" s="10" t="s">
        <v>494</v>
      </c>
      <c r="C24" s="6"/>
      <c r="D24" s="6" t="s">
        <v>495</v>
      </c>
      <c r="E24" s="6" t="s">
        <v>496</v>
      </c>
      <c r="F24" s="6"/>
      <c r="G24" s="6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6"/>
      <c r="Y24" s="10"/>
      <c r="Z24" s="10"/>
      <c r="AA24" s="6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6"/>
      <c r="BU24" s="6"/>
      <c r="BV24" s="10"/>
      <c r="BW24" s="10"/>
      <c r="BX24" s="10"/>
      <c r="BY24" s="10"/>
      <c r="BZ24" s="10"/>
      <c r="CA24" s="10"/>
      <c r="CB24" s="6"/>
      <c r="CC24" s="6"/>
      <c r="CD24" s="10">
        <v>2.4</v>
      </c>
      <c r="CE24" s="10">
        <v>44.8</v>
      </c>
      <c r="CF24" s="10"/>
      <c r="CG24" s="10"/>
      <c r="CH24" s="10"/>
      <c r="CI24" s="6"/>
      <c r="CJ24" s="6">
        <f t="shared" si="0"/>
        <v>47.199999999999996</v>
      </c>
    </row>
    <row r="25" spans="1:88" x14ac:dyDescent="0.25">
      <c r="A25">
        <v>15</v>
      </c>
      <c r="B25" s="10" t="s">
        <v>112</v>
      </c>
      <c r="C25" s="6"/>
      <c r="D25" s="6" t="s">
        <v>231</v>
      </c>
      <c r="E25" s="6" t="s">
        <v>23</v>
      </c>
      <c r="F25" s="6"/>
      <c r="G25" s="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6"/>
      <c r="Y25" s="10"/>
      <c r="Z25" s="10"/>
      <c r="AA25" s="6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6"/>
      <c r="BU25" s="6"/>
      <c r="BV25" s="10">
        <v>2.4</v>
      </c>
      <c r="BW25" s="10">
        <v>80</v>
      </c>
      <c r="BX25" s="10">
        <v>3.2</v>
      </c>
      <c r="BY25" s="10">
        <v>7.5</v>
      </c>
      <c r="BZ25" s="10"/>
      <c r="CA25" s="10"/>
      <c r="CB25" s="6">
        <f>SUM(BU25:CA25)</f>
        <v>93.100000000000009</v>
      </c>
      <c r="CC25" s="6">
        <f>(CB25-BU25)/2</f>
        <v>46.550000000000004</v>
      </c>
      <c r="CD25" s="10"/>
      <c r="CE25" s="10"/>
      <c r="CF25" s="10"/>
      <c r="CG25" s="10"/>
      <c r="CH25" s="10"/>
      <c r="CI25" s="6"/>
      <c r="CJ25" s="6">
        <f t="shared" si="0"/>
        <v>46.550000000000004</v>
      </c>
    </row>
    <row r="26" spans="1:88" x14ac:dyDescent="0.25">
      <c r="A26">
        <v>16</v>
      </c>
      <c r="B26" s="10" t="s">
        <v>542</v>
      </c>
      <c r="C26" s="6"/>
      <c r="D26" s="6" t="s">
        <v>543</v>
      </c>
      <c r="E26" s="6" t="s">
        <v>534</v>
      </c>
      <c r="F26" s="6"/>
      <c r="G26" s="6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6"/>
      <c r="Y26" s="10"/>
      <c r="Z26" s="10"/>
      <c r="AA26" s="6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6"/>
      <c r="BU26" s="6"/>
      <c r="BV26" s="10"/>
      <c r="BW26" s="10"/>
      <c r="BX26" s="10"/>
      <c r="BY26" s="10"/>
      <c r="BZ26" s="10"/>
      <c r="CA26" s="10"/>
      <c r="CB26" s="6"/>
      <c r="CC26" s="6"/>
      <c r="CD26" s="10">
        <v>36</v>
      </c>
      <c r="CE26" s="10"/>
      <c r="CF26" s="10"/>
      <c r="CG26" s="10"/>
      <c r="CH26" s="10"/>
      <c r="CI26" s="6"/>
      <c r="CJ26" s="6">
        <f t="shared" si="0"/>
        <v>36</v>
      </c>
    </row>
    <row r="27" spans="1:88" x14ac:dyDescent="0.25">
      <c r="A27">
        <v>17</v>
      </c>
      <c r="B27" s="10" t="s">
        <v>170</v>
      </c>
      <c r="C27" s="6"/>
      <c r="D27" s="6" t="s">
        <v>259</v>
      </c>
      <c r="E27" s="6" t="s">
        <v>250</v>
      </c>
      <c r="F27" s="6"/>
      <c r="G27" s="6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6"/>
      <c r="Y27" s="10"/>
      <c r="Z27" s="10"/>
      <c r="AA27" s="6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6"/>
      <c r="BV27" s="10">
        <v>48</v>
      </c>
      <c r="BW27" s="10"/>
      <c r="BX27" s="10"/>
      <c r="BY27" s="10"/>
      <c r="BZ27" s="10"/>
      <c r="CA27" s="10"/>
      <c r="CB27" s="6">
        <f>SUM(BU27:CA27)</f>
        <v>48</v>
      </c>
      <c r="CC27" s="6">
        <f>(CB27-BU27)/2</f>
        <v>24</v>
      </c>
      <c r="CD27" s="10"/>
      <c r="CE27" s="10"/>
      <c r="CF27" s="10"/>
      <c r="CG27" s="10"/>
      <c r="CH27" s="10"/>
      <c r="CI27" s="6"/>
      <c r="CJ27" s="6">
        <f t="shared" si="0"/>
        <v>24</v>
      </c>
    </row>
    <row r="28" spans="1:88" x14ac:dyDescent="0.25">
      <c r="A28">
        <v>18</v>
      </c>
      <c r="B28" s="10" t="s">
        <v>371</v>
      </c>
      <c r="C28" s="6"/>
      <c r="D28" s="6" t="s">
        <v>372</v>
      </c>
      <c r="E28" s="6" t="s">
        <v>358</v>
      </c>
      <c r="F28" s="6"/>
      <c r="G28" s="6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6"/>
      <c r="Y28" s="10"/>
      <c r="Z28" s="10"/>
      <c r="AA28" s="6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6"/>
      <c r="BU28" s="6"/>
      <c r="BV28" s="10"/>
      <c r="BW28" s="10">
        <v>44.8</v>
      </c>
      <c r="BX28" s="10"/>
      <c r="BY28" s="10"/>
      <c r="BZ28" s="10"/>
      <c r="CA28" s="10"/>
      <c r="CB28" s="6">
        <f>SUM(BU28:CA28)</f>
        <v>44.8</v>
      </c>
      <c r="CC28" s="6">
        <f>(CB28-BU28)/2</f>
        <v>22.4</v>
      </c>
      <c r="CD28" s="10"/>
      <c r="CE28" s="10"/>
      <c r="CF28" s="10"/>
      <c r="CG28" s="10"/>
      <c r="CH28" s="10"/>
      <c r="CI28" s="6"/>
      <c r="CJ28" s="6">
        <f t="shared" si="0"/>
        <v>22.4</v>
      </c>
    </row>
    <row r="29" spans="1:88" x14ac:dyDescent="0.25">
      <c r="A29">
        <v>19</v>
      </c>
      <c r="B29" s="10" t="s">
        <v>40</v>
      </c>
      <c r="C29" s="6"/>
      <c r="D29" s="6" t="s">
        <v>296</v>
      </c>
      <c r="E29" s="6" t="s">
        <v>57</v>
      </c>
      <c r="F29" s="6"/>
      <c r="G29" s="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6"/>
      <c r="Y29" s="10"/>
      <c r="Z29" s="10"/>
      <c r="AA29" s="6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6"/>
      <c r="BU29" s="6"/>
      <c r="BV29" s="10">
        <v>36</v>
      </c>
      <c r="BW29" s="10"/>
      <c r="BX29" s="10">
        <v>7.5</v>
      </c>
      <c r="BY29" s="10"/>
      <c r="BZ29" s="10"/>
      <c r="CA29" s="10"/>
      <c r="CB29" s="6">
        <f>SUM(BU29:CA29)</f>
        <v>43.5</v>
      </c>
      <c r="CC29" s="6">
        <f>(CB29-BU29)/2</f>
        <v>21.75</v>
      </c>
      <c r="CD29" s="10"/>
      <c r="CE29" s="10"/>
      <c r="CF29" s="10"/>
      <c r="CG29" s="10"/>
      <c r="CH29" s="10"/>
      <c r="CI29" s="6"/>
      <c r="CJ29" s="6">
        <f t="shared" si="0"/>
        <v>21.75</v>
      </c>
    </row>
    <row r="30" spans="1:88" x14ac:dyDescent="0.25">
      <c r="A30">
        <v>20</v>
      </c>
      <c r="B30" s="10" t="s">
        <v>214</v>
      </c>
      <c r="C30" s="6" t="s">
        <v>216</v>
      </c>
      <c r="D30" s="6" t="s">
        <v>215</v>
      </c>
      <c r="E30" s="6" t="s">
        <v>79</v>
      </c>
      <c r="F30" s="6"/>
      <c r="G30" s="6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6"/>
      <c r="Y30" s="10"/>
      <c r="Z30" s="10"/>
      <c r="AA30" s="6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>
        <v>36</v>
      </c>
      <c r="BH30" s="10"/>
      <c r="BI30" s="10">
        <v>48.8</v>
      </c>
      <c r="BJ30" s="10"/>
      <c r="BK30" s="10"/>
      <c r="BL30" s="10">
        <v>7.5</v>
      </c>
      <c r="BM30" s="10"/>
      <c r="BN30" s="10"/>
      <c r="BO30" s="10"/>
      <c r="BP30" s="10">
        <v>2.4</v>
      </c>
      <c r="BQ30" s="10">
        <v>7.5</v>
      </c>
      <c r="BR30" s="10"/>
      <c r="BS30" s="10"/>
      <c r="BT30" s="6">
        <f>SUM(AW30:BS30)</f>
        <v>102.2</v>
      </c>
      <c r="BU30" s="6">
        <f>(BT30-AW30)/2</f>
        <v>51.1</v>
      </c>
      <c r="BV30" s="10">
        <v>36</v>
      </c>
      <c r="BW30" s="10"/>
      <c r="BX30" s="10"/>
      <c r="BY30" s="10"/>
      <c r="BZ30" s="10"/>
      <c r="CA30" s="10"/>
      <c r="CB30" s="6">
        <f>SUM(BU30:CA30)</f>
        <v>87.1</v>
      </c>
      <c r="CC30" s="6">
        <f>(CB30-BU30)/2</f>
        <v>17.999999999999996</v>
      </c>
      <c r="CD30" s="10"/>
      <c r="CE30" s="10"/>
      <c r="CF30" s="10"/>
      <c r="CG30" s="10"/>
      <c r="CH30" s="10"/>
      <c r="CI30" s="6"/>
      <c r="CJ30" s="6">
        <f t="shared" si="0"/>
        <v>17.999999999999996</v>
      </c>
    </row>
    <row r="31" spans="1:88" x14ac:dyDescent="0.25">
      <c r="A31">
        <v>21</v>
      </c>
      <c r="B31" s="10" t="s">
        <v>293</v>
      </c>
      <c r="C31" s="6"/>
      <c r="D31" s="6" t="s">
        <v>152</v>
      </c>
      <c r="E31" s="6" t="s">
        <v>92</v>
      </c>
      <c r="F31" s="6"/>
      <c r="G31" s="6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6"/>
      <c r="Y31" s="10"/>
      <c r="Z31" s="10"/>
      <c r="AA31" s="6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6"/>
      <c r="BU31" s="6"/>
      <c r="BV31" s="10"/>
      <c r="BW31" s="10"/>
      <c r="BX31" s="10"/>
      <c r="BY31" s="10"/>
      <c r="BZ31" s="10"/>
      <c r="CA31" s="10"/>
      <c r="CB31" s="6"/>
      <c r="CC31" s="6"/>
      <c r="CD31" s="10">
        <v>2.4</v>
      </c>
      <c r="CE31" s="10"/>
      <c r="CF31" s="10">
        <v>4</v>
      </c>
      <c r="CG31" s="10"/>
      <c r="CH31" s="10"/>
      <c r="CI31" s="6"/>
      <c r="CJ31" s="6">
        <f t="shared" si="0"/>
        <v>6.4</v>
      </c>
    </row>
    <row r="32" spans="1:88" x14ac:dyDescent="0.25">
      <c r="A32">
        <v>22</v>
      </c>
      <c r="B32" s="10" t="s">
        <v>520</v>
      </c>
      <c r="C32" s="6"/>
      <c r="D32" s="6" t="s">
        <v>521</v>
      </c>
      <c r="E32" s="6" t="s">
        <v>522</v>
      </c>
      <c r="F32" s="6"/>
      <c r="G32" s="6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6"/>
      <c r="Y32" s="10"/>
      <c r="Z32" s="10"/>
      <c r="AA32" s="6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6"/>
      <c r="BU32" s="6"/>
      <c r="BV32" s="10"/>
      <c r="BW32" s="10"/>
      <c r="BX32" s="10"/>
      <c r="BY32" s="10"/>
      <c r="BZ32" s="10"/>
      <c r="CA32" s="10"/>
      <c r="CB32" s="6"/>
      <c r="CC32" s="6"/>
      <c r="CD32" s="10"/>
      <c r="CE32" s="10">
        <v>4</v>
      </c>
      <c r="CF32" s="10"/>
      <c r="CG32" s="10"/>
      <c r="CH32" s="10"/>
      <c r="CI32" s="6"/>
      <c r="CJ32" s="6">
        <f t="shared" si="0"/>
        <v>4</v>
      </c>
    </row>
    <row r="33" spans="1:88" x14ac:dyDescent="0.25">
      <c r="A33">
        <v>23</v>
      </c>
      <c r="B33" s="10" t="s">
        <v>265</v>
      </c>
      <c r="C33" s="6"/>
      <c r="D33" s="6" t="s">
        <v>118</v>
      </c>
      <c r="E33" s="6" t="s">
        <v>202</v>
      </c>
      <c r="F33" s="6"/>
      <c r="G33" s="6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6"/>
      <c r="Y33" s="10"/>
      <c r="Z33" s="10"/>
      <c r="AA33" s="6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6"/>
      <c r="BU33" s="6"/>
      <c r="BV33" s="10"/>
      <c r="BW33" s="10"/>
      <c r="BX33" s="10"/>
      <c r="BY33" s="10"/>
      <c r="BZ33" s="10"/>
      <c r="CA33" s="10"/>
      <c r="CB33" s="6"/>
      <c r="CC33" s="6"/>
      <c r="CD33" s="10"/>
      <c r="CE33" s="10">
        <v>4</v>
      </c>
      <c r="CF33" s="10"/>
      <c r="CG33" s="10"/>
      <c r="CH33" s="10"/>
      <c r="CI33" s="6"/>
      <c r="CJ33" s="6">
        <f t="shared" si="0"/>
        <v>4</v>
      </c>
    </row>
    <row r="34" spans="1:88" x14ac:dyDescent="0.25">
      <c r="A34">
        <v>24</v>
      </c>
      <c r="B34" s="10" t="s">
        <v>497</v>
      </c>
      <c r="C34" s="6"/>
      <c r="D34" s="6" t="s">
        <v>109</v>
      </c>
      <c r="E34" s="6" t="s">
        <v>498</v>
      </c>
      <c r="F34" s="6"/>
      <c r="G34" s="6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6"/>
      <c r="Y34" s="10"/>
      <c r="Z34" s="10"/>
      <c r="AA34" s="6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6"/>
      <c r="BU34" s="6"/>
      <c r="BV34" s="10"/>
      <c r="BW34" s="10"/>
      <c r="BX34" s="10"/>
      <c r="BY34" s="10"/>
      <c r="BZ34" s="10"/>
      <c r="CA34" s="10"/>
      <c r="CB34" s="6"/>
      <c r="CC34" s="6"/>
      <c r="CD34" s="10"/>
      <c r="CE34" s="10">
        <v>3.2</v>
      </c>
      <c r="CF34" s="10"/>
      <c r="CG34" s="10"/>
      <c r="CH34" s="10"/>
      <c r="CI34" s="6"/>
      <c r="CJ34" s="6">
        <f t="shared" si="0"/>
        <v>3.2</v>
      </c>
    </row>
    <row r="35" spans="1:88" x14ac:dyDescent="0.25">
      <c r="A35">
        <v>25</v>
      </c>
      <c r="B35" s="10" t="s">
        <v>458</v>
      </c>
      <c r="C35" s="6"/>
      <c r="D35" s="6" t="s">
        <v>459</v>
      </c>
      <c r="E35" s="6" t="s">
        <v>295</v>
      </c>
      <c r="F35" s="6"/>
      <c r="G35" s="6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6"/>
      <c r="Y35" s="10"/>
      <c r="Z35" s="10"/>
      <c r="AA35" s="6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6"/>
      <c r="BU35" s="6"/>
      <c r="BV35" s="10"/>
      <c r="BW35" s="10"/>
      <c r="BX35" s="10"/>
      <c r="BY35" s="10"/>
      <c r="BZ35" s="10"/>
      <c r="CA35" s="10"/>
      <c r="CB35" s="6"/>
      <c r="CC35" s="6"/>
      <c r="CD35" s="10"/>
      <c r="CE35" s="10">
        <v>3.2</v>
      </c>
      <c r="CF35" s="10"/>
      <c r="CG35" s="10"/>
      <c r="CH35" s="10"/>
      <c r="CI35" s="6"/>
      <c r="CJ35" s="6">
        <f t="shared" si="0"/>
        <v>3.2</v>
      </c>
    </row>
    <row r="36" spans="1:88" x14ac:dyDescent="0.25">
      <c r="A36">
        <v>26</v>
      </c>
      <c r="B36" s="10" t="s">
        <v>69</v>
      </c>
      <c r="C36" s="6"/>
      <c r="D36" s="6" t="s">
        <v>407</v>
      </c>
      <c r="E36" s="6" t="s">
        <v>408</v>
      </c>
      <c r="F36" s="6"/>
      <c r="G36" s="6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6"/>
      <c r="Y36" s="10"/>
      <c r="Z36" s="10"/>
      <c r="AA36" s="6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6"/>
      <c r="BU36" s="6"/>
      <c r="BV36" s="10"/>
      <c r="BW36" s="10"/>
      <c r="BX36" s="10"/>
      <c r="BY36" s="10"/>
      <c r="BZ36" s="10"/>
      <c r="CA36" s="10"/>
      <c r="CB36" s="6"/>
      <c r="CC36" s="6"/>
      <c r="CD36" s="10">
        <v>2.4</v>
      </c>
      <c r="CE36" s="10"/>
      <c r="CF36" s="10"/>
      <c r="CG36" s="10"/>
      <c r="CH36" s="10"/>
      <c r="CI36" s="6"/>
      <c r="CJ36" s="6">
        <f t="shared" si="0"/>
        <v>2.4</v>
      </c>
    </row>
    <row r="37" spans="1:88" x14ac:dyDescent="0.25">
      <c r="A37">
        <v>27</v>
      </c>
      <c r="B37" s="10" t="s">
        <v>48</v>
      </c>
      <c r="C37" s="6"/>
      <c r="D37" s="6" t="s">
        <v>225</v>
      </c>
      <c r="E37" s="6" t="s">
        <v>46</v>
      </c>
      <c r="F37" s="6"/>
      <c r="G37" s="6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6"/>
      <c r="Y37" s="10"/>
      <c r="Z37" s="10"/>
      <c r="AA37" s="6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6"/>
      <c r="BU37" s="6"/>
      <c r="BV37" s="10"/>
      <c r="BW37" s="10">
        <v>4</v>
      </c>
      <c r="BX37" s="10"/>
      <c r="BY37" s="10"/>
      <c r="BZ37" s="10"/>
      <c r="CA37" s="10"/>
      <c r="CB37" s="6">
        <f>SUM(BU37:CA37)</f>
        <v>4</v>
      </c>
      <c r="CC37" s="6">
        <f>(CB37-BU37)/2</f>
        <v>2</v>
      </c>
      <c r="CD37" s="10"/>
      <c r="CE37" s="10"/>
      <c r="CF37" s="10"/>
      <c r="CG37" s="10"/>
      <c r="CH37" s="10"/>
      <c r="CI37" s="6"/>
      <c r="CJ37" s="6">
        <f t="shared" si="0"/>
        <v>2</v>
      </c>
    </row>
    <row r="38" spans="1:88" x14ac:dyDescent="0.25">
      <c r="A38">
        <v>28</v>
      </c>
      <c r="B38" s="10" t="s">
        <v>176</v>
      </c>
      <c r="C38" s="6"/>
      <c r="D38" s="6" t="s">
        <v>15</v>
      </c>
      <c r="E38" s="6" t="s">
        <v>95</v>
      </c>
      <c r="F38" s="6"/>
      <c r="G38" s="6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6"/>
      <c r="Y38" s="10"/>
      <c r="Z38" s="10"/>
      <c r="AA38" s="6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6"/>
      <c r="AW38" s="6"/>
      <c r="AX38" s="6">
        <v>36</v>
      </c>
      <c r="AY38" s="6"/>
      <c r="AZ38" s="6"/>
      <c r="BA38" s="6"/>
      <c r="BB38" s="6"/>
      <c r="BC38" s="6"/>
      <c r="BD38" s="6"/>
      <c r="BE38" s="6"/>
      <c r="BF38" s="6"/>
      <c r="BG38" s="6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6">
        <f>SUM(AW38:BS38)</f>
        <v>36</v>
      </c>
      <c r="BU38" s="6">
        <f>(BT38-AW38)/2</f>
        <v>18</v>
      </c>
      <c r="BV38" s="10"/>
      <c r="BW38" s="10"/>
      <c r="BX38" s="10"/>
      <c r="BY38" s="10"/>
      <c r="BZ38" s="10"/>
      <c r="CA38" s="10"/>
      <c r="CB38" s="6">
        <f>SUM(BU38:CA38)</f>
        <v>18</v>
      </c>
      <c r="CC38" s="6">
        <f>(CB38-BU38)/2</f>
        <v>0</v>
      </c>
      <c r="CD38" s="10"/>
      <c r="CE38" s="10"/>
      <c r="CF38" s="10"/>
      <c r="CG38" s="10"/>
      <c r="CH38" s="10"/>
      <c r="CI38" s="6"/>
      <c r="CJ38" s="6">
        <f t="shared" si="0"/>
        <v>0</v>
      </c>
    </row>
  </sheetData>
  <sortState xmlns:xlrd2="http://schemas.microsoft.com/office/spreadsheetml/2017/richdata2" ref="B11:CJ38">
    <sortCondition descending="1" ref="CJ11:CJ38"/>
  </sortState>
  <mergeCells count="5">
    <mergeCell ref="B8:C10"/>
    <mergeCell ref="BX9:CA9"/>
    <mergeCell ref="CF9:CI9"/>
    <mergeCell ref="D4:CJ5"/>
    <mergeCell ref="B1:CJ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29"/>
  <sheetViews>
    <sheetView zoomScale="80" zoomScaleNormal="80" workbookViewId="0">
      <selection activeCell="CP18" sqref="CP18"/>
    </sheetView>
  </sheetViews>
  <sheetFormatPr baseColWidth="10" defaultRowHeight="15" x14ac:dyDescent="0.25"/>
  <cols>
    <col min="1" max="1" width="3.140625" bestFit="1" customWidth="1"/>
    <col min="2" max="2" width="13.85546875" bestFit="1" customWidth="1"/>
    <col min="4" max="4" width="12.85546875" bestFit="1" customWidth="1"/>
    <col min="5" max="5" width="18.5703125" bestFit="1" customWidth="1"/>
    <col min="6" max="9" width="6.85546875" hidden="1" customWidth="1"/>
    <col min="10" max="10" width="6.85546875" style="7" hidden="1" customWidth="1"/>
    <col min="11" max="13" width="7.28515625" style="7" hidden="1" customWidth="1"/>
    <col min="14" max="16" width="6.7109375" style="7" hidden="1" customWidth="1"/>
    <col min="17" max="18" width="6.28515625" style="7" hidden="1" customWidth="1"/>
    <col min="19" max="21" width="6.7109375" style="7" hidden="1" customWidth="1"/>
    <col min="22" max="22" width="7.5703125" style="7" hidden="1" customWidth="1"/>
    <col min="23" max="26" width="7.28515625" style="7" hidden="1" customWidth="1"/>
    <col min="27" max="29" width="6.7109375" style="7" hidden="1" customWidth="1"/>
    <col min="30" max="30" width="0" hidden="1" customWidth="1"/>
    <col min="31" max="31" width="6.85546875" style="7" hidden="1" customWidth="1"/>
    <col min="32" max="47" width="6" hidden="1" customWidth="1"/>
    <col min="48" max="48" width="6" style="7" hidden="1" customWidth="1"/>
    <col min="49" max="49" width="6.28515625" hidden="1" customWidth="1"/>
    <col min="50" max="50" width="7.7109375" hidden="1" customWidth="1"/>
    <col min="51" max="57" width="6" hidden="1" customWidth="1"/>
    <col min="58" max="64" width="6" style="7" hidden="1" customWidth="1"/>
    <col min="65" max="65" width="10.85546875" style="7" hidden="1" customWidth="1"/>
    <col min="66" max="73" width="6.140625" style="7" hidden="1" customWidth="1"/>
    <col min="74" max="75" width="7.7109375" hidden="1" customWidth="1"/>
    <col min="76" max="76" width="6.7109375" style="7" hidden="1" customWidth="1"/>
    <col min="77" max="77" width="7.28515625" style="7" hidden="1" customWidth="1"/>
    <col min="78" max="81" width="7.85546875" style="7" hidden="1" customWidth="1"/>
    <col min="84" max="84" width="7.140625" style="7" customWidth="1"/>
    <col min="85" max="85" width="8" style="7" customWidth="1"/>
    <col min="86" max="86" width="7.42578125" style="7" customWidth="1"/>
    <col min="87" max="88" width="6.7109375" style="7" customWidth="1"/>
    <col min="89" max="89" width="7.140625" style="7" customWidth="1"/>
  </cols>
  <sheetData>
    <row r="1" spans="1:90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</row>
    <row r="2" spans="1:90" ht="15.75" thickBot="1" x14ac:dyDescent="0.3">
      <c r="C2" s="7"/>
      <c r="D2" s="7"/>
      <c r="E2" s="7"/>
    </row>
    <row r="3" spans="1:90" ht="15.75" thickTop="1" x14ac:dyDescent="0.25">
      <c r="B3" s="1" t="s">
        <v>0</v>
      </c>
      <c r="C3" s="4" t="s">
        <v>13</v>
      </c>
    </row>
    <row r="4" spans="1:90" ht="14.65" customHeight="1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</row>
    <row r="5" spans="1:90" ht="15" customHeight="1" thickBot="1" x14ac:dyDescent="0.3">
      <c r="B5" s="3" t="s">
        <v>2</v>
      </c>
      <c r="C5" s="14">
        <v>-48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</row>
    <row r="6" spans="1:90" ht="15.75" thickTop="1" x14ac:dyDescent="0.25"/>
    <row r="7" spans="1:90" ht="15.75" thickBot="1" x14ac:dyDescent="0.3"/>
    <row r="8" spans="1:90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9</v>
      </c>
      <c r="I8" s="4" t="s">
        <v>9</v>
      </c>
      <c r="J8" s="4" t="s">
        <v>33</v>
      </c>
      <c r="K8" s="4" t="s">
        <v>55</v>
      </c>
      <c r="L8" s="4" t="s">
        <v>9</v>
      </c>
      <c r="M8" s="4" t="s">
        <v>9</v>
      </c>
      <c r="N8" s="4" t="s">
        <v>72</v>
      </c>
      <c r="O8" s="4" t="s">
        <v>76</v>
      </c>
      <c r="P8" s="4" t="s">
        <v>80</v>
      </c>
      <c r="Q8" s="4" t="s">
        <v>84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4" t="s">
        <v>9</v>
      </c>
      <c r="Z8" s="4" t="s">
        <v>96</v>
      </c>
      <c r="AA8" s="4" t="s">
        <v>9</v>
      </c>
      <c r="AB8" s="4" t="s">
        <v>9</v>
      </c>
      <c r="AC8" s="4" t="s">
        <v>103</v>
      </c>
      <c r="AD8" s="1"/>
      <c r="AE8" s="13">
        <v>44927</v>
      </c>
      <c r="AF8" s="4" t="s">
        <v>9</v>
      </c>
      <c r="AG8" s="4" t="s">
        <v>9</v>
      </c>
      <c r="AH8" s="4" t="s">
        <v>103</v>
      </c>
      <c r="AI8" s="4" t="s">
        <v>9</v>
      </c>
      <c r="AJ8" s="4" t="s">
        <v>127</v>
      </c>
      <c r="AK8" s="4" t="s">
        <v>127</v>
      </c>
      <c r="AL8" s="4" t="s">
        <v>127</v>
      </c>
      <c r="AM8" s="4" t="s">
        <v>103</v>
      </c>
      <c r="AN8" s="4" t="s">
        <v>9</v>
      </c>
      <c r="AO8" s="4" t="s">
        <v>9</v>
      </c>
      <c r="AP8" s="4" t="s">
        <v>9</v>
      </c>
      <c r="AQ8" s="4" t="s">
        <v>9</v>
      </c>
      <c r="AR8" s="4" t="s">
        <v>9</v>
      </c>
      <c r="AS8" s="4" t="s">
        <v>9</v>
      </c>
      <c r="AT8" s="4" t="s">
        <v>103</v>
      </c>
      <c r="AU8" s="4" t="s">
        <v>9</v>
      </c>
      <c r="AV8" s="4" t="s">
        <v>104</v>
      </c>
      <c r="AW8" s="4" t="s">
        <v>6</v>
      </c>
      <c r="AX8" s="13">
        <v>45292</v>
      </c>
      <c r="AY8" s="13" t="s">
        <v>9</v>
      </c>
      <c r="AZ8" s="13" t="s">
        <v>9</v>
      </c>
      <c r="BA8" s="13" t="s">
        <v>9</v>
      </c>
      <c r="BB8" s="13" t="s">
        <v>9</v>
      </c>
      <c r="BC8" s="13" t="s">
        <v>9</v>
      </c>
      <c r="BD8" s="13" t="s">
        <v>9</v>
      </c>
      <c r="BE8" s="13" t="s">
        <v>103</v>
      </c>
      <c r="BF8" s="13" t="s">
        <v>103</v>
      </c>
      <c r="BG8" s="13" t="s">
        <v>127</v>
      </c>
      <c r="BH8" s="13" t="s">
        <v>127</v>
      </c>
      <c r="BI8" s="13" t="s">
        <v>127</v>
      </c>
      <c r="BJ8" s="13" t="s">
        <v>103</v>
      </c>
      <c r="BK8" s="13" t="s">
        <v>9</v>
      </c>
      <c r="BL8" s="13" t="s">
        <v>9</v>
      </c>
      <c r="BM8" s="13" t="s">
        <v>9</v>
      </c>
      <c r="BN8" s="13" t="s">
        <v>9</v>
      </c>
      <c r="BO8" s="13" t="s">
        <v>9</v>
      </c>
      <c r="BP8" s="13" t="s">
        <v>9</v>
      </c>
      <c r="BQ8" s="13" t="s">
        <v>103</v>
      </c>
      <c r="BR8" s="13" t="s">
        <v>100</v>
      </c>
      <c r="BS8" s="13" t="s">
        <v>241</v>
      </c>
      <c r="BT8" s="13" t="s">
        <v>102</v>
      </c>
      <c r="BU8" s="13" t="s">
        <v>104</v>
      </c>
      <c r="BV8" s="13" t="s">
        <v>6</v>
      </c>
      <c r="BW8" s="13">
        <v>45658</v>
      </c>
      <c r="BX8" s="13"/>
      <c r="BY8" s="13"/>
      <c r="BZ8" s="18"/>
      <c r="CA8" s="19"/>
      <c r="CB8" s="19"/>
      <c r="CC8" s="20"/>
      <c r="CD8" s="13" t="s">
        <v>6</v>
      </c>
      <c r="CE8" s="13">
        <v>46023</v>
      </c>
      <c r="CF8" s="13"/>
      <c r="CG8" s="13"/>
      <c r="CH8" s="18"/>
      <c r="CI8" s="19"/>
      <c r="CJ8" s="19"/>
      <c r="CK8" s="20"/>
      <c r="CL8" s="13" t="s">
        <v>6</v>
      </c>
    </row>
    <row r="9" spans="1:90" x14ac:dyDescent="0.25">
      <c r="B9" s="26"/>
      <c r="C9" s="27"/>
      <c r="D9" s="2"/>
      <c r="E9" s="2"/>
      <c r="F9" s="8" t="s">
        <v>10</v>
      </c>
      <c r="G9" s="8" t="s">
        <v>22</v>
      </c>
      <c r="H9" s="5" t="s">
        <v>18</v>
      </c>
      <c r="I9" s="5" t="s">
        <v>30</v>
      </c>
      <c r="J9" s="8" t="s">
        <v>34</v>
      </c>
      <c r="K9" s="8" t="s">
        <v>56</v>
      </c>
      <c r="L9" s="8" t="s">
        <v>61</v>
      </c>
      <c r="M9" s="8" t="s">
        <v>65</v>
      </c>
      <c r="N9" s="8" t="s">
        <v>75</v>
      </c>
      <c r="O9" s="8" t="s">
        <v>77</v>
      </c>
      <c r="P9" s="8" t="s">
        <v>81</v>
      </c>
      <c r="Q9" s="8" t="s">
        <v>34</v>
      </c>
      <c r="R9" s="8" t="s">
        <v>85</v>
      </c>
      <c r="S9" s="8" t="s">
        <v>22</v>
      </c>
      <c r="T9" s="8" t="s">
        <v>18</v>
      </c>
      <c r="U9" s="8" t="s">
        <v>70</v>
      </c>
      <c r="V9" s="8" t="s">
        <v>94</v>
      </c>
      <c r="W9" s="8" t="s">
        <v>85</v>
      </c>
      <c r="X9" s="8" t="s">
        <v>65</v>
      </c>
      <c r="Y9" s="8" t="s">
        <v>89</v>
      </c>
      <c r="Z9" s="8" t="s">
        <v>97</v>
      </c>
      <c r="AA9" s="8" t="s">
        <v>61</v>
      </c>
      <c r="AB9" s="8" t="s">
        <v>89</v>
      </c>
      <c r="AC9" s="8" t="s">
        <v>104</v>
      </c>
      <c r="AD9" s="2" t="s">
        <v>6</v>
      </c>
      <c r="AE9" s="5"/>
      <c r="AF9" s="8" t="s">
        <v>85</v>
      </c>
      <c r="AG9" s="8" t="s">
        <v>18</v>
      </c>
      <c r="AH9" s="8" t="s">
        <v>72</v>
      </c>
      <c r="AI9" s="8" t="s">
        <v>70</v>
      </c>
      <c r="AJ9" s="8" t="s">
        <v>76</v>
      </c>
      <c r="AK9" s="8" t="s">
        <v>80</v>
      </c>
      <c r="AL9" s="8" t="s">
        <v>72</v>
      </c>
      <c r="AM9" s="8" t="s">
        <v>76</v>
      </c>
      <c r="AN9" s="8" t="s">
        <v>142</v>
      </c>
      <c r="AO9" s="8" t="s">
        <v>22</v>
      </c>
      <c r="AP9" s="8" t="s">
        <v>89</v>
      </c>
      <c r="AQ9" s="8" t="s">
        <v>70</v>
      </c>
      <c r="AR9" s="8" t="s">
        <v>18</v>
      </c>
      <c r="AS9" s="8" t="s">
        <v>85</v>
      </c>
      <c r="AT9" s="8" t="s">
        <v>80</v>
      </c>
      <c r="AU9" s="8" t="s">
        <v>65</v>
      </c>
      <c r="AV9" s="8"/>
      <c r="AW9" s="2"/>
      <c r="AX9" s="5"/>
      <c r="AY9" s="5" t="s">
        <v>10</v>
      </c>
      <c r="AZ9" s="5" t="s">
        <v>85</v>
      </c>
      <c r="BA9" s="5" t="s">
        <v>181</v>
      </c>
      <c r="BB9" s="5" t="s">
        <v>70</v>
      </c>
      <c r="BC9" s="5" t="s">
        <v>18</v>
      </c>
      <c r="BD9" s="5" t="s">
        <v>22</v>
      </c>
      <c r="BE9" s="5" t="s">
        <v>76</v>
      </c>
      <c r="BF9" s="5" t="s">
        <v>209</v>
      </c>
      <c r="BG9" s="5" t="s">
        <v>76</v>
      </c>
      <c r="BH9" s="5" t="s">
        <v>72</v>
      </c>
      <c r="BI9" s="5" t="s">
        <v>80</v>
      </c>
      <c r="BJ9" s="5" t="s">
        <v>72</v>
      </c>
      <c r="BK9" s="5" t="s">
        <v>70</v>
      </c>
      <c r="BL9" s="5" t="s">
        <v>181</v>
      </c>
      <c r="BM9" s="5" t="s">
        <v>153</v>
      </c>
      <c r="BN9" s="5" t="s">
        <v>22</v>
      </c>
      <c r="BO9" s="5" t="s">
        <v>65</v>
      </c>
      <c r="BP9" s="5" t="s">
        <v>236</v>
      </c>
      <c r="BQ9" s="5" t="s">
        <v>80</v>
      </c>
      <c r="BR9" s="5" t="s">
        <v>239</v>
      </c>
      <c r="BS9" s="5" t="s">
        <v>181</v>
      </c>
      <c r="BT9" s="5" t="s">
        <v>243</v>
      </c>
      <c r="BU9" s="5" t="s">
        <v>245</v>
      </c>
      <c r="BV9" s="5"/>
      <c r="BW9" s="5"/>
      <c r="BX9" s="8" t="s">
        <v>9</v>
      </c>
      <c r="BY9" s="8" t="s">
        <v>127</v>
      </c>
      <c r="BZ9" s="28" t="s">
        <v>247</v>
      </c>
      <c r="CA9" s="29"/>
      <c r="CB9" s="29"/>
      <c r="CC9" s="30"/>
      <c r="CD9" s="5"/>
      <c r="CE9" s="5"/>
      <c r="CF9" s="8" t="s">
        <v>9</v>
      </c>
      <c r="CG9" s="8" t="s">
        <v>127</v>
      </c>
      <c r="CH9" s="28" t="s">
        <v>247</v>
      </c>
      <c r="CI9" s="29"/>
      <c r="CJ9" s="29"/>
      <c r="CK9" s="30"/>
      <c r="CL9" s="5"/>
    </row>
    <row r="10" spans="1:90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44653</v>
      </c>
      <c r="H10" s="11">
        <v>44660</v>
      </c>
      <c r="I10" s="11">
        <v>44674</v>
      </c>
      <c r="J10" s="9">
        <v>44681</v>
      </c>
      <c r="K10" s="9">
        <v>44696</v>
      </c>
      <c r="L10" s="9">
        <v>44709</v>
      </c>
      <c r="M10" s="9">
        <v>44709</v>
      </c>
      <c r="N10" s="9">
        <v>44730</v>
      </c>
      <c r="O10" s="9">
        <v>44730</v>
      </c>
      <c r="P10" s="9">
        <v>44737</v>
      </c>
      <c r="Q10" s="9">
        <v>44759</v>
      </c>
      <c r="R10" s="9">
        <v>44765</v>
      </c>
      <c r="S10" s="9">
        <v>44779</v>
      </c>
      <c r="T10" s="9">
        <v>44793</v>
      </c>
      <c r="U10" s="9">
        <v>44800</v>
      </c>
      <c r="V10" s="9">
        <v>44807</v>
      </c>
      <c r="W10" s="9">
        <v>44814</v>
      </c>
      <c r="X10" s="9">
        <v>44814</v>
      </c>
      <c r="Y10" s="9">
        <v>44814</v>
      </c>
      <c r="Z10" s="9">
        <v>44828</v>
      </c>
      <c r="AA10" s="9">
        <v>44849</v>
      </c>
      <c r="AB10" s="9">
        <v>44856</v>
      </c>
      <c r="AC10" s="9">
        <v>44905</v>
      </c>
      <c r="AD10" s="2">
        <v>2022</v>
      </c>
      <c r="AE10" s="5"/>
      <c r="AF10" s="5" t="s">
        <v>108</v>
      </c>
      <c r="AG10" s="5" t="s">
        <v>110</v>
      </c>
      <c r="AH10" s="5" t="s">
        <v>111</v>
      </c>
      <c r="AI10" s="5" t="s">
        <v>123</v>
      </c>
      <c r="AJ10" s="5" t="s">
        <v>128</v>
      </c>
      <c r="AK10" s="5" t="s">
        <v>133</v>
      </c>
      <c r="AL10" s="5" t="s">
        <v>134</v>
      </c>
      <c r="AM10" s="5" t="s">
        <v>140</v>
      </c>
      <c r="AN10" s="5" t="s">
        <v>143</v>
      </c>
      <c r="AO10" s="5" t="s">
        <v>146</v>
      </c>
      <c r="AP10" s="5" t="s">
        <v>147</v>
      </c>
      <c r="AQ10" s="5" t="s">
        <v>147</v>
      </c>
      <c r="AR10" s="5" t="s">
        <v>150</v>
      </c>
      <c r="AS10" s="5" t="s">
        <v>151</v>
      </c>
      <c r="AT10" s="5" t="s">
        <v>156</v>
      </c>
      <c r="AU10" s="5" t="s">
        <v>158</v>
      </c>
      <c r="AV10" s="5" t="s">
        <v>165</v>
      </c>
      <c r="AW10" s="2">
        <v>2023</v>
      </c>
      <c r="AX10" s="15"/>
      <c r="AY10" s="15" t="s">
        <v>166</v>
      </c>
      <c r="AZ10" s="15" t="s">
        <v>166</v>
      </c>
      <c r="BA10" s="15" t="s">
        <v>166</v>
      </c>
      <c r="BB10" s="15" t="s">
        <v>166</v>
      </c>
      <c r="BC10" s="15" t="s">
        <v>185</v>
      </c>
      <c r="BD10" s="15" t="s">
        <v>199</v>
      </c>
      <c r="BE10" s="15" t="s">
        <v>207</v>
      </c>
      <c r="BF10" s="15" t="s">
        <v>210</v>
      </c>
      <c r="BG10" s="15" t="s">
        <v>217</v>
      </c>
      <c r="BH10" s="15" t="s">
        <v>217</v>
      </c>
      <c r="BI10" s="15" t="s">
        <v>220</v>
      </c>
      <c r="BJ10" s="15" t="s">
        <v>222</v>
      </c>
      <c r="BK10" s="15" t="s">
        <v>149</v>
      </c>
      <c r="BL10" s="15" t="s">
        <v>227</v>
      </c>
      <c r="BM10" s="15" t="s">
        <v>228</v>
      </c>
      <c r="BN10" s="15" t="s">
        <v>228</v>
      </c>
      <c r="BO10" s="15" t="s">
        <v>233</v>
      </c>
      <c r="BP10" s="15" t="s">
        <v>237</v>
      </c>
      <c r="BQ10" s="15" t="s">
        <v>238</v>
      </c>
      <c r="BR10" s="15" t="s">
        <v>240</v>
      </c>
      <c r="BS10" s="15" t="s">
        <v>242</v>
      </c>
      <c r="BT10" s="15" t="s">
        <v>244</v>
      </c>
      <c r="BU10" s="15" t="s">
        <v>246</v>
      </c>
      <c r="BV10" s="15">
        <v>2024</v>
      </c>
      <c r="BW10" s="5"/>
      <c r="BX10" s="5"/>
      <c r="BY10" s="5"/>
      <c r="BZ10" s="5">
        <v>1</v>
      </c>
      <c r="CA10" s="5">
        <v>2</v>
      </c>
      <c r="CB10" s="5">
        <v>3</v>
      </c>
      <c r="CC10" s="5">
        <v>4</v>
      </c>
      <c r="CD10" s="5">
        <v>2025</v>
      </c>
      <c r="CE10" s="5"/>
      <c r="CF10" s="5"/>
      <c r="CG10" s="5"/>
      <c r="CH10" s="5">
        <v>1</v>
      </c>
      <c r="CI10" s="5">
        <v>2</v>
      </c>
      <c r="CJ10" s="5">
        <v>3</v>
      </c>
      <c r="CK10" s="5">
        <v>4</v>
      </c>
      <c r="CL10" s="5">
        <v>2026</v>
      </c>
    </row>
    <row r="11" spans="1:90" x14ac:dyDescent="0.25">
      <c r="A11">
        <v>1</v>
      </c>
      <c r="B11" s="6" t="s">
        <v>332</v>
      </c>
      <c r="C11" s="6"/>
      <c r="D11" s="6" t="s">
        <v>333</v>
      </c>
      <c r="E11" s="6" t="s">
        <v>500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6"/>
      <c r="AE11" s="10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10"/>
      <c r="AW11" s="6"/>
      <c r="AX11" s="6"/>
      <c r="AY11" s="6"/>
      <c r="AZ11" s="6"/>
      <c r="BA11" s="6"/>
      <c r="BB11" s="6"/>
      <c r="BC11" s="6"/>
      <c r="BD11" s="6"/>
      <c r="BE11" s="6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6"/>
      <c r="BW11" s="6"/>
      <c r="BX11" s="10">
        <v>42</v>
      </c>
      <c r="BY11" s="10">
        <v>32</v>
      </c>
      <c r="BZ11" s="10">
        <v>7.5</v>
      </c>
      <c r="CA11" s="10">
        <v>5</v>
      </c>
      <c r="CB11" s="10">
        <v>50</v>
      </c>
      <c r="CC11" s="10">
        <v>100</v>
      </c>
      <c r="CD11" s="6">
        <f>SUM(BW11:CC11)</f>
        <v>236.5</v>
      </c>
      <c r="CE11" s="6">
        <f>(CD11-BW11)/2</f>
        <v>118.25</v>
      </c>
      <c r="CF11" s="10">
        <v>36</v>
      </c>
      <c r="CG11" s="10">
        <v>64</v>
      </c>
      <c r="CH11" s="10">
        <v>150</v>
      </c>
      <c r="CI11" s="10">
        <v>80</v>
      </c>
      <c r="CJ11" s="10">
        <v>36</v>
      </c>
      <c r="CK11" s="10"/>
      <c r="CL11" s="6">
        <f t="shared" ref="CL11:CL29" si="0">SUM(CE11:CK11)</f>
        <v>484.25</v>
      </c>
    </row>
    <row r="12" spans="1:90" x14ac:dyDescent="0.25">
      <c r="A12">
        <v>2</v>
      </c>
      <c r="B12" s="6" t="s">
        <v>447</v>
      </c>
      <c r="C12" s="6"/>
      <c r="D12" s="6" t="s">
        <v>448</v>
      </c>
      <c r="E12" s="6" t="s">
        <v>26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6"/>
      <c r="AE12" s="10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10"/>
      <c r="AW12" s="6"/>
      <c r="AX12" s="6"/>
      <c r="AY12" s="6"/>
      <c r="AZ12" s="6"/>
      <c r="BA12" s="6"/>
      <c r="BB12" s="6"/>
      <c r="BC12" s="6"/>
      <c r="BD12" s="6"/>
      <c r="BE12" s="6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6"/>
      <c r="BW12" s="6"/>
      <c r="BX12" s="10"/>
      <c r="BY12" s="10"/>
      <c r="BZ12" s="10"/>
      <c r="CA12" s="10"/>
      <c r="CB12" s="10"/>
      <c r="CC12" s="10"/>
      <c r="CD12" s="6"/>
      <c r="CE12" s="6"/>
      <c r="CF12" s="10">
        <v>48</v>
      </c>
      <c r="CG12" s="10">
        <v>40</v>
      </c>
      <c r="CH12" s="10">
        <v>105</v>
      </c>
      <c r="CI12" s="10"/>
      <c r="CJ12" s="10"/>
      <c r="CK12" s="10">
        <v>80</v>
      </c>
      <c r="CL12" s="6">
        <f t="shared" si="0"/>
        <v>273</v>
      </c>
    </row>
    <row r="13" spans="1:90" x14ac:dyDescent="0.25">
      <c r="A13">
        <v>3</v>
      </c>
      <c r="B13" s="6" t="s">
        <v>60</v>
      </c>
      <c r="C13" s="6"/>
      <c r="D13" s="6" t="s">
        <v>91</v>
      </c>
      <c r="E13" s="6" t="s">
        <v>26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6"/>
      <c r="AE13" s="10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10"/>
      <c r="AW13" s="6"/>
      <c r="AX13" s="6"/>
      <c r="AY13" s="6"/>
      <c r="AZ13" s="6"/>
      <c r="BA13" s="6"/>
      <c r="BB13" s="6"/>
      <c r="BC13" s="6"/>
      <c r="BD13" s="6"/>
      <c r="BE13" s="6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6"/>
      <c r="BW13" s="6"/>
      <c r="BX13" s="10">
        <v>33.6</v>
      </c>
      <c r="BY13" s="10">
        <v>56</v>
      </c>
      <c r="BZ13" s="10">
        <v>7.5</v>
      </c>
      <c r="CA13" s="10">
        <v>30</v>
      </c>
      <c r="CB13" s="10">
        <v>56</v>
      </c>
      <c r="CC13" s="10">
        <v>7.5</v>
      </c>
      <c r="CD13" s="6">
        <f>SUM(BW13:CC13)</f>
        <v>190.6</v>
      </c>
      <c r="CE13" s="6">
        <f>(CD13-BW13)/2</f>
        <v>95.3</v>
      </c>
      <c r="CF13" s="10" t="s">
        <v>449</v>
      </c>
      <c r="CG13" s="10">
        <v>56</v>
      </c>
      <c r="CH13" s="10">
        <v>75</v>
      </c>
      <c r="CI13" s="10"/>
      <c r="CJ13" s="10"/>
      <c r="CK13" s="10"/>
      <c r="CL13" s="6">
        <f t="shared" si="0"/>
        <v>226.3</v>
      </c>
    </row>
    <row r="14" spans="1:90" x14ac:dyDescent="0.25">
      <c r="A14" s="22">
        <v>4</v>
      </c>
      <c r="B14" s="10" t="s">
        <v>310</v>
      </c>
      <c r="C14" s="6"/>
      <c r="D14" s="6" t="s">
        <v>311</v>
      </c>
      <c r="E14" s="6" t="s">
        <v>172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6"/>
      <c r="AE14" s="10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10"/>
      <c r="AW14" s="6"/>
      <c r="AX14" s="6"/>
      <c r="AY14" s="6"/>
      <c r="AZ14" s="6"/>
      <c r="BA14" s="6"/>
      <c r="BB14" s="6"/>
      <c r="BC14" s="6"/>
      <c r="BD14" s="6"/>
      <c r="BE14" s="6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6"/>
      <c r="BW14" s="6"/>
      <c r="BX14" s="10"/>
      <c r="BY14" s="10"/>
      <c r="BZ14" s="10"/>
      <c r="CA14" s="10"/>
      <c r="CB14" s="10"/>
      <c r="CC14" s="10"/>
      <c r="CD14" s="6"/>
      <c r="CE14" s="6"/>
      <c r="CF14" s="10">
        <v>33.4</v>
      </c>
      <c r="CG14" s="10">
        <v>80</v>
      </c>
      <c r="CH14" s="10"/>
      <c r="CI14" s="10"/>
      <c r="CJ14" s="10"/>
      <c r="CK14" s="10"/>
      <c r="CL14" s="6">
        <f t="shared" si="0"/>
        <v>113.4</v>
      </c>
    </row>
    <row r="15" spans="1:90" x14ac:dyDescent="0.25">
      <c r="A15">
        <v>5</v>
      </c>
      <c r="B15" s="6" t="s">
        <v>52</v>
      </c>
      <c r="C15" s="6"/>
      <c r="D15" s="6" t="s">
        <v>132</v>
      </c>
      <c r="E15" s="6" t="s">
        <v>399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6"/>
      <c r="AE15" s="10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10"/>
      <c r="AW15" s="6"/>
      <c r="AX15" s="6"/>
      <c r="AY15" s="6"/>
      <c r="AZ15" s="6"/>
      <c r="BA15" s="6"/>
      <c r="BB15" s="6"/>
      <c r="BC15" s="6"/>
      <c r="BD15" s="6"/>
      <c r="BE15" s="6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6"/>
      <c r="BW15" s="6"/>
      <c r="BX15" s="10"/>
      <c r="BY15" s="10"/>
      <c r="BZ15" s="10"/>
      <c r="CA15" s="10"/>
      <c r="CB15" s="10"/>
      <c r="CC15" s="10"/>
      <c r="CD15" s="6"/>
      <c r="CE15" s="6"/>
      <c r="CF15" s="10">
        <v>36</v>
      </c>
      <c r="CG15" s="10">
        <v>3.2</v>
      </c>
      <c r="CH15" s="10">
        <v>7.5</v>
      </c>
      <c r="CI15" s="10">
        <v>4</v>
      </c>
      <c r="CJ15" s="10">
        <v>36</v>
      </c>
      <c r="CK15" s="10"/>
      <c r="CL15" s="6">
        <f t="shared" si="0"/>
        <v>86.7</v>
      </c>
    </row>
    <row r="16" spans="1:90" x14ac:dyDescent="0.25">
      <c r="A16">
        <v>6</v>
      </c>
      <c r="B16" s="10" t="s">
        <v>346</v>
      </c>
      <c r="C16" s="6"/>
      <c r="D16" s="6" t="s">
        <v>38</v>
      </c>
      <c r="E16" s="6" t="s">
        <v>57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6"/>
      <c r="AE16" s="10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10"/>
      <c r="AW16" s="6"/>
      <c r="AX16" s="6"/>
      <c r="AY16" s="6"/>
      <c r="AZ16" s="6"/>
      <c r="BA16" s="6"/>
      <c r="BB16" s="6"/>
      <c r="BC16" s="6"/>
      <c r="BD16" s="6"/>
      <c r="BE16" s="6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6"/>
      <c r="BW16" s="6"/>
      <c r="BX16" s="10"/>
      <c r="BY16" s="10"/>
      <c r="BZ16" s="10"/>
      <c r="CA16" s="10"/>
      <c r="CB16" s="10"/>
      <c r="CC16" s="10"/>
      <c r="CD16" s="6"/>
      <c r="CE16" s="6"/>
      <c r="CF16" s="10"/>
      <c r="CG16" s="10">
        <v>64</v>
      </c>
      <c r="CH16" s="10"/>
      <c r="CI16" s="10"/>
      <c r="CJ16" s="10"/>
      <c r="CK16" s="10"/>
      <c r="CL16" s="6">
        <f t="shared" si="0"/>
        <v>64</v>
      </c>
    </row>
    <row r="17" spans="1:90" x14ac:dyDescent="0.25">
      <c r="A17">
        <v>7</v>
      </c>
      <c r="B17" s="6" t="s">
        <v>321</v>
      </c>
      <c r="C17" s="6"/>
      <c r="D17" s="6" t="s">
        <v>322</v>
      </c>
      <c r="E17" s="6" t="s">
        <v>144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6"/>
      <c r="AE17" s="10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10"/>
      <c r="AW17" s="6"/>
      <c r="AX17" s="6"/>
      <c r="AY17" s="6"/>
      <c r="AZ17" s="6"/>
      <c r="BA17" s="6"/>
      <c r="BB17" s="6"/>
      <c r="BC17" s="6"/>
      <c r="BD17" s="6"/>
      <c r="BE17" s="6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6"/>
      <c r="BW17" s="6"/>
      <c r="BX17" s="10">
        <v>36</v>
      </c>
      <c r="BY17" s="10">
        <v>40</v>
      </c>
      <c r="BZ17" s="10">
        <v>5</v>
      </c>
      <c r="CA17" s="10">
        <v>7.5</v>
      </c>
      <c r="CB17" s="10">
        <v>36</v>
      </c>
      <c r="CC17" s="10"/>
      <c r="CD17" s="6">
        <f>SUM(BW17:CC17)</f>
        <v>124.5</v>
      </c>
      <c r="CE17" s="6">
        <f>(CD17-BW17)/2</f>
        <v>62.25</v>
      </c>
      <c r="CF17" s="10"/>
      <c r="CG17" s="10"/>
      <c r="CH17" s="10"/>
      <c r="CI17" s="10"/>
      <c r="CJ17" s="10"/>
      <c r="CK17" s="10"/>
      <c r="CL17" s="6">
        <f t="shared" si="0"/>
        <v>62.25</v>
      </c>
    </row>
    <row r="18" spans="1:90" x14ac:dyDescent="0.25">
      <c r="A18">
        <v>8</v>
      </c>
      <c r="B18" s="6" t="s">
        <v>312</v>
      </c>
      <c r="C18" s="6"/>
      <c r="D18" s="6" t="s">
        <v>313</v>
      </c>
      <c r="E18" s="6" t="s">
        <v>87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6"/>
      <c r="AE18" s="10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10"/>
      <c r="AW18" s="6"/>
      <c r="AX18" s="6"/>
      <c r="AY18" s="6"/>
      <c r="AZ18" s="6"/>
      <c r="BA18" s="6"/>
      <c r="BB18" s="6"/>
      <c r="BC18" s="6"/>
      <c r="BD18" s="6"/>
      <c r="BE18" s="6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6"/>
      <c r="BW18" s="6"/>
      <c r="BX18" s="10"/>
      <c r="BY18" s="10"/>
      <c r="BZ18" s="10"/>
      <c r="CA18" s="10"/>
      <c r="CB18" s="10"/>
      <c r="CC18" s="10"/>
      <c r="CD18" s="6"/>
      <c r="CE18" s="6"/>
      <c r="CF18" s="10">
        <v>48</v>
      </c>
      <c r="CG18" s="10"/>
      <c r="CH18" s="10"/>
      <c r="CI18" s="10"/>
      <c r="CJ18" s="10"/>
      <c r="CK18" s="10"/>
      <c r="CL18" s="6">
        <f t="shared" si="0"/>
        <v>48</v>
      </c>
    </row>
    <row r="19" spans="1:90" x14ac:dyDescent="0.25">
      <c r="A19">
        <v>9</v>
      </c>
      <c r="B19" s="6" t="s">
        <v>279</v>
      </c>
      <c r="C19" s="6"/>
      <c r="D19" s="6" t="s">
        <v>280</v>
      </c>
      <c r="E19" s="6" t="s">
        <v>281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6"/>
      <c r="AE19" s="10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10"/>
      <c r="AW19" s="6"/>
      <c r="AX19" s="6"/>
      <c r="AY19" s="6"/>
      <c r="AZ19" s="6"/>
      <c r="BA19" s="6"/>
      <c r="BB19" s="6"/>
      <c r="BC19" s="6"/>
      <c r="BD19" s="6"/>
      <c r="BE19" s="6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6"/>
      <c r="BW19" s="6"/>
      <c r="BX19" s="10">
        <v>42</v>
      </c>
      <c r="BY19" s="10">
        <v>40</v>
      </c>
      <c r="BZ19" s="10">
        <v>7.5</v>
      </c>
      <c r="CA19" s="10">
        <v>4</v>
      </c>
      <c r="CB19" s="10"/>
      <c r="CC19" s="10"/>
      <c r="CD19" s="6">
        <f>SUM(BW19:CC19)</f>
        <v>93.5</v>
      </c>
      <c r="CE19" s="6">
        <f>(CD19-BW19)/2</f>
        <v>46.75</v>
      </c>
      <c r="CF19" s="10"/>
      <c r="CG19" s="10"/>
      <c r="CH19" s="10"/>
      <c r="CI19" s="10"/>
      <c r="CJ19" s="10"/>
      <c r="CK19" s="10"/>
      <c r="CL19" s="6">
        <f t="shared" si="0"/>
        <v>46.75</v>
      </c>
    </row>
    <row r="20" spans="1:90" x14ac:dyDescent="0.25">
      <c r="A20">
        <v>10</v>
      </c>
      <c r="B20" s="6" t="s">
        <v>52</v>
      </c>
      <c r="C20" s="6"/>
      <c r="D20" s="6" t="s">
        <v>15</v>
      </c>
      <c r="E20" s="6" t="s">
        <v>37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6"/>
      <c r="AE20" s="10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10"/>
      <c r="AW20" s="6"/>
      <c r="AX20" s="6"/>
      <c r="AY20" s="6"/>
      <c r="AZ20" s="6"/>
      <c r="BA20" s="6"/>
      <c r="BB20" s="6"/>
      <c r="BC20" s="6"/>
      <c r="BD20" s="6"/>
      <c r="BE20" s="6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6"/>
      <c r="BW20" s="6"/>
      <c r="BX20" s="10">
        <v>30</v>
      </c>
      <c r="BY20" s="10"/>
      <c r="BZ20" s="10">
        <v>54</v>
      </c>
      <c r="CA20" s="10"/>
      <c r="CB20" s="10"/>
      <c r="CC20" s="10"/>
      <c r="CD20" s="6">
        <f>SUM(BW20:CC20)</f>
        <v>84</v>
      </c>
      <c r="CE20" s="6">
        <f>(CD20-BW20)/2</f>
        <v>42</v>
      </c>
      <c r="CF20" s="10"/>
      <c r="CG20" s="10"/>
      <c r="CH20" s="10"/>
      <c r="CI20" s="10"/>
      <c r="CJ20" s="10"/>
      <c r="CK20" s="10"/>
      <c r="CL20" s="6">
        <f t="shared" si="0"/>
        <v>42</v>
      </c>
    </row>
    <row r="21" spans="1:90" x14ac:dyDescent="0.25">
      <c r="A21">
        <v>11</v>
      </c>
      <c r="B21" s="6" t="s">
        <v>523</v>
      </c>
      <c r="C21" s="6"/>
      <c r="D21" s="6" t="s">
        <v>435</v>
      </c>
      <c r="E21" s="6" t="s">
        <v>524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6"/>
      <c r="AE21" s="10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10"/>
      <c r="AW21" s="6"/>
      <c r="AX21" s="6"/>
      <c r="AY21" s="6"/>
      <c r="AZ21" s="6"/>
      <c r="BA21" s="6"/>
      <c r="BB21" s="6"/>
      <c r="BC21" s="6"/>
      <c r="BD21" s="6"/>
      <c r="BE21" s="6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6"/>
      <c r="BW21" s="6"/>
      <c r="BX21" s="10"/>
      <c r="BY21" s="10"/>
      <c r="BZ21" s="10"/>
      <c r="CA21" s="10"/>
      <c r="CB21" s="10"/>
      <c r="CC21" s="10"/>
      <c r="CD21" s="6"/>
      <c r="CE21" s="6"/>
      <c r="CF21" s="10">
        <v>36</v>
      </c>
      <c r="CG21" s="10">
        <v>4</v>
      </c>
      <c r="CH21" s="10"/>
      <c r="CI21" s="10"/>
      <c r="CJ21" s="10"/>
      <c r="CK21" s="10"/>
      <c r="CL21" s="6">
        <f t="shared" si="0"/>
        <v>40</v>
      </c>
    </row>
    <row r="22" spans="1:90" x14ac:dyDescent="0.25">
      <c r="A22">
        <v>12</v>
      </c>
      <c r="B22" s="6" t="s">
        <v>440</v>
      </c>
      <c r="C22" s="6"/>
      <c r="D22" s="6" t="s">
        <v>441</v>
      </c>
      <c r="E22" s="6" t="s">
        <v>141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6"/>
      <c r="AE22" s="10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10"/>
      <c r="AW22" s="6"/>
      <c r="AX22" s="6"/>
      <c r="AY22" s="6"/>
      <c r="AZ22" s="6"/>
      <c r="BA22" s="6"/>
      <c r="BB22" s="6"/>
      <c r="BC22" s="6"/>
      <c r="BD22" s="6"/>
      <c r="BE22" s="6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6"/>
      <c r="BW22" s="6"/>
      <c r="BX22" s="10"/>
      <c r="BY22" s="10"/>
      <c r="BZ22" s="10"/>
      <c r="CA22" s="10"/>
      <c r="CB22" s="10"/>
      <c r="CC22" s="10"/>
      <c r="CD22" s="6"/>
      <c r="CE22" s="6"/>
      <c r="CF22" s="10">
        <v>36</v>
      </c>
      <c r="CG22" s="10">
        <v>3.2</v>
      </c>
      <c r="CH22" s="10"/>
      <c r="CI22" s="10"/>
      <c r="CJ22" s="10"/>
      <c r="CK22" s="10"/>
      <c r="CL22" s="6">
        <f t="shared" si="0"/>
        <v>39.200000000000003</v>
      </c>
    </row>
    <row r="23" spans="1:90" x14ac:dyDescent="0.25">
      <c r="A23">
        <v>13</v>
      </c>
      <c r="B23" s="6" t="s">
        <v>432</v>
      </c>
      <c r="C23" s="6"/>
      <c r="D23" s="6" t="s">
        <v>208</v>
      </c>
      <c r="E23" s="6" t="s">
        <v>154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6"/>
      <c r="AE23" s="10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10"/>
      <c r="AW23" s="6"/>
      <c r="AX23" s="6"/>
      <c r="AY23" s="6"/>
      <c r="AZ23" s="6"/>
      <c r="BA23" s="6"/>
      <c r="BB23" s="6"/>
      <c r="BC23" s="6"/>
      <c r="BD23" s="6"/>
      <c r="BE23" s="6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6"/>
      <c r="BW23" s="6"/>
      <c r="BX23" s="10"/>
      <c r="BY23" s="10"/>
      <c r="BZ23" s="10"/>
      <c r="CA23" s="10"/>
      <c r="CB23" s="10"/>
      <c r="CC23" s="10"/>
      <c r="CD23" s="6"/>
      <c r="CE23" s="6"/>
      <c r="CF23" s="10">
        <v>36</v>
      </c>
      <c r="CG23" s="10"/>
      <c r="CH23" s="10"/>
      <c r="CI23" s="10"/>
      <c r="CJ23" s="10"/>
      <c r="CK23" s="10"/>
      <c r="CL23" s="6">
        <f t="shared" si="0"/>
        <v>36</v>
      </c>
    </row>
    <row r="24" spans="1:90" x14ac:dyDescent="0.25">
      <c r="A24">
        <v>14</v>
      </c>
      <c r="B24" s="6" t="s">
        <v>214</v>
      </c>
      <c r="C24" s="6"/>
      <c r="D24" s="6" t="s">
        <v>215</v>
      </c>
      <c r="E24" s="6" t="s">
        <v>79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6"/>
      <c r="AE24" s="10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10"/>
      <c r="AW24" s="6"/>
      <c r="AX24" s="6"/>
      <c r="AY24" s="6"/>
      <c r="AZ24" s="6"/>
      <c r="BA24" s="6"/>
      <c r="BB24" s="6"/>
      <c r="BC24" s="6"/>
      <c r="BD24" s="6"/>
      <c r="BE24" s="6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6"/>
      <c r="BW24" s="6"/>
      <c r="BX24" s="10"/>
      <c r="BY24" s="10"/>
      <c r="BZ24" s="10">
        <v>54</v>
      </c>
      <c r="CA24" s="10"/>
      <c r="CB24" s="10"/>
      <c r="CC24" s="10"/>
      <c r="CD24" s="6">
        <f>SUM(BW24:CC24)</f>
        <v>54</v>
      </c>
      <c r="CE24" s="6">
        <f>(CD24-BW24)/2</f>
        <v>27</v>
      </c>
      <c r="CF24" s="10"/>
      <c r="CG24" s="10"/>
      <c r="CH24" s="10"/>
      <c r="CI24" s="10"/>
      <c r="CJ24" s="10"/>
      <c r="CK24" s="10"/>
      <c r="CL24" s="6">
        <f t="shared" si="0"/>
        <v>27</v>
      </c>
    </row>
    <row r="25" spans="1:90" x14ac:dyDescent="0.25">
      <c r="A25">
        <v>15</v>
      </c>
      <c r="B25" s="6" t="s">
        <v>99</v>
      </c>
      <c r="C25" s="6"/>
      <c r="D25" s="6" t="s">
        <v>387</v>
      </c>
      <c r="E25" s="6" t="s">
        <v>388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6"/>
      <c r="AE25" s="10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10"/>
      <c r="AW25" s="6"/>
      <c r="AX25" s="6"/>
      <c r="AY25" s="6"/>
      <c r="AZ25" s="6"/>
      <c r="BA25" s="6"/>
      <c r="BB25" s="6"/>
      <c r="BC25" s="6"/>
      <c r="BD25" s="6"/>
      <c r="BE25" s="6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6"/>
      <c r="BW25" s="6"/>
      <c r="BX25" s="10"/>
      <c r="BY25" s="10">
        <v>48</v>
      </c>
      <c r="BZ25" s="10"/>
      <c r="CA25" s="10"/>
      <c r="CB25" s="10"/>
      <c r="CC25" s="10"/>
      <c r="CD25" s="6">
        <f>SUM(BW25:CC25)</f>
        <v>48</v>
      </c>
      <c r="CE25" s="6">
        <f>(CD25-BW25)/2</f>
        <v>24</v>
      </c>
      <c r="CF25" s="10"/>
      <c r="CG25" s="10"/>
      <c r="CH25" s="10"/>
      <c r="CI25" s="10"/>
      <c r="CJ25" s="10"/>
      <c r="CK25" s="10"/>
      <c r="CL25" s="6">
        <f t="shared" si="0"/>
        <v>24</v>
      </c>
    </row>
    <row r="26" spans="1:90" x14ac:dyDescent="0.25">
      <c r="A26">
        <v>16</v>
      </c>
      <c r="B26" s="10" t="s">
        <v>189</v>
      </c>
      <c r="C26" s="6"/>
      <c r="D26" s="6" t="s">
        <v>190</v>
      </c>
      <c r="E26" s="6" t="s">
        <v>17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6"/>
      <c r="AE26" s="10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10"/>
      <c r="AW26" s="6"/>
      <c r="AX26" s="6"/>
      <c r="AY26" s="6"/>
      <c r="AZ26" s="6"/>
      <c r="BA26" s="6"/>
      <c r="BB26" s="6"/>
      <c r="BC26" s="6"/>
      <c r="BD26" s="6"/>
      <c r="BE26" s="6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6"/>
      <c r="BW26" s="6"/>
      <c r="BX26" s="10">
        <v>36</v>
      </c>
      <c r="BY26" s="10">
        <v>4</v>
      </c>
      <c r="BZ26" s="10">
        <v>7.5</v>
      </c>
      <c r="CA26" s="10"/>
      <c r="CB26" s="10"/>
      <c r="CC26" s="10"/>
      <c r="CD26" s="6">
        <f>SUM(BW26:CC26)</f>
        <v>47.5</v>
      </c>
      <c r="CE26" s="6">
        <f>(CD26-BW26)/2</f>
        <v>23.75</v>
      </c>
      <c r="CF26" s="10"/>
      <c r="CG26" s="10"/>
      <c r="CH26" s="10"/>
      <c r="CI26" s="10"/>
      <c r="CJ26" s="10"/>
      <c r="CK26" s="10"/>
      <c r="CL26" s="6">
        <f t="shared" si="0"/>
        <v>23.75</v>
      </c>
    </row>
    <row r="27" spans="1:90" x14ac:dyDescent="0.25">
      <c r="A27">
        <v>17</v>
      </c>
      <c r="B27" s="6" t="s">
        <v>114</v>
      </c>
      <c r="C27" s="6"/>
      <c r="D27" s="6" t="s">
        <v>208</v>
      </c>
      <c r="E27" s="6" t="s">
        <v>306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6"/>
      <c r="AE27" s="10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10"/>
      <c r="AW27" s="6"/>
      <c r="AX27" s="6"/>
      <c r="AY27" s="6"/>
      <c r="AZ27" s="6"/>
      <c r="BA27" s="6"/>
      <c r="BB27" s="6"/>
      <c r="BC27" s="6"/>
      <c r="BD27" s="6"/>
      <c r="BE27" s="6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6"/>
      <c r="BW27" s="6"/>
      <c r="BX27" s="10">
        <v>36</v>
      </c>
      <c r="BY27" s="10"/>
      <c r="BZ27" s="10">
        <v>7.5</v>
      </c>
      <c r="CA27" s="10"/>
      <c r="CB27" s="10"/>
      <c r="CC27" s="10"/>
      <c r="CD27" s="6">
        <f>SUM(BW27:CC27)</f>
        <v>43.5</v>
      </c>
      <c r="CE27" s="6">
        <f>(CD27-BW27)/2</f>
        <v>21.75</v>
      </c>
      <c r="CF27" s="10"/>
      <c r="CG27" s="10"/>
      <c r="CH27" s="10"/>
      <c r="CI27" s="10"/>
      <c r="CJ27" s="10"/>
      <c r="CK27" s="10"/>
      <c r="CL27" s="6">
        <f t="shared" si="0"/>
        <v>21.75</v>
      </c>
    </row>
    <row r="28" spans="1:90" x14ac:dyDescent="0.25">
      <c r="A28">
        <v>18</v>
      </c>
      <c r="B28" s="6" t="s">
        <v>198</v>
      </c>
      <c r="C28" s="6"/>
      <c r="D28" s="6" t="s">
        <v>208</v>
      </c>
      <c r="E28" s="6" t="s">
        <v>154</v>
      </c>
      <c r="F28" s="6"/>
      <c r="G28" s="6"/>
      <c r="H28" s="6"/>
      <c r="I28" s="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6"/>
      <c r="AE28" s="10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10"/>
      <c r="AW28" s="6"/>
      <c r="AX28" s="6"/>
      <c r="AY28" s="6"/>
      <c r="AZ28" s="6"/>
      <c r="BA28" s="6"/>
      <c r="BB28" s="6"/>
      <c r="BC28" s="6"/>
      <c r="BD28" s="6"/>
      <c r="BE28" s="6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6"/>
      <c r="BW28" s="6"/>
      <c r="BX28" s="10"/>
      <c r="BY28" s="10"/>
      <c r="BZ28" s="10"/>
      <c r="CA28" s="10"/>
      <c r="CB28" s="10"/>
      <c r="CC28" s="10"/>
      <c r="CD28" s="6"/>
      <c r="CE28" s="6"/>
      <c r="CF28" s="10">
        <v>2.4</v>
      </c>
      <c r="CG28" s="10"/>
      <c r="CH28" s="10"/>
      <c r="CI28" s="10"/>
      <c r="CJ28" s="10"/>
      <c r="CK28" s="10"/>
      <c r="CL28" s="6">
        <f t="shared" si="0"/>
        <v>2.4</v>
      </c>
    </row>
    <row r="29" spans="1:90" x14ac:dyDescent="0.25">
      <c r="A29">
        <v>19</v>
      </c>
      <c r="B29" s="6" t="s">
        <v>282</v>
      </c>
      <c r="C29" s="6"/>
      <c r="D29" s="6" t="s">
        <v>283</v>
      </c>
      <c r="E29" s="6" t="s">
        <v>27</v>
      </c>
      <c r="F29" s="6"/>
      <c r="G29" s="6"/>
      <c r="H29" s="6"/>
      <c r="I29" s="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6"/>
      <c r="AE29" s="10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10"/>
      <c r="AW29" s="6"/>
      <c r="AX29" s="6"/>
      <c r="AY29" s="6"/>
      <c r="AZ29" s="6"/>
      <c r="BA29" s="6"/>
      <c r="BB29" s="6"/>
      <c r="BC29" s="6"/>
      <c r="BD29" s="6"/>
      <c r="BE29" s="6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6"/>
      <c r="BW29" s="6"/>
      <c r="BX29" s="10">
        <v>3</v>
      </c>
      <c r="BY29" s="10"/>
      <c r="BZ29" s="10"/>
      <c r="CA29" s="10"/>
      <c r="CB29" s="10"/>
      <c r="CC29" s="10"/>
      <c r="CD29" s="6">
        <f>SUM(BW29:CC29)</f>
        <v>3</v>
      </c>
      <c r="CE29" s="6">
        <f>(CD29-BW29)/2</f>
        <v>1.5</v>
      </c>
      <c r="CF29" s="10"/>
      <c r="CG29" s="10"/>
      <c r="CH29" s="10"/>
      <c r="CI29" s="10"/>
      <c r="CJ29" s="10"/>
      <c r="CK29" s="10"/>
      <c r="CL29" s="6">
        <f t="shared" si="0"/>
        <v>1.5</v>
      </c>
    </row>
  </sheetData>
  <sortState xmlns:xlrd2="http://schemas.microsoft.com/office/spreadsheetml/2017/richdata2" ref="B11:CL29">
    <sortCondition descending="1" ref="CL11:CL29"/>
  </sortState>
  <mergeCells count="5">
    <mergeCell ref="B8:C10"/>
    <mergeCell ref="BZ9:CC9"/>
    <mergeCell ref="CH9:CK9"/>
    <mergeCell ref="D4:CL5"/>
    <mergeCell ref="B1:CL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29"/>
  <sheetViews>
    <sheetView zoomScale="80" zoomScaleNormal="80" workbookViewId="0">
      <selection activeCell="CN18" sqref="CN18"/>
    </sheetView>
  </sheetViews>
  <sheetFormatPr baseColWidth="10" defaultRowHeight="15" x14ac:dyDescent="0.25"/>
  <cols>
    <col min="1" max="1" width="3.140625" bestFit="1" customWidth="1"/>
    <col min="2" max="2" width="14.28515625" bestFit="1" customWidth="1"/>
    <col min="3" max="3" width="12.42578125" bestFit="1" customWidth="1"/>
    <col min="5" max="5" width="21.42578125" bestFit="1" customWidth="1"/>
    <col min="6" max="8" width="6.85546875" hidden="1" customWidth="1"/>
    <col min="9" max="9" width="6.85546875" style="7" hidden="1" customWidth="1"/>
    <col min="10" max="13" width="7.28515625" style="7" hidden="1" customWidth="1"/>
    <col min="14" max="15" width="6.7109375" style="7" hidden="1" customWidth="1"/>
    <col min="16" max="17" width="6.28515625" style="7" hidden="1" customWidth="1"/>
    <col min="18" max="19" width="6.7109375" style="7" hidden="1" customWidth="1"/>
    <col min="20" max="24" width="7.28515625" style="7" hidden="1" customWidth="1"/>
    <col min="25" max="25" width="6.7109375" style="7" hidden="1" customWidth="1"/>
    <col min="26" max="26" width="0" hidden="1" customWidth="1"/>
    <col min="27" max="27" width="6.85546875" style="7" hidden="1" customWidth="1"/>
    <col min="28" max="47" width="6" hidden="1" customWidth="1"/>
    <col min="48" max="48" width="6.28515625" hidden="1" customWidth="1"/>
    <col min="49" max="49" width="6.85546875" hidden="1" customWidth="1"/>
    <col min="50" max="51" width="6" hidden="1" customWidth="1"/>
    <col min="52" max="69" width="6" style="7" hidden="1" customWidth="1"/>
    <col min="70" max="70" width="6.85546875" style="7" hidden="1" customWidth="1"/>
    <col min="71" max="71" width="6.7109375" hidden="1" customWidth="1"/>
    <col min="72" max="72" width="7.7109375" hidden="1" customWidth="1"/>
    <col min="73" max="73" width="7" style="7" hidden="1" customWidth="1"/>
    <col min="74" max="74" width="7.7109375" style="7" hidden="1" customWidth="1"/>
    <col min="75" max="75" width="7" style="7" hidden="1" customWidth="1"/>
    <col min="76" max="76" width="7.5703125" style="7" hidden="1" customWidth="1"/>
    <col min="77" max="77" width="8.140625" style="7" hidden="1" customWidth="1"/>
    <col min="78" max="78" width="4.42578125" style="7" hidden="1" customWidth="1"/>
    <col min="81" max="81" width="8.140625" style="7" customWidth="1"/>
    <col min="82" max="82" width="7.85546875" style="7" customWidth="1"/>
    <col min="83" max="83" width="8" style="7" customWidth="1"/>
    <col min="84" max="85" width="8.5703125" style="7" customWidth="1"/>
    <col min="86" max="86" width="7.28515625" style="7" customWidth="1"/>
  </cols>
  <sheetData>
    <row r="1" spans="1:87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</row>
    <row r="2" spans="1:87" ht="15.75" thickBot="1" x14ac:dyDescent="0.3">
      <c r="C2" s="7"/>
      <c r="D2" s="7"/>
      <c r="E2" s="7"/>
    </row>
    <row r="3" spans="1:87" ht="15.75" thickTop="1" x14ac:dyDescent="0.25">
      <c r="B3" s="1" t="s">
        <v>0</v>
      </c>
      <c r="C3" s="4" t="s">
        <v>13</v>
      </c>
    </row>
    <row r="4" spans="1:87" ht="14.65" customHeight="1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</row>
    <row r="5" spans="1:87" ht="15" customHeight="1" thickBot="1" x14ac:dyDescent="0.3">
      <c r="B5" s="3" t="s">
        <v>2</v>
      </c>
      <c r="C5" s="14">
        <v>-52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</row>
    <row r="6" spans="1:87" ht="15.75" thickTop="1" x14ac:dyDescent="0.25"/>
    <row r="7" spans="1:87" ht="15.75" thickBot="1" x14ac:dyDescent="0.3"/>
    <row r="8" spans="1:87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9</v>
      </c>
      <c r="I8" s="4" t="s">
        <v>33</v>
      </c>
      <c r="J8" s="4" t="s">
        <v>55</v>
      </c>
      <c r="K8" s="4" t="s">
        <v>9</v>
      </c>
      <c r="L8" s="4" t="s">
        <v>9</v>
      </c>
      <c r="M8" s="4" t="s">
        <v>72</v>
      </c>
      <c r="N8" s="4" t="s">
        <v>76</v>
      </c>
      <c r="O8" s="4" t="s">
        <v>80</v>
      </c>
      <c r="P8" s="4" t="s">
        <v>84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96</v>
      </c>
      <c r="X8" s="4" t="s">
        <v>9</v>
      </c>
      <c r="Y8" s="4" t="s">
        <v>103</v>
      </c>
      <c r="Z8" s="1"/>
      <c r="AA8" s="13">
        <v>44927</v>
      </c>
      <c r="AB8" s="4" t="s">
        <v>9</v>
      </c>
      <c r="AC8" s="4" t="s">
        <v>9</v>
      </c>
      <c r="AD8" s="4" t="s">
        <v>103</v>
      </c>
      <c r="AE8" s="4" t="s">
        <v>9</v>
      </c>
      <c r="AF8" s="4" t="s">
        <v>9</v>
      </c>
      <c r="AG8" s="4" t="s">
        <v>127</v>
      </c>
      <c r="AH8" s="4" t="s">
        <v>127</v>
      </c>
      <c r="AI8" s="4" t="s">
        <v>127</v>
      </c>
      <c r="AJ8" s="4" t="s">
        <v>9</v>
      </c>
      <c r="AK8" s="4" t="s">
        <v>103</v>
      </c>
      <c r="AL8" s="4" t="s">
        <v>9</v>
      </c>
      <c r="AM8" s="4" t="s">
        <v>100</v>
      </c>
      <c r="AN8" s="4" t="s">
        <v>9</v>
      </c>
      <c r="AO8" s="4" t="s">
        <v>9</v>
      </c>
      <c r="AP8" s="4" t="s">
        <v>9</v>
      </c>
      <c r="AQ8" s="4" t="s">
        <v>9</v>
      </c>
      <c r="AR8" s="4" t="s">
        <v>103</v>
      </c>
      <c r="AS8" s="4" t="s">
        <v>9</v>
      </c>
      <c r="AT8" s="4" t="s">
        <v>9</v>
      </c>
      <c r="AU8" s="4" t="s">
        <v>104</v>
      </c>
      <c r="AV8" s="4" t="s">
        <v>6</v>
      </c>
      <c r="AW8" s="13">
        <v>45292</v>
      </c>
      <c r="AX8" s="13" t="s">
        <v>9</v>
      </c>
      <c r="AY8" s="13" t="s">
        <v>9</v>
      </c>
      <c r="AZ8" s="13" t="s">
        <v>9</v>
      </c>
      <c r="BA8" s="13" t="s">
        <v>9</v>
      </c>
      <c r="BB8" s="13" t="s">
        <v>9</v>
      </c>
      <c r="BC8" s="13" t="s">
        <v>9</v>
      </c>
      <c r="BD8" s="13" t="s">
        <v>9</v>
      </c>
      <c r="BE8" s="13" t="s">
        <v>103</v>
      </c>
      <c r="BF8" s="13" t="s">
        <v>103</v>
      </c>
      <c r="BG8" s="13" t="s">
        <v>127</v>
      </c>
      <c r="BH8" s="13" t="s">
        <v>127</v>
      </c>
      <c r="BI8" s="13" t="s">
        <v>103</v>
      </c>
      <c r="BJ8" s="13" t="s">
        <v>9</v>
      </c>
      <c r="BK8" s="13" t="s">
        <v>9</v>
      </c>
      <c r="BL8" s="13" t="s">
        <v>9</v>
      </c>
      <c r="BM8" s="13" t="s">
        <v>9</v>
      </c>
      <c r="BN8" s="13" t="s">
        <v>9</v>
      </c>
      <c r="BO8" s="13" t="s">
        <v>9</v>
      </c>
      <c r="BP8" s="13" t="s">
        <v>103</v>
      </c>
      <c r="BQ8" s="13" t="s">
        <v>241</v>
      </c>
      <c r="BR8" s="13" t="s">
        <v>104</v>
      </c>
      <c r="BS8" s="13" t="s">
        <v>6</v>
      </c>
      <c r="BT8" s="13">
        <v>45658</v>
      </c>
      <c r="BU8" s="13"/>
      <c r="BV8" s="13"/>
      <c r="BW8" s="18"/>
      <c r="BX8" s="19"/>
      <c r="BY8" s="19"/>
      <c r="BZ8" s="20"/>
      <c r="CA8" s="13" t="s">
        <v>6</v>
      </c>
      <c r="CB8" s="13">
        <v>46023</v>
      </c>
      <c r="CC8" s="13"/>
      <c r="CD8" s="13"/>
      <c r="CE8" s="18"/>
      <c r="CF8" s="19"/>
      <c r="CG8" s="19"/>
      <c r="CH8" s="20"/>
      <c r="CI8" s="13" t="s">
        <v>6</v>
      </c>
    </row>
    <row r="9" spans="1:87" x14ac:dyDescent="0.25">
      <c r="B9" s="26"/>
      <c r="C9" s="27"/>
      <c r="D9" s="2"/>
      <c r="E9" s="2"/>
      <c r="F9" s="8" t="s">
        <v>22</v>
      </c>
      <c r="G9" s="8" t="s">
        <v>18</v>
      </c>
      <c r="H9" s="8" t="s">
        <v>30</v>
      </c>
      <c r="I9" s="8" t="s">
        <v>34</v>
      </c>
      <c r="J9" s="8" t="s">
        <v>56</v>
      </c>
      <c r="K9" s="8" t="s">
        <v>61</v>
      </c>
      <c r="L9" s="8" t="s">
        <v>65</v>
      </c>
      <c r="M9" s="8" t="s">
        <v>75</v>
      </c>
      <c r="N9" s="8" t="s">
        <v>77</v>
      </c>
      <c r="O9" s="8" t="s">
        <v>81</v>
      </c>
      <c r="P9" s="8" t="s">
        <v>34</v>
      </c>
      <c r="Q9" s="8" t="s">
        <v>85</v>
      </c>
      <c r="R9" s="8" t="s">
        <v>22</v>
      </c>
      <c r="S9" s="8" t="s">
        <v>18</v>
      </c>
      <c r="T9" s="8" t="s">
        <v>85</v>
      </c>
      <c r="U9" s="8" t="s">
        <v>10</v>
      </c>
      <c r="V9" s="8" t="s">
        <v>89</v>
      </c>
      <c r="W9" s="8" t="s">
        <v>97</v>
      </c>
      <c r="X9" s="8" t="s">
        <v>89</v>
      </c>
      <c r="Y9" s="8" t="s">
        <v>104</v>
      </c>
      <c r="Z9" s="2" t="s">
        <v>6</v>
      </c>
      <c r="AA9" s="5"/>
      <c r="AB9" s="8" t="s">
        <v>85</v>
      </c>
      <c r="AC9" s="8" t="s">
        <v>18</v>
      </c>
      <c r="AD9" s="8" t="s">
        <v>72</v>
      </c>
      <c r="AE9" s="8" t="s">
        <v>70</v>
      </c>
      <c r="AF9" s="8" t="s">
        <v>89</v>
      </c>
      <c r="AG9" s="8" t="s">
        <v>76</v>
      </c>
      <c r="AH9" s="8" t="s">
        <v>80</v>
      </c>
      <c r="AI9" s="8" t="s">
        <v>72</v>
      </c>
      <c r="AJ9" s="8" t="s">
        <v>65</v>
      </c>
      <c r="AK9" s="8" t="s">
        <v>76</v>
      </c>
      <c r="AL9" s="8" t="s">
        <v>22</v>
      </c>
      <c r="AM9" s="8" t="s">
        <v>148</v>
      </c>
      <c r="AN9" s="8" t="s">
        <v>89</v>
      </c>
      <c r="AO9" s="8" t="s">
        <v>70</v>
      </c>
      <c r="AP9" s="8" t="s">
        <v>18</v>
      </c>
      <c r="AQ9" s="8" t="s">
        <v>85</v>
      </c>
      <c r="AR9" s="8" t="s">
        <v>80</v>
      </c>
      <c r="AS9" s="8" t="s">
        <v>65</v>
      </c>
      <c r="AT9" s="8" t="s">
        <v>142</v>
      </c>
      <c r="AU9" s="8"/>
      <c r="AV9" s="2"/>
      <c r="AW9" s="5"/>
      <c r="AX9" s="5" t="s">
        <v>70</v>
      </c>
      <c r="AY9" s="5" t="s">
        <v>181</v>
      </c>
      <c r="AZ9" s="5" t="s">
        <v>142</v>
      </c>
      <c r="BA9" s="5" t="s">
        <v>181</v>
      </c>
      <c r="BB9" s="5" t="s">
        <v>65</v>
      </c>
      <c r="BC9" s="5" t="s">
        <v>18</v>
      </c>
      <c r="BD9" s="5" t="s">
        <v>22</v>
      </c>
      <c r="BE9" s="5" t="s">
        <v>76</v>
      </c>
      <c r="BF9" s="5" t="s">
        <v>209</v>
      </c>
      <c r="BG9" s="5" t="s">
        <v>72</v>
      </c>
      <c r="BH9" s="5" t="s">
        <v>80</v>
      </c>
      <c r="BI9" s="5" t="s">
        <v>72</v>
      </c>
      <c r="BJ9" s="5" t="s">
        <v>70</v>
      </c>
      <c r="BK9" s="5" t="s">
        <v>181</v>
      </c>
      <c r="BL9" s="5" t="s">
        <v>18</v>
      </c>
      <c r="BM9" s="5" t="s">
        <v>142</v>
      </c>
      <c r="BN9" s="5" t="s">
        <v>22</v>
      </c>
      <c r="BO9" s="5" t="s">
        <v>236</v>
      </c>
      <c r="BP9" s="5" t="s">
        <v>80</v>
      </c>
      <c r="BQ9" s="5" t="s">
        <v>181</v>
      </c>
      <c r="BR9" s="5" t="s">
        <v>245</v>
      </c>
      <c r="BS9" s="5"/>
      <c r="BT9" s="5"/>
      <c r="BU9" s="8" t="s">
        <v>9</v>
      </c>
      <c r="BV9" s="8" t="s">
        <v>127</v>
      </c>
      <c r="BW9" s="28" t="s">
        <v>247</v>
      </c>
      <c r="BX9" s="29"/>
      <c r="BY9" s="29"/>
      <c r="BZ9" s="30"/>
      <c r="CA9" s="5"/>
      <c r="CB9" s="5"/>
      <c r="CC9" s="8" t="s">
        <v>9</v>
      </c>
      <c r="CD9" s="8" t="s">
        <v>127</v>
      </c>
      <c r="CE9" s="28" t="s">
        <v>247</v>
      </c>
      <c r="CF9" s="29"/>
      <c r="CG9" s="29"/>
      <c r="CH9" s="30"/>
      <c r="CI9" s="5"/>
    </row>
    <row r="10" spans="1:87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44660</v>
      </c>
      <c r="H10" s="9">
        <v>44674</v>
      </c>
      <c r="I10" s="9">
        <v>44681</v>
      </c>
      <c r="J10" s="9">
        <v>44696</v>
      </c>
      <c r="K10" s="9">
        <v>44709</v>
      </c>
      <c r="L10" s="9">
        <v>44709</v>
      </c>
      <c r="M10" s="9">
        <v>44730</v>
      </c>
      <c r="N10" s="9">
        <v>44730</v>
      </c>
      <c r="O10" s="9">
        <v>44737</v>
      </c>
      <c r="P10" s="9">
        <v>44759</v>
      </c>
      <c r="Q10" s="9">
        <v>44765</v>
      </c>
      <c r="R10" s="9">
        <v>44779</v>
      </c>
      <c r="S10" s="9">
        <v>44793</v>
      </c>
      <c r="T10" s="9">
        <v>44814</v>
      </c>
      <c r="U10" s="9">
        <v>44814</v>
      </c>
      <c r="V10" s="9">
        <v>44814</v>
      </c>
      <c r="W10" s="9">
        <v>44828</v>
      </c>
      <c r="X10" s="9">
        <v>44856</v>
      </c>
      <c r="Y10" s="9">
        <v>44905</v>
      </c>
      <c r="Z10" s="2">
        <v>2022</v>
      </c>
      <c r="AA10" s="5"/>
      <c r="AB10" s="5" t="s">
        <v>108</v>
      </c>
      <c r="AC10" s="5" t="s">
        <v>110</v>
      </c>
      <c r="AD10" s="5" t="s">
        <v>111</v>
      </c>
      <c r="AE10" s="5" t="s">
        <v>123</v>
      </c>
      <c r="AF10" s="5" t="s">
        <v>121</v>
      </c>
      <c r="AG10" s="5" t="s">
        <v>128</v>
      </c>
      <c r="AH10" s="5" t="s">
        <v>133</v>
      </c>
      <c r="AI10" s="5" t="s">
        <v>134</v>
      </c>
      <c r="AJ10" s="5" t="s">
        <v>138</v>
      </c>
      <c r="AK10" s="5" t="s">
        <v>140</v>
      </c>
      <c r="AL10" s="5" t="s">
        <v>146</v>
      </c>
      <c r="AM10" s="5" t="s">
        <v>149</v>
      </c>
      <c r="AN10" s="5" t="s">
        <v>147</v>
      </c>
      <c r="AO10" s="5" t="s">
        <v>147</v>
      </c>
      <c r="AP10" s="5" t="s">
        <v>150</v>
      </c>
      <c r="AQ10" s="5" t="s">
        <v>151</v>
      </c>
      <c r="AR10" s="5" t="s">
        <v>156</v>
      </c>
      <c r="AS10" s="5" t="s">
        <v>158</v>
      </c>
      <c r="AT10" s="5" t="s">
        <v>164</v>
      </c>
      <c r="AU10" s="5" t="s">
        <v>165</v>
      </c>
      <c r="AV10" s="2">
        <v>2023</v>
      </c>
      <c r="AW10" s="5"/>
      <c r="AX10" s="5" t="s">
        <v>166</v>
      </c>
      <c r="AY10" s="5" t="s">
        <v>166</v>
      </c>
      <c r="AZ10" s="5" t="s">
        <v>166</v>
      </c>
      <c r="BA10" s="5" t="s">
        <v>166</v>
      </c>
      <c r="BB10" s="5" t="s">
        <v>166</v>
      </c>
      <c r="BC10" s="5" t="s">
        <v>185</v>
      </c>
      <c r="BD10" s="5" t="s">
        <v>199</v>
      </c>
      <c r="BE10" s="5" t="s">
        <v>207</v>
      </c>
      <c r="BF10" s="5" t="s">
        <v>210</v>
      </c>
      <c r="BG10" s="5" t="s">
        <v>217</v>
      </c>
      <c r="BH10" s="5" t="s">
        <v>220</v>
      </c>
      <c r="BI10" s="5" t="s">
        <v>222</v>
      </c>
      <c r="BJ10" s="5" t="s">
        <v>149</v>
      </c>
      <c r="BK10" s="5" t="s">
        <v>227</v>
      </c>
      <c r="BL10" s="5" t="s">
        <v>227</v>
      </c>
      <c r="BM10" s="5" t="s">
        <v>226</v>
      </c>
      <c r="BN10" s="5" t="s">
        <v>228</v>
      </c>
      <c r="BO10" s="5" t="s">
        <v>237</v>
      </c>
      <c r="BP10" s="5" t="s">
        <v>238</v>
      </c>
      <c r="BQ10" s="5" t="s">
        <v>242</v>
      </c>
      <c r="BR10" s="5" t="s">
        <v>246</v>
      </c>
      <c r="BS10" s="5">
        <v>2024</v>
      </c>
      <c r="BT10" s="5"/>
      <c r="BU10" s="5"/>
      <c r="BV10" s="5"/>
      <c r="BW10" s="5">
        <v>1</v>
      </c>
      <c r="BX10" s="5">
        <v>2</v>
      </c>
      <c r="BY10" s="5">
        <v>3</v>
      </c>
      <c r="BZ10" s="5">
        <v>4</v>
      </c>
      <c r="CA10" s="5">
        <v>2025</v>
      </c>
      <c r="CB10" s="5"/>
      <c r="CC10" s="5"/>
      <c r="CD10" s="5"/>
      <c r="CE10" s="5">
        <v>1</v>
      </c>
      <c r="CF10" s="5">
        <v>2</v>
      </c>
      <c r="CG10" s="5">
        <v>3</v>
      </c>
      <c r="CH10" s="5">
        <v>4</v>
      </c>
      <c r="CI10" s="5">
        <v>2026</v>
      </c>
    </row>
    <row r="11" spans="1:87" x14ac:dyDescent="0.25">
      <c r="A11">
        <v>1</v>
      </c>
      <c r="B11" s="6" t="s">
        <v>323</v>
      </c>
      <c r="C11" s="6"/>
      <c r="D11" s="6" t="s">
        <v>118</v>
      </c>
      <c r="E11" s="6" t="s">
        <v>12</v>
      </c>
      <c r="F11" s="6"/>
      <c r="G11" s="6"/>
      <c r="H11" s="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6"/>
      <c r="AA11" s="10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6"/>
      <c r="BT11" s="6"/>
      <c r="BU11" s="10">
        <v>36</v>
      </c>
      <c r="BV11" s="10"/>
      <c r="BW11" s="10">
        <v>105</v>
      </c>
      <c r="BX11" s="10">
        <v>150</v>
      </c>
      <c r="BY11" s="10">
        <v>70</v>
      </c>
      <c r="BZ11" s="10">
        <v>72</v>
      </c>
      <c r="CA11" s="6">
        <f>SUM(BT11:BZ11)</f>
        <v>433</v>
      </c>
      <c r="CB11" s="6">
        <f>(CA11-BT11)/2</f>
        <v>216.5</v>
      </c>
      <c r="CC11" s="10">
        <v>48</v>
      </c>
      <c r="CD11" s="10">
        <v>64</v>
      </c>
      <c r="CE11" s="10">
        <v>150</v>
      </c>
      <c r="CF11" s="10"/>
      <c r="CG11" s="10"/>
      <c r="CH11" s="10"/>
      <c r="CI11" s="6">
        <f t="shared" ref="CI11:CI29" si="0">SUM(CB11:CH11)</f>
        <v>478.5</v>
      </c>
    </row>
    <row r="12" spans="1:87" x14ac:dyDescent="0.25">
      <c r="A12">
        <v>2</v>
      </c>
      <c r="B12" s="6" t="s">
        <v>54</v>
      </c>
      <c r="C12" s="6"/>
      <c r="D12" s="6" t="s">
        <v>377</v>
      </c>
      <c r="E12" s="6" t="s">
        <v>68</v>
      </c>
      <c r="F12" s="6"/>
      <c r="G12" s="6"/>
      <c r="H12" s="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6"/>
      <c r="AA12" s="10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6"/>
      <c r="BT12" s="6"/>
      <c r="BU12" s="10">
        <v>36</v>
      </c>
      <c r="BV12" s="10">
        <v>64</v>
      </c>
      <c r="BW12" s="10">
        <v>7.5</v>
      </c>
      <c r="BX12" s="10">
        <v>105</v>
      </c>
      <c r="BY12" s="10">
        <v>10</v>
      </c>
      <c r="BZ12" s="10"/>
      <c r="CA12" s="6">
        <f>SUM(BT12:BZ12)</f>
        <v>222.5</v>
      </c>
      <c r="CB12" s="6">
        <f>(CA12-BT12)/2</f>
        <v>111.25</v>
      </c>
      <c r="CC12" s="10">
        <v>36</v>
      </c>
      <c r="CD12" s="10">
        <v>56</v>
      </c>
      <c r="CE12" s="10">
        <v>105</v>
      </c>
      <c r="CF12" s="10">
        <v>60</v>
      </c>
      <c r="CG12" s="10"/>
      <c r="CH12" s="10"/>
      <c r="CI12" s="6">
        <f t="shared" si="0"/>
        <v>368.25</v>
      </c>
    </row>
    <row r="13" spans="1:87" x14ac:dyDescent="0.25">
      <c r="A13">
        <v>3</v>
      </c>
      <c r="B13" s="6" t="s">
        <v>19</v>
      </c>
      <c r="C13" s="6"/>
      <c r="D13" s="6" t="s">
        <v>31</v>
      </c>
      <c r="E13" s="6" t="s">
        <v>124</v>
      </c>
      <c r="F13" s="6"/>
      <c r="G13" s="6"/>
      <c r="H13" s="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6"/>
      <c r="AA13" s="10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6"/>
      <c r="BT13" s="6"/>
      <c r="BU13" s="10"/>
      <c r="BV13" s="10"/>
      <c r="BW13" s="10"/>
      <c r="BX13" s="10"/>
      <c r="BY13" s="10"/>
      <c r="BZ13" s="10"/>
      <c r="CA13" s="6"/>
      <c r="CB13" s="6">
        <f>206/2</f>
        <v>103</v>
      </c>
      <c r="CC13" s="10">
        <v>36</v>
      </c>
      <c r="CD13" s="10">
        <v>80</v>
      </c>
      <c r="CE13" s="10">
        <v>36</v>
      </c>
      <c r="CF13" s="10"/>
      <c r="CG13" s="10"/>
      <c r="CH13" s="10"/>
      <c r="CI13" s="6">
        <f t="shared" si="0"/>
        <v>255</v>
      </c>
    </row>
    <row r="14" spans="1:87" x14ac:dyDescent="0.25">
      <c r="A14" s="21">
        <v>4</v>
      </c>
      <c r="B14" s="6" t="s">
        <v>279</v>
      </c>
      <c r="C14" s="6"/>
      <c r="D14" s="6" t="s">
        <v>450</v>
      </c>
      <c r="E14" s="6" t="s">
        <v>451</v>
      </c>
      <c r="F14" s="6"/>
      <c r="G14" s="6"/>
      <c r="H14" s="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6"/>
      <c r="AA14" s="10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6"/>
      <c r="BT14" s="6"/>
      <c r="BU14" s="10"/>
      <c r="BV14" s="10"/>
      <c r="BW14" s="10"/>
      <c r="BX14" s="10"/>
      <c r="BY14" s="10"/>
      <c r="BZ14" s="10"/>
      <c r="CA14" s="6"/>
      <c r="CB14" s="6"/>
      <c r="CC14" s="10">
        <v>48</v>
      </c>
      <c r="CD14" s="10">
        <v>4</v>
      </c>
      <c r="CE14" s="10">
        <v>75</v>
      </c>
      <c r="CF14" s="10"/>
      <c r="CG14" s="10"/>
      <c r="CH14" s="10"/>
      <c r="CI14" s="6">
        <f t="shared" si="0"/>
        <v>127</v>
      </c>
    </row>
    <row r="15" spans="1:87" x14ac:dyDescent="0.25">
      <c r="A15">
        <v>5</v>
      </c>
      <c r="B15" s="6" t="s">
        <v>42</v>
      </c>
      <c r="C15" s="6"/>
      <c r="D15" s="6" t="s">
        <v>177</v>
      </c>
      <c r="E15" s="6" t="s">
        <v>345</v>
      </c>
      <c r="F15" s="6"/>
      <c r="G15" s="6"/>
      <c r="H15" s="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6"/>
      <c r="AA15" s="10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6"/>
      <c r="BT15" s="6"/>
      <c r="BU15" s="10"/>
      <c r="BV15" s="10"/>
      <c r="BW15" s="10">
        <v>50</v>
      </c>
      <c r="BX15" s="10">
        <v>140</v>
      </c>
      <c r="BY15" s="10"/>
      <c r="BZ15" s="10"/>
      <c r="CA15" s="6">
        <f>SUM(BT15:BZ15)</f>
        <v>190</v>
      </c>
      <c r="CB15" s="6">
        <f>(CA15-BT15)/2</f>
        <v>95</v>
      </c>
      <c r="CC15" s="10"/>
      <c r="CD15" s="10"/>
      <c r="CE15" s="10"/>
      <c r="CF15" s="10"/>
      <c r="CG15" s="10"/>
      <c r="CH15" s="10"/>
      <c r="CI15" s="6">
        <f t="shared" si="0"/>
        <v>95</v>
      </c>
    </row>
    <row r="16" spans="1:87" x14ac:dyDescent="0.25">
      <c r="A16">
        <v>6</v>
      </c>
      <c r="B16" s="6" t="s">
        <v>277</v>
      </c>
      <c r="C16" s="6"/>
      <c r="D16" s="6" t="s">
        <v>278</v>
      </c>
      <c r="E16" s="6" t="s">
        <v>26</v>
      </c>
      <c r="F16" s="6"/>
      <c r="G16" s="6"/>
      <c r="H16" s="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6"/>
      <c r="AA16" s="10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6"/>
      <c r="BT16" s="6"/>
      <c r="BU16" s="10"/>
      <c r="BV16" s="10">
        <v>3.2</v>
      </c>
      <c r="BW16" s="10">
        <v>7.5</v>
      </c>
      <c r="BX16" s="10"/>
      <c r="BY16" s="10"/>
      <c r="BZ16" s="10"/>
      <c r="CA16" s="6"/>
      <c r="CB16" s="6">
        <v>36.950000000000003</v>
      </c>
      <c r="CC16" s="10">
        <v>2.4</v>
      </c>
      <c r="CD16" s="10">
        <v>40</v>
      </c>
      <c r="CE16" s="10">
        <v>7.5</v>
      </c>
      <c r="CF16" s="10"/>
      <c r="CG16" s="10"/>
      <c r="CH16" s="10"/>
      <c r="CI16" s="6">
        <f t="shared" si="0"/>
        <v>86.85</v>
      </c>
    </row>
    <row r="17" spans="1:87" x14ac:dyDescent="0.25">
      <c r="A17">
        <v>7</v>
      </c>
      <c r="B17" s="6" t="s">
        <v>473</v>
      </c>
      <c r="C17" s="6"/>
      <c r="D17" s="6" t="s">
        <v>162</v>
      </c>
      <c r="E17" s="6" t="s">
        <v>474</v>
      </c>
      <c r="F17" s="6"/>
      <c r="G17" s="6"/>
      <c r="H17" s="6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6"/>
      <c r="AA17" s="10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6"/>
      <c r="BT17" s="6"/>
      <c r="BU17" s="10"/>
      <c r="BV17" s="10"/>
      <c r="BW17" s="10"/>
      <c r="BX17" s="10"/>
      <c r="BY17" s="10"/>
      <c r="BZ17" s="10"/>
      <c r="CA17" s="6"/>
      <c r="CB17" s="6"/>
      <c r="CC17" s="10">
        <v>36</v>
      </c>
      <c r="CD17" s="10">
        <v>48</v>
      </c>
      <c r="CE17" s="10"/>
      <c r="CF17" s="10"/>
      <c r="CG17" s="10"/>
      <c r="CH17" s="10"/>
      <c r="CI17" s="6">
        <f t="shared" si="0"/>
        <v>84</v>
      </c>
    </row>
    <row r="18" spans="1:87" x14ac:dyDescent="0.25">
      <c r="A18">
        <v>8</v>
      </c>
      <c r="B18" s="6" t="s">
        <v>86</v>
      </c>
      <c r="C18" s="6"/>
      <c r="D18" s="6" t="s">
        <v>392</v>
      </c>
      <c r="E18" s="6" t="s">
        <v>157</v>
      </c>
      <c r="F18" s="6"/>
      <c r="G18" s="6"/>
      <c r="H18" s="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6"/>
      <c r="AA18" s="10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6"/>
      <c r="BT18" s="6"/>
      <c r="BU18" s="10"/>
      <c r="BV18" s="10"/>
      <c r="BW18" s="10">
        <v>75</v>
      </c>
      <c r="BX18" s="10">
        <v>72</v>
      </c>
      <c r="BY18" s="10"/>
      <c r="BZ18" s="10"/>
      <c r="CA18" s="6">
        <f>SUM(BT18:BZ18)</f>
        <v>147</v>
      </c>
      <c r="CB18" s="6">
        <f>(CA18-BT18)/2</f>
        <v>73.5</v>
      </c>
      <c r="CC18" s="10"/>
      <c r="CD18" s="10"/>
      <c r="CE18" s="10"/>
      <c r="CF18" s="10"/>
      <c r="CG18" s="10"/>
      <c r="CH18" s="10"/>
      <c r="CI18" s="6">
        <f t="shared" si="0"/>
        <v>73.5</v>
      </c>
    </row>
    <row r="19" spans="1:87" x14ac:dyDescent="0.25">
      <c r="A19">
        <v>9</v>
      </c>
      <c r="B19" s="6" t="s">
        <v>321</v>
      </c>
      <c r="C19" s="6"/>
      <c r="D19" s="6" t="s">
        <v>322</v>
      </c>
      <c r="E19" s="6" t="s">
        <v>144</v>
      </c>
      <c r="F19" s="6"/>
      <c r="G19" s="6"/>
      <c r="H19" s="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6"/>
      <c r="AA19" s="10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6"/>
      <c r="BT19" s="6"/>
      <c r="BU19" s="10"/>
      <c r="BV19" s="10">
        <v>64</v>
      </c>
      <c r="BW19" s="10">
        <v>52</v>
      </c>
      <c r="BX19" s="10"/>
      <c r="BY19" s="10"/>
      <c r="BZ19" s="10"/>
      <c r="CA19" s="6">
        <f>SUM(BT19:BZ19)</f>
        <v>116</v>
      </c>
      <c r="CB19" s="6">
        <f>(CA19-BT19)/2</f>
        <v>58</v>
      </c>
      <c r="CC19" s="10"/>
      <c r="CD19" s="10"/>
      <c r="CE19" s="10"/>
      <c r="CF19" s="10"/>
      <c r="CG19" s="10"/>
      <c r="CH19" s="10"/>
      <c r="CI19" s="6">
        <f t="shared" si="0"/>
        <v>58</v>
      </c>
    </row>
    <row r="20" spans="1:87" x14ac:dyDescent="0.25">
      <c r="A20">
        <v>10</v>
      </c>
      <c r="B20" s="6" t="s">
        <v>71</v>
      </c>
      <c r="C20" s="6"/>
      <c r="D20" s="6" t="s">
        <v>204</v>
      </c>
      <c r="E20" s="6" t="s">
        <v>27</v>
      </c>
      <c r="F20" s="6"/>
      <c r="G20" s="6"/>
      <c r="H20" s="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6"/>
      <c r="AA20" s="10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6"/>
      <c r="BT20" s="6"/>
      <c r="BU20" s="10"/>
      <c r="BV20" s="10"/>
      <c r="BW20" s="10">
        <v>100</v>
      </c>
      <c r="BX20" s="10"/>
      <c r="BY20" s="10"/>
      <c r="BZ20" s="10"/>
      <c r="CA20" s="6">
        <f>SUM(BT20:BZ20)</f>
        <v>100</v>
      </c>
      <c r="CB20" s="6">
        <f>(CA20-BT20)/2</f>
        <v>50</v>
      </c>
      <c r="CC20" s="10"/>
      <c r="CD20" s="10"/>
      <c r="CE20" s="10"/>
      <c r="CF20" s="10"/>
      <c r="CG20" s="10"/>
      <c r="CH20" s="10"/>
      <c r="CI20" s="6">
        <f t="shared" si="0"/>
        <v>50</v>
      </c>
    </row>
    <row r="21" spans="1:87" x14ac:dyDescent="0.25">
      <c r="A21">
        <v>11</v>
      </c>
      <c r="B21" s="6" t="s">
        <v>382</v>
      </c>
      <c r="C21" s="6"/>
      <c r="D21" s="6" t="s">
        <v>383</v>
      </c>
      <c r="E21" s="6" t="s">
        <v>384</v>
      </c>
      <c r="F21" s="6"/>
      <c r="G21" s="6"/>
      <c r="H21" s="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6"/>
      <c r="AA21" s="10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6"/>
      <c r="BT21" s="6"/>
      <c r="BU21" s="10">
        <v>36</v>
      </c>
      <c r="BV21" s="10">
        <v>44.8</v>
      </c>
      <c r="BW21" s="10">
        <v>10</v>
      </c>
      <c r="BX21" s="10"/>
      <c r="BY21" s="10"/>
      <c r="BZ21" s="10"/>
      <c r="CA21" s="6">
        <f>SUM(BT21:BZ21)</f>
        <v>90.8</v>
      </c>
      <c r="CB21" s="6">
        <f>(CA21-BT21)/2</f>
        <v>45.4</v>
      </c>
      <c r="CC21" s="10"/>
      <c r="CD21" s="10"/>
      <c r="CE21" s="10"/>
      <c r="CF21" s="10"/>
      <c r="CG21" s="10"/>
      <c r="CH21" s="10"/>
      <c r="CI21" s="6">
        <f t="shared" si="0"/>
        <v>45.4</v>
      </c>
    </row>
    <row r="22" spans="1:87" x14ac:dyDescent="0.25">
      <c r="A22">
        <v>12</v>
      </c>
      <c r="B22" s="6" t="s">
        <v>400</v>
      </c>
      <c r="C22" s="6"/>
      <c r="D22" s="6" t="s">
        <v>63</v>
      </c>
      <c r="E22" s="6" t="s">
        <v>144</v>
      </c>
      <c r="F22" s="6"/>
      <c r="G22" s="6"/>
      <c r="H22" s="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6"/>
      <c r="AA22" s="10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6"/>
      <c r="BT22" s="6"/>
      <c r="BU22" s="10"/>
      <c r="BV22" s="10"/>
      <c r="BW22" s="10"/>
      <c r="BX22" s="10"/>
      <c r="BY22" s="10"/>
      <c r="BZ22" s="10"/>
      <c r="CA22" s="6"/>
      <c r="CB22" s="6"/>
      <c r="CC22" s="10">
        <v>36</v>
      </c>
      <c r="CD22" s="10"/>
      <c r="CE22" s="10"/>
      <c r="CF22" s="10"/>
      <c r="CG22" s="10"/>
      <c r="CH22" s="10"/>
      <c r="CI22" s="6">
        <f t="shared" si="0"/>
        <v>36</v>
      </c>
    </row>
    <row r="23" spans="1:87" x14ac:dyDescent="0.25">
      <c r="A23">
        <v>13</v>
      </c>
      <c r="B23" s="6" t="s">
        <v>48</v>
      </c>
      <c r="C23" s="6"/>
      <c r="D23" s="6" t="s">
        <v>442</v>
      </c>
      <c r="E23" s="6" t="s">
        <v>306</v>
      </c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6"/>
      <c r="AA23" s="10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6"/>
      <c r="BT23" s="6"/>
      <c r="BU23" s="10"/>
      <c r="BV23" s="10"/>
      <c r="BW23" s="10"/>
      <c r="BX23" s="10"/>
      <c r="BY23" s="10"/>
      <c r="BZ23" s="10"/>
      <c r="CA23" s="6"/>
      <c r="CB23" s="6"/>
      <c r="CC23" s="10">
        <v>36</v>
      </c>
      <c r="CD23" s="10"/>
      <c r="CE23" s="10"/>
      <c r="CF23" s="10"/>
      <c r="CG23" s="10"/>
      <c r="CH23" s="10"/>
      <c r="CI23" s="6">
        <f t="shared" si="0"/>
        <v>36</v>
      </c>
    </row>
    <row r="24" spans="1:87" x14ac:dyDescent="0.25">
      <c r="A24">
        <v>14</v>
      </c>
      <c r="B24" s="6" t="s">
        <v>334</v>
      </c>
      <c r="C24" s="6"/>
      <c r="D24" s="6" t="s">
        <v>335</v>
      </c>
      <c r="E24" s="6" t="s">
        <v>41</v>
      </c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6"/>
      <c r="AA24" s="10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6"/>
      <c r="BT24" s="6"/>
      <c r="BU24" s="10"/>
      <c r="BV24" s="10"/>
      <c r="BW24" s="10">
        <v>7.5</v>
      </c>
      <c r="BX24" s="10">
        <v>36</v>
      </c>
      <c r="BY24" s="10">
        <v>7.5</v>
      </c>
      <c r="BZ24" s="10"/>
      <c r="CA24" s="6">
        <f>SUM(BT24:BZ24)</f>
        <v>51</v>
      </c>
      <c r="CB24" s="6">
        <f>(CA24-BT24)/2</f>
        <v>25.5</v>
      </c>
      <c r="CC24" s="10"/>
      <c r="CD24" s="10"/>
      <c r="CE24" s="10"/>
      <c r="CF24" s="10"/>
      <c r="CG24" s="10"/>
      <c r="CH24" s="10"/>
      <c r="CI24" s="6">
        <f t="shared" si="0"/>
        <v>25.5</v>
      </c>
    </row>
    <row r="25" spans="1:87" x14ac:dyDescent="0.25">
      <c r="A25">
        <v>15</v>
      </c>
      <c r="B25" s="10" t="s">
        <v>131</v>
      </c>
      <c r="C25" s="6"/>
      <c r="D25" s="6" t="s">
        <v>178</v>
      </c>
      <c r="E25" s="6" t="s">
        <v>59</v>
      </c>
      <c r="F25" s="6"/>
      <c r="G25" s="6"/>
      <c r="H25" s="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6"/>
      <c r="AA25" s="10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6"/>
      <c r="BT25" s="6"/>
      <c r="BU25" s="10">
        <v>36</v>
      </c>
      <c r="BV25" s="10"/>
      <c r="BW25" s="10">
        <v>10</v>
      </c>
      <c r="BX25" s="10"/>
      <c r="BY25" s="10"/>
      <c r="BZ25" s="10"/>
      <c r="CA25" s="6">
        <f>SUM(BT25:BZ25)</f>
        <v>46</v>
      </c>
      <c r="CB25" s="6">
        <f>(CA25-BT25)/2</f>
        <v>23</v>
      </c>
      <c r="CC25" s="10"/>
      <c r="CD25" s="10"/>
      <c r="CE25" s="10"/>
      <c r="CF25" s="10"/>
      <c r="CG25" s="10"/>
      <c r="CH25" s="10"/>
      <c r="CI25" s="6">
        <f t="shared" si="0"/>
        <v>23</v>
      </c>
    </row>
    <row r="26" spans="1:87" x14ac:dyDescent="0.25">
      <c r="A26">
        <v>16</v>
      </c>
      <c r="B26" s="6" t="s">
        <v>168</v>
      </c>
      <c r="C26" s="6"/>
      <c r="D26" s="6" t="s">
        <v>169</v>
      </c>
      <c r="E26" s="6" t="s">
        <v>144</v>
      </c>
      <c r="F26" s="6"/>
      <c r="G26" s="6"/>
      <c r="H26" s="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6"/>
      <c r="AA26" s="10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6"/>
      <c r="BT26" s="6"/>
      <c r="BU26" s="10">
        <v>36</v>
      </c>
      <c r="BV26" s="10"/>
      <c r="BW26" s="10">
        <v>5</v>
      </c>
      <c r="BX26" s="10"/>
      <c r="BY26" s="10"/>
      <c r="BZ26" s="10"/>
      <c r="CA26" s="6">
        <f>SUM(BT26:BZ26)</f>
        <v>41</v>
      </c>
      <c r="CB26" s="6">
        <f>(CA26-BT26)/2</f>
        <v>20.5</v>
      </c>
      <c r="CC26" s="10"/>
      <c r="CD26" s="10"/>
      <c r="CE26" s="10"/>
      <c r="CF26" s="10"/>
      <c r="CG26" s="10"/>
      <c r="CH26" s="10"/>
      <c r="CI26" s="6">
        <f t="shared" si="0"/>
        <v>20.5</v>
      </c>
    </row>
    <row r="27" spans="1:87" x14ac:dyDescent="0.25">
      <c r="A27">
        <v>17</v>
      </c>
      <c r="B27" s="6" t="s">
        <v>525</v>
      </c>
      <c r="C27" s="6"/>
      <c r="D27" s="6" t="s">
        <v>348</v>
      </c>
      <c r="E27" s="6" t="s">
        <v>124</v>
      </c>
      <c r="F27" s="6"/>
      <c r="G27" s="6"/>
      <c r="H27" s="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6"/>
      <c r="AA27" s="10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6"/>
      <c r="BT27" s="6"/>
      <c r="BU27" s="10"/>
      <c r="BV27" s="10"/>
      <c r="BW27" s="10"/>
      <c r="BX27" s="10"/>
      <c r="BY27" s="10"/>
      <c r="BZ27" s="10"/>
      <c r="CA27" s="6"/>
      <c r="CB27" s="6"/>
      <c r="CC27" s="10"/>
      <c r="CD27" s="10">
        <v>4</v>
      </c>
      <c r="CE27" s="10"/>
      <c r="CF27" s="10"/>
      <c r="CG27" s="10"/>
      <c r="CH27" s="10"/>
      <c r="CI27" s="6">
        <f t="shared" si="0"/>
        <v>4</v>
      </c>
    </row>
    <row r="28" spans="1:87" x14ac:dyDescent="0.25">
      <c r="A28">
        <v>18</v>
      </c>
      <c r="B28" s="6" t="s">
        <v>114</v>
      </c>
      <c r="C28" s="6"/>
      <c r="D28" s="6" t="s">
        <v>208</v>
      </c>
      <c r="E28" s="6" t="s">
        <v>306</v>
      </c>
      <c r="F28" s="6"/>
      <c r="G28" s="6"/>
      <c r="H28" s="6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6"/>
      <c r="AA28" s="10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6"/>
      <c r="BT28" s="6"/>
      <c r="BU28" s="10"/>
      <c r="BV28" s="10"/>
      <c r="BW28" s="10"/>
      <c r="BX28" s="10"/>
      <c r="BY28" s="10"/>
      <c r="BZ28" s="10"/>
      <c r="CA28" s="6"/>
      <c r="CB28" s="6"/>
      <c r="CC28" s="10"/>
      <c r="CD28" s="10">
        <v>3.2</v>
      </c>
      <c r="CE28" s="10"/>
      <c r="CF28" s="10"/>
      <c r="CG28" s="10"/>
      <c r="CH28" s="10"/>
      <c r="CI28" s="6">
        <f t="shared" si="0"/>
        <v>3.2</v>
      </c>
    </row>
    <row r="29" spans="1:87" x14ac:dyDescent="0.25">
      <c r="A29">
        <v>19</v>
      </c>
      <c r="B29" s="6" t="s">
        <v>470</v>
      </c>
      <c r="C29" s="6"/>
      <c r="D29" s="6" t="s">
        <v>471</v>
      </c>
      <c r="E29" s="6" t="s">
        <v>12</v>
      </c>
      <c r="F29" s="6"/>
      <c r="G29" s="6"/>
      <c r="H29" s="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6"/>
      <c r="AA29" s="10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6"/>
      <c r="BT29" s="6"/>
      <c r="BU29" s="10"/>
      <c r="BV29" s="10"/>
      <c r="BW29" s="10"/>
      <c r="BX29" s="10"/>
      <c r="BY29" s="10"/>
      <c r="BZ29" s="10"/>
      <c r="CA29" s="6"/>
      <c r="CB29" s="6"/>
      <c r="CC29" s="10">
        <v>2.4</v>
      </c>
      <c r="CD29" s="10"/>
      <c r="CE29" s="10"/>
      <c r="CF29" s="10"/>
      <c r="CG29" s="10"/>
      <c r="CH29" s="10"/>
      <c r="CI29" s="6">
        <f t="shared" si="0"/>
        <v>2.4</v>
      </c>
    </row>
  </sheetData>
  <sortState xmlns:xlrd2="http://schemas.microsoft.com/office/spreadsheetml/2017/richdata2" ref="B11:CI29">
    <sortCondition descending="1" ref="CI11:CI29"/>
  </sortState>
  <mergeCells count="5">
    <mergeCell ref="B8:C10"/>
    <mergeCell ref="BW9:BZ9"/>
    <mergeCell ref="CE9:CH9"/>
    <mergeCell ref="D4:CI5"/>
    <mergeCell ref="B1:CI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30"/>
  <sheetViews>
    <sheetView tabSelected="1" zoomScale="80" zoomScaleNormal="80" workbookViewId="0">
      <selection activeCell="CX18" sqref="CX18"/>
    </sheetView>
  </sheetViews>
  <sheetFormatPr baseColWidth="10" defaultRowHeight="15" x14ac:dyDescent="0.25"/>
  <cols>
    <col min="1" max="1" width="3.140625" bestFit="1" customWidth="1"/>
    <col min="2" max="2" width="15" bestFit="1" customWidth="1"/>
    <col min="3" max="3" width="11.5703125" bestFit="1" customWidth="1"/>
    <col min="4" max="4" width="12.7109375" bestFit="1" customWidth="1"/>
    <col min="5" max="5" width="18.7109375" bestFit="1" customWidth="1"/>
    <col min="6" max="8" width="6.85546875" hidden="1" customWidth="1"/>
    <col min="9" max="12" width="7.28515625" style="7" hidden="1" customWidth="1"/>
    <col min="13" max="15" width="6.7109375" style="7" hidden="1" customWidth="1"/>
    <col min="16" max="17" width="6.28515625" style="7" hidden="1" customWidth="1"/>
    <col min="18" max="20" width="6.7109375" style="7" hidden="1" customWidth="1"/>
    <col min="21" max="29" width="7.28515625" style="7" hidden="1" customWidth="1"/>
    <col min="30" max="30" width="6.7109375" style="7" hidden="1" customWidth="1"/>
    <col min="31" max="31" width="0" hidden="1" customWidth="1"/>
    <col min="32" max="32" width="6.85546875" style="7" hidden="1" customWidth="1"/>
    <col min="33" max="50" width="6" hidden="1" customWidth="1"/>
    <col min="51" max="51" width="10.5703125" hidden="1" customWidth="1"/>
    <col min="52" max="55" width="6" hidden="1" customWidth="1"/>
    <col min="56" max="56" width="6" style="7" hidden="1" customWidth="1"/>
    <col min="57" max="57" width="6.28515625" hidden="1" customWidth="1"/>
    <col min="58" max="61" width="6.85546875" hidden="1" customWidth="1"/>
    <col min="62" max="79" width="6" style="7" hidden="1" customWidth="1"/>
    <col min="80" max="80" width="6.85546875" style="7" hidden="1" customWidth="1"/>
    <col min="81" max="81" width="6.28515625" hidden="1" customWidth="1"/>
    <col min="82" max="82" width="7.85546875" hidden="1" customWidth="1"/>
    <col min="83" max="83" width="7.85546875" style="7" hidden="1" customWidth="1"/>
    <col min="84" max="84" width="7.140625" style="7" hidden="1" customWidth="1"/>
    <col min="85" max="87" width="8.7109375" style="7" hidden="1" customWidth="1"/>
    <col min="88" max="88" width="6.5703125" style="7" hidden="1" customWidth="1"/>
    <col min="91" max="91" width="8.5703125" style="7" customWidth="1"/>
    <col min="92" max="92" width="8.42578125" style="7" customWidth="1"/>
    <col min="93" max="93" width="6.7109375" style="7" customWidth="1"/>
  </cols>
  <sheetData>
    <row r="1" spans="1:97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</row>
    <row r="2" spans="1:97" ht="15.75" thickBot="1" x14ac:dyDescent="0.3">
      <c r="C2" s="7"/>
      <c r="D2" s="7"/>
      <c r="E2" s="7"/>
    </row>
    <row r="3" spans="1:97" ht="15.75" thickTop="1" x14ac:dyDescent="0.25">
      <c r="B3" s="1" t="s">
        <v>0</v>
      </c>
      <c r="C3" s="4" t="s">
        <v>13</v>
      </c>
    </row>
    <row r="4" spans="1:97" ht="14.65" customHeight="1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97" ht="15" customHeight="1" thickBot="1" x14ac:dyDescent="0.3">
      <c r="B5" s="3" t="s">
        <v>2</v>
      </c>
      <c r="C5" s="14">
        <v>57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</row>
    <row r="6" spans="1:97" ht="15.75" thickTop="1" x14ac:dyDescent="0.25"/>
    <row r="7" spans="1:97" ht="15.75" thickBot="1" x14ac:dyDescent="0.3"/>
    <row r="8" spans="1:97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33</v>
      </c>
      <c r="I8" s="4" t="s">
        <v>55</v>
      </c>
      <c r="J8" s="4" t="s">
        <v>9</v>
      </c>
      <c r="K8" s="4" t="s">
        <v>9</v>
      </c>
      <c r="L8" s="4" t="s">
        <v>9</v>
      </c>
      <c r="M8" s="4" t="s">
        <v>72</v>
      </c>
      <c r="N8" s="4" t="s">
        <v>76</v>
      </c>
      <c r="O8" s="4" t="s">
        <v>80</v>
      </c>
      <c r="P8" s="4" t="s">
        <v>84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4" t="s">
        <v>96</v>
      </c>
      <c r="Z8" s="4" t="s">
        <v>9</v>
      </c>
      <c r="AA8" s="4" t="s">
        <v>9</v>
      </c>
      <c r="AB8" s="4" t="s">
        <v>9</v>
      </c>
      <c r="AC8" s="4" t="s">
        <v>100</v>
      </c>
      <c r="AD8" s="4" t="s">
        <v>103</v>
      </c>
      <c r="AE8" s="1"/>
      <c r="AF8" s="13">
        <v>44927</v>
      </c>
      <c r="AG8" s="4" t="s">
        <v>9</v>
      </c>
      <c r="AH8" s="4" t="s">
        <v>9</v>
      </c>
      <c r="AI8" s="4" t="s">
        <v>9</v>
      </c>
      <c r="AJ8" s="4" t="s">
        <v>103</v>
      </c>
      <c r="AK8" s="4" t="s">
        <v>9</v>
      </c>
      <c r="AL8" s="4" t="s">
        <v>9</v>
      </c>
      <c r="AM8" s="4" t="s">
        <v>9</v>
      </c>
      <c r="AN8" s="4" t="s">
        <v>127</v>
      </c>
      <c r="AO8" s="4" t="s">
        <v>127</v>
      </c>
      <c r="AP8" s="4" t="s">
        <v>127</v>
      </c>
      <c r="AQ8" s="4" t="s">
        <v>9</v>
      </c>
      <c r="AR8" s="4" t="s">
        <v>103</v>
      </c>
      <c r="AS8" s="4" t="s">
        <v>9</v>
      </c>
      <c r="AT8" s="4" t="s">
        <v>9</v>
      </c>
      <c r="AU8" s="4" t="s">
        <v>100</v>
      </c>
      <c r="AV8" s="4" t="s">
        <v>9</v>
      </c>
      <c r="AW8" s="4" t="s">
        <v>9</v>
      </c>
      <c r="AX8" s="4" t="s">
        <v>9</v>
      </c>
      <c r="AY8" s="4" t="s">
        <v>9</v>
      </c>
      <c r="AZ8" s="4" t="s">
        <v>9</v>
      </c>
      <c r="BA8" s="4" t="s">
        <v>103</v>
      </c>
      <c r="BB8" s="4" t="s">
        <v>9</v>
      </c>
      <c r="BC8" s="4" t="s">
        <v>9</v>
      </c>
      <c r="BD8" s="4" t="s">
        <v>104</v>
      </c>
      <c r="BE8" s="4" t="s">
        <v>6</v>
      </c>
      <c r="BF8" s="13">
        <v>45292</v>
      </c>
      <c r="BG8" s="13" t="s">
        <v>9</v>
      </c>
      <c r="BH8" s="13" t="s">
        <v>9</v>
      </c>
      <c r="BI8" s="13" t="s">
        <v>9</v>
      </c>
      <c r="BJ8" s="13" t="s">
        <v>9</v>
      </c>
      <c r="BK8" s="13" t="s">
        <v>9</v>
      </c>
      <c r="BL8" s="13" t="s">
        <v>9</v>
      </c>
      <c r="BM8" s="13" t="s">
        <v>9</v>
      </c>
      <c r="BN8" s="13" t="s">
        <v>103</v>
      </c>
      <c r="BO8" s="13" t="s">
        <v>103</v>
      </c>
      <c r="BP8" s="13" t="s">
        <v>127</v>
      </c>
      <c r="BQ8" s="13" t="s">
        <v>127</v>
      </c>
      <c r="BR8" s="13" t="s">
        <v>127</v>
      </c>
      <c r="BS8" s="13" t="s">
        <v>103</v>
      </c>
      <c r="BT8" s="13" t="s">
        <v>9</v>
      </c>
      <c r="BU8" s="13" t="s">
        <v>9</v>
      </c>
      <c r="BV8" s="13" t="s">
        <v>9</v>
      </c>
      <c r="BW8" s="13" t="s">
        <v>9</v>
      </c>
      <c r="BX8" s="13" t="s">
        <v>9</v>
      </c>
      <c r="BY8" s="13" t="s">
        <v>9</v>
      </c>
      <c r="BZ8" s="13" t="s">
        <v>103</v>
      </c>
      <c r="CA8" s="13" t="s">
        <v>241</v>
      </c>
      <c r="CB8" s="13" t="s">
        <v>104</v>
      </c>
      <c r="CC8" s="13" t="s">
        <v>6</v>
      </c>
      <c r="CD8" s="13">
        <v>45658</v>
      </c>
      <c r="CE8" s="13"/>
      <c r="CF8" s="13"/>
      <c r="CG8" s="18"/>
      <c r="CH8" s="19"/>
      <c r="CI8" s="19"/>
      <c r="CJ8" s="20"/>
      <c r="CK8" s="13" t="s">
        <v>6</v>
      </c>
      <c r="CL8" s="13">
        <v>46023</v>
      </c>
      <c r="CM8" s="13"/>
      <c r="CN8" s="13"/>
      <c r="CO8" s="18"/>
      <c r="CP8" s="16"/>
      <c r="CQ8" s="16"/>
      <c r="CR8" s="17"/>
      <c r="CS8" s="13" t="s">
        <v>6</v>
      </c>
    </row>
    <row r="9" spans="1:97" x14ac:dyDescent="0.25">
      <c r="B9" s="26"/>
      <c r="C9" s="27"/>
      <c r="D9" s="2"/>
      <c r="E9" s="2"/>
      <c r="F9" s="8" t="s">
        <v>10</v>
      </c>
      <c r="G9" s="5" t="s">
        <v>18</v>
      </c>
      <c r="H9" s="8" t="s">
        <v>34</v>
      </c>
      <c r="I9" s="8" t="s">
        <v>56</v>
      </c>
      <c r="J9" s="8" t="s">
        <v>61</v>
      </c>
      <c r="K9" s="8" t="s">
        <v>70</v>
      </c>
      <c r="L9" s="8" t="s">
        <v>65</v>
      </c>
      <c r="M9" s="8" t="s">
        <v>75</v>
      </c>
      <c r="N9" s="8" t="s">
        <v>77</v>
      </c>
      <c r="O9" s="8" t="s">
        <v>81</v>
      </c>
      <c r="P9" s="8" t="s">
        <v>34</v>
      </c>
      <c r="Q9" s="8" t="s">
        <v>85</v>
      </c>
      <c r="R9" s="8" t="s">
        <v>22</v>
      </c>
      <c r="S9" s="8" t="s">
        <v>18</v>
      </c>
      <c r="T9" s="8" t="s">
        <v>70</v>
      </c>
      <c r="U9" s="8" t="s">
        <v>85</v>
      </c>
      <c r="V9" s="8" t="s">
        <v>65</v>
      </c>
      <c r="W9" s="8" t="s">
        <v>10</v>
      </c>
      <c r="X9" s="8" t="s">
        <v>89</v>
      </c>
      <c r="Y9" s="8" t="s">
        <v>97</v>
      </c>
      <c r="Z9" s="8" t="s">
        <v>61</v>
      </c>
      <c r="AA9" s="8" t="s">
        <v>89</v>
      </c>
      <c r="AB9" s="8" t="s">
        <v>30</v>
      </c>
      <c r="AC9" s="8" t="s">
        <v>101</v>
      </c>
      <c r="AD9" s="8" t="s">
        <v>104</v>
      </c>
      <c r="AE9" s="2" t="s">
        <v>6</v>
      </c>
      <c r="AF9" s="5"/>
      <c r="AG9" s="8" t="s">
        <v>22</v>
      </c>
      <c r="AH9" s="8" t="s">
        <v>85</v>
      </c>
      <c r="AI9" s="8" t="s">
        <v>18</v>
      </c>
      <c r="AJ9" s="8" t="s">
        <v>72</v>
      </c>
      <c r="AK9" s="8" t="s">
        <v>70</v>
      </c>
      <c r="AL9" s="8" t="s">
        <v>89</v>
      </c>
      <c r="AM9" s="8" t="s">
        <v>30</v>
      </c>
      <c r="AN9" s="8" t="s">
        <v>76</v>
      </c>
      <c r="AO9" s="8" t="s">
        <v>80</v>
      </c>
      <c r="AP9" s="8" t="s">
        <v>72</v>
      </c>
      <c r="AQ9" s="8" t="s">
        <v>65</v>
      </c>
      <c r="AR9" s="8" t="s">
        <v>76</v>
      </c>
      <c r="AS9" s="8" t="s">
        <v>142</v>
      </c>
      <c r="AT9" s="8" t="s">
        <v>22</v>
      </c>
      <c r="AU9" s="8" t="s">
        <v>148</v>
      </c>
      <c r="AV9" s="8" t="s">
        <v>89</v>
      </c>
      <c r="AW9" s="8" t="s">
        <v>70</v>
      </c>
      <c r="AX9" s="8" t="s">
        <v>18</v>
      </c>
      <c r="AY9" s="8" t="s">
        <v>153</v>
      </c>
      <c r="AZ9" s="8" t="s">
        <v>85</v>
      </c>
      <c r="BA9" s="8" t="s">
        <v>80</v>
      </c>
      <c r="BB9" s="8" t="s">
        <v>30</v>
      </c>
      <c r="BC9" s="8" t="s">
        <v>10</v>
      </c>
      <c r="BD9" s="8"/>
      <c r="BE9" s="2"/>
      <c r="BF9" s="5"/>
      <c r="BG9" s="5" t="s">
        <v>70</v>
      </c>
      <c r="BH9" s="5" t="s">
        <v>10</v>
      </c>
      <c r="BI9" s="5" t="s">
        <v>85</v>
      </c>
      <c r="BJ9" s="5" t="s">
        <v>142</v>
      </c>
      <c r="BK9" s="5" t="s">
        <v>181</v>
      </c>
      <c r="BL9" s="5" t="s">
        <v>18</v>
      </c>
      <c r="BM9" s="5" t="s">
        <v>22</v>
      </c>
      <c r="BN9" s="5" t="s">
        <v>76</v>
      </c>
      <c r="BO9" s="5" t="s">
        <v>209</v>
      </c>
      <c r="BP9" s="5" t="s">
        <v>76</v>
      </c>
      <c r="BQ9" s="5" t="s">
        <v>72</v>
      </c>
      <c r="BR9" s="5" t="s">
        <v>80</v>
      </c>
      <c r="BS9" s="5" t="s">
        <v>72</v>
      </c>
      <c r="BT9" s="5" t="s">
        <v>70</v>
      </c>
      <c r="BU9" s="5" t="s">
        <v>181</v>
      </c>
      <c r="BV9" s="5" t="s">
        <v>142</v>
      </c>
      <c r="BW9" s="5" t="s">
        <v>22</v>
      </c>
      <c r="BX9" s="5" t="s">
        <v>65</v>
      </c>
      <c r="BY9" s="5" t="s">
        <v>236</v>
      </c>
      <c r="BZ9" s="5" t="s">
        <v>80</v>
      </c>
      <c r="CA9" s="5" t="s">
        <v>181</v>
      </c>
      <c r="CB9" s="5" t="s">
        <v>245</v>
      </c>
      <c r="CC9" s="5"/>
      <c r="CD9" s="5"/>
      <c r="CE9" s="8" t="s">
        <v>9</v>
      </c>
      <c r="CF9" s="8" t="s">
        <v>127</v>
      </c>
      <c r="CG9" s="28" t="s">
        <v>247</v>
      </c>
      <c r="CH9" s="29"/>
      <c r="CI9" s="29"/>
      <c r="CJ9" s="30"/>
      <c r="CK9" s="5"/>
      <c r="CL9" s="5"/>
      <c r="CM9" s="8" t="s">
        <v>9</v>
      </c>
      <c r="CN9" s="8" t="s">
        <v>127</v>
      </c>
      <c r="CO9" s="28" t="s">
        <v>247</v>
      </c>
      <c r="CP9" s="29"/>
      <c r="CQ9" s="29"/>
      <c r="CR9" s="30"/>
      <c r="CS9" s="5"/>
    </row>
    <row r="10" spans="1:97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44660</v>
      </c>
      <c r="H10" s="9">
        <v>44681</v>
      </c>
      <c r="I10" s="9">
        <v>44696</v>
      </c>
      <c r="J10" s="9">
        <v>44709</v>
      </c>
      <c r="K10" s="9">
        <v>44709</v>
      </c>
      <c r="L10" s="9">
        <v>44709</v>
      </c>
      <c r="M10" s="9">
        <v>44730</v>
      </c>
      <c r="N10" s="9">
        <v>44730</v>
      </c>
      <c r="O10" s="9">
        <v>44737</v>
      </c>
      <c r="P10" s="9">
        <v>44759</v>
      </c>
      <c r="Q10" s="9">
        <v>44765</v>
      </c>
      <c r="R10" s="9">
        <v>44779</v>
      </c>
      <c r="S10" s="9">
        <v>44793</v>
      </c>
      <c r="T10" s="9">
        <v>44800</v>
      </c>
      <c r="U10" s="9">
        <v>44814</v>
      </c>
      <c r="V10" s="9">
        <v>44814</v>
      </c>
      <c r="W10" s="9">
        <v>44814</v>
      </c>
      <c r="X10" s="9">
        <v>44814</v>
      </c>
      <c r="Y10" s="9">
        <v>44828</v>
      </c>
      <c r="Z10" s="9">
        <v>44849</v>
      </c>
      <c r="AA10" s="9">
        <v>44856</v>
      </c>
      <c r="AB10" s="9">
        <v>44863</v>
      </c>
      <c r="AC10" s="9">
        <v>44868</v>
      </c>
      <c r="AD10" s="9">
        <v>44905</v>
      </c>
      <c r="AE10" s="2">
        <v>2022</v>
      </c>
      <c r="AF10" s="5"/>
      <c r="AG10" s="2" t="s">
        <v>106</v>
      </c>
      <c r="AH10" s="5" t="s">
        <v>108</v>
      </c>
      <c r="AI10" s="5" t="s">
        <v>110</v>
      </c>
      <c r="AJ10" s="5" t="s">
        <v>111</v>
      </c>
      <c r="AK10" s="5" t="s">
        <v>123</v>
      </c>
      <c r="AL10" s="5" t="s">
        <v>121</v>
      </c>
      <c r="AM10" s="5" t="s">
        <v>126</v>
      </c>
      <c r="AN10" s="5" t="s">
        <v>128</v>
      </c>
      <c r="AO10" s="5" t="s">
        <v>133</v>
      </c>
      <c r="AP10" s="5" t="s">
        <v>134</v>
      </c>
      <c r="AQ10" s="5" t="s">
        <v>138</v>
      </c>
      <c r="AR10" s="5" t="s">
        <v>140</v>
      </c>
      <c r="AS10" s="5" t="s">
        <v>143</v>
      </c>
      <c r="AT10" s="5" t="s">
        <v>146</v>
      </c>
      <c r="AU10" s="5" t="s">
        <v>149</v>
      </c>
      <c r="AV10" s="5" t="s">
        <v>147</v>
      </c>
      <c r="AW10" s="5" t="s">
        <v>147</v>
      </c>
      <c r="AX10" s="5" t="s">
        <v>150</v>
      </c>
      <c r="AY10" s="5" t="s">
        <v>151</v>
      </c>
      <c r="AZ10" s="5" t="s">
        <v>151</v>
      </c>
      <c r="BA10" s="5" t="s">
        <v>156</v>
      </c>
      <c r="BB10" s="5" t="s">
        <v>161</v>
      </c>
      <c r="BC10" s="5" t="s">
        <v>161</v>
      </c>
      <c r="BD10" s="5" t="s">
        <v>165</v>
      </c>
      <c r="BE10" s="2">
        <v>2023</v>
      </c>
      <c r="BF10" s="15"/>
      <c r="BG10" s="15" t="s">
        <v>166</v>
      </c>
      <c r="BH10" s="15" t="s">
        <v>166</v>
      </c>
      <c r="BI10" s="15" t="s">
        <v>166</v>
      </c>
      <c r="BJ10" s="15" t="s">
        <v>166</v>
      </c>
      <c r="BK10" s="15" t="s">
        <v>166</v>
      </c>
      <c r="BL10" s="15" t="s">
        <v>185</v>
      </c>
      <c r="BM10" s="15" t="s">
        <v>199</v>
      </c>
      <c r="BN10" s="15" t="s">
        <v>207</v>
      </c>
      <c r="BO10" s="15" t="s">
        <v>210</v>
      </c>
      <c r="BP10" s="15" t="s">
        <v>217</v>
      </c>
      <c r="BQ10" s="15" t="s">
        <v>217</v>
      </c>
      <c r="BR10" s="15" t="s">
        <v>220</v>
      </c>
      <c r="BS10" s="15" t="s">
        <v>222</v>
      </c>
      <c r="BT10" s="15" t="s">
        <v>149</v>
      </c>
      <c r="BU10" s="15" t="s">
        <v>227</v>
      </c>
      <c r="BV10" s="15" t="s">
        <v>226</v>
      </c>
      <c r="BW10" s="15" t="s">
        <v>228</v>
      </c>
      <c r="BX10" s="15" t="s">
        <v>233</v>
      </c>
      <c r="BY10" s="15" t="s">
        <v>237</v>
      </c>
      <c r="BZ10" s="15" t="s">
        <v>238</v>
      </c>
      <c r="CA10" s="15" t="s">
        <v>242</v>
      </c>
      <c r="CB10" s="15" t="s">
        <v>246</v>
      </c>
      <c r="CC10" s="15">
        <v>2024</v>
      </c>
      <c r="CD10" s="5"/>
      <c r="CE10" s="5"/>
      <c r="CF10" s="5"/>
      <c r="CG10" s="5">
        <v>1</v>
      </c>
      <c r="CH10" s="5">
        <v>2</v>
      </c>
      <c r="CI10" s="5">
        <v>3</v>
      </c>
      <c r="CJ10" s="5">
        <v>4</v>
      </c>
      <c r="CK10" s="5">
        <v>2025</v>
      </c>
      <c r="CL10" s="5"/>
      <c r="CM10" s="5"/>
      <c r="CN10" s="5"/>
      <c r="CO10" s="5">
        <v>1</v>
      </c>
      <c r="CP10" s="5">
        <v>2</v>
      </c>
      <c r="CQ10" s="5">
        <v>3</v>
      </c>
      <c r="CR10" s="5">
        <v>4</v>
      </c>
      <c r="CS10" s="5">
        <v>2026</v>
      </c>
    </row>
    <row r="11" spans="1:97" x14ac:dyDescent="0.25">
      <c r="A11">
        <v>1</v>
      </c>
      <c r="B11" s="6" t="s">
        <v>336</v>
      </c>
      <c r="C11" s="6"/>
      <c r="D11" s="6" t="s">
        <v>337</v>
      </c>
      <c r="E11" s="6" t="s">
        <v>73</v>
      </c>
      <c r="F11" s="6"/>
      <c r="G11" s="6"/>
      <c r="H11" s="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6"/>
      <c r="AF11" s="10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10"/>
      <c r="BE11" s="6"/>
      <c r="BF11" s="6"/>
      <c r="BG11" s="6"/>
      <c r="BH11" s="6"/>
      <c r="BI11" s="6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6"/>
      <c r="CD11" s="6"/>
      <c r="CE11" s="10">
        <v>36</v>
      </c>
      <c r="CF11" s="10">
        <v>44.8</v>
      </c>
      <c r="CG11" s="10">
        <v>75</v>
      </c>
      <c r="CH11" s="10">
        <v>140</v>
      </c>
      <c r="CI11" s="10">
        <v>75</v>
      </c>
      <c r="CJ11" s="10">
        <v>75</v>
      </c>
      <c r="CK11" s="6">
        <f>SUM(CD11:CJ11)</f>
        <v>445.8</v>
      </c>
      <c r="CL11" s="6">
        <f>(CK11-CD11)/2</f>
        <v>222.9</v>
      </c>
      <c r="CM11" s="10"/>
      <c r="CN11" s="10"/>
      <c r="CO11" s="10"/>
      <c r="CP11" s="6"/>
      <c r="CQ11" s="6"/>
      <c r="CR11" s="6"/>
      <c r="CS11" s="6">
        <f>SUM(CL11:CR11)</f>
        <v>222.9</v>
      </c>
    </row>
    <row r="12" spans="1:97" x14ac:dyDescent="0.25">
      <c r="A12">
        <v>2</v>
      </c>
      <c r="B12" s="6" t="s">
        <v>192</v>
      </c>
      <c r="C12" s="6"/>
      <c r="D12" s="6" t="s">
        <v>152</v>
      </c>
      <c r="E12" s="6" t="s">
        <v>16</v>
      </c>
      <c r="F12" s="6"/>
      <c r="G12" s="6"/>
      <c r="H12" s="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6"/>
      <c r="AF12" s="10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10"/>
      <c r="BE12" s="6"/>
      <c r="BF12" s="6"/>
      <c r="BG12" s="6"/>
      <c r="BH12" s="6"/>
      <c r="BI12" s="6"/>
      <c r="BJ12" s="10"/>
      <c r="BK12" s="10"/>
      <c r="BL12" s="10">
        <v>48</v>
      </c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>
        <v>105</v>
      </c>
      <c r="CA12" s="10"/>
      <c r="CB12" s="10"/>
      <c r="CC12" s="6">
        <f>SUM(BF12:CB12)</f>
        <v>153</v>
      </c>
      <c r="CD12" s="6">
        <f>(CC12-BF12)/2</f>
        <v>76.5</v>
      </c>
      <c r="CE12" s="10">
        <v>48</v>
      </c>
      <c r="CF12" s="10">
        <v>64</v>
      </c>
      <c r="CG12" s="10">
        <v>150</v>
      </c>
      <c r="CH12" s="10">
        <v>150</v>
      </c>
      <c r="CI12" s="10"/>
      <c r="CJ12" s="10"/>
      <c r="CK12" s="6">
        <f>SUM(CD12:CJ12)</f>
        <v>488.5</v>
      </c>
      <c r="CL12" s="6">
        <f>(CK12-CD12)/2</f>
        <v>206</v>
      </c>
      <c r="CM12" s="10"/>
      <c r="CN12" s="10"/>
      <c r="CO12" s="10"/>
      <c r="CP12" s="6"/>
      <c r="CQ12" s="6"/>
      <c r="CR12" s="6"/>
      <c r="CS12" s="6">
        <f>SUM(CL12:CR12)</f>
        <v>206</v>
      </c>
    </row>
    <row r="13" spans="1:97" x14ac:dyDescent="0.25">
      <c r="A13">
        <v>3</v>
      </c>
      <c r="B13" s="6" t="s">
        <v>427</v>
      </c>
      <c r="C13" s="6"/>
      <c r="D13" s="6" t="s">
        <v>376</v>
      </c>
      <c r="E13" s="6" t="s">
        <v>39</v>
      </c>
      <c r="F13" s="6"/>
      <c r="G13" s="6"/>
      <c r="H13" s="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6"/>
      <c r="AF13" s="10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10"/>
      <c r="BE13" s="6"/>
      <c r="BF13" s="6"/>
      <c r="BG13" s="6"/>
      <c r="BH13" s="6"/>
      <c r="BI13" s="6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6"/>
      <c r="CD13" s="6"/>
      <c r="CE13" s="10"/>
      <c r="CF13" s="10"/>
      <c r="CG13" s="10"/>
      <c r="CH13" s="10"/>
      <c r="CI13" s="10"/>
      <c r="CJ13" s="10"/>
      <c r="CK13" s="6"/>
      <c r="CL13" s="6"/>
      <c r="CM13" s="10">
        <v>33.6</v>
      </c>
      <c r="CN13" s="10"/>
      <c r="CO13" s="10">
        <v>120</v>
      </c>
      <c r="CP13" s="6"/>
      <c r="CQ13" s="6"/>
      <c r="CR13" s="6"/>
      <c r="CS13" s="6">
        <f>SUM(CL13:CR13)</f>
        <v>153.6</v>
      </c>
    </row>
    <row r="14" spans="1:97" x14ac:dyDescent="0.25">
      <c r="A14" s="21">
        <v>4</v>
      </c>
      <c r="B14" s="6" t="s">
        <v>171</v>
      </c>
      <c r="C14" s="6"/>
      <c r="D14" s="6" t="s">
        <v>219</v>
      </c>
      <c r="E14" s="6" t="s">
        <v>141</v>
      </c>
      <c r="F14" s="6"/>
      <c r="G14" s="6"/>
      <c r="H14" s="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6"/>
      <c r="AF14" s="10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10"/>
      <c r="BE14" s="6"/>
      <c r="BF14" s="6"/>
      <c r="BG14" s="6"/>
      <c r="BH14" s="6"/>
      <c r="BI14" s="6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6"/>
      <c r="CD14" s="6"/>
      <c r="CE14" s="10">
        <v>48</v>
      </c>
      <c r="CF14" s="10"/>
      <c r="CG14" s="10">
        <v>36</v>
      </c>
      <c r="CH14" s="10">
        <v>200</v>
      </c>
      <c r="CI14" s="10"/>
      <c r="CJ14" s="10"/>
      <c r="CK14" s="6">
        <f>SUM(CD14:CJ14)</f>
        <v>284</v>
      </c>
      <c r="CL14" s="6">
        <f>(CK14-CD14)/2</f>
        <v>142</v>
      </c>
      <c r="CM14" s="10"/>
      <c r="CN14" s="10"/>
      <c r="CO14" s="10"/>
      <c r="CP14" s="6"/>
      <c r="CQ14" s="6"/>
      <c r="CR14" s="6"/>
      <c r="CS14" s="6">
        <f>SUM(CL14:CR14)</f>
        <v>142</v>
      </c>
    </row>
    <row r="15" spans="1:97" x14ac:dyDescent="0.25">
      <c r="A15">
        <v>5</v>
      </c>
      <c r="B15" s="6" t="s">
        <v>433</v>
      </c>
      <c r="C15" s="6"/>
      <c r="D15" s="6" t="s">
        <v>434</v>
      </c>
      <c r="E15" s="6" t="s">
        <v>124</v>
      </c>
      <c r="F15" s="6"/>
      <c r="G15" s="6"/>
      <c r="H15" s="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6"/>
      <c r="AF15" s="10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10"/>
      <c r="BE15" s="6"/>
      <c r="BF15" s="6"/>
      <c r="BG15" s="6"/>
      <c r="BH15" s="6"/>
      <c r="BI15" s="6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6"/>
      <c r="CD15" s="6"/>
      <c r="CE15" s="10"/>
      <c r="CF15" s="10"/>
      <c r="CG15" s="10"/>
      <c r="CH15" s="10"/>
      <c r="CI15" s="10"/>
      <c r="CJ15" s="10"/>
      <c r="CK15" s="6"/>
      <c r="CL15" s="6"/>
      <c r="CM15" s="10">
        <v>36</v>
      </c>
      <c r="CN15" s="10">
        <v>64</v>
      </c>
      <c r="CO15" s="10">
        <v>36</v>
      </c>
      <c r="CP15" s="6"/>
      <c r="CQ15" s="6"/>
      <c r="CR15" s="6"/>
      <c r="CS15" s="6">
        <f>SUM(CL15:CR15)</f>
        <v>136</v>
      </c>
    </row>
    <row r="16" spans="1:97" x14ac:dyDescent="0.25">
      <c r="A16">
        <v>6</v>
      </c>
      <c r="B16" s="6" t="s">
        <v>334</v>
      </c>
      <c r="C16" s="6"/>
      <c r="D16" s="6" t="s">
        <v>335</v>
      </c>
      <c r="E16" s="6" t="s">
        <v>41</v>
      </c>
      <c r="F16" s="6"/>
      <c r="G16" s="6"/>
      <c r="H16" s="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6"/>
      <c r="AF16" s="10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10"/>
      <c r="BE16" s="6"/>
      <c r="BF16" s="6"/>
      <c r="BG16" s="6"/>
      <c r="BH16" s="6"/>
      <c r="BI16" s="6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6"/>
      <c r="CD16" s="6"/>
      <c r="CE16" s="10"/>
      <c r="CF16" s="10"/>
      <c r="CG16" s="10"/>
      <c r="CH16" s="10"/>
      <c r="CI16" s="10"/>
      <c r="CJ16" s="10"/>
      <c r="CK16" s="6"/>
      <c r="CL16" s="6"/>
      <c r="CM16" s="10">
        <v>48</v>
      </c>
      <c r="CN16" s="10"/>
      <c r="CO16" s="10">
        <v>84</v>
      </c>
      <c r="CP16" s="6"/>
      <c r="CQ16" s="6"/>
      <c r="CR16" s="6"/>
      <c r="CS16" s="6">
        <f>SUM(CL16:CR16)</f>
        <v>132</v>
      </c>
    </row>
    <row r="17" spans="1:97" x14ac:dyDescent="0.25">
      <c r="A17">
        <v>7</v>
      </c>
      <c r="B17" s="6" t="s">
        <v>35</v>
      </c>
      <c r="C17" s="6"/>
      <c r="D17" s="6" t="s">
        <v>64</v>
      </c>
      <c r="E17" s="6" t="s">
        <v>36</v>
      </c>
      <c r="F17" s="6"/>
      <c r="G17" s="6"/>
      <c r="H17" s="6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6"/>
      <c r="AF17" s="10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10"/>
      <c r="BE17" s="6"/>
      <c r="BF17" s="6"/>
      <c r="BG17" s="6"/>
      <c r="BH17" s="6"/>
      <c r="BI17" s="6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6"/>
      <c r="CD17" s="6">
        <v>81.3</v>
      </c>
      <c r="CE17" s="10">
        <v>33.6</v>
      </c>
      <c r="CF17" s="10">
        <v>3.2</v>
      </c>
      <c r="CG17" s="10">
        <v>7.5</v>
      </c>
      <c r="CH17" s="10">
        <v>40</v>
      </c>
      <c r="CI17" s="10">
        <v>54</v>
      </c>
      <c r="CJ17" s="10"/>
      <c r="CK17" s="6">
        <f>SUM(CD17:CJ17)</f>
        <v>219.60000000000002</v>
      </c>
      <c r="CL17" s="6">
        <f>(CK17-CD17)/2</f>
        <v>69.150000000000006</v>
      </c>
      <c r="CM17" s="10"/>
      <c r="CN17" s="10"/>
      <c r="CO17" s="10"/>
      <c r="CP17" s="6"/>
      <c r="CQ17" s="6"/>
      <c r="CR17" s="6"/>
      <c r="CS17" s="6">
        <f>SUM(CL17:CR17)</f>
        <v>69.150000000000006</v>
      </c>
    </row>
    <row r="18" spans="1:97" x14ac:dyDescent="0.25">
      <c r="A18">
        <v>8</v>
      </c>
      <c r="B18" s="6" t="s">
        <v>400</v>
      </c>
      <c r="C18" s="6"/>
      <c r="D18" s="6" t="s">
        <v>63</v>
      </c>
      <c r="E18" s="6" t="s">
        <v>144</v>
      </c>
      <c r="F18" s="6"/>
      <c r="G18" s="6"/>
      <c r="H18" s="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6"/>
      <c r="AF18" s="10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10"/>
      <c r="BE18" s="6"/>
      <c r="BF18" s="6"/>
      <c r="BG18" s="6"/>
      <c r="BH18" s="6"/>
      <c r="BI18" s="6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6"/>
      <c r="CD18" s="6"/>
      <c r="CE18" s="10"/>
      <c r="CF18" s="10"/>
      <c r="CG18" s="10"/>
      <c r="CH18" s="10"/>
      <c r="CI18" s="10"/>
      <c r="CJ18" s="10"/>
      <c r="CK18" s="6"/>
      <c r="CL18" s="6"/>
      <c r="CM18" s="10"/>
      <c r="CN18" s="10">
        <v>48</v>
      </c>
      <c r="CO18" s="10"/>
      <c r="CP18" s="6"/>
      <c r="CQ18" s="6"/>
      <c r="CR18" s="6"/>
      <c r="CS18" s="6">
        <f>SUM(CL18:CR18)</f>
        <v>48</v>
      </c>
    </row>
    <row r="19" spans="1:97" x14ac:dyDescent="0.25">
      <c r="A19">
        <v>9</v>
      </c>
      <c r="B19" s="6" t="s">
        <v>270</v>
      </c>
      <c r="C19" s="6"/>
      <c r="D19" s="6" t="s">
        <v>444</v>
      </c>
      <c r="E19" s="6" t="s">
        <v>27</v>
      </c>
      <c r="F19" s="6"/>
      <c r="G19" s="6"/>
      <c r="H19" s="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6"/>
      <c r="AF19" s="10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10"/>
      <c r="BE19" s="6"/>
      <c r="BF19" s="6"/>
      <c r="BG19" s="6"/>
      <c r="BH19" s="6"/>
      <c r="BI19" s="6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6"/>
      <c r="CD19" s="6"/>
      <c r="CE19" s="10"/>
      <c r="CF19" s="10"/>
      <c r="CG19" s="10"/>
      <c r="CH19" s="10"/>
      <c r="CI19" s="10"/>
      <c r="CJ19" s="10"/>
      <c r="CK19" s="6"/>
      <c r="CL19" s="6"/>
      <c r="CM19" s="10"/>
      <c r="CN19" s="10">
        <v>44.8</v>
      </c>
      <c r="CO19" s="10"/>
      <c r="CP19" s="6"/>
      <c r="CQ19" s="6"/>
      <c r="CR19" s="6"/>
      <c r="CS19" s="6">
        <f>SUM(CL19:CR19)</f>
        <v>44.8</v>
      </c>
    </row>
    <row r="20" spans="1:97" x14ac:dyDescent="0.25">
      <c r="A20">
        <v>10</v>
      </c>
      <c r="B20" s="6" t="s">
        <v>282</v>
      </c>
      <c r="C20" s="6"/>
      <c r="D20" s="6" t="s">
        <v>283</v>
      </c>
      <c r="E20" s="6" t="s">
        <v>27</v>
      </c>
      <c r="F20" s="6"/>
      <c r="G20" s="6"/>
      <c r="H20" s="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6"/>
      <c r="AF20" s="10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10"/>
      <c r="BE20" s="6"/>
      <c r="BF20" s="6"/>
      <c r="BG20" s="6"/>
      <c r="BH20" s="6"/>
      <c r="BI20" s="6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6"/>
      <c r="CD20" s="6"/>
      <c r="CE20" s="10"/>
      <c r="CF20" s="10"/>
      <c r="CG20" s="10"/>
      <c r="CH20" s="10"/>
      <c r="CI20" s="10"/>
      <c r="CJ20" s="10"/>
      <c r="CK20" s="6"/>
      <c r="CL20" s="6"/>
      <c r="CM20" s="10">
        <v>36</v>
      </c>
      <c r="CN20" s="10">
        <v>3.2</v>
      </c>
      <c r="CO20" s="10"/>
      <c r="CP20" s="6"/>
      <c r="CQ20" s="6"/>
      <c r="CR20" s="6"/>
      <c r="CS20" s="6">
        <f>SUM(CL20:CR20)</f>
        <v>39.200000000000003</v>
      </c>
    </row>
    <row r="21" spans="1:97" x14ac:dyDescent="0.25">
      <c r="A21">
        <v>11</v>
      </c>
      <c r="B21" s="6" t="s">
        <v>54</v>
      </c>
      <c r="C21" s="6"/>
      <c r="D21" s="6" t="s">
        <v>377</v>
      </c>
      <c r="E21" s="6" t="s">
        <v>68</v>
      </c>
      <c r="F21" s="6"/>
      <c r="G21" s="6"/>
      <c r="H21" s="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6"/>
      <c r="AF21" s="10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10"/>
      <c r="BE21" s="6"/>
      <c r="BF21" s="6"/>
      <c r="BG21" s="6"/>
      <c r="BH21" s="6"/>
      <c r="BI21" s="6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6"/>
      <c r="CD21" s="6"/>
      <c r="CE21" s="10"/>
      <c r="CF21" s="10"/>
      <c r="CG21" s="10"/>
      <c r="CH21" s="10"/>
      <c r="CI21" s="10"/>
      <c r="CJ21" s="10"/>
      <c r="CK21" s="6"/>
      <c r="CL21" s="6"/>
      <c r="CM21" s="10">
        <v>36</v>
      </c>
      <c r="CN21" s="10"/>
      <c r="CO21" s="10"/>
      <c r="CP21" s="6"/>
      <c r="CQ21" s="6"/>
      <c r="CR21" s="6"/>
      <c r="CS21" s="6">
        <f>SUM(CL21:CR21)</f>
        <v>36</v>
      </c>
    </row>
    <row r="22" spans="1:97" x14ac:dyDescent="0.25">
      <c r="A22">
        <v>12</v>
      </c>
      <c r="B22" s="6" t="s">
        <v>528</v>
      </c>
      <c r="C22" s="6"/>
      <c r="D22" s="6" t="s">
        <v>118</v>
      </c>
      <c r="E22" s="6" t="s">
        <v>12</v>
      </c>
      <c r="F22" s="6"/>
      <c r="G22" s="6"/>
      <c r="H22" s="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6"/>
      <c r="AF22" s="10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10"/>
      <c r="BE22" s="6"/>
      <c r="BF22" s="6"/>
      <c r="BG22" s="6"/>
      <c r="BH22" s="6"/>
      <c r="BI22" s="6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6"/>
      <c r="CD22" s="6"/>
      <c r="CE22" s="10"/>
      <c r="CF22" s="10"/>
      <c r="CG22" s="10"/>
      <c r="CH22" s="10"/>
      <c r="CI22" s="10"/>
      <c r="CJ22" s="10"/>
      <c r="CK22" s="6"/>
      <c r="CL22" s="6"/>
      <c r="CM22" s="10">
        <v>36</v>
      </c>
      <c r="CN22" s="10"/>
      <c r="CO22" s="10"/>
      <c r="CP22" s="6"/>
      <c r="CQ22" s="6"/>
      <c r="CR22" s="6"/>
      <c r="CS22" s="6">
        <f>SUM(CL22:CR22)</f>
        <v>36</v>
      </c>
    </row>
    <row r="23" spans="1:97" x14ac:dyDescent="0.25">
      <c r="A23">
        <v>13</v>
      </c>
      <c r="B23" s="38" t="s">
        <v>445</v>
      </c>
      <c r="C23" s="6"/>
      <c r="D23" s="38" t="s">
        <v>446</v>
      </c>
      <c r="E23" s="38" t="s">
        <v>17</v>
      </c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6"/>
      <c r="AF23" s="10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6"/>
      <c r="BF23" s="6"/>
      <c r="BG23" s="6"/>
      <c r="BH23" s="6"/>
      <c r="BI23" s="6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6"/>
      <c r="CD23" s="6"/>
      <c r="CE23" s="10"/>
      <c r="CF23" s="10"/>
      <c r="CG23" s="10"/>
      <c r="CH23" s="10"/>
      <c r="CI23" s="10"/>
      <c r="CJ23" s="10"/>
      <c r="CK23" s="6"/>
      <c r="CL23" s="6"/>
      <c r="CM23" s="10">
        <v>36</v>
      </c>
      <c r="CN23" s="10"/>
      <c r="CO23" s="10"/>
      <c r="CP23" s="6"/>
      <c r="CQ23" s="6"/>
      <c r="CR23" s="6"/>
      <c r="CS23" s="6">
        <f>SUM(CL23:CR23)</f>
        <v>36</v>
      </c>
    </row>
    <row r="24" spans="1:97" x14ac:dyDescent="0.25">
      <c r="A24">
        <v>14</v>
      </c>
      <c r="B24" s="6" t="s">
        <v>198</v>
      </c>
      <c r="C24" s="6"/>
      <c r="D24" s="6" t="s">
        <v>162</v>
      </c>
      <c r="E24" s="6" t="s">
        <v>375</v>
      </c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6"/>
      <c r="AF24" s="10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6"/>
      <c r="BF24" s="6"/>
      <c r="BG24" s="6"/>
      <c r="BH24" s="6"/>
      <c r="BI24" s="6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6"/>
      <c r="CD24" s="6"/>
      <c r="CE24" s="10"/>
      <c r="CF24" s="10"/>
      <c r="CG24" s="10"/>
      <c r="CH24" s="10"/>
      <c r="CI24" s="10"/>
      <c r="CJ24" s="10"/>
      <c r="CK24" s="6"/>
      <c r="CL24" s="6">
        <v>22.1</v>
      </c>
      <c r="CM24" s="10">
        <v>2.4</v>
      </c>
      <c r="CN24" s="10"/>
      <c r="CO24" s="10">
        <v>6</v>
      </c>
      <c r="CP24" s="6"/>
      <c r="CQ24" s="6"/>
      <c r="CR24" s="6"/>
      <c r="CS24" s="6">
        <f>SUM(CL24:CR24)</f>
        <v>30.5</v>
      </c>
    </row>
    <row r="25" spans="1:97" x14ac:dyDescent="0.25">
      <c r="A25">
        <v>15</v>
      </c>
      <c r="B25" s="6" t="s">
        <v>368</v>
      </c>
      <c r="C25" s="6"/>
      <c r="D25" s="6" t="s">
        <v>219</v>
      </c>
      <c r="E25" s="6" t="s">
        <v>95</v>
      </c>
      <c r="F25" s="6"/>
      <c r="G25" s="6"/>
      <c r="H25" s="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6"/>
      <c r="AF25" s="10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10"/>
      <c r="BE25" s="6"/>
      <c r="BF25" s="6"/>
      <c r="BG25" s="6"/>
      <c r="BH25" s="6"/>
      <c r="BI25" s="6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6"/>
      <c r="CD25" s="6"/>
      <c r="CE25" s="10">
        <v>2.4</v>
      </c>
      <c r="CF25" s="10">
        <v>48</v>
      </c>
      <c r="CG25" s="10">
        <v>10</v>
      </c>
      <c r="CH25" s="10"/>
      <c r="CI25" s="10"/>
      <c r="CJ25" s="10"/>
      <c r="CK25" s="6">
        <f>SUM(CD25:CJ25)</f>
        <v>60.4</v>
      </c>
      <c r="CL25" s="6">
        <f>(CK25-CD25)/2</f>
        <v>30.2</v>
      </c>
      <c r="CM25" s="10"/>
      <c r="CN25" s="10"/>
      <c r="CO25" s="10"/>
      <c r="CP25" s="6"/>
      <c r="CQ25" s="6"/>
      <c r="CR25" s="6"/>
      <c r="CS25" s="6">
        <f>SUM(CL25:CR25)</f>
        <v>30.2</v>
      </c>
    </row>
    <row r="26" spans="1:97" x14ac:dyDescent="0.25">
      <c r="A26">
        <v>16</v>
      </c>
      <c r="B26" s="6" t="s">
        <v>86</v>
      </c>
      <c r="C26" s="6"/>
      <c r="D26" s="6" t="s">
        <v>91</v>
      </c>
      <c r="E26" s="6" t="s">
        <v>157</v>
      </c>
      <c r="F26" s="6"/>
      <c r="G26" s="6"/>
      <c r="H26" s="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6"/>
      <c r="AF26" s="10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10"/>
      <c r="BE26" s="6"/>
      <c r="BF26" s="6"/>
      <c r="BG26" s="6"/>
      <c r="BH26" s="6"/>
      <c r="BI26" s="6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6"/>
      <c r="CD26" s="6"/>
      <c r="CE26" s="10">
        <v>33.6</v>
      </c>
      <c r="CF26" s="10">
        <v>3.2</v>
      </c>
      <c r="CG26" s="10">
        <v>7.5</v>
      </c>
      <c r="CH26" s="10">
        <v>10</v>
      </c>
      <c r="CI26" s="10"/>
      <c r="CJ26" s="10"/>
      <c r="CK26" s="6">
        <f>SUM(CD26:CJ26)</f>
        <v>54.300000000000004</v>
      </c>
      <c r="CL26" s="6">
        <f>(CK26-CD26)/2</f>
        <v>27.150000000000002</v>
      </c>
      <c r="CM26" s="10"/>
      <c r="CN26" s="10"/>
      <c r="CO26" s="10"/>
      <c r="CP26" s="6"/>
      <c r="CQ26" s="6"/>
      <c r="CR26" s="6"/>
      <c r="CS26" s="6">
        <f>SUM(CL26:CR26)</f>
        <v>27.150000000000002</v>
      </c>
    </row>
    <row r="27" spans="1:97" x14ac:dyDescent="0.25">
      <c r="A27">
        <v>17</v>
      </c>
      <c r="B27" s="6" t="s">
        <v>349</v>
      </c>
      <c r="C27" s="6"/>
      <c r="D27" s="6" t="s">
        <v>350</v>
      </c>
      <c r="E27" s="6" t="s">
        <v>39</v>
      </c>
      <c r="F27" s="6"/>
      <c r="G27" s="6"/>
      <c r="H27" s="6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6"/>
      <c r="AF27" s="10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10"/>
      <c r="BE27" s="6"/>
      <c r="BF27" s="6"/>
      <c r="BG27" s="6"/>
      <c r="BH27" s="6"/>
      <c r="BI27" s="6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6"/>
      <c r="CD27" s="6"/>
      <c r="CE27" s="10">
        <v>36</v>
      </c>
      <c r="CF27" s="10"/>
      <c r="CG27" s="10">
        <v>5</v>
      </c>
      <c r="CH27" s="10">
        <v>7.5</v>
      </c>
      <c r="CI27" s="10"/>
      <c r="CJ27" s="10"/>
      <c r="CK27" s="6">
        <f>SUM(CD27:CJ27)</f>
        <v>48.5</v>
      </c>
      <c r="CL27" s="6">
        <f>(CK27-CD27)/2</f>
        <v>24.25</v>
      </c>
      <c r="CM27" s="10"/>
      <c r="CN27" s="10"/>
      <c r="CO27" s="10"/>
      <c r="CP27" s="6"/>
      <c r="CQ27" s="6"/>
      <c r="CR27" s="6"/>
      <c r="CS27" s="6">
        <f>SUM(CL27:CR27)</f>
        <v>24.25</v>
      </c>
    </row>
    <row r="28" spans="1:97" x14ac:dyDescent="0.25">
      <c r="A28">
        <v>18</v>
      </c>
      <c r="B28" s="6" t="s">
        <v>338</v>
      </c>
      <c r="C28" s="6"/>
      <c r="D28" s="6" t="s">
        <v>152</v>
      </c>
      <c r="E28" s="6" t="s">
        <v>57</v>
      </c>
      <c r="F28" s="6"/>
      <c r="G28" s="6"/>
      <c r="H28" s="6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6"/>
      <c r="AF28" s="10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10"/>
      <c r="BE28" s="6"/>
      <c r="BF28" s="6"/>
      <c r="BG28" s="6"/>
      <c r="BH28" s="6"/>
      <c r="BI28" s="6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6"/>
      <c r="CD28" s="6"/>
      <c r="CE28" s="10"/>
      <c r="CF28" s="10"/>
      <c r="CG28" s="10">
        <v>7.5</v>
      </c>
      <c r="CH28" s="10"/>
      <c r="CI28" s="10"/>
      <c r="CJ28" s="10"/>
      <c r="CK28" s="6">
        <f>SUM(CD28:CJ28)</f>
        <v>7.5</v>
      </c>
      <c r="CL28" s="6">
        <f>(CK28-CD28)/2</f>
        <v>3.75</v>
      </c>
      <c r="CM28" s="10"/>
      <c r="CN28" s="10"/>
      <c r="CO28" s="10"/>
      <c r="CP28" s="6"/>
      <c r="CQ28" s="6"/>
      <c r="CR28" s="6"/>
      <c r="CS28" s="6">
        <f>SUM(CL28:CR28)</f>
        <v>3.75</v>
      </c>
    </row>
    <row r="29" spans="1:97" x14ac:dyDescent="0.25">
      <c r="A29">
        <v>19</v>
      </c>
      <c r="B29" s="6" t="s">
        <v>114</v>
      </c>
      <c r="C29" s="6"/>
      <c r="D29" s="6" t="s">
        <v>284</v>
      </c>
      <c r="E29" s="6" t="s">
        <v>25</v>
      </c>
      <c r="F29" s="6"/>
      <c r="G29" s="6"/>
      <c r="H29" s="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6"/>
      <c r="AF29" s="10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10"/>
      <c r="BE29" s="6"/>
      <c r="BF29" s="6"/>
      <c r="BG29" s="6"/>
      <c r="BH29" s="6"/>
      <c r="BI29" s="6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6"/>
      <c r="CD29" s="6"/>
      <c r="CE29" s="10">
        <v>2.4</v>
      </c>
      <c r="CF29" s="10"/>
      <c r="CG29" s="10"/>
      <c r="CH29" s="10"/>
      <c r="CI29" s="10"/>
      <c r="CJ29" s="10"/>
      <c r="CK29" s="6">
        <f>SUM(CD29:CJ29)</f>
        <v>2.4</v>
      </c>
      <c r="CL29" s="6">
        <f>(CK29-CD29)/2</f>
        <v>1.2</v>
      </c>
      <c r="CM29" s="10"/>
      <c r="CN29" s="10"/>
      <c r="CO29" s="10"/>
      <c r="CP29" s="6"/>
      <c r="CQ29" s="6"/>
      <c r="CR29" s="6"/>
      <c r="CS29" s="6">
        <f>SUM(CL29:CR29)</f>
        <v>1.2</v>
      </c>
    </row>
    <row r="30" spans="1:97" x14ac:dyDescent="0.25">
      <c r="A30">
        <v>20</v>
      </c>
      <c r="B30" s="6" t="s">
        <v>380</v>
      </c>
      <c r="C30" s="6"/>
      <c r="D30" s="6" t="s">
        <v>381</v>
      </c>
      <c r="E30" s="6" t="s">
        <v>188</v>
      </c>
      <c r="F30" s="6"/>
      <c r="G30" s="6"/>
      <c r="H30" s="6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6"/>
      <c r="AF30" s="10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10"/>
      <c r="BE30" s="6"/>
      <c r="BF30" s="6"/>
      <c r="BG30" s="6"/>
      <c r="BH30" s="6"/>
      <c r="BI30" s="6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6"/>
      <c r="CD30" s="6"/>
      <c r="CE30" s="10">
        <v>2.4</v>
      </c>
      <c r="CF30" s="10"/>
      <c r="CG30" s="10"/>
      <c r="CH30" s="10"/>
      <c r="CI30" s="10"/>
      <c r="CJ30" s="10"/>
      <c r="CK30" s="6">
        <f>SUM(CD30:CJ30)</f>
        <v>2.4</v>
      </c>
      <c r="CL30" s="6">
        <f>(CK30-CD30)/2</f>
        <v>1.2</v>
      </c>
      <c r="CM30" s="10"/>
      <c r="CN30" s="10"/>
      <c r="CO30" s="10"/>
      <c r="CP30" s="6"/>
      <c r="CQ30" s="6"/>
      <c r="CR30" s="6"/>
      <c r="CS30" s="6">
        <f>SUM(CL30:CR30)</f>
        <v>1.2</v>
      </c>
    </row>
  </sheetData>
  <sortState xmlns:xlrd2="http://schemas.microsoft.com/office/spreadsheetml/2017/richdata2" ref="B11:CS30">
    <sortCondition descending="1" ref="CS11:CS30"/>
  </sortState>
  <mergeCells count="5">
    <mergeCell ref="B8:C10"/>
    <mergeCell ref="CG9:CJ9"/>
    <mergeCell ref="CO9:CR9"/>
    <mergeCell ref="D4:CS5"/>
    <mergeCell ref="B1:CS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BB60-6E03-43D9-918D-BF17FFF84497}">
  <dimension ref="A1:CS20"/>
  <sheetViews>
    <sheetView zoomScale="80" zoomScaleNormal="80" workbookViewId="0">
      <selection activeCell="CO29" sqref="CO29"/>
    </sheetView>
  </sheetViews>
  <sheetFormatPr baseColWidth="10" defaultRowHeight="15" x14ac:dyDescent="0.25"/>
  <cols>
    <col min="1" max="1" width="3.140625" customWidth="1"/>
    <col min="5" max="5" width="19.42578125" bestFit="1" customWidth="1"/>
    <col min="6" max="88" width="0" hidden="1" customWidth="1"/>
    <col min="91" max="92" width="8.140625" style="7" customWidth="1"/>
    <col min="93" max="93" width="6.5703125" style="7" customWidth="1"/>
    <col min="94" max="95" width="6.7109375" style="7" customWidth="1"/>
    <col min="96" max="96" width="11.42578125" style="7"/>
  </cols>
  <sheetData>
    <row r="1" spans="1:97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</row>
    <row r="2" spans="1:97" ht="15.75" thickBot="1" x14ac:dyDescent="0.3">
      <c r="C2" s="7"/>
      <c r="D2" s="7"/>
      <c r="E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F2" s="7"/>
      <c r="BD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E2" s="7"/>
      <c r="CF2" s="7"/>
      <c r="CG2" s="7"/>
      <c r="CH2" s="7"/>
      <c r="CI2" s="7"/>
      <c r="CJ2" s="7"/>
    </row>
    <row r="3" spans="1:97" ht="15.75" thickTop="1" x14ac:dyDescent="0.25">
      <c r="B3" s="1" t="s">
        <v>0</v>
      </c>
      <c r="C3" s="4" t="s">
        <v>13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F3" s="7"/>
      <c r="BD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E3" s="7"/>
      <c r="CF3" s="7"/>
      <c r="CG3" s="7"/>
      <c r="CH3" s="7"/>
      <c r="CI3" s="7"/>
      <c r="CJ3" s="7"/>
    </row>
    <row r="4" spans="1:97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97" ht="15.75" thickBot="1" x14ac:dyDescent="0.3">
      <c r="B5" s="3" t="s">
        <v>2</v>
      </c>
      <c r="C5" s="14">
        <v>63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</row>
    <row r="6" spans="1:97" ht="15.75" thickTop="1" x14ac:dyDescent="0.25"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F6" s="7"/>
      <c r="BD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E6" s="7"/>
      <c r="CF6" s="7"/>
      <c r="CG6" s="7"/>
      <c r="CH6" s="7"/>
      <c r="CI6" s="7"/>
      <c r="CJ6" s="7"/>
    </row>
    <row r="7" spans="1:97" ht="15.75" thickBot="1" x14ac:dyDescent="0.3"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F7" s="7"/>
      <c r="BD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E7" s="7"/>
      <c r="CF7" s="7"/>
      <c r="CG7" s="7"/>
      <c r="CH7" s="7"/>
      <c r="CI7" s="7"/>
      <c r="CJ7" s="7"/>
    </row>
    <row r="8" spans="1:97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33</v>
      </c>
      <c r="I8" s="4" t="s">
        <v>55</v>
      </c>
      <c r="J8" s="4" t="s">
        <v>9</v>
      </c>
      <c r="K8" s="4" t="s">
        <v>9</v>
      </c>
      <c r="L8" s="4" t="s">
        <v>9</v>
      </c>
      <c r="M8" s="4" t="s">
        <v>72</v>
      </c>
      <c r="N8" s="4" t="s">
        <v>76</v>
      </c>
      <c r="O8" s="4" t="s">
        <v>80</v>
      </c>
      <c r="P8" s="4" t="s">
        <v>84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4" t="s">
        <v>96</v>
      </c>
      <c r="Z8" s="4" t="s">
        <v>9</v>
      </c>
      <c r="AA8" s="4" t="s">
        <v>9</v>
      </c>
      <c r="AB8" s="4" t="s">
        <v>9</v>
      </c>
      <c r="AC8" s="4" t="s">
        <v>100</v>
      </c>
      <c r="AD8" s="4" t="s">
        <v>103</v>
      </c>
      <c r="AE8" s="1"/>
      <c r="AF8" s="13">
        <v>44927</v>
      </c>
      <c r="AG8" s="4" t="s">
        <v>9</v>
      </c>
      <c r="AH8" s="4" t="s">
        <v>9</v>
      </c>
      <c r="AI8" s="4" t="s">
        <v>9</v>
      </c>
      <c r="AJ8" s="4" t="s">
        <v>103</v>
      </c>
      <c r="AK8" s="4" t="s">
        <v>9</v>
      </c>
      <c r="AL8" s="4" t="s">
        <v>9</v>
      </c>
      <c r="AM8" s="4" t="s">
        <v>9</v>
      </c>
      <c r="AN8" s="4" t="s">
        <v>127</v>
      </c>
      <c r="AO8" s="4" t="s">
        <v>127</v>
      </c>
      <c r="AP8" s="4" t="s">
        <v>127</v>
      </c>
      <c r="AQ8" s="4" t="s">
        <v>9</v>
      </c>
      <c r="AR8" s="4" t="s">
        <v>103</v>
      </c>
      <c r="AS8" s="4" t="s">
        <v>9</v>
      </c>
      <c r="AT8" s="4" t="s">
        <v>9</v>
      </c>
      <c r="AU8" s="4" t="s">
        <v>100</v>
      </c>
      <c r="AV8" s="4" t="s">
        <v>9</v>
      </c>
      <c r="AW8" s="4" t="s">
        <v>9</v>
      </c>
      <c r="AX8" s="4" t="s">
        <v>9</v>
      </c>
      <c r="AY8" s="4" t="s">
        <v>9</v>
      </c>
      <c r="AZ8" s="4" t="s">
        <v>9</v>
      </c>
      <c r="BA8" s="4" t="s">
        <v>103</v>
      </c>
      <c r="BB8" s="4" t="s">
        <v>9</v>
      </c>
      <c r="BC8" s="4" t="s">
        <v>9</v>
      </c>
      <c r="BD8" s="4" t="s">
        <v>104</v>
      </c>
      <c r="BE8" s="4" t="s">
        <v>6</v>
      </c>
      <c r="BF8" s="13">
        <v>45292</v>
      </c>
      <c r="BG8" s="13" t="s">
        <v>9</v>
      </c>
      <c r="BH8" s="13" t="s">
        <v>9</v>
      </c>
      <c r="BI8" s="13" t="s">
        <v>9</v>
      </c>
      <c r="BJ8" s="13" t="s">
        <v>9</v>
      </c>
      <c r="BK8" s="13" t="s">
        <v>9</v>
      </c>
      <c r="BL8" s="13" t="s">
        <v>9</v>
      </c>
      <c r="BM8" s="13" t="s">
        <v>9</v>
      </c>
      <c r="BN8" s="13" t="s">
        <v>103</v>
      </c>
      <c r="BO8" s="13" t="s">
        <v>103</v>
      </c>
      <c r="BP8" s="13" t="s">
        <v>127</v>
      </c>
      <c r="BQ8" s="13" t="s">
        <v>127</v>
      </c>
      <c r="BR8" s="13" t="s">
        <v>127</v>
      </c>
      <c r="BS8" s="13" t="s">
        <v>103</v>
      </c>
      <c r="BT8" s="13" t="s">
        <v>9</v>
      </c>
      <c r="BU8" s="13" t="s">
        <v>9</v>
      </c>
      <c r="BV8" s="13" t="s">
        <v>9</v>
      </c>
      <c r="BW8" s="13" t="s">
        <v>9</v>
      </c>
      <c r="BX8" s="13" t="s">
        <v>9</v>
      </c>
      <c r="BY8" s="13" t="s">
        <v>9</v>
      </c>
      <c r="BZ8" s="13" t="s">
        <v>103</v>
      </c>
      <c r="CA8" s="13" t="s">
        <v>241</v>
      </c>
      <c r="CB8" s="13" t="s">
        <v>104</v>
      </c>
      <c r="CC8" s="13" t="s">
        <v>6</v>
      </c>
      <c r="CD8" s="13">
        <v>45658</v>
      </c>
      <c r="CE8" s="13"/>
      <c r="CF8" s="13"/>
      <c r="CG8" s="18"/>
      <c r="CH8" s="19"/>
      <c r="CI8" s="19"/>
      <c r="CJ8" s="20"/>
      <c r="CK8" s="13" t="s">
        <v>6</v>
      </c>
      <c r="CL8" s="13">
        <v>46023</v>
      </c>
      <c r="CM8" s="13"/>
      <c r="CN8" s="13"/>
      <c r="CO8" s="18"/>
      <c r="CP8" s="19"/>
      <c r="CQ8" s="19"/>
      <c r="CR8" s="20"/>
      <c r="CS8" s="13" t="s">
        <v>6</v>
      </c>
    </row>
    <row r="9" spans="1:97" x14ac:dyDescent="0.25">
      <c r="B9" s="26"/>
      <c r="C9" s="27"/>
      <c r="D9" s="2"/>
      <c r="E9" s="2"/>
      <c r="F9" s="8" t="s">
        <v>10</v>
      </c>
      <c r="G9" s="5" t="s">
        <v>18</v>
      </c>
      <c r="H9" s="8" t="s">
        <v>34</v>
      </c>
      <c r="I9" s="8" t="s">
        <v>56</v>
      </c>
      <c r="J9" s="8" t="s">
        <v>61</v>
      </c>
      <c r="K9" s="8" t="s">
        <v>70</v>
      </c>
      <c r="L9" s="8" t="s">
        <v>65</v>
      </c>
      <c r="M9" s="8" t="s">
        <v>75</v>
      </c>
      <c r="N9" s="8" t="s">
        <v>77</v>
      </c>
      <c r="O9" s="8" t="s">
        <v>81</v>
      </c>
      <c r="P9" s="8" t="s">
        <v>34</v>
      </c>
      <c r="Q9" s="8" t="s">
        <v>85</v>
      </c>
      <c r="R9" s="8" t="s">
        <v>22</v>
      </c>
      <c r="S9" s="8" t="s">
        <v>18</v>
      </c>
      <c r="T9" s="8" t="s">
        <v>70</v>
      </c>
      <c r="U9" s="8" t="s">
        <v>85</v>
      </c>
      <c r="V9" s="8" t="s">
        <v>65</v>
      </c>
      <c r="W9" s="8" t="s">
        <v>10</v>
      </c>
      <c r="X9" s="8" t="s">
        <v>89</v>
      </c>
      <c r="Y9" s="8" t="s">
        <v>97</v>
      </c>
      <c r="Z9" s="8" t="s">
        <v>61</v>
      </c>
      <c r="AA9" s="8" t="s">
        <v>89</v>
      </c>
      <c r="AB9" s="8" t="s">
        <v>30</v>
      </c>
      <c r="AC9" s="8" t="s">
        <v>101</v>
      </c>
      <c r="AD9" s="8" t="s">
        <v>104</v>
      </c>
      <c r="AE9" s="2" t="s">
        <v>6</v>
      </c>
      <c r="AF9" s="5"/>
      <c r="AG9" s="8" t="s">
        <v>22</v>
      </c>
      <c r="AH9" s="8" t="s">
        <v>85</v>
      </c>
      <c r="AI9" s="8" t="s">
        <v>18</v>
      </c>
      <c r="AJ9" s="8" t="s">
        <v>72</v>
      </c>
      <c r="AK9" s="8" t="s">
        <v>70</v>
      </c>
      <c r="AL9" s="8" t="s">
        <v>89</v>
      </c>
      <c r="AM9" s="8" t="s">
        <v>30</v>
      </c>
      <c r="AN9" s="8" t="s">
        <v>76</v>
      </c>
      <c r="AO9" s="8" t="s">
        <v>80</v>
      </c>
      <c r="AP9" s="8" t="s">
        <v>72</v>
      </c>
      <c r="AQ9" s="8" t="s">
        <v>65</v>
      </c>
      <c r="AR9" s="8" t="s">
        <v>76</v>
      </c>
      <c r="AS9" s="8" t="s">
        <v>142</v>
      </c>
      <c r="AT9" s="8" t="s">
        <v>22</v>
      </c>
      <c r="AU9" s="8" t="s">
        <v>148</v>
      </c>
      <c r="AV9" s="8" t="s">
        <v>89</v>
      </c>
      <c r="AW9" s="8" t="s">
        <v>70</v>
      </c>
      <c r="AX9" s="8" t="s">
        <v>18</v>
      </c>
      <c r="AY9" s="8" t="s">
        <v>153</v>
      </c>
      <c r="AZ9" s="8" t="s">
        <v>85</v>
      </c>
      <c r="BA9" s="8" t="s">
        <v>80</v>
      </c>
      <c r="BB9" s="8" t="s">
        <v>30</v>
      </c>
      <c r="BC9" s="8" t="s">
        <v>10</v>
      </c>
      <c r="BD9" s="8"/>
      <c r="BE9" s="2"/>
      <c r="BF9" s="5"/>
      <c r="BG9" s="5" t="s">
        <v>70</v>
      </c>
      <c r="BH9" s="5" t="s">
        <v>10</v>
      </c>
      <c r="BI9" s="5" t="s">
        <v>85</v>
      </c>
      <c r="BJ9" s="5" t="s">
        <v>142</v>
      </c>
      <c r="BK9" s="5" t="s">
        <v>181</v>
      </c>
      <c r="BL9" s="5" t="s">
        <v>18</v>
      </c>
      <c r="BM9" s="5" t="s">
        <v>22</v>
      </c>
      <c r="BN9" s="5" t="s">
        <v>76</v>
      </c>
      <c r="BO9" s="5" t="s">
        <v>209</v>
      </c>
      <c r="BP9" s="5" t="s">
        <v>76</v>
      </c>
      <c r="BQ9" s="5" t="s">
        <v>72</v>
      </c>
      <c r="BR9" s="5" t="s">
        <v>80</v>
      </c>
      <c r="BS9" s="5" t="s">
        <v>72</v>
      </c>
      <c r="BT9" s="5" t="s">
        <v>70</v>
      </c>
      <c r="BU9" s="5" t="s">
        <v>181</v>
      </c>
      <c r="BV9" s="5" t="s">
        <v>142</v>
      </c>
      <c r="BW9" s="5" t="s">
        <v>22</v>
      </c>
      <c r="BX9" s="5" t="s">
        <v>65</v>
      </c>
      <c r="BY9" s="5" t="s">
        <v>236</v>
      </c>
      <c r="BZ9" s="5" t="s">
        <v>80</v>
      </c>
      <c r="CA9" s="5" t="s">
        <v>181</v>
      </c>
      <c r="CB9" s="5" t="s">
        <v>245</v>
      </c>
      <c r="CC9" s="5"/>
      <c r="CD9" s="5"/>
      <c r="CE9" s="8" t="s">
        <v>9</v>
      </c>
      <c r="CF9" s="8" t="s">
        <v>127</v>
      </c>
      <c r="CG9" s="28" t="s">
        <v>247</v>
      </c>
      <c r="CH9" s="29"/>
      <c r="CI9" s="29"/>
      <c r="CJ9" s="30"/>
      <c r="CK9" s="5"/>
      <c r="CL9" s="5"/>
      <c r="CM9" s="8" t="s">
        <v>9</v>
      </c>
      <c r="CN9" s="8" t="s">
        <v>127</v>
      </c>
      <c r="CO9" s="28" t="s">
        <v>247</v>
      </c>
      <c r="CP9" s="29"/>
      <c r="CQ9" s="29"/>
      <c r="CR9" s="30"/>
      <c r="CS9" s="5"/>
    </row>
    <row r="10" spans="1:97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44660</v>
      </c>
      <c r="H10" s="9">
        <v>44681</v>
      </c>
      <c r="I10" s="9">
        <v>44696</v>
      </c>
      <c r="J10" s="9">
        <v>44709</v>
      </c>
      <c r="K10" s="9">
        <v>44709</v>
      </c>
      <c r="L10" s="9">
        <v>44709</v>
      </c>
      <c r="M10" s="9">
        <v>44730</v>
      </c>
      <c r="N10" s="9">
        <v>44730</v>
      </c>
      <c r="O10" s="9">
        <v>44737</v>
      </c>
      <c r="P10" s="9">
        <v>44759</v>
      </c>
      <c r="Q10" s="9">
        <v>44765</v>
      </c>
      <c r="R10" s="9">
        <v>44779</v>
      </c>
      <c r="S10" s="9">
        <v>44793</v>
      </c>
      <c r="T10" s="9">
        <v>44800</v>
      </c>
      <c r="U10" s="9">
        <v>44814</v>
      </c>
      <c r="V10" s="9">
        <v>44814</v>
      </c>
      <c r="W10" s="9">
        <v>44814</v>
      </c>
      <c r="X10" s="9">
        <v>44814</v>
      </c>
      <c r="Y10" s="9">
        <v>44828</v>
      </c>
      <c r="Z10" s="9">
        <v>44849</v>
      </c>
      <c r="AA10" s="9">
        <v>44856</v>
      </c>
      <c r="AB10" s="9">
        <v>44863</v>
      </c>
      <c r="AC10" s="9">
        <v>44868</v>
      </c>
      <c r="AD10" s="9">
        <v>44905</v>
      </c>
      <c r="AE10" s="2">
        <v>2022</v>
      </c>
      <c r="AF10" s="5"/>
      <c r="AG10" s="2" t="s">
        <v>106</v>
      </c>
      <c r="AH10" s="5" t="s">
        <v>108</v>
      </c>
      <c r="AI10" s="5" t="s">
        <v>110</v>
      </c>
      <c r="AJ10" s="5" t="s">
        <v>111</v>
      </c>
      <c r="AK10" s="5" t="s">
        <v>123</v>
      </c>
      <c r="AL10" s="5" t="s">
        <v>121</v>
      </c>
      <c r="AM10" s="5" t="s">
        <v>126</v>
      </c>
      <c r="AN10" s="5" t="s">
        <v>128</v>
      </c>
      <c r="AO10" s="5" t="s">
        <v>133</v>
      </c>
      <c r="AP10" s="5" t="s">
        <v>134</v>
      </c>
      <c r="AQ10" s="5" t="s">
        <v>138</v>
      </c>
      <c r="AR10" s="5" t="s">
        <v>140</v>
      </c>
      <c r="AS10" s="5" t="s">
        <v>143</v>
      </c>
      <c r="AT10" s="5" t="s">
        <v>146</v>
      </c>
      <c r="AU10" s="5" t="s">
        <v>149</v>
      </c>
      <c r="AV10" s="5" t="s">
        <v>147</v>
      </c>
      <c r="AW10" s="5" t="s">
        <v>147</v>
      </c>
      <c r="AX10" s="5" t="s">
        <v>150</v>
      </c>
      <c r="AY10" s="5" t="s">
        <v>151</v>
      </c>
      <c r="AZ10" s="5" t="s">
        <v>151</v>
      </c>
      <c r="BA10" s="5" t="s">
        <v>156</v>
      </c>
      <c r="BB10" s="5" t="s">
        <v>161</v>
      </c>
      <c r="BC10" s="5" t="s">
        <v>161</v>
      </c>
      <c r="BD10" s="5" t="s">
        <v>165</v>
      </c>
      <c r="BE10" s="2">
        <v>2023</v>
      </c>
      <c r="BF10" s="5"/>
      <c r="BG10" s="5" t="s">
        <v>166</v>
      </c>
      <c r="BH10" s="5" t="s">
        <v>166</v>
      </c>
      <c r="BI10" s="5" t="s">
        <v>166</v>
      </c>
      <c r="BJ10" s="5" t="s">
        <v>166</v>
      </c>
      <c r="BK10" s="5" t="s">
        <v>166</v>
      </c>
      <c r="BL10" s="5" t="s">
        <v>185</v>
      </c>
      <c r="BM10" s="5" t="s">
        <v>199</v>
      </c>
      <c r="BN10" s="5" t="s">
        <v>207</v>
      </c>
      <c r="BO10" s="5" t="s">
        <v>210</v>
      </c>
      <c r="BP10" s="5" t="s">
        <v>217</v>
      </c>
      <c r="BQ10" s="5" t="s">
        <v>217</v>
      </c>
      <c r="BR10" s="5" t="s">
        <v>220</v>
      </c>
      <c r="BS10" s="5" t="s">
        <v>222</v>
      </c>
      <c r="BT10" s="5" t="s">
        <v>149</v>
      </c>
      <c r="BU10" s="5" t="s">
        <v>227</v>
      </c>
      <c r="BV10" s="5" t="s">
        <v>226</v>
      </c>
      <c r="BW10" s="5" t="s">
        <v>228</v>
      </c>
      <c r="BX10" s="5" t="s">
        <v>233</v>
      </c>
      <c r="BY10" s="5" t="s">
        <v>237</v>
      </c>
      <c r="BZ10" s="5" t="s">
        <v>238</v>
      </c>
      <c r="CA10" s="5" t="s">
        <v>242</v>
      </c>
      <c r="CB10" s="5" t="s">
        <v>246</v>
      </c>
      <c r="CC10" s="5">
        <v>2024</v>
      </c>
      <c r="CD10" s="5"/>
      <c r="CE10" s="5"/>
      <c r="CF10" s="5"/>
      <c r="CG10" s="5">
        <v>1</v>
      </c>
      <c r="CH10" s="5">
        <v>2</v>
      </c>
      <c r="CI10" s="5">
        <v>3</v>
      </c>
      <c r="CJ10" s="5">
        <v>4</v>
      </c>
      <c r="CK10" s="5">
        <v>2025</v>
      </c>
      <c r="CL10" s="5"/>
      <c r="CM10" s="5"/>
      <c r="CN10" s="5"/>
      <c r="CO10" s="5">
        <v>1</v>
      </c>
      <c r="CP10" s="5">
        <v>2</v>
      </c>
      <c r="CQ10" s="5">
        <v>3</v>
      </c>
      <c r="CR10" s="5">
        <v>4</v>
      </c>
      <c r="CS10" s="5">
        <v>2026</v>
      </c>
    </row>
    <row r="11" spans="1:97" x14ac:dyDescent="0.25">
      <c r="A11">
        <v>1</v>
      </c>
      <c r="B11" s="6" t="s">
        <v>401</v>
      </c>
      <c r="C11" s="6"/>
      <c r="D11" s="6" t="s">
        <v>109</v>
      </c>
      <c r="E11" s="6" t="s">
        <v>320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10">
        <v>48</v>
      </c>
      <c r="CN11" s="10">
        <v>44.8</v>
      </c>
      <c r="CO11" s="10">
        <v>120</v>
      </c>
      <c r="CP11" s="10">
        <v>36</v>
      </c>
      <c r="CQ11" s="10"/>
      <c r="CR11" s="10"/>
      <c r="CS11" s="6">
        <f t="shared" ref="CS11:CS20" si="0">SUM(CL11:CR11)</f>
        <v>248.8</v>
      </c>
    </row>
    <row r="12" spans="1:97" x14ac:dyDescent="0.25">
      <c r="A12">
        <v>2</v>
      </c>
      <c r="B12" s="6" t="s">
        <v>452</v>
      </c>
      <c r="C12" s="6"/>
      <c r="D12" s="6" t="s">
        <v>91</v>
      </c>
      <c r="E12" s="6" t="s">
        <v>27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>
        <v>10.3</v>
      </c>
      <c r="CM12" s="10">
        <v>36</v>
      </c>
      <c r="CN12" s="10">
        <v>48</v>
      </c>
      <c r="CO12" s="10">
        <v>84</v>
      </c>
      <c r="CP12" s="10"/>
      <c r="CQ12" s="10"/>
      <c r="CR12" s="10">
        <v>60</v>
      </c>
      <c r="CS12" s="6">
        <f t="shared" si="0"/>
        <v>238.3</v>
      </c>
    </row>
    <row r="13" spans="1:97" x14ac:dyDescent="0.25">
      <c r="A13">
        <v>3</v>
      </c>
      <c r="B13" s="6" t="s">
        <v>412</v>
      </c>
      <c r="C13" s="6"/>
      <c r="D13" s="6" t="s">
        <v>129</v>
      </c>
      <c r="E13" s="6" t="s">
        <v>413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10">
        <v>36</v>
      </c>
      <c r="CN13" s="10">
        <v>64</v>
      </c>
      <c r="CO13" s="10"/>
      <c r="CP13" s="10"/>
      <c r="CQ13" s="10"/>
      <c r="CR13" s="10"/>
      <c r="CS13" s="6">
        <f t="shared" si="0"/>
        <v>100</v>
      </c>
    </row>
    <row r="14" spans="1:97" x14ac:dyDescent="0.25">
      <c r="A14" s="21">
        <v>4</v>
      </c>
      <c r="B14" s="6" t="s">
        <v>410</v>
      </c>
      <c r="C14" s="6"/>
      <c r="D14" s="6" t="s">
        <v>411</v>
      </c>
      <c r="E14" s="6" t="s">
        <v>46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10">
        <v>48</v>
      </c>
      <c r="CN14" s="10">
        <v>3.2</v>
      </c>
      <c r="CO14" s="10">
        <v>36</v>
      </c>
      <c r="CP14" s="10"/>
      <c r="CQ14" s="10"/>
      <c r="CR14" s="10"/>
      <c r="CS14" s="6">
        <f t="shared" si="0"/>
        <v>87.2</v>
      </c>
    </row>
    <row r="15" spans="1:97" x14ac:dyDescent="0.25">
      <c r="A15">
        <v>5</v>
      </c>
      <c r="B15" s="6" t="s">
        <v>338</v>
      </c>
      <c r="C15" s="6"/>
      <c r="D15" s="6" t="s">
        <v>152</v>
      </c>
      <c r="E15" s="6" t="s">
        <v>57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10">
        <v>2.4</v>
      </c>
      <c r="CN15" s="10">
        <v>64</v>
      </c>
      <c r="CO15" s="10"/>
      <c r="CP15" s="10"/>
      <c r="CQ15" s="10"/>
      <c r="CR15" s="10"/>
      <c r="CS15" s="6">
        <f t="shared" si="0"/>
        <v>66.400000000000006</v>
      </c>
    </row>
    <row r="16" spans="1:97" x14ac:dyDescent="0.25">
      <c r="A16">
        <v>6</v>
      </c>
      <c r="B16" s="6" t="s">
        <v>336</v>
      </c>
      <c r="C16" s="6"/>
      <c r="D16" s="6" t="s">
        <v>337</v>
      </c>
      <c r="E16" s="6" t="s">
        <v>73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10">
        <v>36</v>
      </c>
      <c r="CN16" s="10"/>
      <c r="CO16" s="10"/>
      <c r="CP16" s="10"/>
      <c r="CQ16" s="10"/>
      <c r="CR16" s="10"/>
      <c r="CS16" s="6">
        <f t="shared" si="0"/>
        <v>36</v>
      </c>
    </row>
    <row r="17" spans="1:97" x14ac:dyDescent="0.25">
      <c r="A17">
        <v>7</v>
      </c>
      <c r="B17" s="6" t="s">
        <v>445</v>
      </c>
      <c r="C17" s="6"/>
      <c r="D17" s="6" t="s">
        <v>446</v>
      </c>
      <c r="E17" s="6" t="s">
        <v>17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10">
        <v>36</v>
      </c>
      <c r="CN17" s="10"/>
      <c r="CO17" s="10"/>
      <c r="CP17" s="10"/>
      <c r="CQ17" s="10"/>
      <c r="CR17" s="10"/>
      <c r="CS17" s="6">
        <f t="shared" si="0"/>
        <v>36</v>
      </c>
    </row>
    <row r="18" spans="1:97" x14ac:dyDescent="0.25">
      <c r="A18">
        <v>8</v>
      </c>
      <c r="B18" s="6" t="s">
        <v>539</v>
      </c>
      <c r="C18" s="6"/>
      <c r="D18" s="6" t="s">
        <v>38</v>
      </c>
      <c r="E18" s="6" t="s">
        <v>538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10">
        <v>36</v>
      </c>
      <c r="CN18" s="10"/>
      <c r="CO18" s="10"/>
      <c r="CP18" s="10"/>
      <c r="CQ18" s="10"/>
      <c r="CR18" s="10"/>
      <c r="CS18" s="6">
        <f t="shared" si="0"/>
        <v>36</v>
      </c>
    </row>
    <row r="19" spans="1:97" x14ac:dyDescent="0.25">
      <c r="A19">
        <v>9</v>
      </c>
      <c r="B19" s="6" t="s">
        <v>251</v>
      </c>
      <c r="C19" s="6"/>
      <c r="D19" s="6" t="s">
        <v>91</v>
      </c>
      <c r="E19" s="6" t="s">
        <v>62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10"/>
      <c r="CN19" s="10">
        <v>3.2</v>
      </c>
      <c r="CO19" s="10"/>
      <c r="CP19" s="10"/>
      <c r="CQ19" s="10"/>
      <c r="CR19" s="10"/>
      <c r="CS19" s="6">
        <f t="shared" si="0"/>
        <v>3.2</v>
      </c>
    </row>
    <row r="20" spans="1:97" x14ac:dyDescent="0.25">
      <c r="A20">
        <v>10</v>
      </c>
      <c r="B20" s="6" t="s">
        <v>400</v>
      </c>
      <c r="C20" s="6"/>
      <c r="D20" s="6" t="s">
        <v>63</v>
      </c>
      <c r="E20" s="6" t="s">
        <v>144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10">
        <v>2.4</v>
      </c>
      <c r="CN20" s="10"/>
      <c r="CO20" s="10"/>
      <c r="CP20" s="10"/>
      <c r="CQ20" s="10"/>
      <c r="CR20" s="10"/>
      <c r="CS20" s="6">
        <f t="shared" si="0"/>
        <v>2.4</v>
      </c>
    </row>
  </sheetData>
  <sortState xmlns:xlrd2="http://schemas.microsoft.com/office/spreadsheetml/2017/richdata2" ref="B11:CS20">
    <sortCondition descending="1" ref="CS11:CS20"/>
  </sortState>
  <mergeCells count="5">
    <mergeCell ref="B1:CS1"/>
    <mergeCell ref="D4:CS5"/>
    <mergeCell ref="B8:C10"/>
    <mergeCell ref="CG9:CJ9"/>
    <mergeCell ref="CO9:CR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23A0-D3F0-4DE9-9C47-37E883A43AF9}">
  <dimension ref="A1:CS19"/>
  <sheetViews>
    <sheetView zoomScale="80" zoomScaleNormal="80" workbookViewId="0">
      <selection activeCell="CQ36" sqref="CQ36"/>
    </sheetView>
  </sheetViews>
  <sheetFormatPr baseColWidth="10" defaultRowHeight="15" x14ac:dyDescent="0.25"/>
  <cols>
    <col min="1" max="1" width="2.28515625" bestFit="1" customWidth="1"/>
    <col min="2" max="2" width="12" bestFit="1" customWidth="1"/>
    <col min="5" max="5" width="19.42578125" bestFit="1" customWidth="1"/>
    <col min="6" max="87" width="0" hidden="1" customWidth="1"/>
    <col min="88" max="88" width="2.28515625" hidden="1" customWidth="1"/>
    <col min="91" max="91" width="7.7109375" style="7" customWidth="1"/>
    <col min="92" max="92" width="7.28515625" style="7" customWidth="1"/>
    <col min="93" max="93" width="11.42578125" style="7"/>
    <col min="94" max="94" width="7.7109375" style="7" customWidth="1"/>
    <col min="95" max="95" width="8.7109375" style="7" customWidth="1"/>
    <col min="96" max="96" width="11.42578125" style="7"/>
  </cols>
  <sheetData>
    <row r="1" spans="1:97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</row>
    <row r="2" spans="1:97" ht="15.75" thickBot="1" x14ac:dyDescent="0.3">
      <c r="C2" s="7"/>
      <c r="D2" s="7"/>
      <c r="E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F2" s="7"/>
      <c r="BD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E2" s="7"/>
      <c r="CF2" s="7"/>
      <c r="CG2" s="7"/>
      <c r="CH2" s="7"/>
      <c r="CI2" s="7"/>
      <c r="CJ2" s="7"/>
    </row>
    <row r="3" spans="1:97" ht="15.75" thickTop="1" x14ac:dyDescent="0.25">
      <c r="B3" s="1" t="s">
        <v>0</v>
      </c>
      <c r="C3" s="4" t="s">
        <v>13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F3" s="7"/>
      <c r="BD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E3" s="7"/>
      <c r="CF3" s="7"/>
      <c r="CG3" s="7"/>
      <c r="CH3" s="7"/>
      <c r="CI3" s="7"/>
      <c r="CJ3" s="7"/>
    </row>
    <row r="4" spans="1:97" x14ac:dyDescent="0.25">
      <c r="B4" s="2" t="s">
        <v>1</v>
      </c>
      <c r="C4" s="5" t="s">
        <v>7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</row>
    <row r="5" spans="1:97" ht="15.75" thickBot="1" x14ac:dyDescent="0.3">
      <c r="B5" s="3" t="s">
        <v>2</v>
      </c>
      <c r="C5" s="14" t="s">
        <v>395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</row>
    <row r="6" spans="1:97" ht="15.75" thickTop="1" x14ac:dyDescent="0.25"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F6" s="7"/>
      <c r="BD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E6" s="7"/>
      <c r="CF6" s="7"/>
      <c r="CG6" s="7"/>
      <c r="CH6" s="7"/>
      <c r="CI6" s="7"/>
      <c r="CJ6" s="7"/>
    </row>
    <row r="7" spans="1:97" ht="15.75" thickBot="1" x14ac:dyDescent="0.3"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F7" s="7"/>
      <c r="BD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E7" s="7"/>
      <c r="CF7" s="7"/>
      <c r="CG7" s="7"/>
      <c r="CH7" s="7"/>
      <c r="CI7" s="7"/>
      <c r="CJ7" s="7"/>
    </row>
    <row r="8" spans="1:97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33</v>
      </c>
      <c r="I8" s="4" t="s">
        <v>55</v>
      </c>
      <c r="J8" s="4" t="s">
        <v>9</v>
      </c>
      <c r="K8" s="4" t="s">
        <v>9</v>
      </c>
      <c r="L8" s="4" t="s">
        <v>9</v>
      </c>
      <c r="M8" s="4" t="s">
        <v>72</v>
      </c>
      <c r="N8" s="4" t="s">
        <v>76</v>
      </c>
      <c r="O8" s="4" t="s">
        <v>80</v>
      </c>
      <c r="P8" s="4" t="s">
        <v>84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4" t="s">
        <v>96</v>
      </c>
      <c r="Z8" s="4" t="s">
        <v>9</v>
      </c>
      <c r="AA8" s="4" t="s">
        <v>9</v>
      </c>
      <c r="AB8" s="4" t="s">
        <v>9</v>
      </c>
      <c r="AC8" s="4" t="s">
        <v>100</v>
      </c>
      <c r="AD8" s="4" t="s">
        <v>103</v>
      </c>
      <c r="AE8" s="1"/>
      <c r="AF8" s="13">
        <v>44927</v>
      </c>
      <c r="AG8" s="4" t="s">
        <v>9</v>
      </c>
      <c r="AH8" s="4" t="s">
        <v>9</v>
      </c>
      <c r="AI8" s="4" t="s">
        <v>9</v>
      </c>
      <c r="AJ8" s="4" t="s">
        <v>103</v>
      </c>
      <c r="AK8" s="4" t="s">
        <v>9</v>
      </c>
      <c r="AL8" s="4" t="s">
        <v>9</v>
      </c>
      <c r="AM8" s="4" t="s">
        <v>9</v>
      </c>
      <c r="AN8" s="4" t="s">
        <v>127</v>
      </c>
      <c r="AO8" s="4" t="s">
        <v>127</v>
      </c>
      <c r="AP8" s="4" t="s">
        <v>127</v>
      </c>
      <c r="AQ8" s="4" t="s">
        <v>9</v>
      </c>
      <c r="AR8" s="4" t="s">
        <v>103</v>
      </c>
      <c r="AS8" s="4" t="s">
        <v>9</v>
      </c>
      <c r="AT8" s="4" t="s">
        <v>9</v>
      </c>
      <c r="AU8" s="4" t="s">
        <v>100</v>
      </c>
      <c r="AV8" s="4" t="s">
        <v>9</v>
      </c>
      <c r="AW8" s="4" t="s">
        <v>9</v>
      </c>
      <c r="AX8" s="4" t="s">
        <v>9</v>
      </c>
      <c r="AY8" s="4" t="s">
        <v>9</v>
      </c>
      <c r="AZ8" s="4" t="s">
        <v>9</v>
      </c>
      <c r="BA8" s="4" t="s">
        <v>103</v>
      </c>
      <c r="BB8" s="4" t="s">
        <v>9</v>
      </c>
      <c r="BC8" s="4" t="s">
        <v>9</v>
      </c>
      <c r="BD8" s="4" t="s">
        <v>104</v>
      </c>
      <c r="BE8" s="4" t="s">
        <v>6</v>
      </c>
      <c r="BF8" s="13">
        <v>45292</v>
      </c>
      <c r="BG8" s="13" t="s">
        <v>9</v>
      </c>
      <c r="BH8" s="13" t="s">
        <v>9</v>
      </c>
      <c r="BI8" s="13" t="s">
        <v>9</v>
      </c>
      <c r="BJ8" s="13" t="s">
        <v>9</v>
      </c>
      <c r="BK8" s="13" t="s">
        <v>9</v>
      </c>
      <c r="BL8" s="13" t="s">
        <v>9</v>
      </c>
      <c r="BM8" s="13" t="s">
        <v>9</v>
      </c>
      <c r="BN8" s="13" t="s">
        <v>103</v>
      </c>
      <c r="BO8" s="13" t="s">
        <v>103</v>
      </c>
      <c r="BP8" s="13" t="s">
        <v>127</v>
      </c>
      <c r="BQ8" s="13" t="s">
        <v>127</v>
      </c>
      <c r="BR8" s="13" t="s">
        <v>127</v>
      </c>
      <c r="BS8" s="13" t="s">
        <v>103</v>
      </c>
      <c r="BT8" s="13" t="s">
        <v>9</v>
      </c>
      <c r="BU8" s="13" t="s">
        <v>9</v>
      </c>
      <c r="BV8" s="13" t="s">
        <v>9</v>
      </c>
      <c r="BW8" s="13" t="s">
        <v>9</v>
      </c>
      <c r="BX8" s="13" t="s">
        <v>9</v>
      </c>
      <c r="BY8" s="13" t="s">
        <v>9</v>
      </c>
      <c r="BZ8" s="13" t="s">
        <v>103</v>
      </c>
      <c r="CA8" s="13" t="s">
        <v>241</v>
      </c>
      <c r="CB8" s="13" t="s">
        <v>104</v>
      </c>
      <c r="CC8" s="13" t="s">
        <v>6</v>
      </c>
      <c r="CD8" s="13">
        <v>45658</v>
      </c>
      <c r="CE8" s="13"/>
      <c r="CF8" s="13"/>
      <c r="CG8" s="18"/>
      <c r="CH8" s="19"/>
      <c r="CI8" s="19"/>
      <c r="CJ8" s="20"/>
      <c r="CK8" s="13" t="s">
        <v>6</v>
      </c>
      <c r="CL8" s="13">
        <v>46023</v>
      </c>
      <c r="CM8" s="13"/>
      <c r="CN8" s="13"/>
      <c r="CO8" s="18"/>
      <c r="CP8" s="19"/>
      <c r="CQ8" s="19"/>
      <c r="CR8" s="20"/>
      <c r="CS8" s="13" t="s">
        <v>6</v>
      </c>
    </row>
    <row r="9" spans="1:97" x14ac:dyDescent="0.25">
      <c r="B9" s="26"/>
      <c r="C9" s="27"/>
      <c r="D9" s="2"/>
      <c r="E9" s="2"/>
      <c r="F9" s="8" t="s">
        <v>10</v>
      </c>
      <c r="G9" s="5" t="s">
        <v>18</v>
      </c>
      <c r="H9" s="8" t="s">
        <v>34</v>
      </c>
      <c r="I9" s="8" t="s">
        <v>56</v>
      </c>
      <c r="J9" s="8" t="s">
        <v>61</v>
      </c>
      <c r="K9" s="8" t="s">
        <v>70</v>
      </c>
      <c r="L9" s="8" t="s">
        <v>65</v>
      </c>
      <c r="M9" s="8" t="s">
        <v>75</v>
      </c>
      <c r="N9" s="8" t="s">
        <v>77</v>
      </c>
      <c r="O9" s="8" t="s">
        <v>81</v>
      </c>
      <c r="P9" s="8" t="s">
        <v>34</v>
      </c>
      <c r="Q9" s="8" t="s">
        <v>85</v>
      </c>
      <c r="R9" s="8" t="s">
        <v>22</v>
      </c>
      <c r="S9" s="8" t="s">
        <v>18</v>
      </c>
      <c r="T9" s="8" t="s">
        <v>70</v>
      </c>
      <c r="U9" s="8" t="s">
        <v>85</v>
      </c>
      <c r="V9" s="8" t="s">
        <v>65</v>
      </c>
      <c r="W9" s="8" t="s">
        <v>10</v>
      </c>
      <c r="X9" s="8" t="s">
        <v>89</v>
      </c>
      <c r="Y9" s="8" t="s">
        <v>97</v>
      </c>
      <c r="Z9" s="8" t="s">
        <v>61</v>
      </c>
      <c r="AA9" s="8" t="s">
        <v>89</v>
      </c>
      <c r="AB9" s="8" t="s">
        <v>30</v>
      </c>
      <c r="AC9" s="8" t="s">
        <v>101</v>
      </c>
      <c r="AD9" s="8" t="s">
        <v>104</v>
      </c>
      <c r="AE9" s="2" t="s">
        <v>6</v>
      </c>
      <c r="AF9" s="5"/>
      <c r="AG9" s="8" t="s">
        <v>22</v>
      </c>
      <c r="AH9" s="8" t="s">
        <v>85</v>
      </c>
      <c r="AI9" s="8" t="s">
        <v>18</v>
      </c>
      <c r="AJ9" s="8" t="s">
        <v>72</v>
      </c>
      <c r="AK9" s="8" t="s">
        <v>70</v>
      </c>
      <c r="AL9" s="8" t="s">
        <v>89</v>
      </c>
      <c r="AM9" s="8" t="s">
        <v>30</v>
      </c>
      <c r="AN9" s="8" t="s">
        <v>76</v>
      </c>
      <c r="AO9" s="8" t="s">
        <v>80</v>
      </c>
      <c r="AP9" s="8" t="s">
        <v>72</v>
      </c>
      <c r="AQ9" s="8" t="s">
        <v>65</v>
      </c>
      <c r="AR9" s="8" t="s">
        <v>76</v>
      </c>
      <c r="AS9" s="8" t="s">
        <v>142</v>
      </c>
      <c r="AT9" s="8" t="s">
        <v>22</v>
      </c>
      <c r="AU9" s="8" t="s">
        <v>148</v>
      </c>
      <c r="AV9" s="8" t="s">
        <v>89</v>
      </c>
      <c r="AW9" s="8" t="s">
        <v>70</v>
      </c>
      <c r="AX9" s="8" t="s">
        <v>18</v>
      </c>
      <c r="AY9" s="8" t="s">
        <v>153</v>
      </c>
      <c r="AZ9" s="8" t="s">
        <v>85</v>
      </c>
      <c r="BA9" s="8" t="s">
        <v>80</v>
      </c>
      <c r="BB9" s="8" t="s">
        <v>30</v>
      </c>
      <c r="BC9" s="8" t="s">
        <v>10</v>
      </c>
      <c r="BD9" s="8"/>
      <c r="BE9" s="2"/>
      <c r="BF9" s="5"/>
      <c r="BG9" s="5" t="s">
        <v>70</v>
      </c>
      <c r="BH9" s="5" t="s">
        <v>10</v>
      </c>
      <c r="BI9" s="5" t="s">
        <v>85</v>
      </c>
      <c r="BJ9" s="5" t="s">
        <v>142</v>
      </c>
      <c r="BK9" s="5" t="s">
        <v>181</v>
      </c>
      <c r="BL9" s="5" t="s">
        <v>18</v>
      </c>
      <c r="BM9" s="5" t="s">
        <v>22</v>
      </c>
      <c r="BN9" s="5" t="s">
        <v>76</v>
      </c>
      <c r="BO9" s="5" t="s">
        <v>209</v>
      </c>
      <c r="BP9" s="5" t="s">
        <v>76</v>
      </c>
      <c r="BQ9" s="5" t="s">
        <v>72</v>
      </c>
      <c r="BR9" s="5" t="s">
        <v>80</v>
      </c>
      <c r="BS9" s="5" t="s">
        <v>72</v>
      </c>
      <c r="BT9" s="5" t="s">
        <v>70</v>
      </c>
      <c r="BU9" s="5" t="s">
        <v>181</v>
      </c>
      <c r="BV9" s="5" t="s">
        <v>142</v>
      </c>
      <c r="BW9" s="5" t="s">
        <v>22</v>
      </c>
      <c r="BX9" s="5" t="s">
        <v>65</v>
      </c>
      <c r="BY9" s="5" t="s">
        <v>236</v>
      </c>
      <c r="BZ9" s="5" t="s">
        <v>80</v>
      </c>
      <c r="CA9" s="5" t="s">
        <v>181</v>
      </c>
      <c r="CB9" s="5" t="s">
        <v>245</v>
      </c>
      <c r="CC9" s="5"/>
      <c r="CD9" s="5"/>
      <c r="CE9" s="8" t="s">
        <v>9</v>
      </c>
      <c r="CF9" s="8" t="s">
        <v>127</v>
      </c>
      <c r="CG9" s="28" t="s">
        <v>247</v>
      </c>
      <c r="CH9" s="29"/>
      <c r="CI9" s="29"/>
      <c r="CJ9" s="30"/>
      <c r="CK9" s="5"/>
      <c r="CL9" s="5"/>
      <c r="CM9" s="8" t="s">
        <v>9</v>
      </c>
      <c r="CN9" s="8" t="s">
        <v>127</v>
      </c>
      <c r="CO9" s="28" t="s">
        <v>247</v>
      </c>
      <c r="CP9" s="29"/>
      <c r="CQ9" s="29"/>
      <c r="CR9" s="30"/>
      <c r="CS9" s="5"/>
    </row>
    <row r="10" spans="1:97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44660</v>
      </c>
      <c r="H10" s="9">
        <v>44681</v>
      </c>
      <c r="I10" s="9">
        <v>44696</v>
      </c>
      <c r="J10" s="9">
        <v>44709</v>
      </c>
      <c r="K10" s="9">
        <v>44709</v>
      </c>
      <c r="L10" s="9">
        <v>44709</v>
      </c>
      <c r="M10" s="9">
        <v>44730</v>
      </c>
      <c r="N10" s="9">
        <v>44730</v>
      </c>
      <c r="O10" s="9">
        <v>44737</v>
      </c>
      <c r="P10" s="9">
        <v>44759</v>
      </c>
      <c r="Q10" s="9">
        <v>44765</v>
      </c>
      <c r="R10" s="9">
        <v>44779</v>
      </c>
      <c r="S10" s="9">
        <v>44793</v>
      </c>
      <c r="T10" s="9">
        <v>44800</v>
      </c>
      <c r="U10" s="9">
        <v>44814</v>
      </c>
      <c r="V10" s="9">
        <v>44814</v>
      </c>
      <c r="W10" s="9">
        <v>44814</v>
      </c>
      <c r="X10" s="9">
        <v>44814</v>
      </c>
      <c r="Y10" s="9">
        <v>44828</v>
      </c>
      <c r="Z10" s="9">
        <v>44849</v>
      </c>
      <c r="AA10" s="9">
        <v>44856</v>
      </c>
      <c r="AB10" s="9">
        <v>44863</v>
      </c>
      <c r="AC10" s="9">
        <v>44868</v>
      </c>
      <c r="AD10" s="9">
        <v>44905</v>
      </c>
      <c r="AE10" s="2">
        <v>2022</v>
      </c>
      <c r="AF10" s="5"/>
      <c r="AG10" s="2" t="s">
        <v>106</v>
      </c>
      <c r="AH10" s="5" t="s">
        <v>108</v>
      </c>
      <c r="AI10" s="5" t="s">
        <v>110</v>
      </c>
      <c r="AJ10" s="5" t="s">
        <v>111</v>
      </c>
      <c r="AK10" s="5" t="s">
        <v>123</v>
      </c>
      <c r="AL10" s="5" t="s">
        <v>121</v>
      </c>
      <c r="AM10" s="5" t="s">
        <v>126</v>
      </c>
      <c r="AN10" s="5" t="s">
        <v>128</v>
      </c>
      <c r="AO10" s="5" t="s">
        <v>133</v>
      </c>
      <c r="AP10" s="5" t="s">
        <v>134</v>
      </c>
      <c r="AQ10" s="5" t="s">
        <v>138</v>
      </c>
      <c r="AR10" s="5" t="s">
        <v>140</v>
      </c>
      <c r="AS10" s="5" t="s">
        <v>143</v>
      </c>
      <c r="AT10" s="5" t="s">
        <v>146</v>
      </c>
      <c r="AU10" s="5" t="s">
        <v>149</v>
      </c>
      <c r="AV10" s="5" t="s">
        <v>147</v>
      </c>
      <c r="AW10" s="5" t="s">
        <v>147</v>
      </c>
      <c r="AX10" s="5" t="s">
        <v>150</v>
      </c>
      <c r="AY10" s="5" t="s">
        <v>151</v>
      </c>
      <c r="AZ10" s="5" t="s">
        <v>151</v>
      </c>
      <c r="BA10" s="5" t="s">
        <v>156</v>
      </c>
      <c r="BB10" s="5" t="s">
        <v>161</v>
      </c>
      <c r="BC10" s="5" t="s">
        <v>161</v>
      </c>
      <c r="BD10" s="5" t="s">
        <v>165</v>
      </c>
      <c r="BE10" s="2">
        <v>2023</v>
      </c>
      <c r="BF10" s="5"/>
      <c r="BG10" s="5" t="s">
        <v>166</v>
      </c>
      <c r="BH10" s="5" t="s">
        <v>166</v>
      </c>
      <c r="BI10" s="5" t="s">
        <v>166</v>
      </c>
      <c r="BJ10" s="5" t="s">
        <v>166</v>
      </c>
      <c r="BK10" s="5" t="s">
        <v>166</v>
      </c>
      <c r="BL10" s="5" t="s">
        <v>185</v>
      </c>
      <c r="BM10" s="5" t="s">
        <v>199</v>
      </c>
      <c r="BN10" s="5" t="s">
        <v>207</v>
      </c>
      <c r="BO10" s="5" t="s">
        <v>210</v>
      </c>
      <c r="BP10" s="5" t="s">
        <v>217</v>
      </c>
      <c r="BQ10" s="5" t="s">
        <v>217</v>
      </c>
      <c r="BR10" s="5" t="s">
        <v>220</v>
      </c>
      <c r="BS10" s="5" t="s">
        <v>222</v>
      </c>
      <c r="BT10" s="5" t="s">
        <v>149</v>
      </c>
      <c r="BU10" s="5" t="s">
        <v>227</v>
      </c>
      <c r="BV10" s="5" t="s">
        <v>226</v>
      </c>
      <c r="BW10" s="5" t="s">
        <v>228</v>
      </c>
      <c r="BX10" s="5" t="s">
        <v>233</v>
      </c>
      <c r="BY10" s="5" t="s">
        <v>237</v>
      </c>
      <c r="BZ10" s="5" t="s">
        <v>238</v>
      </c>
      <c r="CA10" s="5" t="s">
        <v>242</v>
      </c>
      <c r="CB10" s="5" t="s">
        <v>246</v>
      </c>
      <c r="CC10" s="5">
        <v>2024</v>
      </c>
      <c r="CD10" s="5"/>
      <c r="CE10" s="5"/>
      <c r="CF10" s="5"/>
      <c r="CG10" s="5">
        <v>1</v>
      </c>
      <c r="CH10" s="5">
        <v>2</v>
      </c>
      <c r="CI10" s="5">
        <v>3</v>
      </c>
      <c r="CJ10" s="5">
        <v>4</v>
      </c>
      <c r="CK10" s="5">
        <v>2025</v>
      </c>
      <c r="CL10" s="5"/>
      <c r="CM10" s="5"/>
      <c r="CN10" s="5"/>
      <c r="CO10" s="5">
        <v>1</v>
      </c>
      <c r="CP10" s="5">
        <v>2</v>
      </c>
      <c r="CQ10" s="5">
        <v>3</v>
      </c>
      <c r="CR10" s="5">
        <v>4</v>
      </c>
      <c r="CS10" s="5">
        <v>2026</v>
      </c>
    </row>
    <row r="11" spans="1:97" x14ac:dyDescent="0.25">
      <c r="A11">
        <v>1</v>
      </c>
      <c r="B11" s="6" t="s">
        <v>107</v>
      </c>
      <c r="C11" s="6"/>
      <c r="D11" s="6" t="s">
        <v>152</v>
      </c>
      <c r="E11" s="6" t="s">
        <v>26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>
        <v>216</v>
      </c>
      <c r="CM11" s="10">
        <v>36</v>
      </c>
      <c r="CN11" s="10">
        <v>48</v>
      </c>
      <c r="CO11" s="10">
        <v>75</v>
      </c>
      <c r="CP11" s="10"/>
      <c r="CQ11" s="10"/>
      <c r="CR11" s="10"/>
      <c r="CS11" s="6">
        <f t="shared" ref="CS11:CS18" si="0">SUM(CL11:CR11)</f>
        <v>375</v>
      </c>
    </row>
    <row r="12" spans="1:97" x14ac:dyDescent="0.25">
      <c r="A12">
        <v>2</v>
      </c>
      <c r="B12" s="6" t="s">
        <v>336</v>
      </c>
      <c r="C12" s="6"/>
      <c r="D12" s="6" t="s">
        <v>337</v>
      </c>
      <c r="E12" s="6" t="s">
        <v>73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10">
        <v>36</v>
      </c>
      <c r="CN12" s="10">
        <v>64</v>
      </c>
      <c r="CO12" s="10">
        <v>105</v>
      </c>
      <c r="CP12" s="10"/>
      <c r="CQ12" s="10"/>
      <c r="CR12" s="10">
        <v>80</v>
      </c>
      <c r="CS12" s="6">
        <f t="shared" si="0"/>
        <v>285</v>
      </c>
    </row>
    <row r="13" spans="1:97" x14ac:dyDescent="0.25">
      <c r="A13">
        <v>3</v>
      </c>
      <c r="B13" s="6" t="s">
        <v>412</v>
      </c>
      <c r="C13" s="6"/>
      <c r="D13" s="6" t="s">
        <v>129</v>
      </c>
      <c r="E13" s="6" t="s">
        <v>413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10">
        <v>48</v>
      </c>
      <c r="CN13" s="10"/>
      <c r="CO13" s="10">
        <v>150</v>
      </c>
      <c r="CP13" s="10"/>
      <c r="CQ13" s="10"/>
      <c r="CR13" s="10"/>
      <c r="CS13" s="6">
        <f t="shared" si="0"/>
        <v>198</v>
      </c>
    </row>
    <row r="14" spans="1:97" x14ac:dyDescent="0.25">
      <c r="A14" s="21">
        <v>4</v>
      </c>
      <c r="B14" s="6" t="s">
        <v>44</v>
      </c>
      <c r="C14" s="6"/>
      <c r="D14" s="6" t="s">
        <v>266</v>
      </c>
      <c r="E14" s="6" t="s">
        <v>526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10">
        <v>36</v>
      </c>
      <c r="CN14" s="10">
        <v>3.2</v>
      </c>
      <c r="CO14" s="10">
        <v>7.5</v>
      </c>
      <c r="CP14" s="10">
        <v>33.6</v>
      </c>
      <c r="CQ14" s="10"/>
      <c r="CR14" s="10"/>
      <c r="CS14" s="6">
        <f t="shared" si="0"/>
        <v>80.300000000000011</v>
      </c>
    </row>
    <row r="15" spans="1:97" x14ac:dyDescent="0.25">
      <c r="A15">
        <v>5</v>
      </c>
      <c r="B15" s="6" t="s">
        <v>433</v>
      </c>
      <c r="C15" s="6"/>
      <c r="D15" s="6" t="s">
        <v>508</v>
      </c>
      <c r="E15" s="6" t="s">
        <v>306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10"/>
      <c r="CN15" s="10">
        <v>64</v>
      </c>
      <c r="CO15" s="10"/>
      <c r="CP15" s="10"/>
      <c r="CQ15" s="10"/>
      <c r="CR15" s="10"/>
      <c r="CS15" s="6">
        <f t="shared" si="0"/>
        <v>64</v>
      </c>
    </row>
    <row r="16" spans="1:97" x14ac:dyDescent="0.25">
      <c r="A16">
        <v>6</v>
      </c>
      <c r="B16" s="6" t="s">
        <v>540</v>
      </c>
      <c r="C16" s="6"/>
      <c r="D16" s="6" t="s">
        <v>91</v>
      </c>
      <c r="E16" s="6" t="s">
        <v>538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10">
        <v>36</v>
      </c>
      <c r="CN16" s="10"/>
      <c r="CO16" s="10"/>
      <c r="CP16" s="10"/>
      <c r="CQ16" s="10"/>
      <c r="CR16" s="10"/>
      <c r="CS16" s="6">
        <f t="shared" si="0"/>
        <v>36</v>
      </c>
    </row>
    <row r="17" spans="1:97" x14ac:dyDescent="0.25">
      <c r="A17">
        <v>7</v>
      </c>
      <c r="B17" s="6" t="s">
        <v>299</v>
      </c>
      <c r="C17" s="6"/>
      <c r="D17" s="6" t="s">
        <v>367</v>
      </c>
      <c r="E17" s="6" t="s">
        <v>509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10"/>
      <c r="CN17" s="10">
        <v>3.2</v>
      </c>
      <c r="CO17" s="10"/>
      <c r="CP17" s="10"/>
      <c r="CQ17" s="10"/>
      <c r="CR17" s="10"/>
      <c r="CS17" s="6">
        <f t="shared" si="0"/>
        <v>3.2</v>
      </c>
    </row>
    <row r="18" spans="1:97" x14ac:dyDescent="0.25">
      <c r="A18">
        <v>8</v>
      </c>
      <c r="B18" s="6" t="s">
        <v>553</v>
      </c>
      <c r="C18" s="6"/>
      <c r="D18" s="6" t="s">
        <v>266</v>
      </c>
      <c r="E18" s="6" t="s">
        <v>254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10">
        <v>2.4</v>
      </c>
      <c r="CN18" s="10"/>
      <c r="CO18" s="10"/>
      <c r="CP18" s="10"/>
      <c r="CQ18" s="10"/>
      <c r="CR18" s="10"/>
      <c r="CS18" s="6">
        <f t="shared" si="0"/>
        <v>2.4</v>
      </c>
    </row>
    <row r="19" spans="1:97" x14ac:dyDescent="0.25">
      <c r="A19">
        <v>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10"/>
      <c r="CN19" s="10"/>
      <c r="CO19" s="10"/>
      <c r="CP19" s="10"/>
      <c r="CQ19" s="10"/>
      <c r="CR19" s="10"/>
      <c r="CS19" s="6">
        <f t="shared" ref="CS19" si="1">SUM(CL19:CR19)</f>
        <v>0</v>
      </c>
    </row>
  </sheetData>
  <sortState xmlns:xlrd2="http://schemas.microsoft.com/office/spreadsheetml/2017/richdata2" ref="B11:CS18">
    <sortCondition descending="1" ref="CS11:CS18"/>
  </sortState>
  <mergeCells count="5">
    <mergeCell ref="B1:CS1"/>
    <mergeCell ref="D4:CS5"/>
    <mergeCell ref="B8:C10"/>
    <mergeCell ref="CG9:CJ9"/>
    <mergeCell ref="CO9:CR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25"/>
  <sheetViews>
    <sheetView zoomScale="80" zoomScaleNormal="80" workbookViewId="0">
      <selection activeCell="AJ33" sqref="AJ33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5" max="5" width="19.42578125" bestFit="1" customWidth="1"/>
    <col min="6" max="6" width="6.42578125" hidden="1" customWidth="1"/>
    <col min="7" max="8" width="7.28515625" hidden="1" customWidth="1"/>
    <col min="9" max="9" width="6.42578125" hidden="1" customWidth="1"/>
    <col min="10" max="10" width="0" hidden="1" customWidth="1"/>
    <col min="11" max="11" width="7.140625" style="7" hidden="1" customWidth="1"/>
    <col min="12" max="12" width="5.5703125" hidden="1" customWidth="1"/>
    <col min="13" max="18" width="5.5703125" style="7" hidden="1" customWidth="1"/>
    <col min="19" max="19" width="6.28515625" hidden="1" customWidth="1"/>
    <col min="20" max="20" width="6.85546875" hidden="1" customWidth="1"/>
    <col min="21" max="22" width="5.5703125" hidden="1" customWidth="1"/>
    <col min="23" max="23" width="6.28515625" hidden="1" customWidth="1"/>
    <col min="24" max="24" width="7.85546875" hidden="1" customWidth="1"/>
    <col min="25" max="26" width="6.7109375" style="7" hidden="1" customWidth="1"/>
    <col min="27" max="28" width="8.28515625" style="7" hidden="1" customWidth="1"/>
    <col min="29" max="29" width="8.140625" style="7" hidden="1" customWidth="1"/>
    <col min="30" max="30" width="7.7109375" style="7" hidden="1" customWidth="1"/>
    <col min="33" max="33" width="8.7109375" style="7" customWidth="1"/>
    <col min="34" max="34" width="6.7109375" style="7" customWidth="1"/>
    <col min="35" max="35" width="8.85546875" style="7" customWidth="1"/>
    <col min="36" max="36" width="6.5703125" style="7" customWidth="1"/>
    <col min="37" max="38" width="11.42578125" style="7"/>
  </cols>
  <sheetData>
    <row r="1" spans="1:39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</row>
    <row r="2" spans="1:39" ht="15.75" thickBot="1" x14ac:dyDescent="0.3">
      <c r="C2" s="7"/>
      <c r="D2" s="7"/>
      <c r="E2" s="7"/>
    </row>
    <row r="3" spans="1:39" ht="15.75" thickTop="1" x14ac:dyDescent="0.25">
      <c r="B3" s="1" t="s">
        <v>0</v>
      </c>
      <c r="C3" s="4" t="s">
        <v>13</v>
      </c>
    </row>
    <row r="4" spans="1:39" ht="14.45" customHeight="1" x14ac:dyDescent="0.25">
      <c r="B4" s="2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</row>
    <row r="5" spans="1:39" ht="15" customHeight="1" thickBot="1" x14ac:dyDescent="0.3">
      <c r="B5" s="3" t="s">
        <v>2</v>
      </c>
      <c r="C5" s="14">
        <v>-35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</row>
    <row r="6" spans="1:39" ht="15.75" thickTop="1" x14ac:dyDescent="0.25"/>
    <row r="7" spans="1:39" ht="15.75" thickBot="1" x14ac:dyDescent="0.3"/>
    <row r="8" spans="1:39" ht="15.75" thickTop="1" x14ac:dyDescent="0.25">
      <c r="B8" s="24" t="s">
        <v>8</v>
      </c>
      <c r="C8" s="25"/>
      <c r="D8" s="1"/>
      <c r="E8" s="1"/>
      <c r="F8" s="4" t="s">
        <v>33</v>
      </c>
      <c r="G8" s="4" t="s">
        <v>9</v>
      </c>
      <c r="H8" s="4" t="s">
        <v>72</v>
      </c>
      <c r="I8" s="4" t="s">
        <v>9</v>
      </c>
      <c r="J8" s="1"/>
      <c r="K8" s="13">
        <v>44927</v>
      </c>
      <c r="L8" s="4" t="s">
        <v>9</v>
      </c>
      <c r="M8" s="4" t="s">
        <v>9</v>
      </c>
      <c r="N8" s="4" t="s">
        <v>103</v>
      </c>
      <c r="O8" s="4" t="s">
        <v>9</v>
      </c>
      <c r="P8" s="4" t="s">
        <v>127</v>
      </c>
      <c r="Q8" s="4" t="s">
        <v>9</v>
      </c>
      <c r="R8" s="4" t="s">
        <v>103</v>
      </c>
      <c r="S8" s="4" t="s">
        <v>6</v>
      </c>
      <c r="T8" s="13">
        <v>45292</v>
      </c>
      <c r="U8" s="13" t="s">
        <v>9</v>
      </c>
      <c r="V8" s="13" t="s">
        <v>9</v>
      </c>
      <c r="W8" s="13" t="s">
        <v>6</v>
      </c>
      <c r="X8" s="13">
        <v>45658</v>
      </c>
      <c r="Y8" s="13"/>
      <c r="Z8" s="13"/>
      <c r="AA8" s="18"/>
      <c r="AB8" s="19"/>
      <c r="AC8" s="19"/>
      <c r="AD8" s="20"/>
      <c r="AE8" s="13" t="s">
        <v>6</v>
      </c>
      <c r="AF8" s="13">
        <v>46023</v>
      </c>
      <c r="AG8" s="13"/>
      <c r="AH8" s="13"/>
      <c r="AI8" s="18"/>
      <c r="AJ8" s="19"/>
      <c r="AK8" s="19"/>
      <c r="AL8" s="20"/>
      <c r="AM8" s="13" t="s">
        <v>6</v>
      </c>
    </row>
    <row r="9" spans="1:39" x14ac:dyDescent="0.25">
      <c r="B9" s="26"/>
      <c r="C9" s="27"/>
      <c r="D9" s="2"/>
      <c r="E9" s="2"/>
      <c r="F9" s="8" t="s">
        <v>34</v>
      </c>
      <c r="G9" s="8" t="s">
        <v>61</v>
      </c>
      <c r="H9" s="8" t="s">
        <v>75</v>
      </c>
      <c r="I9" s="8" t="s">
        <v>61</v>
      </c>
      <c r="J9" s="2" t="s">
        <v>6</v>
      </c>
      <c r="K9" s="5"/>
      <c r="L9" s="8" t="s">
        <v>22</v>
      </c>
      <c r="M9" s="8" t="s">
        <v>85</v>
      </c>
      <c r="N9" s="8" t="s">
        <v>72</v>
      </c>
      <c r="O9" s="8" t="s">
        <v>70</v>
      </c>
      <c r="P9" s="8" t="s">
        <v>80</v>
      </c>
      <c r="Q9" s="8" t="s">
        <v>22</v>
      </c>
      <c r="R9" s="8" t="s">
        <v>80</v>
      </c>
      <c r="S9" s="2"/>
      <c r="T9" s="5"/>
      <c r="U9" s="5" t="s">
        <v>70</v>
      </c>
      <c r="V9" s="5" t="s">
        <v>22</v>
      </c>
      <c r="W9" s="5"/>
      <c r="X9" s="5"/>
      <c r="Y9" s="8" t="s">
        <v>9</v>
      </c>
      <c r="Z9" s="8" t="s">
        <v>127</v>
      </c>
      <c r="AA9" s="28" t="s">
        <v>247</v>
      </c>
      <c r="AB9" s="29"/>
      <c r="AC9" s="29"/>
      <c r="AD9" s="30"/>
      <c r="AE9" s="5"/>
      <c r="AF9" s="5"/>
      <c r="AG9" s="8" t="s">
        <v>9</v>
      </c>
      <c r="AH9" s="8" t="s">
        <v>127</v>
      </c>
      <c r="AI9" s="28" t="s">
        <v>247</v>
      </c>
      <c r="AJ9" s="29"/>
      <c r="AK9" s="29"/>
      <c r="AL9" s="30"/>
      <c r="AM9" s="5"/>
    </row>
    <row r="10" spans="1:39" x14ac:dyDescent="0.25">
      <c r="B10" s="26"/>
      <c r="C10" s="27"/>
      <c r="D10" s="2" t="s">
        <v>4</v>
      </c>
      <c r="E10" s="2" t="s">
        <v>5</v>
      </c>
      <c r="F10" s="9">
        <v>44681</v>
      </c>
      <c r="G10" s="9">
        <v>44709</v>
      </c>
      <c r="H10" s="9">
        <v>44730</v>
      </c>
      <c r="I10" s="9">
        <v>44849</v>
      </c>
      <c r="J10" s="2">
        <v>2022</v>
      </c>
      <c r="K10" s="5"/>
      <c r="L10" s="2" t="s">
        <v>106</v>
      </c>
      <c r="M10" s="5" t="s">
        <v>108</v>
      </c>
      <c r="N10" s="5" t="s">
        <v>111</v>
      </c>
      <c r="O10" s="5" t="s">
        <v>123</v>
      </c>
      <c r="P10" s="5" t="s">
        <v>133</v>
      </c>
      <c r="Q10" s="5" t="s">
        <v>146</v>
      </c>
      <c r="R10" s="5" t="s">
        <v>156</v>
      </c>
      <c r="S10" s="2">
        <v>2023</v>
      </c>
      <c r="T10" s="15"/>
      <c r="U10" s="15" t="s">
        <v>166</v>
      </c>
      <c r="V10" s="15" t="s">
        <v>199</v>
      </c>
      <c r="W10" s="15">
        <v>2024</v>
      </c>
      <c r="X10" s="5"/>
      <c r="Y10" s="5"/>
      <c r="Z10" s="5"/>
      <c r="AA10" s="5">
        <v>1</v>
      </c>
      <c r="AB10" s="5">
        <v>2</v>
      </c>
      <c r="AC10" s="5">
        <v>3</v>
      </c>
      <c r="AD10" s="5">
        <v>4</v>
      </c>
      <c r="AE10" s="5">
        <v>2025</v>
      </c>
      <c r="AF10" s="5"/>
      <c r="AG10" s="5"/>
      <c r="AH10" s="5"/>
      <c r="AI10" s="5">
        <v>1</v>
      </c>
      <c r="AJ10" s="5">
        <v>2</v>
      </c>
      <c r="AK10" s="5">
        <v>3</v>
      </c>
      <c r="AL10" s="5">
        <v>4</v>
      </c>
      <c r="AM10" s="5">
        <v>2026</v>
      </c>
    </row>
    <row r="11" spans="1:39" x14ac:dyDescent="0.25">
      <c r="A11">
        <v>1</v>
      </c>
      <c r="B11" s="6" t="s">
        <v>19</v>
      </c>
      <c r="C11" s="6"/>
      <c r="D11" s="6" t="s">
        <v>115</v>
      </c>
      <c r="E11" s="6" t="s">
        <v>26</v>
      </c>
      <c r="F11" s="6"/>
      <c r="G11" s="6"/>
      <c r="H11" s="6"/>
      <c r="I11" s="6"/>
      <c r="J11" s="6"/>
      <c r="K11" s="10"/>
      <c r="L11" s="6"/>
      <c r="M11" s="10"/>
      <c r="N11" s="10"/>
      <c r="O11" s="10"/>
      <c r="P11" s="10"/>
      <c r="Q11" s="10"/>
      <c r="R11" s="10"/>
      <c r="S11" s="6"/>
      <c r="T11" s="6"/>
      <c r="U11" s="6"/>
      <c r="V11" s="6"/>
      <c r="W11" s="6"/>
      <c r="X11" s="6"/>
      <c r="Y11" s="10"/>
      <c r="Z11" s="10"/>
      <c r="AA11" s="10"/>
      <c r="AB11" s="10"/>
      <c r="AC11" s="10"/>
      <c r="AD11" s="10"/>
      <c r="AE11" s="6"/>
      <c r="AF11" s="6">
        <v>262</v>
      </c>
      <c r="AG11" s="10">
        <v>48</v>
      </c>
      <c r="AH11" s="10">
        <v>80</v>
      </c>
      <c r="AI11" s="10">
        <v>150</v>
      </c>
      <c r="AJ11" s="10"/>
      <c r="AK11" s="10"/>
      <c r="AL11" s="10">
        <v>70</v>
      </c>
      <c r="AM11" s="6">
        <f t="shared" ref="AM11:AM25" si="0">SUM(AF11:AL11)</f>
        <v>610</v>
      </c>
    </row>
    <row r="12" spans="1:39" x14ac:dyDescent="0.25">
      <c r="A12">
        <v>2</v>
      </c>
      <c r="B12" s="6" t="s">
        <v>263</v>
      </c>
      <c r="C12" s="6"/>
      <c r="D12" s="6" t="s">
        <v>93</v>
      </c>
      <c r="E12" s="6" t="s">
        <v>26</v>
      </c>
      <c r="F12" s="6"/>
      <c r="G12" s="6"/>
      <c r="H12" s="6"/>
      <c r="I12" s="6"/>
      <c r="J12" s="6"/>
      <c r="K12" s="10"/>
      <c r="L12" s="6"/>
      <c r="M12" s="10"/>
      <c r="N12" s="10"/>
      <c r="O12" s="10"/>
      <c r="P12" s="10"/>
      <c r="Q12" s="10"/>
      <c r="R12" s="10"/>
      <c r="S12" s="6"/>
      <c r="T12" s="6"/>
      <c r="U12" s="6"/>
      <c r="V12" s="6"/>
      <c r="W12" s="6"/>
      <c r="X12" s="6"/>
      <c r="Y12" s="10">
        <v>48</v>
      </c>
      <c r="Z12" s="10"/>
      <c r="AA12" s="10">
        <v>90</v>
      </c>
      <c r="AB12" s="10">
        <v>4</v>
      </c>
      <c r="AC12" s="10">
        <v>90</v>
      </c>
      <c r="AD12" s="10">
        <v>90</v>
      </c>
      <c r="AE12" s="6">
        <f>SUM(X12:AD12)</f>
        <v>322</v>
      </c>
      <c r="AF12" s="6">
        <f>(AE12-X12)/2</f>
        <v>161</v>
      </c>
      <c r="AG12" s="10">
        <v>33.6</v>
      </c>
      <c r="AH12" s="10">
        <v>56</v>
      </c>
      <c r="AI12" s="10">
        <v>54</v>
      </c>
      <c r="AJ12" s="10"/>
      <c r="AK12" s="10"/>
      <c r="AL12" s="10"/>
      <c r="AM12" s="6">
        <f t="shared" si="0"/>
        <v>304.60000000000002</v>
      </c>
    </row>
    <row r="13" spans="1:39" x14ac:dyDescent="0.25">
      <c r="A13">
        <v>3</v>
      </c>
      <c r="B13" s="6" t="s">
        <v>422</v>
      </c>
      <c r="C13" s="6"/>
      <c r="D13" s="6" t="s">
        <v>460</v>
      </c>
      <c r="E13" s="6" t="s">
        <v>461</v>
      </c>
      <c r="F13" s="6"/>
      <c r="G13" s="6"/>
      <c r="H13" s="6"/>
      <c r="I13" s="6"/>
      <c r="J13" s="6"/>
      <c r="K13" s="10"/>
      <c r="L13" s="6"/>
      <c r="M13" s="10"/>
      <c r="N13" s="10"/>
      <c r="O13" s="10"/>
      <c r="P13" s="10"/>
      <c r="Q13" s="10"/>
      <c r="R13" s="10"/>
      <c r="S13" s="6"/>
      <c r="T13" s="6"/>
      <c r="U13" s="6"/>
      <c r="V13" s="6"/>
      <c r="W13" s="6"/>
      <c r="X13" s="6"/>
      <c r="Y13" s="10"/>
      <c r="Z13" s="10"/>
      <c r="AA13" s="10"/>
      <c r="AB13" s="10"/>
      <c r="AC13" s="10"/>
      <c r="AD13" s="10"/>
      <c r="AE13" s="6"/>
      <c r="AF13" s="6"/>
      <c r="AG13" s="10">
        <v>36</v>
      </c>
      <c r="AH13" s="10">
        <v>64</v>
      </c>
      <c r="AI13" s="10">
        <v>105</v>
      </c>
      <c r="AJ13" s="10"/>
      <c r="AK13" s="10"/>
      <c r="AL13" s="10"/>
      <c r="AM13" s="6">
        <f t="shared" si="0"/>
        <v>205</v>
      </c>
    </row>
    <row r="14" spans="1:39" x14ac:dyDescent="0.25">
      <c r="A14" s="21">
        <v>4</v>
      </c>
      <c r="B14" s="6" t="s">
        <v>198</v>
      </c>
      <c r="C14" s="6"/>
      <c r="D14" s="6" t="s">
        <v>183</v>
      </c>
      <c r="E14" s="6" t="s">
        <v>37</v>
      </c>
      <c r="F14" s="6"/>
      <c r="G14" s="6"/>
      <c r="H14" s="6"/>
      <c r="I14" s="6"/>
      <c r="J14" s="6"/>
      <c r="K14" s="10"/>
      <c r="L14" s="6"/>
      <c r="M14" s="10"/>
      <c r="N14" s="10"/>
      <c r="O14" s="10"/>
      <c r="P14" s="10"/>
      <c r="Q14" s="10"/>
      <c r="R14" s="10"/>
      <c r="S14" s="6"/>
      <c r="T14" s="6"/>
      <c r="U14" s="6"/>
      <c r="V14" s="6"/>
      <c r="W14" s="6"/>
      <c r="X14" s="6"/>
      <c r="Y14" s="10"/>
      <c r="Z14" s="10"/>
      <c r="AA14" s="10"/>
      <c r="AB14" s="10"/>
      <c r="AC14" s="10"/>
      <c r="AD14" s="10"/>
      <c r="AE14" s="6"/>
      <c r="AF14" s="6"/>
      <c r="AG14" s="10">
        <v>48</v>
      </c>
      <c r="AH14" s="10">
        <v>44.8</v>
      </c>
      <c r="AI14" s="10">
        <v>7.5</v>
      </c>
      <c r="AJ14" s="10">
        <v>60</v>
      </c>
      <c r="AK14" s="10">
        <v>36</v>
      </c>
      <c r="AL14" s="10"/>
      <c r="AM14" s="6">
        <f t="shared" si="0"/>
        <v>196.3</v>
      </c>
    </row>
    <row r="15" spans="1:39" x14ac:dyDescent="0.25">
      <c r="A15">
        <v>5</v>
      </c>
      <c r="B15" s="6" t="s">
        <v>329</v>
      </c>
      <c r="C15" s="6"/>
      <c r="D15" s="6" t="s">
        <v>212</v>
      </c>
      <c r="E15" s="6" t="s">
        <v>116</v>
      </c>
      <c r="F15" s="6"/>
      <c r="G15" s="6"/>
      <c r="H15" s="6"/>
      <c r="I15" s="6"/>
      <c r="J15" s="6"/>
      <c r="K15" s="10"/>
      <c r="L15" s="6"/>
      <c r="M15" s="10"/>
      <c r="N15" s="10"/>
      <c r="O15" s="10"/>
      <c r="P15" s="10"/>
      <c r="Q15" s="10"/>
      <c r="R15" s="10"/>
      <c r="S15" s="6"/>
      <c r="T15" s="6"/>
      <c r="U15" s="6"/>
      <c r="V15" s="6"/>
      <c r="W15" s="6"/>
      <c r="X15" s="6"/>
      <c r="Y15" s="10"/>
      <c r="Z15" s="10"/>
      <c r="AA15" s="10"/>
      <c r="AB15" s="10"/>
      <c r="AC15" s="10"/>
      <c r="AD15" s="10"/>
      <c r="AE15" s="6"/>
      <c r="AF15" s="6"/>
      <c r="AG15" s="10">
        <v>36</v>
      </c>
      <c r="AH15" s="10">
        <v>64</v>
      </c>
      <c r="AI15" s="10">
        <v>75</v>
      </c>
      <c r="AJ15" s="10"/>
      <c r="AK15" s="10"/>
      <c r="AL15" s="10"/>
      <c r="AM15" s="6">
        <f t="shared" si="0"/>
        <v>175</v>
      </c>
    </row>
    <row r="16" spans="1:39" x14ac:dyDescent="0.25">
      <c r="A16">
        <v>6</v>
      </c>
      <c r="B16" s="6" t="s">
        <v>501</v>
      </c>
      <c r="C16" s="6"/>
      <c r="D16" s="6" t="s">
        <v>502</v>
      </c>
      <c r="E16" s="6" t="s">
        <v>307</v>
      </c>
      <c r="F16" s="6"/>
      <c r="G16" s="6"/>
      <c r="H16" s="6"/>
      <c r="I16" s="6"/>
      <c r="J16" s="6"/>
      <c r="K16" s="10"/>
      <c r="L16" s="6"/>
      <c r="M16" s="10"/>
      <c r="N16" s="10"/>
      <c r="O16" s="10"/>
      <c r="P16" s="10"/>
      <c r="Q16" s="10"/>
      <c r="R16" s="10"/>
      <c r="S16" s="6"/>
      <c r="T16" s="6"/>
      <c r="U16" s="6"/>
      <c r="V16" s="6"/>
      <c r="W16" s="6"/>
      <c r="X16" s="6"/>
      <c r="Y16" s="10"/>
      <c r="Z16" s="10"/>
      <c r="AA16" s="10"/>
      <c r="AB16" s="10"/>
      <c r="AC16" s="10"/>
      <c r="AD16" s="10"/>
      <c r="AE16" s="6"/>
      <c r="AF16" s="6"/>
      <c r="AG16" s="10">
        <v>48</v>
      </c>
      <c r="AH16" s="10">
        <v>44.8</v>
      </c>
      <c r="AI16" s="10"/>
      <c r="AJ16" s="10"/>
      <c r="AK16" s="10"/>
      <c r="AL16" s="10"/>
      <c r="AM16" s="6">
        <f t="shared" si="0"/>
        <v>92.8</v>
      </c>
    </row>
    <row r="17" spans="1:39" x14ac:dyDescent="0.25">
      <c r="A17">
        <v>7</v>
      </c>
      <c r="B17" s="6" t="s">
        <v>341</v>
      </c>
      <c r="C17" s="6"/>
      <c r="D17" s="6" t="s">
        <v>256</v>
      </c>
      <c r="E17" s="6" t="s">
        <v>144</v>
      </c>
      <c r="F17" s="6"/>
      <c r="G17" s="6"/>
      <c r="H17" s="6"/>
      <c r="I17" s="6"/>
      <c r="J17" s="6"/>
      <c r="K17" s="10"/>
      <c r="L17" s="6"/>
      <c r="M17" s="10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10"/>
      <c r="Z17" s="10">
        <v>48</v>
      </c>
      <c r="AA17" s="10">
        <v>80</v>
      </c>
      <c r="AB17" s="10"/>
      <c r="AC17" s="10"/>
      <c r="AD17" s="10"/>
      <c r="AE17" s="6">
        <f>SUM(X17:AD17)</f>
        <v>128</v>
      </c>
      <c r="AF17" s="6">
        <f>(AE17-X17)/2</f>
        <v>64</v>
      </c>
      <c r="AG17" s="10"/>
      <c r="AH17" s="10"/>
      <c r="AI17" s="10"/>
      <c r="AJ17" s="10"/>
      <c r="AK17" s="10"/>
      <c r="AL17" s="10"/>
      <c r="AM17" s="6">
        <f t="shared" si="0"/>
        <v>64</v>
      </c>
    </row>
    <row r="18" spans="1:39" x14ac:dyDescent="0.25">
      <c r="A18">
        <v>8</v>
      </c>
      <c r="B18" s="6" t="s">
        <v>130</v>
      </c>
      <c r="C18" s="6"/>
      <c r="D18" s="6" t="s">
        <v>453</v>
      </c>
      <c r="E18" s="6" t="s">
        <v>24</v>
      </c>
      <c r="F18" s="6"/>
      <c r="G18" s="6"/>
      <c r="H18" s="6"/>
      <c r="I18" s="6"/>
      <c r="J18" s="6"/>
      <c r="K18" s="10"/>
      <c r="L18" s="6"/>
      <c r="M18" s="10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10"/>
      <c r="Z18" s="10"/>
      <c r="AA18" s="10"/>
      <c r="AB18" s="10"/>
      <c r="AC18" s="10"/>
      <c r="AD18" s="10"/>
      <c r="AE18" s="6"/>
      <c r="AF18" s="6"/>
      <c r="AG18" s="10">
        <v>2.4</v>
      </c>
      <c r="AH18" s="10">
        <v>40</v>
      </c>
      <c r="AI18" s="10"/>
      <c r="AJ18" s="10"/>
      <c r="AK18" s="10"/>
      <c r="AL18" s="10"/>
      <c r="AM18" s="6">
        <f t="shared" si="0"/>
        <v>42.4</v>
      </c>
    </row>
    <row r="19" spans="1:39" x14ac:dyDescent="0.25">
      <c r="A19">
        <v>9</v>
      </c>
      <c r="B19" s="6" t="s">
        <v>409</v>
      </c>
      <c r="C19" s="6"/>
      <c r="D19" s="6" t="s">
        <v>229</v>
      </c>
      <c r="E19" s="6" t="s">
        <v>408</v>
      </c>
      <c r="F19" s="6"/>
      <c r="G19" s="6"/>
      <c r="H19" s="6"/>
      <c r="I19" s="6"/>
      <c r="J19" s="6"/>
      <c r="K19" s="10"/>
      <c r="L19" s="6"/>
      <c r="M19" s="10"/>
      <c r="N19" s="10"/>
      <c r="O19" s="10"/>
      <c r="P19" s="10"/>
      <c r="Q19" s="10"/>
      <c r="R19" s="10"/>
      <c r="S19" s="6"/>
      <c r="T19" s="6"/>
      <c r="U19" s="6"/>
      <c r="V19" s="6"/>
      <c r="W19" s="6"/>
      <c r="X19" s="6"/>
      <c r="Y19" s="10"/>
      <c r="Z19" s="10"/>
      <c r="AA19" s="10"/>
      <c r="AB19" s="10"/>
      <c r="AC19" s="10"/>
      <c r="AD19" s="10"/>
      <c r="AE19" s="6"/>
      <c r="AF19" s="6"/>
      <c r="AG19" s="10">
        <v>36</v>
      </c>
      <c r="AH19" s="10">
        <v>3.2</v>
      </c>
      <c r="AI19" s="10"/>
      <c r="AJ19" s="10"/>
      <c r="AK19" s="10"/>
      <c r="AL19" s="10"/>
      <c r="AM19" s="6">
        <f t="shared" si="0"/>
        <v>39.200000000000003</v>
      </c>
    </row>
    <row r="20" spans="1:39" x14ac:dyDescent="0.25">
      <c r="A20">
        <v>10</v>
      </c>
      <c r="B20" s="6" t="s">
        <v>40</v>
      </c>
      <c r="C20" s="6"/>
      <c r="D20" s="6" t="s">
        <v>537</v>
      </c>
      <c r="E20" s="6" t="s">
        <v>538</v>
      </c>
      <c r="F20" s="6"/>
      <c r="G20" s="6"/>
      <c r="H20" s="6"/>
      <c r="I20" s="6"/>
      <c r="J20" s="6"/>
      <c r="K20" s="10"/>
      <c r="L20" s="6"/>
      <c r="M20" s="10"/>
      <c r="N20" s="10"/>
      <c r="O20" s="10"/>
      <c r="P20" s="10"/>
      <c r="Q20" s="10"/>
      <c r="R20" s="10"/>
      <c r="S20" s="6"/>
      <c r="T20" s="6"/>
      <c r="U20" s="6"/>
      <c r="V20" s="6"/>
      <c r="W20" s="6"/>
      <c r="X20" s="6"/>
      <c r="Y20" s="10"/>
      <c r="Z20" s="10"/>
      <c r="AA20" s="10"/>
      <c r="AB20" s="10"/>
      <c r="AC20" s="10"/>
      <c r="AD20" s="10"/>
      <c r="AE20" s="6"/>
      <c r="AF20" s="6"/>
      <c r="AG20" s="10">
        <v>36</v>
      </c>
      <c r="AH20" s="10"/>
      <c r="AI20" s="10"/>
      <c r="AJ20" s="10"/>
      <c r="AK20" s="10"/>
      <c r="AL20" s="10"/>
      <c r="AM20" s="6">
        <f t="shared" si="0"/>
        <v>36</v>
      </c>
    </row>
    <row r="21" spans="1:39" x14ac:dyDescent="0.25">
      <c r="A21">
        <v>11</v>
      </c>
      <c r="B21" s="6" t="s">
        <v>60</v>
      </c>
      <c r="C21" s="6"/>
      <c r="D21" s="6" t="s">
        <v>328</v>
      </c>
      <c r="E21" s="6" t="s">
        <v>197</v>
      </c>
      <c r="F21" s="6"/>
      <c r="G21" s="6"/>
      <c r="H21" s="6"/>
      <c r="I21" s="6"/>
      <c r="J21" s="6"/>
      <c r="K21" s="10"/>
      <c r="L21" s="6"/>
      <c r="M21" s="10"/>
      <c r="N21" s="10"/>
      <c r="O21" s="10"/>
      <c r="P21" s="10"/>
      <c r="Q21" s="10"/>
      <c r="R21" s="10"/>
      <c r="S21" s="6"/>
      <c r="T21" s="6"/>
      <c r="U21" s="6"/>
      <c r="V21" s="6"/>
      <c r="W21" s="6"/>
      <c r="X21" s="6"/>
      <c r="Y21" s="10">
        <v>36</v>
      </c>
      <c r="Z21" s="10"/>
      <c r="AA21" s="10"/>
      <c r="AB21" s="10"/>
      <c r="AC21" s="10"/>
      <c r="AD21" s="10"/>
      <c r="AE21" s="6">
        <f>SUM(X21:AD21)</f>
        <v>36</v>
      </c>
      <c r="AF21" s="6">
        <f>(AE21-X21)/2</f>
        <v>18</v>
      </c>
      <c r="AG21" s="10"/>
      <c r="AH21" s="10"/>
      <c r="AI21" s="10"/>
      <c r="AJ21" s="10"/>
      <c r="AK21" s="10"/>
      <c r="AL21" s="10"/>
      <c r="AM21" s="6">
        <f t="shared" si="0"/>
        <v>18</v>
      </c>
    </row>
    <row r="22" spans="1:39" x14ac:dyDescent="0.25">
      <c r="A22">
        <v>12</v>
      </c>
      <c r="B22" s="6" t="s">
        <v>429</v>
      </c>
      <c r="C22" s="6"/>
      <c r="D22" s="6" t="s">
        <v>430</v>
      </c>
      <c r="E22" s="6" t="s">
        <v>512</v>
      </c>
      <c r="F22" s="6"/>
      <c r="G22" s="6"/>
      <c r="H22" s="6"/>
      <c r="I22" s="6"/>
      <c r="J22" s="6"/>
      <c r="K22" s="10"/>
      <c r="L22" s="6"/>
      <c r="M22" s="10"/>
      <c r="N22" s="10"/>
      <c r="O22" s="10"/>
      <c r="P22" s="10"/>
      <c r="Q22" s="10"/>
      <c r="R22" s="10"/>
      <c r="S22" s="6"/>
      <c r="T22" s="6"/>
      <c r="U22" s="6"/>
      <c r="V22" s="6"/>
      <c r="W22" s="6"/>
      <c r="X22" s="6"/>
      <c r="Y22" s="10"/>
      <c r="Z22" s="10"/>
      <c r="AA22" s="10"/>
      <c r="AB22" s="10"/>
      <c r="AC22" s="10"/>
      <c r="AD22" s="10"/>
      <c r="AE22" s="6"/>
      <c r="AF22" s="6"/>
      <c r="AG22" s="10"/>
      <c r="AH22" s="10">
        <v>4</v>
      </c>
      <c r="AI22" s="10"/>
      <c r="AJ22" s="10"/>
      <c r="AK22" s="10"/>
      <c r="AL22" s="10"/>
      <c r="AM22" s="6">
        <f t="shared" si="0"/>
        <v>4</v>
      </c>
    </row>
    <row r="23" spans="1:39" x14ac:dyDescent="0.25">
      <c r="A23">
        <v>13</v>
      </c>
      <c r="B23" s="6" t="s">
        <v>475</v>
      </c>
      <c r="C23" s="6"/>
      <c r="D23" s="6" t="s">
        <v>289</v>
      </c>
      <c r="E23" s="6" t="s">
        <v>476</v>
      </c>
      <c r="F23" s="6"/>
      <c r="G23" s="6"/>
      <c r="H23" s="6"/>
      <c r="I23" s="6"/>
      <c r="J23" s="6"/>
      <c r="K23" s="10"/>
      <c r="L23" s="6"/>
      <c r="M23" s="10"/>
      <c r="N23" s="10"/>
      <c r="O23" s="10"/>
      <c r="P23" s="10"/>
      <c r="Q23" s="10"/>
      <c r="R23" s="10"/>
      <c r="S23" s="6"/>
      <c r="T23" s="6"/>
      <c r="U23" s="6"/>
      <c r="V23" s="6"/>
      <c r="W23" s="6"/>
      <c r="X23" s="6"/>
      <c r="Y23" s="10"/>
      <c r="Z23" s="10"/>
      <c r="AA23" s="10"/>
      <c r="AB23" s="10"/>
      <c r="AC23" s="10"/>
      <c r="AD23" s="10"/>
      <c r="AE23" s="6"/>
      <c r="AF23" s="6"/>
      <c r="AG23" s="10"/>
      <c r="AH23" s="10">
        <v>3.2</v>
      </c>
      <c r="AI23" s="10"/>
      <c r="AJ23" s="10"/>
      <c r="AK23" s="10"/>
      <c r="AL23" s="10"/>
      <c r="AM23" s="6">
        <f t="shared" si="0"/>
        <v>3.2</v>
      </c>
    </row>
    <row r="24" spans="1:39" x14ac:dyDescent="0.25">
      <c r="A24">
        <v>14</v>
      </c>
      <c r="B24" s="6" t="s">
        <v>186</v>
      </c>
      <c r="C24" s="6"/>
      <c r="D24" s="6" t="s">
        <v>530</v>
      </c>
      <c r="E24" s="6" t="s">
        <v>531</v>
      </c>
      <c r="F24" s="6"/>
      <c r="G24" s="6"/>
      <c r="H24" s="6"/>
      <c r="I24" s="6"/>
      <c r="J24" s="6"/>
      <c r="K24" s="10"/>
      <c r="L24" s="6"/>
      <c r="M24" s="10"/>
      <c r="N24" s="10"/>
      <c r="O24" s="10"/>
      <c r="P24" s="10"/>
      <c r="Q24" s="10"/>
      <c r="R24" s="10"/>
      <c r="S24" s="6"/>
      <c r="T24" s="6"/>
      <c r="U24" s="6"/>
      <c r="V24" s="6"/>
      <c r="W24" s="6"/>
      <c r="X24" s="6"/>
      <c r="Y24" s="10"/>
      <c r="Z24" s="10"/>
      <c r="AA24" s="10"/>
      <c r="AB24" s="10"/>
      <c r="AC24" s="10"/>
      <c r="AD24" s="10"/>
      <c r="AE24" s="6"/>
      <c r="AF24" s="6"/>
      <c r="AG24" s="10">
        <v>2.4</v>
      </c>
      <c r="AH24" s="10"/>
      <c r="AI24" s="10"/>
      <c r="AJ24" s="10"/>
      <c r="AK24" s="10"/>
      <c r="AL24" s="10"/>
      <c r="AM24" s="6">
        <f t="shared" si="0"/>
        <v>2.4</v>
      </c>
    </row>
    <row r="25" spans="1:39" x14ac:dyDescent="0.25">
      <c r="A25">
        <v>15</v>
      </c>
      <c r="B25" s="6" t="s">
        <v>549</v>
      </c>
      <c r="C25" s="6"/>
      <c r="D25" s="6" t="s">
        <v>550</v>
      </c>
      <c r="E25" s="6" t="s">
        <v>548</v>
      </c>
      <c r="F25" s="6"/>
      <c r="G25" s="6"/>
      <c r="H25" s="6"/>
      <c r="I25" s="6"/>
      <c r="J25" s="6"/>
      <c r="K25" s="10"/>
      <c r="L25" s="6"/>
      <c r="M25" s="10"/>
      <c r="N25" s="10"/>
      <c r="O25" s="10"/>
      <c r="P25" s="10"/>
      <c r="Q25" s="10"/>
      <c r="R25" s="10"/>
      <c r="S25" s="6"/>
      <c r="T25" s="6"/>
      <c r="U25" s="6"/>
      <c r="V25" s="6"/>
      <c r="W25" s="6"/>
      <c r="X25" s="6"/>
      <c r="Y25" s="10"/>
      <c r="Z25" s="10"/>
      <c r="AA25" s="10"/>
      <c r="AB25" s="10"/>
      <c r="AC25" s="10"/>
      <c r="AD25" s="10"/>
      <c r="AE25" s="6"/>
      <c r="AF25" s="6"/>
      <c r="AG25" s="10">
        <v>2.4</v>
      </c>
      <c r="AH25" s="10"/>
      <c r="AI25" s="10"/>
      <c r="AJ25" s="10"/>
      <c r="AK25" s="10"/>
      <c r="AL25" s="10"/>
      <c r="AM25" s="6">
        <f t="shared" si="0"/>
        <v>2.4</v>
      </c>
    </row>
  </sheetData>
  <sortState xmlns:xlrd2="http://schemas.microsoft.com/office/spreadsheetml/2017/richdata2" ref="B11:AM25">
    <sortCondition descending="1" ref="AM11:AM25"/>
  </sortState>
  <mergeCells count="5">
    <mergeCell ref="B8:C10"/>
    <mergeCell ref="AA9:AD9"/>
    <mergeCell ref="AI9:AL9"/>
    <mergeCell ref="D4:AM5"/>
    <mergeCell ref="B1:AM1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41"/>
  <sheetViews>
    <sheetView zoomScale="80" zoomScaleNormal="80" workbookViewId="0">
      <selection activeCell="B11" sqref="B11:BH41"/>
    </sheetView>
  </sheetViews>
  <sheetFormatPr baseColWidth="10" defaultRowHeight="15" x14ac:dyDescent="0.25"/>
  <cols>
    <col min="1" max="1" width="3.42578125" bestFit="1" customWidth="1"/>
    <col min="2" max="2" width="13.42578125" bestFit="1" customWidth="1"/>
    <col min="3" max="3" width="11.5703125" bestFit="1" customWidth="1"/>
    <col min="4" max="4" width="13.140625" bestFit="1" customWidth="1"/>
    <col min="5" max="5" width="23.42578125" bestFit="1" customWidth="1"/>
    <col min="6" max="6" width="6.42578125" hidden="1" customWidth="1"/>
    <col min="7" max="8" width="6.28515625" hidden="1" customWidth="1"/>
    <col min="9" max="9" width="7.28515625" hidden="1" customWidth="1"/>
    <col min="10" max="12" width="6.42578125" style="7" hidden="1" customWidth="1"/>
    <col min="13" max="13" width="0" hidden="1" customWidth="1"/>
    <col min="14" max="14" width="6.85546875" style="7" hidden="1" customWidth="1"/>
    <col min="15" max="30" width="5.5703125" hidden="1" customWidth="1"/>
    <col min="31" max="31" width="6.42578125" hidden="1" customWidth="1"/>
    <col min="32" max="32" width="7.7109375" hidden="1" customWidth="1"/>
    <col min="33" max="33" width="5.5703125" hidden="1" customWidth="1"/>
    <col min="34" max="34" width="5.7109375" hidden="1" customWidth="1"/>
    <col min="35" max="39" width="5.5703125" hidden="1" customWidth="1"/>
    <col min="40" max="43" width="5.5703125" style="7" hidden="1" customWidth="1"/>
    <col min="44" max="44" width="7" hidden="1" customWidth="1"/>
    <col min="45" max="45" width="7.85546875" hidden="1" customWidth="1"/>
    <col min="46" max="46" width="5.7109375" style="7" hidden="1" customWidth="1"/>
    <col min="47" max="47" width="5.28515625" style="7" hidden="1" customWidth="1"/>
    <col min="48" max="48" width="7.5703125" style="7" hidden="1" customWidth="1"/>
    <col min="49" max="50" width="7.85546875" style="7" hidden="1" customWidth="1"/>
    <col min="51" max="51" width="9" style="7" hidden="1" customWidth="1"/>
    <col min="54" max="54" width="8.5703125" style="7" customWidth="1"/>
    <col min="55" max="55" width="8.42578125" style="7" customWidth="1"/>
    <col min="56" max="56" width="9.140625" style="7" customWidth="1"/>
    <col min="57" max="59" width="11.42578125" style="7"/>
  </cols>
  <sheetData>
    <row r="1" spans="1:60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</row>
    <row r="2" spans="1:60" ht="15.75" thickBot="1" x14ac:dyDescent="0.3">
      <c r="C2" s="7"/>
      <c r="D2" s="7"/>
      <c r="E2" s="7"/>
    </row>
    <row r="3" spans="1:60" ht="15.75" thickTop="1" x14ac:dyDescent="0.25">
      <c r="B3" s="1" t="s">
        <v>0</v>
      </c>
      <c r="C3" s="4" t="s">
        <v>13</v>
      </c>
    </row>
    <row r="4" spans="1:60" ht="14.45" customHeight="1" x14ac:dyDescent="0.25">
      <c r="B4" s="2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</row>
    <row r="5" spans="1:60" ht="15" customHeight="1" thickBot="1" x14ac:dyDescent="0.3">
      <c r="B5" s="3" t="s">
        <v>2</v>
      </c>
      <c r="C5" s="14">
        <v>-40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</row>
    <row r="6" spans="1:60" ht="15.75" thickTop="1" x14ac:dyDescent="0.25"/>
    <row r="7" spans="1:60" ht="15.75" thickBot="1" x14ac:dyDescent="0.3"/>
    <row r="8" spans="1:60" ht="15.75" thickTop="1" x14ac:dyDescent="0.25">
      <c r="B8" s="24" t="s">
        <v>8</v>
      </c>
      <c r="C8" s="25"/>
      <c r="D8" s="1"/>
      <c r="E8" s="1"/>
      <c r="F8" s="4" t="s">
        <v>9</v>
      </c>
      <c r="G8" s="4" t="s">
        <v>80</v>
      </c>
      <c r="H8" s="4" t="s">
        <v>84</v>
      </c>
      <c r="I8" s="4" t="s">
        <v>96</v>
      </c>
      <c r="J8" s="4" t="s">
        <v>9</v>
      </c>
      <c r="K8" s="4" t="s">
        <v>9</v>
      </c>
      <c r="L8" s="4" t="s">
        <v>103</v>
      </c>
      <c r="M8" s="1"/>
      <c r="N8" s="13">
        <v>44927</v>
      </c>
      <c r="O8" s="4" t="s">
        <v>9</v>
      </c>
      <c r="P8" s="4" t="s">
        <v>9</v>
      </c>
      <c r="Q8" s="4" t="s">
        <v>103</v>
      </c>
      <c r="R8" s="4" t="s">
        <v>9</v>
      </c>
      <c r="S8" s="4" t="s">
        <v>127</v>
      </c>
      <c r="T8" s="4" t="s">
        <v>127</v>
      </c>
      <c r="U8" s="4" t="s">
        <v>127</v>
      </c>
      <c r="V8" s="4" t="s">
        <v>102</v>
      </c>
      <c r="W8" s="4" t="s">
        <v>103</v>
      </c>
      <c r="X8" s="4" t="s">
        <v>9</v>
      </c>
      <c r="Y8" s="4" t="s">
        <v>9</v>
      </c>
      <c r="Z8" s="4" t="s">
        <v>9</v>
      </c>
      <c r="AA8" s="4" t="s">
        <v>103</v>
      </c>
      <c r="AB8" s="4" t="s">
        <v>9</v>
      </c>
      <c r="AC8" s="4" t="s">
        <v>9</v>
      </c>
      <c r="AD8" s="4" t="s">
        <v>104</v>
      </c>
      <c r="AE8" s="4" t="s">
        <v>6</v>
      </c>
      <c r="AF8" s="13">
        <v>45292</v>
      </c>
      <c r="AG8" s="13" t="s">
        <v>9</v>
      </c>
      <c r="AH8" s="13" t="s">
        <v>9</v>
      </c>
      <c r="AI8" s="13" t="s">
        <v>9</v>
      </c>
      <c r="AJ8" s="13" t="s">
        <v>103</v>
      </c>
      <c r="AK8" s="13" t="s">
        <v>127</v>
      </c>
      <c r="AL8" s="13" t="s">
        <v>103</v>
      </c>
      <c r="AM8" s="13" t="s">
        <v>9</v>
      </c>
      <c r="AN8" s="13" t="s">
        <v>9</v>
      </c>
      <c r="AO8" s="13" t="s">
        <v>9</v>
      </c>
      <c r="AP8" s="13" t="s">
        <v>103</v>
      </c>
      <c r="AQ8" s="13" t="s">
        <v>102</v>
      </c>
      <c r="AR8" s="13" t="s">
        <v>6</v>
      </c>
      <c r="AS8" s="13">
        <v>45658</v>
      </c>
      <c r="AT8" s="13"/>
      <c r="AU8" s="13"/>
      <c r="AV8" s="18"/>
      <c r="AW8" s="19"/>
      <c r="AX8" s="19"/>
      <c r="AY8" s="20"/>
      <c r="AZ8" s="13" t="s">
        <v>6</v>
      </c>
      <c r="BA8" s="13">
        <v>46023</v>
      </c>
      <c r="BB8" s="13"/>
      <c r="BC8" s="13"/>
      <c r="BD8" s="18"/>
      <c r="BE8" s="19"/>
      <c r="BF8" s="19"/>
      <c r="BG8" s="20"/>
      <c r="BH8" s="13" t="s">
        <v>6</v>
      </c>
    </row>
    <row r="9" spans="1:60" x14ac:dyDescent="0.25">
      <c r="B9" s="26"/>
      <c r="C9" s="27"/>
      <c r="D9" s="2"/>
      <c r="E9" s="2"/>
      <c r="F9" s="8" t="s">
        <v>22</v>
      </c>
      <c r="G9" s="8" t="s">
        <v>81</v>
      </c>
      <c r="H9" s="8" t="s">
        <v>34</v>
      </c>
      <c r="I9" s="8" t="s">
        <v>97</v>
      </c>
      <c r="J9" s="8" t="s">
        <v>61</v>
      </c>
      <c r="K9" s="8" t="s">
        <v>89</v>
      </c>
      <c r="L9" s="8" t="s">
        <v>104</v>
      </c>
      <c r="M9" s="2" t="s">
        <v>6</v>
      </c>
      <c r="N9" s="5"/>
      <c r="O9" s="8" t="s">
        <v>85</v>
      </c>
      <c r="P9" s="8" t="s">
        <v>18</v>
      </c>
      <c r="Q9" s="8" t="s">
        <v>72</v>
      </c>
      <c r="R9" s="8" t="s">
        <v>70</v>
      </c>
      <c r="S9" s="8" t="s">
        <v>76</v>
      </c>
      <c r="T9" s="8" t="s">
        <v>80</v>
      </c>
      <c r="U9" s="8" t="s">
        <v>72</v>
      </c>
      <c r="V9" s="8" t="s">
        <v>136</v>
      </c>
      <c r="W9" s="8" t="s">
        <v>76</v>
      </c>
      <c r="X9" s="8" t="s">
        <v>142</v>
      </c>
      <c r="Y9" s="8" t="s">
        <v>18</v>
      </c>
      <c r="Z9" s="8" t="s">
        <v>85</v>
      </c>
      <c r="AA9" s="8" t="s">
        <v>80</v>
      </c>
      <c r="AB9" s="8" t="s">
        <v>159</v>
      </c>
      <c r="AC9" s="8" t="s">
        <v>142</v>
      </c>
      <c r="AD9" s="8"/>
      <c r="AE9" s="2"/>
      <c r="AF9" s="5"/>
      <c r="AG9" s="5" t="s">
        <v>65</v>
      </c>
      <c r="AH9" s="5" t="s">
        <v>70</v>
      </c>
      <c r="AI9" s="5" t="s">
        <v>22</v>
      </c>
      <c r="AJ9" s="5" t="s">
        <v>76</v>
      </c>
      <c r="AK9" s="5" t="s">
        <v>80</v>
      </c>
      <c r="AL9" s="5" t="s">
        <v>72</v>
      </c>
      <c r="AM9" s="5" t="s">
        <v>70</v>
      </c>
      <c r="AN9" s="5" t="s">
        <v>22</v>
      </c>
      <c r="AO9" s="5" t="s">
        <v>65</v>
      </c>
      <c r="AP9" s="5" t="s">
        <v>80</v>
      </c>
      <c r="AQ9" s="5" t="s">
        <v>243</v>
      </c>
      <c r="AR9" s="5"/>
      <c r="AS9" s="5"/>
      <c r="AT9" s="8" t="s">
        <v>9</v>
      </c>
      <c r="AU9" s="8" t="s">
        <v>127</v>
      </c>
      <c r="AV9" s="28" t="s">
        <v>247</v>
      </c>
      <c r="AW9" s="29"/>
      <c r="AX9" s="29"/>
      <c r="AY9" s="30"/>
      <c r="AZ9" s="5"/>
      <c r="BA9" s="5"/>
      <c r="BB9" s="8" t="s">
        <v>9</v>
      </c>
      <c r="BC9" s="8" t="s">
        <v>127</v>
      </c>
      <c r="BD9" s="28" t="s">
        <v>247</v>
      </c>
      <c r="BE9" s="29"/>
      <c r="BF9" s="29"/>
      <c r="BG9" s="30"/>
      <c r="BH9" s="5"/>
    </row>
    <row r="10" spans="1:60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44737</v>
      </c>
      <c r="H10" s="9">
        <v>44759</v>
      </c>
      <c r="I10" s="9">
        <v>44828</v>
      </c>
      <c r="J10" s="9">
        <v>44849</v>
      </c>
      <c r="K10" s="9">
        <v>44856</v>
      </c>
      <c r="L10" s="9">
        <v>44905</v>
      </c>
      <c r="M10" s="2">
        <v>2022</v>
      </c>
      <c r="N10" s="5"/>
      <c r="O10" s="5" t="s">
        <v>108</v>
      </c>
      <c r="P10" s="5" t="s">
        <v>110</v>
      </c>
      <c r="Q10" s="5" t="s">
        <v>111</v>
      </c>
      <c r="R10" s="5" t="s">
        <v>123</v>
      </c>
      <c r="S10" s="5" t="s">
        <v>128</v>
      </c>
      <c r="T10" s="5" t="s">
        <v>133</v>
      </c>
      <c r="U10" s="5" t="s">
        <v>134</v>
      </c>
      <c r="V10" s="5" t="s">
        <v>137</v>
      </c>
      <c r="W10" s="5" t="s">
        <v>140</v>
      </c>
      <c r="X10" s="5" t="s">
        <v>143</v>
      </c>
      <c r="Y10" s="5" t="s">
        <v>150</v>
      </c>
      <c r="Z10" s="5" t="s">
        <v>151</v>
      </c>
      <c r="AA10" s="5" t="s">
        <v>156</v>
      </c>
      <c r="AB10" s="5" t="s">
        <v>160</v>
      </c>
      <c r="AC10" s="5" t="s">
        <v>164</v>
      </c>
      <c r="AD10" s="5" t="s">
        <v>165</v>
      </c>
      <c r="AE10" s="2">
        <v>2023</v>
      </c>
      <c r="AF10" s="15"/>
      <c r="AG10" s="15" t="s">
        <v>166</v>
      </c>
      <c r="AH10" s="15" t="s">
        <v>166</v>
      </c>
      <c r="AI10" s="15" t="s">
        <v>199</v>
      </c>
      <c r="AJ10" s="15" t="s">
        <v>207</v>
      </c>
      <c r="AK10" s="15" t="s">
        <v>220</v>
      </c>
      <c r="AL10" s="15" t="s">
        <v>222</v>
      </c>
      <c r="AM10" s="15" t="s">
        <v>149</v>
      </c>
      <c r="AN10" s="15" t="s">
        <v>228</v>
      </c>
      <c r="AO10" s="15" t="s">
        <v>233</v>
      </c>
      <c r="AP10" s="15" t="s">
        <v>238</v>
      </c>
      <c r="AQ10" s="15" t="s">
        <v>244</v>
      </c>
      <c r="AR10" s="15">
        <v>2024</v>
      </c>
      <c r="AS10" s="5"/>
      <c r="AT10" s="5"/>
      <c r="AU10" s="5"/>
      <c r="AV10" s="5">
        <v>1</v>
      </c>
      <c r="AW10" s="5">
        <v>2</v>
      </c>
      <c r="AX10" s="5">
        <v>3</v>
      </c>
      <c r="AY10" s="5">
        <v>4</v>
      </c>
      <c r="AZ10" s="5">
        <v>2025</v>
      </c>
      <c r="BA10" s="5"/>
      <c r="BB10" s="5"/>
      <c r="BC10" s="5"/>
      <c r="BD10" s="5">
        <v>1</v>
      </c>
      <c r="BE10" s="5">
        <v>2</v>
      </c>
      <c r="BF10" s="5">
        <v>3</v>
      </c>
      <c r="BG10" s="5">
        <v>4</v>
      </c>
      <c r="BH10" s="5">
        <v>2026</v>
      </c>
    </row>
    <row r="11" spans="1:60" x14ac:dyDescent="0.25">
      <c r="A11">
        <v>1</v>
      </c>
      <c r="B11" s="6" t="s">
        <v>268</v>
      </c>
      <c r="C11" s="6"/>
      <c r="D11" s="6" t="s">
        <v>269</v>
      </c>
      <c r="E11" s="6" t="s">
        <v>27</v>
      </c>
      <c r="F11" s="6"/>
      <c r="G11" s="6"/>
      <c r="H11" s="6"/>
      <c r="I11" s="6"/>
      <c r="J11" s="10"/>
      <c r="K11" s="10"/>
      <c r="L11" s="10"/>
      <c r="M11" s="6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0"/>
      <c r="AO11" s="10"/>
      <c r="AP11" s="10"/>
      <c r="AQ11" s="10"/>
      <c r="AR11" s="6"/>
      <c r="AS11" s="6"/>
      <c r="AT11" s="10"/>
      <c r="AU11" s="10"/>
      <c r="AV11" s="10"/>
      <c r="AW11" s="10"/>
      <c r="AX11" s="10"/>
      <c r="AY11" s="10"/>
      <c r="AZ11" s="6"/>
      <c r="BA11" s="6">
        <v>276</v>
      </c>
      <c r="BB11" s="10">
        <v>42</v>
      </c>
      <c r="BC11" s="10">
        <v>40</v>
      </c>
      <c r="BD11" s="10">
        <v>150</v>
      </c>
      <c r="BE11" s="10"/>
      <c r="BF11" s="10"/>
      <c r="BG11" s="10">
        <v>50</v>
      </c>
      <c r="BH11" s="6">
        <f>SUM(BA11:BG11)</f>
        <v>558</v>
      </c>
    </row>
    <row r="12" spans="1:60" x14ac:dyDescent="0.25">
      <c r="A12">
        <v>2</v>
      </c>
      <c r="B12" s="6" t="s">
        <v>301</v>
      </c>
      <c r="C12" s="6"/>
      <c r="D12" s="6" t="s">
        <v>302</v>
      </c>
      <c r="E12" s="6" t="s">
        <v>188</v>
      </c>
      <c r="F12" s="6"/>
      <c r="G12" s="6"/>
      <c r="H12" s="6"/>
      <c r="I12" s="6"/>
      <c r="J12" s="10"/>
      <c r="K12" s="10"/>
      <c r="L12" s="10"/>
      <c r="M12" s="6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10"/>
      <c r="AO12" s="10"/>
      <c r="AP12" s="10"/>
      <c r="AQ12" s="10"/>
      <c r="AR12" s="6"/>
      <c r="AS12" s="6"/>
      <c r="AT12" s="10"/>
      <c r="AU12" s="10"/>
      <c r="AV12" s="10"/>
      <c r="AW12" s="10"/>
      <c r="AX12" s="10"/>
      <c r="AY12" s="10"/>
      <c r="AZ12" s="6"/>
      <c r="BA12" s="6">
        <f>342.9</f>
        <v>342.9</v>
      </c>
      <c r="BB12" s="10">
        <v>36</v>
      </c>
      <c r="BC12" s="10"/>
      <c r="BD12" s="10">
        <v>105</v>
      </c>
      <c r="BE12" s="10">
        <v>36</v>
      </c>
      <c r="BF12" s="10"/>
      <c r="BG12" s="10"/>
      <c r="BH12" s="6">
        <f>SUM(BA12:BG12)</f>
        <v>519.9</v>
      </c>
    </row>
    <row r="13" spans="1:60" x14ac:dyDescent="0.25">
      <c r="A13">
        <v>3</v>
      </c>
      <c r="B13" s="6" t="s">
        <v>267</v>
      </c>
      <c r="C13" s="6"/>
      <c r="D13" s="6" t="s">
        <v>58</v>
      </c>
      <c r="E13" s="6" t="s">
        <v>26</v>
      </c>
      <c r="F13" s="6"/>
      <c r="G13" s="6"/>
      <c r="H13" s="6"/>
      <c r="I13" s="6"/>
      <c r="J13" s="10"/>
      <c r="K13" s="10"/>
      <c r="L13" s="10"/>
      <c r="M13" s="6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10"/>
      <c r="AO13" s="10"/>
      <c r="AP13" s="10"/>
      <c r="AQ13" s="10"/>
      <c r="AR13" s="6"/>
      <c r="AS13" s="6"/>
      <c r="AT13" s="10"/>
      <c r="AU13" s="10"/>
      <c r="AV13" s="10"/>
      <c r="AW13" s="10"/>
      <c r="AX13" s="10"/>
      <c r="AY13" s="10"/>
      <c r="AZ13" s="6"/>
      <c r="BA13" s="6">
        <v>295</v>
      </c>
      <c r="BB13" s="10">
        <v>60</v>
      </c>
      <c r="BC13" s="10">
        <v>80</v>
      </c>
      <c r="BD13" s="10"/>
      <c r="BE13" s="10"/>
      <c r="BF13" s="10"/>
      <c r="BG13" s="10">
        <v>70</v>
      </c>
      <c r="BH13" s="6">
        <f>SUM(BA13:BG13)</f>
        <v>505</v>
      </c>
    </row>
    <row r="14" spans="1:60" x14ac:dyDescent="0.25">
      <c r="A14">
        <v>4</v>
      </c>
      <c r="B14" s="6" t="s">
        <v>355</v>
      </c>
      <c r="C14" s="6"/>
      <c r="D14" s="6" t="s">
        <v>47</v>
      </c>
      <c r="E14" s="6" t="s">
        <v>197</v>
      </c>
      <c r="F14" s="6"/>
      <c r="G14" s="6"/>
      <c r="H14" s="6"/>
      <c r="I14" s="6"/>
      <c r="J14" s="10"/>
      <c r="K14" s="10"/>
      <c r="L14" s="10"/>
      <c r="M14" s="6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10"/>
      <c r="AO14" s="10"/>
      <c r="AP14" s="10"/>
      <c r="AQ14" s="10"/>
      <c r="AR14" s="6"/>
      <c r="AS14" s="6"/>
      <c r="AT14" s="10"/>
      <c r="AU14" s="10"/>
      <c r="AV14" s="10"/>
      <c r="AW14" s="10"/>
      <c r="AX14" s="10"/>
      <c r="AY14" s="10"/>
      <c r="AZ14" s="6"/>
      <c r="BA14" s="6">
        <v>150.4</v>
      </c>
      <c r="BB14" s="10">
        <v>36</v>
      </c>
      <c r="BC14" s="10">
        <v>80</v>
      </c>
      <c r="BD14" s="10">
        <v>54</v>
      </c>
      <c r="BE14" s="10">
        <v>36</v>
      </c>
      <c r="BF14" s="10"/>
      <c r="BG14" s="10"/>
      <c r="BH14" s="6">
        <f>SUM(BA14:BG14)</f>
        <v>356.4</v>
      </c>
    </row>
    <row r="15" spans="1:60" x14ac:dyDescent="0.25">
      <c r="A15">
        <v>5</v>
      </c>
      <c r="B15" s="6" t="s">
        <v>264</v>
      </c>
      <c r="C15" s="6"/>
      <c r="D15" s="6" t="s">
        <v>83</v>
      </c>
      <c r="E15" s="6" t="s">
        <v>26</v>
      </c>
      <c r="F15" s="6"/>
      <c r="G15" s="6"/>
      <c r="H15" s="6"/>
      <c r="I15" s="6"/>
      <c r="J15" s="10"/>
      <c r="K15" s="10"/>
      <c r="L15" s="10"/>
      <c r="M15" s="6"/>
      <c r="N15" s="1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10"/>
      <c r="AO15" s="10"/>
      <c r="AP15" s="10"/>
      <c r="AQ15" s="10"/>
      <c r="AR15" s="6"/>
      <c r="AS15" s="6"/>
      <c r="AT15" s="10"/>
      <c r="AU15" s="10"/>
      <c r="AV15" s="10"/>
      <c r="AW15" s="10"/>
      <c r="AX15" s="10"/>
      <c r="AY15" s="10"/>
      <c r="AZ15" s="6"/>
      <c r="BA15" s="6">
        <v>291.5</v>
      </c>
      <c r="BB15" s="10"/>
      <c r="BC15" s="10">
        <v>56</v>
      </c>
      <c r="BD15" s="10"/>
      <c r="BE15" s="10"/>
      <c r="BF15" s="10"/>
      <c r="BG15" s="10"/>
      <c r="BH15" s="6">
        <f>SUM(BA15:BG15)</f>
        <v>347.5</v>
      </c>
    </row>
    <row r="16" spans="1:60" x14ac:dyDescent="0.25">
      <c r="A16">
        <v>6</v>
      </c>
      <c r="B16" s="6" t="s">
        <v>270</v>
      </c>
      <c r="C16" s="6"/>
      <c r="D16" s="6" t="s">
        <v>454</v>
      </c>
      <c r="E16" s="6" t="s">
        <v>27</v>
      </c>
      <c r="F16" s="6"/>
      <c r="G16" s="6"/>
      <c r="H16" s="6"/>
      <c r="I16" s="6"/>
      <c r="J16" s="10"/>
      <c r="K16" s="10"/>
      <c r="L16" s="10"/>
      <c r="M16" s="6"/>
      <c r="N16" s="10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10"/>
      <c r="AO16" s="10"/>
      <c r="AP16" s="10"/>
      <c r="AQ16" s="10"/>
      <c r="AR16" s="6"/>
      <c r="AS16" s="6"/>
      <c r="AT16" s="10"/>
      <c r="AU16" s="10"/>
      <c r="AV16" s="10"/>
      <c r="AW16" s="10"/>
      <c r="AX16" s="10"/>
      <c r="AY16" s="10"/>
      <c r="AZ16" s="6"/>
      <c r="BA16" s="6">
        <v>202</v>
      </c>
      <c r="BB16" s="10">
        <v>30</v>
      </c>
      <c r="BC16" s="10">
        <v>28.8</v>
      </c>
      <c r="BD16" s="10">
        <v>75</v>
      </c>
      <c r="BE16" s="10"/>
      <c r="BF16" s="10"/>
      <c r="BG16" s="10">
        <v>5</v>
      </c>
      <c r="BH16" s="6">
        <f>SUM(BA16:BG16)</f>
        <v>340.8</v>
      </c>
    </row>
    <row r="17" spans="1:60" x14ac:dyDescent="0.25">
      <c r="A17">
        <v>7</v>
      </c>
      <c r="B17" s="6" t="s">
        <v>315</v>
      </c>
      <c r="C17" s="6"/>
      <c r="D17" s="6" t="s">
        <v>314</v>
      </c>
      <c r="E17" s="6" t="s">
        <v>316</v>
      </c>
      <c r="F17" s="6"/>
      <c r="G17" s="6"/>
      <c r="H17" s="6"/>
      <c r="I17" s="6"/>
      <c r="J17" s="10"/>
      <c r="K17" s="10"/>
      <c r="L17" s="10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10"/>
      <c r="AO17" s="10"/>
      <c r="AP17" s="10"/>
      <c r="AQ17" s="10"/>
      <c r="AR17" s="6"/>
      <c r="AS17" s="6"/>
      <c r="AT17" s="10">
        <v>36</v>
      </c>
      <c r="AU17" s="10">
        <v>48</v>
      </c>
      <c r="AV17" s="10">
        <v>84</v>
      </c>
      <c r="AW17" s="10">
        <v>75</v>
      </c>
      <c r="AX17" s="10">
        <v>36</v>
      </c>
      <c r="AY17" s="10"/>
      <c r="AZ17" s="6">
        <f>SUM(AS17:AY17)</f>
        <v>279</v>
      </c>
      <c r="BA17" s="6">
        <f>(AZ17-AS17)/2</f>
        <v>139.5</v>
      </c>
      <c r="BB17" s="10">
        <v>36</v>
      </c>
      <c r="BC17" s="10">
        <v>64</v>
      </c>
      <c r="BD17" s="10">
        <v>36</v>
      </c>
      <c r="BE17" s="10"/>
      <c r="BF17" s="10"/>
      <c r="BG17" s="10"/>
      <c r="BH17" s="6">
        <f>SUM(BA17:BG17)</f>
        <v>275.5</v>
      </c>
    </row>
    <row r="18" spans="1:60" x14ac:dyDescent="0.25">
      <c r="A18" s="21">
        <v>8</v>
      </c>
      <c r="B18" s="6" t="s">
        <v>130</v>
      </c>
      <c r="C18" s="6"/>
      <c r="D18" s="6" t="s">
        <v>324</v>
      </c>
      <c r="E18" s="6" t="s">
        <v>307</v>
      </c>
      <c r="F18" s="6"/>
      <c r="G18" s="6"/>
      <c r="H18" s="6"/>
      <c r="I18" s="6"/>
      <c r="J18" s="10"/>
      <c r="K18" s="10"/>
      <c r="L18" s="10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10"/>
      <c r="AO18" s="10"/>
      <c r="AP18" s="10"/>
      <c r="AQ18" s="10"/>
      <c r="AR18" s="6"/>
      <c r="AS18" s="6"/>
      <c r="AT18" s="10"/>
      <c r="AU18" s="10"/>
      <c r="AV18" s="10"/>
      <c r="AW18" s="10"/>
      <c r="AX18" s="10"/>
      <c r="AY18" s="10"/>
      <c r="AZ18" s="6"/>
      <c r="BA18" s="6">
        <v>88.75</v>
      </c>
      <c r="BB18" s="10">
        <v>36</v>
      </c>
      <c r="BC18" s="10">
        <v>44.8</v>
      </c>
      <c r="BD18" s="10">
        <v>54</v>
      </c>
      <c r="BE18" s="10">
        <v>36</v>
      </c>
      <c r="BF18" s="10"/>
      <c r="BG18" s="10"/>
      <c r="BH18" s="6">
        <f>SUM(BA18:BG18)</f>
        <v>259.55</v>
      </c>
    </row>
    <row r="19" spans="1:60" x14ac:dyDescent="0.25">
      <c r="A19">
        <v>9</v>
      </c>
      <c r="B19" s="6" t="s">
        <v>402</v>
      </c>
      <c r="C19" s="6"/>
      <c r="D19" s="6" t="s">
        <v>359</v>
      </c>
      <c r="E19" s="6" t="s">
        <v>403</v>
      </c>
      <c r="F19" s="6"/>
      <c r="G19" s="6"/>
      <c r="H19" s="6"/>
      <c r="I19" s="6"/>
      <c r="J19" s="10"/>
      <c r="K19" s="10"/>
      <c r="L19" s="10"/>
      <c r="M19" s="6"/>
      <c r="N19" s="1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10"/>
      <c r="AO19" s="10"/>
      <c r="AP19" s="10"/>
      <c r="AQ19" s="10"/>
      <c r="AR19" s="6"/>
      <c r="AS19" s="6"/>
      <c r="AT19" s="10"/>
      <c r="AU19" s="10"/>
      <c r="AV19" s="10"/>
      <c r="AW19" s="10"/>
      <c r="AX19" s="10"/>
      <c r="AY19" s="10"/>
      <c r="AZ19" s="6"/>
      <c r="BA19" s="6"/>
      <c r="BB19" s="10">
        <v>48</v>
      </c>
      <c r="BC19" s="10">
        <v>56</v>
      </c>
      <c r="BD19" s="10">
        <v>75</v>
      </c>
      <c r="BE19" s="10">
        <v>48</v>
      </c>
      <c r="BF19" s="10"/>
      <c r="BG19" s="10"/>
      <c r="BH19" s="6">
        <f>SUM(BA19:BG19)</f>
        <v>227</v>
      </c>
    </row>
    <row r="20" spans="1:60" x14ac:dyDescent="0.25">
      <c r="A20">
        <v>10</v>
      </c>
      <c r="B20" s="6" t="s">
        <v>341</v>
      </c>
      <c r="C20" s="6"/>
      <c r="D20" s="6" t="s">
        <v>256</v>
      </c>
      <c r="E20" s="6" t="s">
        <v>144</v>
      </c>
      <c r="F20" s="6"/>
      <c r="G20" s="6"/>
      <c r="H20" s="6"/>
      <c r="I20" s="6"/>
      <c r="J20" s="10"/>
      <c r="K20" s="10"/>
      <c r="L20" s="10"/>
      <c r="M20" s="6"/>
      <c r="N20" s="10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10"/>
      <c r="AO20" s="10"/>
      <c r="AP20" s="10"/>
      <c r="AQ20" s="10"/>
      <c r="AR20" s="6"/>
      <c r="AS20" s="6"/>
      <c r="AT20" s="10">
        <v>36</v>
      </c>
      <c r="AU20" s="10">
        <v>48</v>
      </c>
      <c r="AV20" s="10">
        <v>105</v>
      </c>
      <c r="AW20" s="10">
        <v>160</v>
      </c>
      <c r="AX20" s="10"/>
      <c r="AY20" s="10"/>
      <c r="AZ20" s="6">
        <f>SUM(AS20:AY20)</f>
        <v>349</v>
      </c>
      <c r="BA20" s="6">
        <f>(AZ20-AS20)/2</f>
        <v>174.5</v>
      </c>
      <c r="BB20" s="10"/>
      <c r="BC20" s="10"/>
      <c r="BD20" s="10"/>
      <c r="BE20" s="10"/>
      <c r="BF20" s="10"/>
      <c r="BG20" s="10"/>
      <c r="BH20" s="6">
        <f>SUM(BA20:BG20)</f>
        <v>174.5</v>
      </c>
    </row>
    <row r="21" spans="1:60" x14ac:dyDescent="0.25">
      <c r="A21">
        <v>11</v>
      </c>
      <c r="B21" s="6" t="s">
        <v>325</v>
      </c>
      <c r="C21" s="6"/>
      <c r="D21" s="6" t="s">
        <v>326</v>
      </c>
      <c r="E21" s="6" t="s">
        <v>428</v>
      </c>
      <c r="F21" s="6"/>
      <c r="G21" s="6"/>
      <c r="H21" s="6"/>
      <c r="I21" s="6"/>
      <c r="J21" s="10"/>
      <c r="K21" s="10"/>
      <c r="L21" s="10"/>
      <c r="M21" s="6"/>
      <c r="N21" s="10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10"/>
      <c r="AO21" s="10"/>
      <c r="AP21" s="10"/>
      <c r="AQ21" s="10"/>
      <c r="AR21" s="6"/>
      <c r="AS21" s="6"/>
      <c r="AT21" s="10"/>
      <c r="AU21" s="10"/>
      <c r="AV21" s="10"/>
      <c r="AW21" s="10"/>
      <c r="AX21" s="10"/>
      <c r="AY21" s="10"/>
      <c r="AZ21" s="6"/>
      <c r="BA21" s="6"/>
      <c r="BB21" s="10">
        <v>48</v>
      </c>
      <c r="BC21" s="10">
        <v>4</v>
      </c>
      <c r="BD21" s="10">
        <v>39</v>
      </c>
      <c r="BE21" s="10"/>
      <c r="BF21" s="10"/>
      <c r="BG21" s="10"/>
      <c r="BH21" s="6">
        <f>SUM(BA21:BG21)</f>
        <v>91</v>
      </c>
    </row>
    <row r="22" spans="1:60" x14ac:dyDescent="0.25">
      <c r="A22">
        <v>12</v>
      </c>
      <c r="B22" s="6" t="s">
        <v>263</v>
      </c>
      <c r="C22" s="6"/>
      <c r="D22" s="6" t="s">
        <v>93</v>
      </c>
      <c r="E22" s="6" t="s">
        <v>26</v>
      </c>
      <c r="F22" s="6"/>
      <c r="G22" s="6"/>
      <c r="H22" s="6"/>
      <c r="I22" s="6"/>
      <c r="J22" s="10"/>
      <c r="K22" s="10"/>
      <c r="L22" s="10"/>
      <c r="M22" s="6"/>
      <c r="N22" s="10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10"/>
      <c r="AO22" s="10"/>
      <c r="AP22" s="10"/>
      <c r="AQ22" s="10"/>
      <c r="AR22" s="6"/>
      <c r="AS22" s="6"/>
      <c r="AT22" s="10">
        <v>48</v>
      </c>
      <c r="AU22" s="10"/>
      <c r="AV22" s="10">
        <v>112</v>
      </c>
      <c r="AW22" s="10"/>
      <c r="AX22" s="10"/>
      <c r="AY22" s="10"/>
      <c r="AZ22" s="6">
        <f>SUM(AS22:AY22)</f>
        <v>160</v>
      </c>
      <c r="BA22" s="6">
        <f>(AZ22-AS22)/2</f>
        <v>80</v>
      </c>
      <c r="BB22" s="10"/>
      <c r="BC22" s="10"/>
      <c r="BD22" s="10"/>
      <c r="BE22" s="10"/>
      <c r="BF22" s="10"/>
      <c r="BG22" s="10"/>
      <c r="BH22" s="6">
        <f>SUM(BA22:BG22)</f>
        <v>80</v>
      </c>
    </row>
    <row r="23" spans="1:60" x14ac:dyDescent="0.25">
      <c r="A23">
        <v>13</v>
      </c>
      <c r="B23" s="6" t="s">
        <v>297</v>
      </c>
      <c r="C23" s="6"/>
      <c r="D23" s="6" t="s">
        <v>74</v>
      </c>
      <c r="E23" s="6" t="s">
        <v>254</v>
      </c>
      <c r="F23" s="6"/>
      <c r="G23" s="6"/>
      <c r="H23" s="6"/>
      <c r="I23" s="6"/>
      <c r="J23" s="10"/>
      <c r="K23" s="10"/>
      <c r="L23" s="10"/>
      <c r="M23" s="6"/>
      <c r="N23" s="1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10"/>
      <c r="AO23" s="10"/>
      <c r="AP23" s="10"/>
      <c r="AQ23" s="10"/>
      <c r="AR23" s="6"/>
      <c r="AS23" s="6"/>
      <c r="AT23" s="10"/>
      <c r="AU23" s="10"/>
      <c r="AV23" s="10"/>
      <c r="AW23" s="10"/>
      <c r="AX23" s="10"/>
      <c r="AY23" s="10"/>
      <c r="AZ23" s="6"/>
      <c r="BA23" s="6"/>
      <c r="BB23" s="10"/>
      <c r="BC23" s="10">
        <v>4</v>
      </c>
      <c r="BD23" s="10">
        <v>60</v>
      </c>
      <c r="BE23" s="10"/>
      <c r="BF23" s="10"/>
      <c r="BG23" s="10"/>
      <c r="BH23" s="6">
        <f>SUM(BA23:BG23)</f>
        <v>64</v>
      </c>
    </row>
    <row r="24" spans="1:60" x14ac:dyDescent="0.25">
      <c r="A24">
        <v>14</v>
      </c>
      <c r="B24" s="6" t="s">
        <v>251</v>
      </c>
      <c r="C24" s="6"/>
      <c r="D24" s="6" t="s">
        <v>200</v>
      </c>
      <c r="E24" s="6" t="s">
        <v>157</v>
      </c>
      <c r="F24" s="6"/>
      <c r="G24" s="6"/>
      <c r="H24" s="6"/>
      <c r="I24" s="6"/>
      <c r="J24" s="10"/>
      <c r="K24" s="10"/>
      <c r="L24" s="10"/>
      <c r="M24" s="6"/>
      <c r="N24" s="10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10"/>
      <c r="AO24" s="10"/>
      <c r="AP24" s="10"/>
      <c r="AQ24" s="10"/>
      <c r="AR24" s="6"/>
      <c r="AS24" s="6"/>
      <c r="AT24" s="10"/>
      <c r="AU24" s="10"/>
      <c r="AV24" s="10"/>
      <c r="AW24" s="10"/>
      <c r="AX24" s="10"/>
      <c r="AY24" s="10"/>
      <c r="AZ24" s="6"/>
      <c r="BA24" s="6"/>
      <c r="BB24" s="10">
        <v>36</v>
      </c>
      <c r="BC24" s="10">
        <v>20.8</v>
      </c>
      <c r="BD24" s="10"/>
      <c r="BE24" s="10"/>
      <c r="BF24" s="10"/>
      <c r="BG24" s="10"/>
      <c r="BH24" s="6">
        <f>SUM(BA24:BG24)</f>
        <v>56.8</v>
      </c>
    </row>
    <row r="25" spans="1:60" x14ac:dyDescent="0.25">
      <c r="A25">
        <v>15</v>
      </c>
      <c r="B25" s="6" t="s">
        <v>203</v>
      </c>
      <c r="C25" s="6"/>
      <c r="D25" s="6" t="s">
        <v>212</v>
      </c>
      <c r="E25" s="6" t="s">
        <v>120</v>
      </c>
      <c r="F25" s="6"/>
      <c r="G25" s="6"/>
      <c r="H25" s="6"/>
      <c r="I25" s="6"/>
      <c r="J25" s="10"/>
      <c r="K25" s="10"/>
      <c r="L25" s="10"/>
      <c r="M25" s="6"/>
      <c r="N25" s="1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10"/>
      <c r="AO25" s="10"/>
      <c r="AP25" s="10"/>
      <c r="AQ25" s="10"/>
      <c r="AR25" s="6"/>
      <c r="AS25" s="6"/>
      <c r="AT25" s="10"/>
      <c r="AU25" s="10"/>
      <c r="AV25" s="10"/>
      <c r="AW25" s="10"/>
      <c r="AX25" s="10"/>
      <c r="AY25" s="10"/>
      <c r="AZ25" s="6"/>
      <c r="BA25" s="6"/>
      <c r="BB25" s="10">
        <v>48</v>
      </c>
      <c r="BC25" s="10"/>
      <c r="BD25" s="10">
        <v>7.5</v>
      </c>
      <c r="BE25" s="10"/>
      <c r="BF25" s="10"/>
      <c r="BG25" s="10"/>
      <c r="BH25" s="6">
        <f>SUM(BA25:BG25)</f>
        <v>55.5</v>
      </c>
    </row>
    <row r="26" spans="1:60" x14ac:dyDescent="0.25">
      <c r="A26">
        <v>16</v>
      </c>
      <c r="B26" s="6" t="s">
        <v>422</v>
      </c>
      <c r="C26" s="6"/>
      <c r="D26" s="6" t="s">
        <v>460</v>
      </c>
      <c r="E26" s="6" t="s">
        <v>461</v>
      </c>
      <c r="F26" s="6"/>
      <c r="G26" s="6"/>
      <c r="H26" s="6"/>
      <c r="I26" s="6"/>
      <c r="J26" s="10"/>
      <c r="K26" s="10"/>
      <c r="L26" s="10"/>
      <c r="M26" s="6"/>
      <c r="N26" s="10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10"/>
      <c r="AO26" s="10"/>
      <c r="AP26" s="10"/>
      <c r="AQ26" s="10"/>
      <c r="AR26" s="6"/>
      <c r="AS26" s="6"/>
      <c r="AT26" s="10"/>
      <c r="AU26" s="10"/>
      <c r="AV26" s="10"/>
      <c r="AW26" s="10"/>
      <c r="AX26" s="10"/>
      <c r="AY26" s="10"/>
      <c r="AZ26" s="6"/>
      <c r="BA26" s="6"/>
      <c r="BB26" s="10">
        <v>48</v>
      </c>
      <c r="BC26" s="10"/>
      <c r="BD26" s="10"/>
      <c r="BE26" s="10"/>
      <c r="BF26" s="10"/>
      <c r="BG26" s="10"/>
      <c r="BH26" s="6">
        <f>SUM(BA26:BG26)</f>
        <v>48</v>
      </c>
    </row>
    <row r="27" spans="1:60" x14ac:dyDescent="0.25">
      <c r="A27">
        <v>17</v>
      </c>
      <c r="B27" s="6" t="s">
        <v>462</v>
      </c>
      <c r="C27" s="6"/>
      <c r="D27" s="6" t="s">
        <v>344</v>
      </c>
      <c r="E27" s="6" t="s">
        <v>461</v>
      </c>
      <c r="F27" s="6"/>
      <c r="G27" s="6"/>
      <c r="H27" s="6"/>
      <c r="I27" s="6"/>
      <c r="J27" s="10"/>
      <c r="K27" s="10"/>
      <c r="L27" s="10"/>
      <c r="M27" s="6"/>
      <c r="N27" s="10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10"/>
      <c r="AO27" s="10"/>
      <c r="AP27" s="10"/>
      <c r="AQ27" s="10"/>
      <c r="AR27" s="6"/>
      <c r="AS27" s="6"/>
      <c r="AT27" s="10"/>
      <c r="AU27" s="10"/>
      <c r="AV27" s="10"/>
      <c r="AW27" s="10"/>
      <c r="AX27" s="10"/>
      <c r="AY27" s="10"/>
      <c r="AZ27" s="6"/>
      <c r="BA27" s="6"/>
      <c r="BB27" s="10">
        <v>36</v>
      </c>
      <c r="BC27" s="10"/>
      <c r="BD27" s="10">
        <v>7.5</v>
      </c>
      <c r="BE27" s="10"/>
      <c r="BF27" s="10"/>
      <c r="BG27" s="10"/>
      <c r="BH27" s="6">
        <f>SUM(BA27:BG27)</f>
        <v>43.5</v>
      </c>
    </row>
    <row r="28" spans="1:60" x14ac:dyDescent="0.25">
      <c r="A28">
        <v>18</v>
      </c>
      <c r="B28" s="6" t="s">
        <v>455</v>
      </c>
      <c r="C28" s="6"/>
      <c r="D28" s="6" t="s">
        <v>47</v>
      </c>
      <c r="E28" s="6" t="s">
        <v>26</v>
      </c>
      <c r="F28" s="6"/>
      <c r="G28" s="6"/>
      <c r="H28" s="6"/>
      <c r="I28" s="6"/>
      <c r="J28" s="10"/>
      <c r="K28" s="10"/>
      <c r="L28" s="10"/>
      <c r="M28" s="6"/>
      <c r="N28" s="10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10"/>
      <c r="AO28" s="10"/>
      <c r="AP28" s="10"/>
      <c r="AQ28" s="10"/>
      <c r="AR28" s="6"/>
      <c r="AS28" s="6"/>
      <c r="AT28" s="10"/>
      <c r="AU28" s="10"/>
      <c r="AV28" s="10"/>
      <c r="AW28" s="10"/>
      <c r="AX28" s="10"/>
      <c r="AY28" s="10"/>
      <c r="AZ28" s="6"/>
      <c r="BA28" s="6"/>
      <c r="BB28" s="10">
        <v>3</v>
      </c>
      <c r="BC28" s="10">
        <v>40</v>
      </c>
      <c r="BD28" s="10"/>
      <c r="BE28" s="10"/>
      <c r="BF28" s="10"/>
      <c r="BG28" s="10"/>
      <c r="BH28" s="6">
        <f>SUM(BA28:BG28)</f>
        <v>43</v>
      </c>
    </row>
    <row r="29" spans="1:60" x14ac:dyDescent="0.25">
      <c r="A29">
        <v>19</v>
      </c>
      <c r="B29" s="6" t="s">
        <v>301</v>
      </c>
      <c r="C29" s="6"/>
      <c r="D29" s="6" t="s">
        <v>318</v>
      </c>
      <c r="E29" s="6" t="s">
        <v>461</v>
      </c>
      <c r="F29" s="6"/>
      <c r="G29" s="6"/>
      <c r="H29" s="6"/>
      <c r="I29" s="6"/>
      <c r="J29" s="10"/>
      <c r="K29" s="10"/>
      <c r="L29" s="10"/>
      <c r="M29" s="6"/>
      <c r="N29" s="10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10"/>
      <c r="AO29" s="10"/>
      <c r="AP29" s="10"/>
      <c r="AQ29" s="10"/>
      <c r="AR29" s="6"/>
      <c r="AS29" s="6"/>
      <c r="AT29" s="10"/>
      <c r="AU29" s="10"/>
      <c r="AV29" s="10"/>
      <c r="AW29" s="10"/>
      <c r="AX29" s="10"/>
      <c r="AY29" s="10"/>
      <c r="AZ29" s="6"/>
      <c r="BA29" s="6"/>
      <c r="BB29" s="10">
        <v>2.4</v>
      </c>
      <c r="BC29" s="10"/>
      <c r="BD29" s="10">
        <v>39</v>
      </c>
      <c r="BE29" s="10"/>
      <c r="BF29" s="10"/>
      <c r="BG29" s="10"/>
      <c r="BH29" s="6">
        <f>SUM(BA29:BG29)</f>
        <v>41.4</v>
      </c>
    </row>
    <row r="30" spans="1:60" x14ac:dyDescent="0.25">
      <c r="A30">
        <v>21</v>
      </c>
      <c r="B30" s="6" t="s">
        <v>477</v>
      </c>
      <c r="C30" s="6"/>
      <c r="D30" s="6" t="s">
        <v>478</v>
      </c>
      <c r="E30" s="6" t="s">
        <v>73</v>
      </c>
      <c r="F30" s="6"/>
      <c r="G30" s="6"/>
      <c r="H30" s="6"/>
      <c r="I30" s="6"/>
      <c r="J30" s="10"/>
      <c r="K30" s="10"/>
      <c r="L30" s="10"/>
      <c r="M30" s="6"/>
      <c r="N30" s="10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10"/>
      <c r="AO30" s="10"/>
      <c r="AP30" s="10"/>
      <c r="AQ30" s="10"/>
      <c r="AR30" s="6"/>
      <c r="AS30" s="6"/>
      <c r="AT30" s="10"/>
      <c r="AU30" s="10"/>
      <c r="AV30" s="10"/>
      <c r="AW30" s="10"/>
      <c r="AX30" s="10"/>
      <c r="AY30" s="10"/>
      <c r="AZ30" s="6"/>
      <c r="BA30" s="6"/>
      <c r="BB30" s="10"/>
      <c r="BC30" s="10">
        <v>40</v>
      </c>
      <c r="BD30" s="10"/>
      <c r="BE30" s="10"/>
      <c r="BF30" s="10"/>
      <c r="BG30" s="10"/>
      <c r="BH30" s="6">
        <f>SUM(BA30:BG30)</f>
        <v>40</v>
      </c>
    </row>
    <row r="31" spans="1:60" x14ac:dyDescent="0.25">
      <c r="A31">
        <v>22</v>
      </c>
      <c r="B31" s="6" t="s">
        <v>301</v>
      </c>
      <c r="C31" s="6"/>
      <c r="D31" s="6" t="s">
        <v>88</v>
      </c>
      <c r="E31" s="6" t="s">
        <v>428</v>
      </c>
      <c r="F31" s="6"/>
      <c r="G31" s="6"/>
      <c r="H31" s="6"/>
      <c r="I31" s="6"/>
      <c r="J31" s="10"/>
      <c r="K31" s="10"/>
      <c r="L31" s="10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10"/>
      <c r="AO31" s="10"/>
      <c r="AP31" s="10"/>
      <c r="AQ31" s="10"/>
      <c r="AR31" s="6"/>
      <c r="AS31" s="6"/>
      <c r="AT31" s="10"/>
      <c r="AU31" s="10"/>
      <c r="AV31" s="10"/>
      <c r="AW31" s="10"/>
      <c r="AX31" s="10"/>
      <c r="AY31" s="10"/>
      <c r="AZ31" s="6"/>
      <c r="BA31" s="6"/>
      <c r="BB31" s="10">
        <v>2.4</v>
      </c>
      <c r="BC31" s="10">
        <v>28.8</v>
      </c>
      <c r="BD31" s="10">
        <v>7.5</v>
      </c>
      <c r="BE31" s="10"/>
      <c r="BF31" s="10"/>
      <c r="BG31" s="10"/>
      <c r="BH31" s="6">
        <f>SUM(BA31:BG31)</f>
        <v>38.700000000000003</v>
      </c>
    </row>
    <row r="32" spans="1:60" x14ac:dyDescent="0.25">
      <c r="A32">
        <v>23</v>
      </c>
      <c r="B32" s="6" t="s">
        <v>544</v>
      </c>
      <c r="C32" s="6"/>
      <c r="D32" s="6" t="s">
        <v>545</v>
      </c>
      <c r="E32" s="6" t="s">
        <v>485</v>
      </c>
      <c r="F32" s="6"/>
      <c r="G32" s="6"/>
      <c r="H32" s="6"/>
      <c r="I32" s="6"/>
      <c r="J32" s="10"/>
      <c r="K32" s="10"/>
      <c r="L32" s="10"/>
      <c r="M32" s="6"/>
      <c r="N32" s="10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10"/>
      <c r="AO32" s="10"/>
      <c r="AP32" s="10"/>
      <c r="AQ32" s="10"/>
      <c r="AR32" s="6"/>
      <c r="AS32" s="6"/>
      <c r="AT32" s="10"/>
      <c r="AU32" s="10"/>
      <c r="AV32" s="10"/>
      <c r="AW32" s="10"/>
      <c r="AX32" s="10"/>
      <c r="AY32" s="10"/>
      <c r="AZ32" s="6"/>
      <c r="BA32" s="6"/>
      <c r="BB32" s="10">
        <v>36</v>
      </c>
      <c r="BC32" s="10"/>
      <c r="BD32" s="10"/>
      <c r="BE32" s="10"/>
      <c r="BF32" s="10"/>
      <c r="BG32" s="10"/>
      <c r="BH32" s="6">
        <f>SUM(BA32:BG32)</f>
        <v>36</v>
      </c>
    </row>
    <row r="33" spans="1:60" x14ac:dyDescent="0.25">
      <c r="A33">
        <v>24</v>
      </c>
      <c r="B33" s="6" t="s">
        <v>198</v>
      </c>
      <c r="C33" s="6"/>
      <c r="D33" s="6" t="s">
        <v>183</v>
      </c>
      <c r="E33" s="6" t="s">
        <v>37</v>
      </c>
      <c r="F33" s="6"/>
      <c r="G33" s="6"/>
      <c r="H33" s="6"/>
      <c r="I33" s="6"/>
      <c r="J33" s="10"/>
      <c r="K33" s="10"/>
      <c r="L33" s="10"/>
      <c r="M33" s="6"/>
      <c r="N33" s="10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10"/>
      <c r="AO33" s="10"/>
      <c r="AP33" s="10"/>
      <c r="AQ33" s="10"/>
      <c r="AR33" s="6"/>
      <c r="AS33" s="6"/>
      <c r="AT33" s="10"/>
      <c r="AU33" s="10">
        <v>48</v>
      </c>
      <c r="AV33" s="10">
        <v>6</v>
      </c>
      <c r="AW33" s="10">
        <v>4</v>
      </c>
      <c r="AX33" s="10">
        <v>7.5</v>
      </c>
      <c r="AY33" s="10"/>
      <c r="AZ33" s="6">
        <f>SUM(AS33:AY33)</f>
        <v>65.5</v>
      </c>
      <c r="BA33" s="6">
        <f>(AZ33-AS33)/2</f>
        <v>32.75</v>
      </c>
      <c r="BB33" s="10"/>
      <c r="BC33" s="10"/>
      <c r="BD33" s="10"/>
      <c r="BE33" s="10"/>
      <c r="BF33" s="10"/>
      <c r="BG33" s="10"/>
      <c r="BH33" s="6">
        <f>SUM(BA33:BG33)</f>
        <v>32.75</v>
      </c>
    </row>
    <row r="34" spans="1:60" x14ac:dyDescent="0.25">
      <c r="A34">
        <v>25</v>
      </c>
      <c r="B34" s="6" t="s">
        <v>112</v>
      </c>
      <c r="C34" s="6"/>
      <c r="D34" s="6" t="s">
        <v>389</v>
      </c>
      <c r="E34" s="6" t="s">
        <v>390</v>
      </c>
      <c r="F34" s="6"/>
      <c r="G34" s="6"/>
      <c r="H34" s="6"/>
      <c r="I34" s="6"/>
      <c r="J34" s="10"/>
      <c r="K34" s="10"/>
      <c r="L34" s="10"/>
      <c r="M34" s="6"/>
      <c r="N34" s="10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10"/>
      <c r="AO34" s="10"/>
      <c r="AP34" s="10"/>
      <c r="AQ34" s="10"/>
      <c r="AR34" s="6"/>
      <c r="AS34" s="6"/>
      <c r="AT34" s="10"/>
      <c r="AU34" s="10"/>
      <c r="AV34" s="10"/>
      <c r="AW34" s="10"/>
      <c r="AX34" s="10"/>
      <c r="AY34" s="10"/>
      <c r="AZ34" s="6"/>
      <c r="BA34" s="6"/>
      <c r="BB34" s="10"/>
      <c r="BC34" s="10">
        <v>20.8</v>
      </c>
      <c r="BD34" s="10"/>
      <c r="BE34" s="10"/>
      <c r="BF34" s="10"/>
      <c r="BG34" s="10"/>
      <c r="BH34" s="6">
        <f>SUM(BA34:BG34)</f>
        <v>20.8</v>
      </c>
    </row>
    <row r="35" spans="1:60" x14ac:dyDescent="0.25">
      <c r="A35">
        <v>25</v>
      </c>
      <c r="B35" s="6" t="s">
        <v>99</v>
      </c>
      <c r="C35" s="6"/>
      <c r="D35" s="6" t="s">
        <v>414</v>
      </c>
      <c r="E35" s="6" t="s">
        <v>393</v>
      </c>
      <c r="F35" s="6"/>
      <c r="G35" s="6"/>
      <c r="H35" s="6"/>
      <c r="I35" s="6"/>
      <c r="J35" s="10"/>
      <c r="K35" s="10"/>
      <c r="L35" s="10"/>
      <c r="M35" s="6"/>
      <c r="N35" s="1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10"/>
      <c r="AO35" s="10"/>
      <c r="AP35" s="10"/>
      <c r="AQ35" s="10"/>
      <c r="AR35" s="6"/>
      <c r="AS35" s="6"/>
      <c r="AT35" s="10"/>
      <c r="AU35" s="10"/>
      <c r="AV35" s="10"/>
      <c r="AW35" s="10"/>
      <c r="AX35" s="10"/>
      <c r="AY35" s="10"/>
      <c r="AZ35" s="6"/>
      <c r="BA35" s="6"/>
      <c r="BB35" s="10">
        <v>2.4</v>
      </c>
      <c r="BC35" s="10">
        <v>4</v>
      </c>
      <c r="BD35" s="10">
        <v>7.5</v>
      </c>
      <c r="BE35" s="10"/>
      <c r="BF35" s="10"/>
      <c r="BG35" s="10"/>
      <c r="BH35" s="6">
        <f>SUM(BA35:BG35)</f>
        <v>13.9</v>
      </c>
    </row>
    <row r="36" spans="1:60" x14ac:dyDescent="0.25">
      <c r="A36">
        <v>25</v>
      </c>
      <c r="B36" s="6" t="s">
        <v>437</v>
      </c>
      <c r="C36" s="6"/>
      <c r="D36" s="6" t="s">
        <v>438</v>
      </c>
      <c r="E36" s="6" t="s">
        <v>197</v>
      </c>
      <c r="F36" s="6"/>
      <c r="G36" s="6"/>
      <c r="H36" s="6"/>
      <c r="I36" s="6"/>
      <c r="J36" s="10"/>
      <c r="K36" s="10"/>
      <c r="L36" s="10"/>
      <c r="M36" s="6"/>
      <c r="N36" s="1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10"/>
      <c r="AO36" s="10"/>
      <c r="AP36" s="10"/>
      <c r="AQ36" s="10"/>
      <c r="AR36" s="6"/>
      <c r="AS36" s="6"/>
      <c r="AT36" s="10"/>
      <c r="AU36" s="10"/>
      <c r="AV36" s="10"/>
      <c r="AW36" s="10"/>
      <c r="AX36" s="10"/>
      <c r="AY36" s="10"/>
      <c r="AZ36" s="6"/>
      <c r="BA36" s="6"/>
      <c r="BB36" s="10"/>
      <c r="BC36" s="10"/>
      <c r="BD36" s="10">
        <v>7.5</v>
      </c>
      <c r="BE36" s="10"/>
      <c r="BF36" s="10"/>
      <c r="BG36" s="10"/>
      <c r="BH36" s="6">
        <f>SUM(BA36:BG36)</f>
        <v>7.5</v>
      </c>
    </row>
    <row r="37" spans="1:60" x14ac:dyDescent="0.25">
      <c r="A37">
        <v>25</v>
      </c>
      <c r="B37" s="6" t="s">
        <v>404</v>
      </c>
      <c r="C37" s="6"/>
      <c r="D37" s="6" t="s">
        <v>344</v>
      </c>
      <c r="E37" s="6" t="s">
        <v>144</v>
      </c>
      <c r="F37" s="6"/>
      <c r="G37" s="6"/>
      <c r="H37" s="6"/>
      <c r="I37" s="6"/>
      <c r="J37" s="10"/>
      <c r="K37" s="10"/>
      <c r="L37" s="10"/>
      <c r="M37" s="6"/>
      <c r="N37" s="10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10"/>
      <c r="AO37" s="10"/>
      <c r="AP37" s="10"/>
      <c r="AQ37" s="10"/>
      <c r="AR37" s="6"/>
      <c r="AS37" s="6"/>
      <c r="AT37" s="10"/>
      <c r="AU37" s="10"/>
      <c r="AV37" s="10"/>
      <c r="AW37" s="10"/>
      <c r="AX37" s="10"/>
      <c r="AY37" s="10"/>
      <c r="AZ37" s="6"/>
      <c r="BA37" s="6"/>
      <c r="BB37" s="10">
        <v>2.4</v>
      </c>
      <c r="BC37" s="10"/>
      <c r="BD37" s="10">
        <v>2.4</v>
      </c>
      <c r="BE37" s="10"/>
      <c r="BF37" s="10"/>
      <c r="BG37" s="10"/>
      <c r="BH37" s="6">
        <f>SUM(BA37:BG37)</f>
        <v>4.8</v>
      </c>
    </row>
    <row r="38" spans="1:60" x14ac:dyDescent="0.25">
      <c r="A38">
        <v>25</v>
      </c>
      <c r="B38" s="6" t="s">
        <v>98</v>
      </c>
      <c r="C38" s="6" t="s">
        <v>69</v>
      </c>
      <c r="D38" s="6" t="s">
        <v>20</v>
      </c>
      <c r="E38" s="6" t="s">
        <v>124</v>
      </c>
      <c r="F38" s="6"/>
      <c r="G38" s="6"/>
      <c r="H38" s="6"/>
      <c r="I38" s="6"/>
      <c r="J38" s="10"/>
      <c r="K38" s="10"/>
      <c r="L38" s="10"/>
      <c r="M38" s="6"/>
      <c r="N38" s="1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10"/>
      <c r="AO38" s="10"/>
      <c r="AP38" s="10"/>
      <c r="AQ38" s="10"/>
      <c r="AR38" s="6"/>
      <c r="AS38" s="6"/>
      <c r="AT38" s="10"/>
      <c r="AU38" s="10"/>
      <c r="AV38" s="10">
        <v>8</v>
      </c>
      <c r="AW38" s="10"/>
      <c r="AX38" s="10"/>
      <c r="AY38" s="10"/>
      <c r="AZ38" s="6">
        <f>SUM(AS38:AY38)</f>
        <v>8</v>
      </c>
      <c r="BA38" s="6">
        <f>(AZ38-AS38)/2</f>
        <v>4</v>
      </c>
      <c r="BB38" s="10"/>
      <c r="BC38" s="10"/>
      <c r="BD38" s="10"/>
      <c r="BE38" s="10"/>
      <c r="BF38" s="10"/>
      <c r="BG38" s="10"/>
      <c r="BH38" s="6">
        <f>SUM(BA38:BG38)</f>
        <v>4</v>
      </c>
    </row>
    <row r="39" spans="1:60" x14ac:dyDescent="0.25">
      <c r="A39">
        <v>26</v>
      </c>
      <c r="B39" s="6" t="s">
        <v>273</v>
      </c>
      <c r="C39" s="6"/>
      <c r="D39" s="6" t="s">
        <v>513</v>
      </c>
      <c r="E39" s="6" t="s">
        <v>202</v>
      </c>
      <c r="F39" s="6"/>
      <c r="G39" s="6"/>
      <c r="H39" s="6"/>
      <c r="I39" s="6"/>
      <c r="J39" s="10"/>
      <c r="K39" s="10"/>
      <c r="L39" s="10"/>
      <c r="M39" s="6"/>
      <c r="N39" s="10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10"/>
      <c r="AO39" s="10"/>
      <c r="AP39" s="10"/>
      <c r="AQ39" s="10"/>
      <c r="AR39" s="6"/>
      <c r="AS39" s="6"/>
      <c r="AT39" s="10"/>
      <c r="AU39" s="10"/>
      <c r="AV39" s="10"/>
      <c r="AW39" s="10"/>
      <c r="AX39" s="10"/>
      <c r="AY39" s="10"/>
      <c r="AZ39" s="6"/>
      <c r="BA39" s="6"/>
      <c r="BB39" s="10"/>
      <c r="BC39" s="10">
        <v>4</v>
      </c>
      <c r="BD39" s="10"/>
      <c r="BE39" s="10"/>
      <c r="BF39" s="10"/>
      <c r="BG39" s="10"/>
      <c r="BH39" s="6">
        <f>SUM(BA39:BG39)</f>
        <v>4</v>
      </c>
    </row>
    <row r="40" spans="1:60" x14ac:dyDescent="0.25">
      <c r="A40">
        <v>27</v>
      </c>
      <c r="B40" s="6" t="s">
        <v>355</v>
      </c>
      <c r="C40" s="6"/>
      <c r="D40" s="6" t="s">
        <v>514</v>
      </c>
      <c r="E40" s="6" t="s">
        <v>512</v>
      </c>
      <c r="F40" s="6"/>
      <c r="G40" s="6"/>
      <c r="H40" s="6"/>
      <c r="I40" s="6"/>
      <c r="J40" s="10"/>
      <c r="K40" s="10"/>
      <c r="L40" s="10"/>
      <c r="M40" s="6"/>
      <c r="N40" s="10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10"/>
      <c r="AO40" s="10"/>
      <c r="AP40" s="10"/>
      <c r="AQ40" s="10"/>
      <c r="AR40" s="6"/>
      <c r="AS40" s="6"/>
      <c r="AT40" s="10"/>
      <c r="AU40" s="10"/>
      <c r="AV40" s="10"/>
      <c r="AW40" s="10"/>
      <c r="AX40" s="10"/>
      <c r="AY40" s="10"/>
      <c r="AZ40" s="6"/>
      <c r="BA40" s="6"/>
      <c r="BB40" s="10"/>
      <c r="BC40" s="10">
        <v>4</v>
      </c>
      <c r="BD40" s="10"/>
      <c r="BE40" s="10"/>
      <c r="BF40" s="10"/>
      <c r="BG40" s="10"/>
      <c r="BH40" s="6">
        <f>SUM(BA40:BG40)</f>
        <v>4</v>
      </c>
    </row>
    <row r="41" spans="1:60" x14ac:dyDescent="0.25">
      <c r="A41">
        <v>28</v>
      </c>
      <c r="B41" s="6" t="s">
        <v>42</v>
      </c>
      <c r="C41" s="6"/>
      <c r="D41" s="6" t="s">
        <v>385</v>
      </c>
      <c r="E41" s="6" t="s">
        <v>125</v>
      </c>
      <c r="F41" s="6"/>
      <c r="G41" s="6"/>
      <c r="H41" s="6"/>
      <c r="I41" s="6"/>
      <c r="J41" s="10"/>
      <c r="K41" s="10"/>
      <c r="L41" s="10"/>
      <c r="M41" s="6"/>
      <c r="N41" s="10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10"/>
      <c r="AO41" s="10"/>
      <c r="AP41" s="10"/>
      <c r="AQ41" s="10"/>
      <c r="AR41" s="6"/>
      <c r="AS41" s="6"/>
      <c r="AT41" s="10"/>
      <c r="AU41" s="10">
        <v>3.2</v>
      </c>
      <c r="AV41" s="10"/>
      <c r="AW41" s="10"/>
      <c r="AX41" s="10"/>
      <c r="AY41" s="10"/>
      <c r="AZ41" s="6">
        <f>SUM(AS41:AY41)</f>
        <v>3.2</v>
      </c>
      <c r="BA41" s="6">
        <f>(AZ41-AS41)/2</f>
        <v>1.6</v>
      </c>
      <c r="BB41" s="10"/>
      <c r="BC41" s="10"/>
      <c r="BD41" s="10"/>
      <c r="BE41" s="10"/>
      <c r="BF41" s="10"/>
      <c r="BG41" s="10"/>
      <c r="BH41" s="6">
        <f>SUM(BA41:BG41)</f>
        <v>1.6</v>
      </c>
    </row>
  </sheetData>
  <sortState xmlns:xlrd2="http://schemas.microsoft.com/office/spreadsheetml/2017/richdata2" ref="B11:BH41">
    <sortCondition descending="1" ref="BH11:BH41"/>
  </sortState>
  <mergeCells count="5">
    <mergeCell ref="B8:C10"/>
    <mergeCell ref="AV9:AY9"/>
    <mergeCell ref="BD9:BG9"/>
    <mergeCell ref="D4:BH5"/>
    <mergeCell ref="B1:BH1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V37"/>
  <sheetViews>
    <sheetView zoomScale="80" zoomScaleNormal="80" workbookViewId="0">
      <selection activeCell="BZ22" sqref="BZ22"/>
    </sheetView>
  </sheetViews>
  <sheetFormatPr baseColWidth="10" defaultRowHeight="15" x14ac:dyDescent="0.25"/>
  <cols>
    <col min="1" max="1" width="3.42578125" bestFit="1" customWidth="1"/>
    <col min="2" max="3" width="13.5703125" bestFit="1" customWidth="1"/>
    <col min="4" max="4" width="13.140625" bestFit="1" customWidth="1"/>
    <col min="5" max="5" width="23.42578125" bestFit="1" customWidth="1"/>
    <col min="6" max="8" width="6.42578125" hidden="1" customWidth="1"/>
    <col min="9" max="9" width="6.7109375" hidden="1" customWidth="1"/>
    <col min="10" max="10" width="6.7109375" style="7" hidden="1" customWidth="1"/>
    <col min="11" max="14" width="7.28515625" style="7" hidden="1" customWidth="1"/>
    <col min="15" max="15" width="0" hidden="1" customWidth="1"/>
    <col min="16" max="16" width="6.85546875" style="7" hidden="1" customWidth="1"/>
    <col min="17" max="22" width="5.5703125" hidden="1" customWidth="1"/>
    <col min="23" max="35" width="5.5703125" style="7" hidden="1" customWidth="1"/>
    <col min="36" max="36" width="6.28515625" hidden="1" customWidth="1"/>
    <col min="37" max="37" width="6.85546875" hidden="1" customWidth="1"/>
    <col min="38" max="43" width="5.5703125" hidden="1" customWidth="1"/>
    <col min="44" max="51" width="5.5703125" style="7" hidden="1" customWidth="1"/>
    <col min="52" max="56" width="6" style="7" hidden="1" customWidth="1"/>
    <col min="57" max="57" width="6.85546875" style="7" hidden="1" customWidth="1"/>
    <col min="58" max="58" width="6.28515625" hidden="1" customWidth="1"/>
    <col min="59" max="59" width="7.7109375" hidden="1" customWidth="1"/>
    <col min="60" max="61" width="8.28515625" style="7" hidden="1" customWidth="1"/>
    <col min="62" max="62" width="7.7109375" style="7" hidden="1" customWidth="1"/>
    <col min="63" max="63" width="6.7109375" style="7" hidden="1" customWidth="1"/>
    <col min="64" max="65" width="7.28515625" style="7" hidden="1" customWidth="1"/>
    <col min="68" max="68" width="9.140625" style="7" customWidth="1"/>
    <col min="69" max="69" width="8.7109375" style="7" customWidth="1"/>
    <col min="70" max="70" width="8.85546875" style="7" customWidth="1"/>
    <col min="71" max="71" width="7.85546875" style="7" customWidth="1"/>
    <col min="72" max="73" width="11.42578125" style="7"/>
  </cols>
  <sheetData>
    <row r="1" spans="1:74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4" ht="15.75" thickBot="1" x14ac:dyDescent="0.3">
      <c r="C2" s="7"/>
      <c r="D2" s="7"/>
      <c r="E2" s="7"/>
    </row>
    <row r="3" spans="1:74" ht="15.75" thickTop="1" x14ac:dyDescent="0.25">
      <c r="B3" s="1" t="s">
        <v>0</v>
      </c>
      <c r="C3" s="4" t="s">
        <v>13</v>
      </c>
    </row>
    <row r="4" spans="1:74" ht="14.45" customHeight="1" x14ac:dyDescent="0.25">
      <c r="B4" s="2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</row>
    <row r="5" spans="1:74" ht="15" customHeight="1" thickBot="1" x14ac:dyDescent="0.3">
      <c r="B5" s="3" t="s">
        <v>2</v>
      </c>
      <c r="C5" s="14">
        <v>-45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</row>
    <row r="6" spans="1:74" ht="15.75" thickTop="1" x14ac:dyDescent="0.25"/>
    <row r="7" spans="1:74" ht="15.75" thickBot="1" x14ac:dyDescent="0.3"/>
    <row r="8" spans="1:74" ht="15.75" thickTop="1" x14ac:dyDescent="0.25">
      <c r="B8" s="24" t="s">
        <v>8</v>
      </c>
      <c r="C8" s="25"/>
      <c r="D8" s="1"/>
      <c r="E8" s="1"/>
      <c r="F8" s="4" t="s">
        <v>9</v>
      </c>
      <c r="G8" s="4" t="s">
        <v>33</v>
      </c>
      <c r="H8" s="4" t="s">
        <v>72</v>
      </c>
      <c r="I8" s="4" t="s">
        <v>9</v>
      </c>
      <c r="J8" s="4" t="s">
        <v>9</v>
      </c>
      <c r="K8" s="4" t="s">
        <v>9</v>
      </c>
      <c r="L8" s="4" t="s">
        <v>96</v>
      </c>
      <c r="M8" s="4" t="s">
        <v>9</v>
      </c>
      <c r="N8" s="4" t="s">
        <v>100</v>
      </c>
      <c r="O8" s="1"/>
      <c r="P8" s="13">
        <v>44927</v>
      </c>
      <c r="Q8" s="4" t="s">
        <v>9</v>
      </c>
      <c r="R8" s="4" t="s">
        <v>9</v>
      </c>
      <c r="S8" s="4" t="s">
        <v>103</v>
      </c>
      <c r="T8" s="4" t="s">
        <v>9</v>
      </c>
      <c r="U8" s="4" t="s">
        <v>9</v>
      </c>
      <c r="V8" s="4" t="s">
        <v>127</v>
      </c>
      <c r="W8" s="4" t="s">
        <v>127</v>
      </c>
      <c r="X8" s="4" t="s">
        <v>127</v>
      </c>
      <c r="Y8" s="4" t="s">
        <v>9</v>
      </c>
      <c r="Z8" s="4" t="s">
        <v>103</v>
      </c>
      <c r="AA8" s="4" t="s">
        <v>9</v>
      </c>
      <c r="AB8" s="4" t="s">
        <v>100</v>
      </c>
      <c r="AC8" s="4" t="s">
        <v>9</v>
      </c>
      <c r="AD8" s="4" t="s">
        <v>9</v>
      </c>
      <c r="AE8" s="4" t="s">
        <v>9</v>
      </c>
      <c r="AF8" s="4" t="s">
        <v>9</v>
      </c>
      <c r="AG8" s="4" t="s">
        <v>103</v>
      </c>
      <c r="AH8" s="4" t="s">
        <v>9</v>
      </c>
      <c r="AI8" s="4" t="s">
        <v>104</v>
      </c>
      <c r="AJ8" s="4" t="s">
        <v>6</v>
      </c>
      <c r="AK8" s="13">
        <v>45292</v>
      </c>
      <c r="AL8" s="13" t="s">
        <v>9</v>
      </c>
      <c r="AM8" s="13" t="s">
        <v>9</v>
      </c>
      <c r="AN8" s="13" t="s">
        <v>9</v>
      </c>
      <c r="AO8" s="13" t="s">
        <v>9</v>
      </c>
      <c r="AP8" s="13" t="s">
        <v>103</v>
      </c>
      <c r="AQ8" s="13" t="s">
        <v>9</v>
      </c>
      <c r="AR8" s="13" t="s">
        <v>103</v>
      </c>
      <c r="AS8" s="13" t="s">
        <v>127</v>
      </c>
      <c r="AT8" s="13" t="s">
        <v>127</v>
      </c>
      <c r="AU8" s="13" t="s">
        <v>103</v>
      </c>
      <c r="AV8" s="13" t="s">
        <v>9</v>
      </c>
      <c r="AW8" s="13" t="s">
        <v>9</v>
      </c>
      <c r="AX8" s="13" t="s">
        <v>9</v>
      </c>
      <c r="AY8" s="13" t="s">
        <v>9</v>
      </c>
      <c r="AZ8" s="13" t="s">
        <v>9</v>
      </c>
      <c r="BA8" s="13" t="s">
        <v>9</v>
      </c>
      <c r="BB8" s="13" t="s">
        <v>103</v>
      </c>
      <c r="BC8" s="13" t="s">
        <v>100</v>
      </c>
      <c r="BD8" s="13" t="s">
        <v>102</v>
      </c>
      <c r="BE8" s="13" t="s">
        <v>104</v>
      </c>
      <c r="BF8" s="13" t="s">
        <v>6</v>
      </c>
      <c r="BG8" s="13">
        <v>45658</v>
      </c>
      <c r="BH8" s="13"/>
      <c r="BI8" s="13"/>
      <c r="BJ8" s="18"/>
      <c r="BK8" s="19"/>
      <c r="BL8" s="19"/>
      <c r="BM8" s="20"/>
      <c r="BN8" s="13" t="s">
        <v>6</v>
      </c>
      <c r="BO8" s="13">
        <v>46023</v>
      </c>
      <c r="BP8" s="13"/>
      <c r="BQ8" s="13"/>
      <c r="BR8" s="18"/>
      <c r="BS8" s="19"/>
      <c r="BT8" s="19"/>
      <c r="BU8" s="20"/>
      <c r="BV8" s="13" t="s">
        <v>6</v>
      </c>
    </row>
    <row r="9" spans="1:74" x14ac:dyDescent="0.25">
      <c r="B9" s="26"/>
      <c r="C9" s="27"/>
      <c r="D9" s="2"/>
      <c r="E9" s="2"/>
      <c r="F9" s="8" t="s">
        <v>22</v>
      </c>
      <c r="G9" s="8" t="s">
        <v>34</v>
      </c>
      <c r="H9" s="8" t="s">
        <v>75</v>
      </c>
      <c r="I9" s="8" t="s">
        <v>22</v>
      </c>
      <c r="J9" s="8" t="s">
        <v>70</v>
      </c>
      <c r="K9" s="8" t="s">
        <v>89</v>
      </c>
      <c r="L9" s="8" t="s">
        <v>97</v>
      </c>
      <c r="M9" s="8" t="s">
        <v>89</v>
      </c>
      <c r="N9" s="8" t="s">
        <v>101</v>
      </c>
      <c r="O9" s="2" t="s">
        <v>6</v>
      </c>
      <c r="P9" s="5"/>
      <c r="Q9" s="8" t="s">
        <v>22</v>
      </c>
      <c r="R9" s="8" t="s">
        <v>85</v>
      </c>
      <c r="S9" s="8" t="s">
        <v>72</v>
      </c>
      <c r="T9" s="8" t="s">
        <v>70</v>
      </c>
      <c r="U9" s="8" t="s">
        <v>89</v>
      </c>
      <c r="V9" s="8" t="s">
        <v>76</v>
      </c>
      <c r="W9" s="8" t="s">
        <v>80</v>
      </c>
      <c r="X9" s="8" t="s">
        <v>72</v>
      </c>
      <c r="Y9" s="8" t="s">
        <v>65</v>
      </c>
      <c r="Z9" s="8" t="s">
        <v>76</v>
      </c>
      <c r="AA9" s="8" t="s">
        <v>22</v>
      </c>
      <c r="AB9" s="8" t="s">
        <v>148</v>
      </c>
      <c r="AC9" s="8" t="s">
        <v>89</v>
      </c>
      <c r="AD9" s="8" t="s">
        <v>70</v>
      </c>
      <c r="AE9" s="8" t="s">
        <v>18</v>
      </c>
      <c r="AF9" s="8" t="s">
        <v>85</v>
      </c>
      <c r="AG9" s="8" t="s">
        <v>80</v>
      </c>
      <c r="AH9" s="8" t="s">
        <v>65</v>
      </c>
      <c r="AI9" s="8"/>
      <c r="AJ9" s="2"/>
      <c r="AK9" s="5"/>
      <c r="AL9" s="5" t="s">
        <v>181</v>
      </c>
      <c r="AM9" s="5" t="s">
        <v>85</v>
      </c>
      <c r="AN9" s="5" t="s">
        <v>18</v>
      </c>
      <c r="AO9" s="5" t="s">
        <v>22</v>
      </c>
      <c r="AP9" s="5" t="s">
        <v>76</v>
      </c>
      <c r="AQ9" s="5" t="s">
        <v>159</v>
      </c>
      <c r="AR9" s="5" t="s">
        <v>209</v>
      </c>
      <c r="AS9" s="5" t="s">
        <v>76</v>
      </c>
      <c r="AT9" s="5" t="s">
        <v>80</v>
      </c>
      <c r="AU9" s="5" t="s">
        <v>72</v>
      </c>
      <c r="AV9" s="5" t="s">
        <v>70</v>
      </c>
      <c r="AW9" s="5" t="s">
        <v>18</v>
      </c>
      <c r="AX9" s="5" t="s">
        <v>142</v>
      </c>
      <c r="AY9" s="5" t="s">
        <v>22</v>
      </c>
      <c r="AZ9" s="5" t="s">
        <v>65</v>
      </c>
      <c r="BA9" s="5" t="s">
        <v>236</v>
      </c>
      <c r="BB9" s="5" t="s">
        <v>80</v>
      </c>
      <c r="BC9" s="5" t="s">
        <v>239</v>
      </c>
      <c r="BD9" s="5" t="s">
        <v>243</v>
      </c>
      <c r="BE9" s="5" t="s">
        <v>245</v>
      </c>
      <c r="BF9" s="5"/>
      <c r="BG9" s="5"/>
      <c r="BH9" s="8" t="s">
        <v>9</v>
      </c>
      <c r="BI9" s="8" t="s">
        <v>127</v>
      </c>
      <c r="BJ9" s="28" t="s">
        <v>247</v>
      </c>
      <c r="BK9" s="29"/>
      <c r="BL9" s="29"/>
      <c r="BM9" s="30"/>
      <c r="BN9" s="5"/>
      <c r="BO9" s="5"/>
      <c r="BP9" s="8" t="s">
        <v>9</v>
      </c>
      <c r="BQ9" s="8" t="s">
        <v>127</v>
      </c>
      <c r="BR9" s="28" t="s">
        <v>247</v>
      </c>
      <c r="BS9" s="29"/>
      <c r="BT9" s="29"/>
      <c r="BU9" s="30"/>
      <c r="BV9" s="5"/>
    </row>
    <row r="10" spans="1:74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44681</v>
      </c>
      <c r="H10" s="9">
        <v>44730</v>
      </c>
      <c r="I10" s="9">
        <v>44779</v>
      </c>
      <c r="J10" s="9">
        <v>44800</v>
      </c>
      <c r="K10" s="9">
        <v>44814</v>
      </c>
      <c r="L10" s="9">
        <v>44828</v>
      </c>
      <c r="M10" s="9">
        <v>44856</v>
      </c>
      <c r="N10" s="9">
        <v>44868</v>
      </c>
      <c r="O10" s="2">
        <v>2022</v>
      </c>
      <c r="P10" s="5"/>
      <c r="Q10" s="2" t="s">
        <v>106</v>
      </c>
      <c r="R10" s="5" t="s">
        <v>108</v>
      </c>
      <c r="S10" s="5" t="s">
        <v>111</v>
      </c>
      <c r="T10" s="5" t="s">
        <v>123</v>
      </c>
      <c r="U10" s="5" t="s">
        <v>121</v>
      </c>
      <c r="V10" s="5" t="s">
        <v>128</v>
      </c>
      <c r="W10" s="5" t="s">
        <v>133</v>
      </c>
      <c r="X10" s="5" t="s">
        <v>134</v>
      </c>
      <c r="Y10" s="5" t="s">
        <v>138</v>
      </c>
      <c r="Z10" s="5" t="s">
        <v>140</v>
      </c>
      <c r="AA10" s="5" t="s">
        <v>146</v>
      </c>
      <c r="AB10" s="5" t="s">
        <v>149</v>
      </c>
      <c r="AC10" s="5" t="s">
        <v>147</v>
      </c>
      <c r="AD10" s="5" t="s">
        <v>147</v>
      </c>
      <c r="AE10" s="5" t="s">
        <v>150</v>
      </c>
      <c r="AF10" s="5" t="s">
        <v>151</v>
      </c>
      <c r="AG10" s="5" t="s">
        <v>156</v>
      </c>
      <c r="AH10" s="5" t="s">
        <v>158</v>
      </c>
      <c r="AI10" s="5" t="s">
        <v>165</v>
      </c>
      <c r="AJ10" s="2">
        <v>2023</v>
      </c>
      <c r="AK10" s="5"/>
      <c r="AL10" s="5" t="s">
        <v>166</v>
      </c>
      <c r="AM10" s="5" t="s">
        <v>166</v>
      </c>
      <c r="AN10" s="5" t="s">
        <v>185</v>
      </c>
      <c r="AO10" s="5" t="s">
        <v>199</v>
      </c>
      <c r="AP10" s="5" t="s">
        <v>207</v>
      </c>
      <c r="AQ10" s="5" t="s">
        <v>210</v>
      </c>
      <c r="AR10" s="5" t="s">
        <v>210</v>
      </c>
      <c r="AS10" s="5" t="s">
        <v>217</v>
      </c>
      <c r="AT10" s="5" t="s">
        <v>220</v>
      </c>
      <c r="AU10" s="5" t="s">
        <v>222</v>
      </c>
      <c r="AV10" s="5" t="s">
        <v>149</v>
      </c>
      <c r="AW10" s="5" t="s">
        <v>227</v>
      </c>
      <c r="AX10" s="5" t="s">
        <v>226</v>
      </c>
      <c r="AY10" s="5" t="s">
        <v>228</v>
      </c>
      <c r="AZ10" s="5" t="s">
        <v>233</v>
      </c>
      <c r="BA10" s="5" t="s">
        <v>237</v>
      </c>
      <c r="BB10" s="5" t="s">
        <v>238</v>
      </c>
      <c r="BC10" s="5" t="s">
        <v>240</v>
      </c>
      <c r="BD10" s="5" t="s">
        <v>244</v>
      </c>
      <c r="BE10" s="5" t="s">
        <v>246</v>
      </c>
      <c r="BF10" s="5">
        <v>2024</v>
      </c>
      <c r="BG10" s="5"/>
      <c r="BH10" s="5"/>
      <c r="BI10" s="5"/>
      <c r="BJ10" s="5">
        <v>1</v>
      </c>
      <c r="BK10" s="5">
        <v>2</v>
      </c>
      <c r="BL10" s="5">
        <v>3</v>
      </c>
      <c r="BM10" s="5">
        <v>4</v>
      </c>
      <c r="BN10" s="5">
        <v>2025</v>
      </c>
      <c r="BO10" s="5"/>
      <c r="BP10" s="5"/>
      <c r="BQ10" s="5"/>
      <c r="BR10" s="5">
        <v>1</v>
      </c>
      <c r="BS10" s="5">
        <v>2</v>
      </c>
      <c r="BT10" s="5">
        <v>3</v>
      </c>
      <c r="BU10" s="5">
        <v>4</v>
      </c>
      <c r="BV10" s="5">
        <v>2026</v>
      </c>
    </row>
    <row r="11" spans="1:74" x14ac:dyDescent="0.25">
      <c r="A11">
        <v>1</v>
      </c>
      <c r="B11" s="6" t="s">
        <v>299</v>
      </c>
      <c r="C11" s="6"/>
      <c r="D11" s="6" t="s">
        <v>300</v>
      </c>
      <c r="E11" s="6" t="s">
        <v>188</v>
      </c>
      <c r="F11" s="6"/>
      <c r="G11" s="6"/>
      <c r="H11" s="6"/>
      <c r="I11" s="6"/>
      <c r="J11" s="10"/>
      <c r="K11" s="10"/>
      <c r="L11" s="10"/>
      <c r="M11" s="10"/>
      <c r="N11" s="10"/>
      <c r="O11" s="6"/>
      <c r="P11" s="10"/>
      <c r="Q11" s="6"/>
      <c r="R11" s="6"/>
      <c r="S11" s="6"/>
      <c r="T11" s="6"/>
      <c r="U11" s="6"/>
      <c r="V11" s="6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6"/>
      <c r="AK11" s="6"/>
      <c r="AL11" s="6"/>
      <c r="AM11" s="6"/>
      <c r="AN11" s="6"/>
      <c r="AO11" s="6"/>
      <c r="AP11" s="6"/>
      <c r="AQ11" s="6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6"/>
      <c r="BG11" s="6"/>
      <c r="BH11" s="10"/>
      <c r="BI11" s="10"/>
      <c r="BJ11" s="10"/>
      <c r="BK11" s="10"/>
      <c r="BL11" s="10"/>
      <c r="BM11" s="10"/>
      <c r="BN11" s="6"/>
      <c r="BO11" s="6">
        <v>300</v>
      </c>
      <c r="BP11" s="10">
        <v>36</v>
      </c>
      <c r="BQ11" s="10">
        <v>44.8</v>
      </c>
      <c r="BR11" s="10">
        <v>150</v>
      </c>
      <c r="BS11" s="10"/>
      <c r="BT11" s="10"/>
      <c r="BU11" s="10">
        <v>70</v>
      </c>
      <c r="BV11" s="6">
        <f t="shared" ref="BV11:BV37" si="0">SUM(BO11:BU11)</f>
        <v>600.79999999999995</v>
      </c>
    </row>
    <row r="12" spans="1:74" x14ac:dyDescent="0.25">
      <c r="A12">
        <v>2</v>
      </c>
      <c r="B12" s="6" t="s">
        <v>251</v>
      </c>
      <c r="C12" s="6"/>
      <c r="D12" s="6" t="s">
        <v>415</v>
      </c>
      <c r="E12" s="6" t="s">
        <v>416</v>
      </c>
      <c r="F12" s="6"/>
      <c r="G12" s="6"/>
      <c r="H12" s="6"/>
      <c r="I12" s="6"/>
      <c r="J12" s="10"/>
      <c r="K12" s="10"/>
      <c r="L12" s="10"/>
      <c r="M12" s="10"/>
      <c r="N12" s="10"/>
      <c r="O12" s="6"/>
      <c r="P12" s="10"/>
      <c r="Q12" s="6"/>
      <c r="R12" s="6"/>
      <c r="S12" s="6"/>
      <c r="T12" s="6"/>
      <c r="U12" s="6"/>
      <c r="V12" s="6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6"/>
      <c r="AK12" s="6"/>
      <c r="AL12" s="6"/>
      <c r="AM12" s="6"/>
      <c r="AN12" s="6"/>
      <c r="AO12" s="6"/>
      <c r="AP12" s="6"/>
      <c r="AQ12" s="6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6"/>
      <c r="BG12" s="6"/>
      <c r="BH12" s="10"/>
      <c r="BI12" s="10"/>
      <c r="BJ12" s="10"/>
      <c r="BK12" s="10"/>
      <c r="BL12" s="10"/>
      <c r="BM12" s="10"/>
      <c r="BN12" s="6"/>
      <c r="BO12" s="6">
        <v>204.7</v>
      </c>
      <c r="BP12" s="10">
        <v>48</v>
      </c>
      <c r="BQ12" s="10">
        <v>80</v>
      </c>
      <c r="BR12" s="10">
        <v>105</v>
      </c>
      <c r="BS12" s="10"/>
      <c r="BT12" s="10"/>
      <c r="BU12" s="10">
        <v>50</v>
      </c>
      <c r="BV12" s="6">
        <f t="shared" si="0"/>
        <v>487.7</v>
      </c>
    </row>
    <row r="13" spans="1:74" x14ac:dyDescent="0.25">
      <c r="A13">
        <v>3</v>
      </c>
      <c r="B13" s="6" t="s">
        <v>274</v>
      </c>
      <c r="C13" s="6"/>
      <c r="D13" s="6" t="s">
        <v>58</v>
      </c>
      <c r="E13" s="6" t="s">
        <v>27</v>
      </c>
      <c r="F13" s="6"/>
      <c r="G13" s="6"/>
      <c r="H13" s="6"/>
      <c r="I13" s="6"/>
      <c r="J13" s="10"/>
      <c r="K13" s="10"/>
      <c r="L13" s="10"/>
      <c r="M13" s="10"/>
      <c r="N13" s="10"/>
      <c r="O13" s="6"/>
      <c r="P13" s="10"/>
      <c r="Q13" s="6"/>
      <c r="R13" s="6"/>
      <c r="S13" s="6"/>
      <c r="T13" s="6"/>
      <c r="U13" s="6"/>
      <c r="V13" s="6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6"/>
      <c r="AK13" s="6"/>
      <c r="AL13" s="6"/>
      <c r="AM13" s="6"/>
      <c r="AN13" s="6"/>
      <c r="AO13" s="6"/>
      <c r="AP13" s="6"/>
      <c r="AQ13" s="6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6"/>
      <c r="BG13" s="6"/>
      <c r="BH13" s="10"/>
      <c r="BI13" s="10"/>
      <c r="BJ13" s="10"/>
      <c r="BK13" s="10"/>
      <c r="BL13" s="10"/>
      <c r="BM13" s="10"/>
      <c r="BN13" s="6"/>
      <c r="BO13" s="6">
        <v>236</v>
      </c>
      <c r="BP13" s="10">
        <v>36</v>
      </c>
      <c r="BQ13" s="10">
        <v>3.2</v>
      </c>
      <c r="BR13" s="10">
        <v>75</v>
      </c>
      <c r="BS13" s="10"/>
      <c r="BT13" s="10"/>
      <c r="BU13" s="10">
        <v>50</v>
      </c>
      <c r="BV13" s="6">
        <f t="shared" si="0"/>
        <v>400.2</v>
      </c>
    </row>
    <row r="14" spans="1:74" x14ac:dyDescent="0.25">
      <c r="A14" s="21">
        <v>4</v>
      </c>
      <c r="B14" s="6" t="s">
        <v>417</v>
      </c>
      <c r="C14" s="6"/>
      <c r="D14" s="6" t="s">
        <v>418</v>
      </c>
      <c r="E14" s="6" t="s">
        <v>479</v>
      </c>
      <c r="F14" s="6"/>
      <c r="G14" s="6"/>
      <c r="H14" s="6"/>
      <c r="I14" s="6"/>
      <c r="J14" s="10"/>
      <c r="K14" s="10"/>
      <c r="L14" s="10"/>
      <c r="M14" s="10"/>
      <c r="N14" s="10"/>
      <c r="O14" s="6"/>
      <c r="P14" s="10"/>
      <c r="Q14" s="6"/>
      <c r="R14" s="6"/>
      <c r="S14" s="6"/>
      <c r="T14" s="6"/>
      <c r="U14" s="6"/>
      <c r="V14" s="6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6"/>
      <c r="AK14" s="6"/>
      <c r="AL14" s="6"/>
      <c r="AM14" s="6"/>
      <c r="AN14" s="6"/>
      <c r="AO14" s="6"/>
      <c r="AP14" s="6"/>
      <c r="AQ14" s="6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6"/>
      <c r="BG14" s="6"/>
      <c r="BH14" s="10"/>
      <c r="BI14" s="10"/>
      <c r="BJ14" s="10"/>
      <c r="BK14" s="10"/>
      <c r="BL14" s="10"/>
      <c r="BM14" s="10"/>
      <c r="BN14" s="6"/>
      <c r="BO14" s="6"/>
      <c r="BP14" s="10">
        <v>60</v>
      </c>
      <c r="BQ14" s="10">
        <v>56</v>
      </c>
      <c r="BR14" s="10">
        <v>7.5</v>
      </c>
      <c r="BS14" s="10">
        <v>100</v>
      </c>
      <c r="BT14" s="10">
        <v>33.6</v>
      </c>
      <c r="BU14" s="10"/>
      <c r="BV14" s="6">
        <f t="shared" si="0"/>
        <v>257.10000000000002</v>
      </c>
    </row>
    <row r="15" spans="1:74" x14ac:dyDescent="0.25">
      <c r="A15">
        <v>5</v>
      </c>
      <c r="B15" s="6" t="s">
        <v>198</v>
      </c>
      <c r="C15" s="6"/>
      <c r="D15" s="6" t="s">
        <v>88</v>
      </c>
      <c r="E15" s="6" t="s">
        <v>39</v>
      </c>
      <c r="F15" s="6"/>
      <c r="G15" s="6"/>
      <c r="H15" s="6"/>
      <c r="I15" s="6"/>
      <c r="J15" s="10"/>
      <c r="K15" s="10"/>
      <c r="L15" s="10"/>
      <c r="M15" s="10"/>
      <c r="N15" s="10"/>
      <c r="O15" s="6"/>
      <c r="P15" s="10"/>
      <c r="Q15" s="6"/>
      <c r="R15" s="6"/>
      <c r="S15" s="6"/>
      <c r="T15" s="6"/>
      <c r="U15" s="6"/>
      <c r="V15" s="6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6"/>
      <c r="AK15" s="6"/>
      <c r="AL15" s="6"/>
      <c r="AM15" s="6"/>
      <c r="AN15" s="6"/>
      <c r="AO15" s="6"/>
      <c r="AP15" s="6"/>
      <c r="AQ15" s="6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6"/>
      <c r="BG15" s="6"/>
      <c r="BH15" s="10"/>
      <c r="BI15" s="10"/>
      <c r="BJ15" s="10"/>
      <c r="BK15" s="10"/>
      <c r="BL15" s="10"/>
      <c r="BM15" s="10"/>
      <c r="BN15" s="6"/>
      <c r="BO15" s="6"/>
      <c r="BP15" s="10">
        <v>42</v>
      </c>
      <c r="BQ15" s="10">
        <v>4</v>
      </c>
      <c r="BR15" s="10">
        <v>75</v>
      </c>
      <c r="BS15" s="10">
        <v>70</v>
      </c>
      <c r="BT15" s="10">
        <v>2.4</v>
      </c>
      <c r="BU15" s="10"/>
      <c r="BV15" s="6">
        <f t="shared" si="0"/>
        <v>193.4</v>
      </c>
    </row>
    <row r="16" spans="1:74" x14ac:dyDescent="0.25">
      <c r="A16">
        <v>6</v>
      </c>
      <c r="B16" s="6" t="s">
        <v>301</v>
      </c>
      <c r="C16" s="6"/>
      <c r="D16" s="6" t="s">
        <v>302</v>
      </c>
      <c r="E16" s="6" t="s">
        <v>188</v>
      </c>
      <c r="F16" s="6"/>
      <c r="G16" s="6"/>
      <c r="H16" s="6"/>
      <c r="I16" s="6"/>
      <c r="J16" s="10"/>
      <c r="K16" s="10"/>
      <c r="L16" s="10"/>
      <c r="M16" s="10"/>
      <c r="N16" s="10"/>
      <c r="O16" s="6"/>
      <c r="P16" s="10"/>
      <c r="Q16" s="6"/>
      <c r="R16" s="6"/>
      <c r="S16" s="6"/>
      <c r="T16" s="6"/>
      <c r="U16" s="6"/>
      <c r="V16" s="6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6"/>
      <c r="AK16" s="6"/>
      <c r="AL16" s="6"/>
      <c r="AM16" s="6"/>
      <c r="AN16" s="6"/>
      <c r="AO16" s="6"/>
      <c r="AP16" s="6"/>
      <c r="AQ16" s="6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6"/>
      <c r="BG16" s="6"/>
      <c r="BH16" s="10"/>
      <c r="BI16" s="10"/>
      <c r="BJ16" s="10"/>
      <c r="BK16" s="10"/>
      <c r="BL16" s="10"/>
      <c r="BM16" s="10"/>
      <c r="BN16" s="6"/>
      <c r="BO16" s="6"/>
      <c r="BP16" s="10"/>
      <c r="BQ16" s="10">
        <v>64</v>
      </c>
      <c r="BR16" s="10"/>
      <c r="BS16" s="10"/>
      <c r="BT16" s="10"/>
      <c r="BU16" s="10">
        <v>100</v>
      </c>
      <c r="BV16" s="6">
        <f t="shared" si="0"/>
        <v>164</v>
      </c>
    </row>
    <row r="17" spans="1:74" x14ac:dyDescent="0.25">
      <c r="A17">
        <v>7</v>
      </c>
      <c r="B17" s="6" t="s">
        <v>287</v>
      </c>
      <c r="C17" s="6"/>
      <c r="D17" s="6" t="s">
        <v>195</v>
      </c>
      <c r="E17" s="6" t="s">
        <v>59</v>
      </c>
      <c r="F17" s="6"/>
      <c r="G17" s="6"/>
      <c r="H17" s="6"/>
      <c r="I17" s="6"/>
      <c r="J17" s="10"/>
      <c r="K17" s="10"/>
      <c r="L17" s="10"/>
      <c r="M17" s="10"/>
      <c r="N17" s="10"/>
      <c r="O17" s="6"/>
      <c r="P17" s="10"/>
      <c r="Q17" s="6"/>
      <c r="R17" s="6"/>
      <c r="S17" s="6"/>
      <c r="T17" s="6"/>
      <c r="U17" s="6"/>
      <c r="V17" s="6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6"/>
      <c r="AK17" s="6"/>
      <c r="AL17" s="6"/>
      <c r="AM17" s="6"/>
      <c r="AN17" s="6"/>
      <c r="AO17" s="6"/>
      <c r="AP17" s="6"/>
      <c r="AQ17" s="6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6"/>
      <c r="BG17" s="6"/>
      <c r="BH17" s="10"/>
      <c r="BI17" s="10"/>
      <c r="BJ17" s="10"/>
      <c r="BK17" s="10"/>
      <c r="BL17" s="10"/>
      <c r="BM17" s="10"/>
      <c r="BN17" s="6"/>
      <c r="BO17" s="6">
        <v>76.55</v>
      </c>
      <c r="BP17" s="10">
        <v>36</v>
      </c>
      <c r="BQ17" s="10">
        <v>3.2</v>
      </c>
      <c r="BR17" s="10">
        <v>36</v>
      </c>
      <c r="BS17" s="10"/>
      <c r="BT17" s="10"/>
      <c r="BU17" s="10"/>
      <c r="BV17" s="6">
        <f t="shared" si="0"/>
        <v>151.75</v>
      </c>
    </row>
    <row r="18" spans="1:74" x14ac:dyDescent="0.25">
      <c r="A18">
        <v>8</v>
      </c>
      <c r="B18" s="6" t="s">
        <v>193</v>
      </c>
      <c r="C18" s="6" t="s">
        <v>194</v>
      </c>
      <c r="D18" s="6" t="s">
        <v>82</v>
      </c>
      <c r="E18" s="6" t="s">
        <v>68</v>
      </c>
      <c r="F18" s="6"/>
      <c r="G18" s="6"/>
      <c r="H18" s="6"/>
      <c r="I18" s="6"/>
      <c r="J18" s="10"/>
      <c r="K18" s="10"/>
      <c r="L18" s="10"/>
      <c r="M18" s="10"/>
      <c r="N18" s="10"/>
      <c r="O18" s="6"/>
      <c r="P18" s="10"/>
      <c r="Q18" s="6"/>
      <c r="R18" s="6"/>
      <c r="S18" s="6"/>
      <c r="T18" s="6"/>
      <c r="U18" s="6"/>
      <c r="V18" s="6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6"/>
      <c r="AK18" s="6"/>
      <c r="AL18" s="6"/>
      <c r="AM18" s="6"/>
      <c r="AN18" s="6"/>
      <c r="AO18" s="6"/>
      <c r="AP18" s="6"/>
      <c r="AQ18" s="6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>
        <v>10</v>
      </c>
      <c r="BF18" s="6">
        <f>SUM(AK18:BE18)</f>
        <v>10</v>
      </c>
      <c r="BG18" s="6">
        <f>(BF18-AK18)/2</f>
        <v>5</v>
      </c>
      <c r="BH18" s="10">
        <v>48</v>
      </c>
      <c r="BI18" s="10">
        <v>40</v>
      </c>
      <c r="BJ18" s="10">
        <v>75</v>
      </c>
      <c r="BK18" s="10">
        <v>100</v>
      </c>
      <c r="BL18" s="10">
        <v>36</v>
      </c>
      <c r="BM18" s="10"/>
      <c r="BN18" s="6">
        <f>SUM(BG18:BM18)</f>
        <v>304</v>
      </c>
      <c r="BO18" s="6">
        <f>(BN18-BG18)/2</f>
        <v>149.5</v>
      </c>
      <c r="BP18" s="10"/>
      <c r="BQ18" s="10"/>
      <c r="BR18" s="10"/>
      <c r="BS18" s="10"/>
      <c r="BT18" s="10"/>
      <c r="BU18" s="10"/>
      <c r="BV18" s="6">
        <f t="shared" si="0"/>
        <v>149.5</v>
      </c>
    </row>
    <row r="19" spans="1:74" x14ac:dyDescent="0.25">
      <c r="A19">
        <v>9</v>
      </c>
      <c r="B19" s="6" t="s">
        <v>201</v>
      </c>
      <c r="C19" s="6"/>
      <c r="D19" s="6" t="s">
        <v>58</v>
      </c>
      <c r="E19" s="6" t="s">
        <v>202</v>
      </c>
      <c r="F19" s="6"/>
      <c r="G19" s="6"/>
      <c r="H19" s="6"/>
      <c r="I19" s="6"/>
      <c r="J19" s="10"/>
      <c r="K19" s="10"/>
      <c r="L19" s="10"/>
      <c r="M19" s="10"/>
      <c r="N19" s="10"/>
      <c r="O19" s="6"/>
      <c r="P19" s="10"/>
      <c r="Q19" s="6"/>
      <c r="R19" s="6"/>
      <c r="S19" s="6"/>
      <c r="T19" s="6"/>
      <c r="U19" s="6"/>
      <c r="V19" s="6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6"/>
      <c r="AK19" s="6"/>
      <c r="AL19" s="6"/>
      <c r="AM19" s="6"/>
      <c r="AN19" s="6"/>
      <c r="AO19" s="6"/>
      <c r="AP19" s="6"/>
      <c r="AQ19" s="6"/>
      <c r="AR19" s="10"/>
      <c r="AS19" s="10"/>
      <c r="AT19" s="10"/>
      <c r="AU19" s="10"/>
      <c r="AV19" s="10"/>
      <c r="AW19" s="10"/>
      <c r="AX19" s="10"/>
      <c r="AY19" s="10">
        <v>36</v>
      </c>
      <c r="AZ19" s="10"/>
      <c r="BA19" s="10"/>
      <c r="BB19" s="10">
        <v>75</v>
      </c>
      <c r="BC19" s="10"/>
      <c r="BD19" s="10"/>
      <c r="BE19" s="10">
        <v>10</v>
      </c>
      <c r="BF19" s="6">
        <f>SUM(AK19:BE19)</f>
        <v>121</v>
      </c>
      <c r="BG19" s="6">
        <f>(BF19-AK19)/2</f>
        <v>60.5</v>
      </c>
      <c r="BH19" s="10">
        <v>48</v>
      </c>
      <c r="BI19" s="10">
        <v>4</v>
      </c>
      <c r="BJ19" s="10">
        <v>7.5</v>
      </c>
      <c r="BK19" s="10">
        <v>2.4</v>
      </c>
      <c r="BL19" s="10">
        <v>75</v>
      </c>
      <c r="BM19" s="10">
        <v>140</v>
      </c>
      <c r="BN19" s="6">
        <f>SUM(BG19:BM19)</f>
        <v>337.4</v>
      </c>
      <c r="BO19" s="6">
        <f>(BN19-BG19)/2</f>
        <v>138.44999999999999</v>
      </c>
      <c r="BP19" s="10"/>
      <c r="BQ19" s="10"/>
      <c r="BR19" s="10"/>
      <c r="BS19" s="10"/>
      <c r="BT19" s="10"/>
      <c r="BU19" s="10"/>
      <c r="BV19" s="6">
        <f t="shared" si="0"/>
        <v>138.44999999999999</v>
      </c>
    </row>
    <row r="20" spans="1:74" x14ac:dyDescent="0.25">
      <c r="A20">
        <v>10</v>
      </c>
      <c r="B20" s="6" t="s">
        <v>463</v>
      </c>
      <c r="C20" s="6"/>
      <c r="D20" s="6" t="s">
        <v>145</v>
      </c>
      <c r="E20" s="6" t="s">
        <v>461</v>
      </c>
      <c r="F20" s="6"/>
      <c r="G20" s="6"/>
      <c r="H20" s="6"/>
      <c r="I20" s="6"/>
      <c r="J20" s="10"/>
      <c r="K20" s="10"/>
      <c r="L20" s="10"/>
      <c r="M20" s="10"/>
      <c r="N20" s="10"/>
      <c r="O20" s="6"/>
      <c r="P20" s="10"/>
      <c r="Q20" s="6"/>
      <c r="R20" s="6"/>
      <c r="S20" s="6"/>
      <c r="T20" s="6"/>
      <c r="U20" s="6"/>
      <c r="V20" s="6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6"/>
      <c r="AK20" s="6"/>
      <c r="AL20" s="6"/>
      <c r="AM20" s="6"/>
      <c r="AN20" s="6"/>
      <c r="AO20" s="6"/>
      <c r="AP20" s="6"/>
      <c r="AQ20" s="6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6"/>
      <c r="BG20" s="6"/>
      <c r="BH20" s="10"/>
      <c r="BI20" s="10"/>
      <c r="BJ20" s="10"/>
      <c r="BK20" s="10"/>
      <c r="BL20" s="10"/>
      <c r="BM20" s="10"/>
      <c r="BN20" s="6"/>
      <c r="BO20" s="6"/>
      <c r="BP20" s="10">
        <v>36</v>
      </c>
      <c r="BQ20" s="10">
        <v>44.8</v>
      </c>
      <c r="BR20" s="10">
        <v>7.5</v>
      </c>
      <c r="BS20" s="10">
        <v>36</v>
      </c>
      <c r="BT20" s="10"/>
      <c r="BU20" s="10"/>
      <c r="BV20" s="6">
        <f t="shared" si="0"/>
        <v>124.3</v>
      </c>
    </row>
    <row r="21" spans="1:74" x14ac:dyDescent="0.25">
      <c r="A21">
        <v>11</v>
      </c>
      <c r="B21" s="6" t="s">
        <v>203</v>
      </c>
      <c r="C21" s="6"/>
      <c r="D21" s="6" t="s">
        <v>212</v>
      </c>
      <c r="E21" s="6" t="s">
        <v>120</v>
      </c>
      <c r="F21" s="6"/>
      <c r="G21" s="6"/>
      <c r="H21" s="6"/>
      <c r="I21" s="6"/>
      <c r="J21" s="10"/>
      <c r="K21" s="10"/>
      <c r="L21" s="10"/>
      <c r="M21" s="10"/>
      <c r="N21" s="10"/>
      <c r="O21" s="6"/>
      <c r="P21" s="10"/>
      <c r="Q21" s="6"/>
      <c r="R21" s="6"/>
      <c r="S21" s="6"/>
      <c r="T21" s="6"/>
      <c r="U21" s="6"/>
      <c r="V21" s="6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6"/>
      <c r="AK21" s="6"/>
      <c r="AL21" s="6"/>
      <c r="AM21" s="6"/>
      <c r="AN21" s="6"/>
      <c r="AO21" s="6"/>
      <c r="AP21" s="6"/>
      <c r="AQ21" s="6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6"/>
      <c r="BG21" s="6"/>
      <c r="BH21" s="10">
        <v>33.6</v>
      </c>
      <c r="BI21" s="10">
        <v>64</v>
      </c>
      <c r="BJ21" s="10">
        <v>7.5</v>
      </c>
      <c r="BK21" s="10">
        <v>50</v>
      </c>
      <c r="BL21" s="10">
        <v>54</v>
      </c>
      <c r="BM21" s="10">
        <v>5</v>
      </c>
      <c r="BN21" s="6">
        <f>SUM(BG21:BM21)</f>
        <v>214.1</v>
      </c>
      <c r="BO21" s="6">
        <f>(BN21-BG21)/2</f>
        <v>107.05</v>
      </c>
      <c r="BP21" s="10"/>
      <c r="BQ21" s="10"/>
      <c r="BR21" s="10"/>
      <c r="BS21" s="10"/>
      <c r="BT21" s="10"/>
      <c r="BU21" s="10"/>
      <c r="BV21" s="6">
        <f t="shared" si="0"/>
        <v>107.05</v>
      </c>
    </row>
    <row r="22" spans="1:74" x14ac:dyDescent="0.25">
      <c r="A22">
        <v>12</v>
      </c>
      <c r="B22" s="6" t="s">
        <v>301</v>
      </c>
      <c r="C22" s="6"/>
      <c r="D22" s="6" t="s">
        <v>88</v>
      </c>
      <c r="E22" s="6" t="s">
        <v>117</v>
      </c>
      <c r="F22" s="6"/>
      <c r="G22" s="6"/>
      <c r="H22" s="6"/>
      <c r="I22" s="6"/>
      <c r="J22" s="10"/>
      <c r="K22" s="10"/>
      <c r="L22" s="10"/>
      <c r="M22" s="10"/>
      <c r="N22" s="10"/>
      <c r="O22" s="6"/>
      <c r="P22" s="10"/>
      <c r="Q22" s="6"/>
      <c r="R22" s="6"/>
      <c r="S22" s="6"/>
      <c r="T22" s="6"/>
      <c r="U22" s="6"/>
      <c r="V22" s="6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6"/>
      <c r="AK22" s="6"/>
      <c r="AL22" s="6"/>
      <c r="AM22" s="6"/>
      <c r="AN22" s="6"/>
      <c r="AO22" s="6"/>
      <c r="AP22" s="6"/>
      <c r="AQ22" s="6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6"/>
      <c r="BG22" s="6"/>
      <c r="BH22" s="10">
        <v>33.6</v>
      </c>
      <c r="BI22" s="10">
        <v>40</v>
      </c>
      <c r="BJ22" s="10">
        <v>54</v>
      </c>
      <c r="BK22" s="10">
        <v>7.5</v>
      </c>
      <c r="BL22" s="10">
        <v>2.4</v>
      </c>
      <c r="BM22" s="10">
        <v>54</v>
      </c>
      <c r="BN22" s="6">
        <f>SUM(BG22:BM22)</f>
        <v>191.5</v>
      </c>
      <c r="BO22" s="6">
        <f>(BN22-BG22)/2</f>
        <v>95.75</v>
      </c>
      <c r="BP22" s="10"/>
      <c r="BQ22" s="10"/>
      <c r="BR22" s="10"/>
      <c r="BS22" s="10"/>
      <c r="BT22" s="10"/>
      <c r="BU22" s="10"/>
      <c r="BV22" s="6">
        <f t="shared" si="0"/>
        <v>95.75</v>
      </c>
    </row>
    <row r="23" spans="1:74" x14ac:dyDescent="0.25">
      <c r="A23">
        <v>13</v>
      </c>
      <c r="B23" s="6" t="s">
        <v>98</v>
      </c>
      <c r="C23" s="6" t="s">
        <v>69</v>
      </c>
      <c r="D23" s="6" t="s">
        <v>20</v>
      </c>
      <c r="E23" s="6" t="s">
        <v>124</v>
      </c>
      <c r="F23" s="6"/>
      <c r="G23" s="6"/>
      <c r="H23" s="6"/>
      <c r="I23" s="6"/>
      <c r="J23" s="10"/>
      <c r="K23" s="10"/>
      <c r="L23" s="10"/>
      <c r="M23" s="10"/>
      <c r="N23" s="10"/>
      <c r="O23" s="6"/>
      <c r="P23" s="10"/>
      <c r="Q23" s="6"/>
      <c r="R23" s="6"/>
      <c r="S23" s="6"/>
      <c r="T23" s="6"/>
      <c r="U23" s="6"/>
      <c r="V23" s="6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6"/>
      <c r="AK23" s="6"/>
      <c r="AL23" s="6"/>
      <c r="AM23" s="6"/>
      <c r="AN23" s="6"/>
      <c r="AO23" s="6"/>
      <c r="AP23" s="6"/>
      <c r="AQ23" s="6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>
        <v>10</v>
      </c>
      <c r="BF23" s="6">
        <f>SUM(AK23:BE23)</f>
        <v>10</v>
      </c>
      <c r="BG23" s="6">
        <f>(BF23-AK23)/2</f>
        <v>5</v>
      </c>
      <c r="BH23" s="10">
        <v>48</v>
      </c>
      <c r="BI23" s="10">
        <v>4</v>
      </c>
      <c r="BJ23" s="10">
        <v>75</v>
      </c>
      <c r="BK23" s="10">
        <v>48</v>
      </c>
      <c r="BL23" s="10">
        <v>7.5</v>
      </c>
      <c r="BM23" s="10"/>
      <c r="BN23" s="6">
        <f>SUM(BG23:BM23)</f>
        <v>187.5</v>
      </c>
      <c r="BO23" s="6">
        <f>(BN23-BG23)/2</f>
        <v>91.25</v>
      </c>
      <c r="BP23" s="10"/>
      <c r="BQ23" s="10"/>
      <c r="BR23" s="10"/>
      <c r="BS23" s="10"/>
      <c r="BT23" s="10"/>
      <c r="BU23" s="10"/>
      <c r="BV23" s="6">
        <f t="shared" si="0"/>
        <v>91.25</v>
      </c>
    </row>
    <row r="24" spans="1:74" x14ac:dyDescent="0.25">
      <c r="A24">
        <v>14</v>
      </c>
      <c r="B24" s="6" t="s">
        <v>480</v>
      </c>
      <c r="C24" s="6"/>
      <c r="D24" s="6" t="s">
        <v>344</v>
      </c>
      <c r="E24" s="6" t="s">
        <v>254</v>
      </c>
      <c r="F24" s="6"/>
      <c r="G24" s="6"/>
      <c r="H24" s="6"/>
      <c r="I24" s="6"/>
      <c r="J24" s="10"/>
      <c r="K24" s="10"/>
      <c r="L24" s="10"/>
      <c r="M24" s="10"/>
      <c r="N24" s="10"/>
      <c r="O24" s="6"/>
      <c r="P24" s="10"/>
      <c r="Q24" s="6"/>
      <c r="R24" s="6"/>
      <c r="S24" s="6"/>
      <c r="T24" s="6"/>
      <c r="U24" s="6"/>
      <c r="V24" s="6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6"/>
      <c r="AK24" s="6"/>
      <c r="AL24" s="6"/>
      <c r="AM24" s="6"/>
      <c r="AN24" s="6"/>
      <c r="AO24" s="6"/>
      <c r="AP24" s="6"/>
      <c r="AQ24" s="6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6"/>
      <c r="BG24" s="6"/>
      <c r="BH24" s="10"/>
      <c r="BI24" s="10"/>
      <c r="BJ24" s="10"/>
      <c r="BK24" s="10"/>
      <c r="BL24" s="10"/>
      <c r="BM24" s="10"/>
      <c r="BN24" s="6"/>
      <c r="BO24" s="6"/>
      <c r="BP24" s="10"/>
      <c r="BQ24" s="10">
        <v>40</v>
      </c>
      <c r="BR24" s="10"/>
      <c r="BS24" s="10">
        <v>50</v>
      </c>
      <c r="BT24" s="10"/>
      <c r="BU24" s="10"/>
      <c r="BV24" s="6">
        <f t="shared" si="0"/>
        <v>90</v>
      </c>
    </row>
    <row r="25" spans="1:74" x14ac:dyDescent="0.25">
      <c r="A25">
        <v>15</v>
      </c>
      <c r="B25" s="6" t="s">
        <v>437</v>
      </c>
      <c r="C25" s="6"/>
      <c r="D25" s="6" t="s">
        <v>438</v>
      </c>
      <c r="E25" s="6" t="s">
        <v>197</v>
      </c>
      <c r="F25" s="6"/>
      <c r="G25" s="6"/>
      <c r="H25" s="6"/>
      <c r="I25" s="6"/>
      <c r="J25" s="10"/>
      <c r="K25" s="10"/>
      <c r="L25" s="10"/>
      <c r="M25" s="10"/>
      <c r="N25" s="10"/>
      <c r="O25" s="6"/>
      <c r="P25" s="10"/>
      <c r="Q25" s="6"/>
      <c r="R25" s="6"/>
      <c r="S25" s="6"/>
      <c r="T25" s="6"/>
      <c r="U25" s="6"/>
      <c r="V25" s="6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6"/>
      <c r="AK25" s="6"/>
      <c r="AL25" s="6"/>
      <c r="AM25" s="6"/>
      <c r="AN25" s="6"/>
      <c r="AO25" s="6"/>
      <c r="AP25" s="6"/>
      <c r="AQ25" s="6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6"/>
      <c r="BG25" s="6"/>
      <c r="BH25" s="10"/>
      <c r="BI25" s="10"/>
      <c r="BJ25" s="10"/>
      <c r="BK25" s="10"/>
      <c r="BL25" s="10"/>
      <c r="BM25" s="10"/>
      <c r="BN25" s="6"/>
      <c r="BO25" s="6"/>
      <c r="BP25" s="10">
        <v>36</v>
      </c>
      <c r="BQ25" s="10">
        <v>40</v>
      </c>
      <c r="BR25" s="10">
        <v>2.4</v>
      </c>
      <c r="BS25" s="10"/>
      <c r="BT25" s="10"/>
      <c r="BU25" s="10"/>
      <c r="BV25" s="6">
        <f t="shared" si="0"/>
        <v>78.400000000000006</v>
      </c>
    </row>
    <row r="26" spans="1:74" x14ac:dyDescent="0.25">
      <c r="A26">
        <v>16</v>
      </c>
      <c r="B26" s="6" t="s">
        <v>21</v>
      </c>
      <c r="C26" s="6"/>
      <c r="D26" s="6" t="s">
        <v>88</v>
      </c>
      <c r="E26" s="6" t="s">
        <v>12</v>
      </c>
      <c r="F26" s="6"/>
      <c r="G26" s="6"/>
      <c r="H26" s="6"/>
      <c r="I26" s="6"/>
      <c r="J26" s="10"/>
      <c r="K26" s="10"/>
      <c r="L26" s="10"/>
      <c r="M26" s="10"/>
      <c r="N26" s="10"/>
      <c r="O26" s="6"/>
      <c r="P26" s="10"/>
      <c r="Q26" s="6"/>
      <c r="R26" s="6"/>
      <c r="S26" s="6"/>
      <c r="T26" s="6"/>
      <c r="U26" s="6"/>
      <c r="V26" s="6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6"/>
      <c r="AK26" s="6"/>
      <c r="AL26" s="6"/>
      <c r="AM26" s="6"/>
      <c r="AN26" s="6"/>
      <c r="AO26" s="6"/>
      <c r="AP26" s="6"/>
      <c r="AQ26" s="6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6"/>
      <c r="BG26" s="6"/>
      <c r="BH26" s="10"/>
      <c r="BI26" s="10"/>
      <c r="BJ26" s="10"/>
      <c r="BK26" s="10"/>
      <c r="BL26" s="10"/>
      <c r="BM26" s="10"/>
      <c r="BN26" s="6"/>
      <c r="BO26" s="6"/>
      <c r="BP26" s="10"/>
      <c r="BQ26" s="10">
        <v>64</v>
      </c>
      <c r="BR26" s="10"/>
      <c r="BS26" s="10"/>
      <c r="BT26" s="10"/>
      <c r="BU26" s="10"/>
      <c r="BV26" s="6">
        <f t="shared" si="0"/>
        <v>64</v>
      </c>
    </row>
    <row r="27" spans="1:74" x14ac:dyDescent="0.25">
      <c r="A27">
        <v>17</v>
      </c>
      <c r="B27" s="6" t="s">
        <v>477</v>
      </c>
      <c r="C27" s="6"/>
      <c r="D27" s="6" t="s">
        <v>478</v>
      </c>
      <c r="E27" s="6" t="s">
        <v>73</v>
      </c>
      <c r="F27" s="6"/>
      <c r="G27" s="6"/>
      <c r="H27" s="6"/>
      <c r="I27" s="6"/>
      <c r="J27" s="10"/>
      <c r="K27" s="10"/>
      <c r="L27" s="10"/>
      <c r="M27" s="10"/>
      <c r="N27" s="10"/>
      <c r="O27" s="6"/>
      <c r="P27" s="10"/>
      <c r="Q27" s="6"/>
      <c r="R27" s="6"/>
      <c r="S27" s="6"/>
      <c r="T27" s="6"/>
      <c r="U27" s="6"/>
      <c r="V27" s="6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6"/>
      <c r="AK27" s="6"/>
      <c r="AL27" s="6"/>
      <c r="AM27" s="6"/>
      <c r="AN27" s="6"/>
      <c r="AO27" s="6"/>
      <c r="AP27" s="6"/>
      <c r="AQ27" s="6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6"/>
      <c r="BG27" s="6"/>
      <c r="BH27" s="10"/>
      <c r="BI27" s="10"/>
      <c r="BJ27" s="10"/>
      <c r="BK27" s="10"/>
      <c r="BL27" s="10"/>
      <c r="BM27" s="10"/>
      <c r="BN27" s="6"/>
      <c r="BO27" s="6"/>
      <c r="BP27" s="10">
        <v>48</v>
      </c>
      <c r="BQ27" s="10"/>
      <c r="BR27" s="10"/>
      <c r="BS27" s="10"/>
      <c r="BT27" s="10"/>
      <c r="BU27" s="10"/>
      <c r="BV27" s="6">
        <f t="shared" si="0"/>
        <v>48</v>
      </c>
    </row>
    <row r="28" spans="1:74" x14ac:dyDescent="0.25">
      <c r="A28">
        <v>18</v>
      </c>
      <c r="B28" s="6" t="s">
        <v>429</v>
      </c>
      <c r="C28" s="6"/>
      <c r="D28" s="6" t="s">
        <v>430</v>
      </c>
      <c r="E28" s="6" t="s">
        <v>431</v>
      </c>
      <c r="F28" s="6"/>
      <c r="G28" s="6"/>
      <c r="H28" s="6"/>
      <c r="I28" s="6"/>
      <c r="J28" s="10"/>
      <c r="K28" s="10"/>
      <c r="L28" s="10"/>
      <c r="M28" s="10"/>
      <c r="N28" s="10"/>
      <c r="O28" s="6"/>
      <c r="P28" s="10"/>
      <c r="Q28" s="6"/>
      <c r="R28" s="6"/>
      <c r="S28" s="6"/>
      <c r="T28" s="6"/>
      <c r="U28" s="6"/>
      <c r="V28" s="6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6"/>
      <c r="AK28" s="6"/>
      <c r="AL28" s="6"/>
      <c r="AM28" s="6"/>
      <c r="AN28" s="6"/>
      <c r="AO28" s="6"/>
      <c r="AP28" s="6"/>
      <c r="AQ28" s="6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6"/>
      <c r="BG28" s="6"/>
      <c r="BH28" s="10"/>
      <c r="BI28" s="10"/>
      <c r="BJ28" s="10"/>
      <c r="BK28" s="10"/>
      <c r="BL28" s="10"/>
      <c r="BM28" s="10"/>
      <c r="BN28" s="6"/>
      <c r="BO28" s="6"/>
      <c r="BP28" s="10">
        <v>36</v>
      </c>
      <c r="BQ28" s="10"/>
      <c r="BR28" s="10"/>
      <c r="BS28" s="10"/>
      <c r="BT28" s="10"/>
      <c r="BU28" s="10"/>
      <c r="BV28" s="6">
        <f t="shared" si="0"/>
        <v>36</v>
      </c>
    </row>
    <row r="29" spans="1:74" x14ac:dyDescent="0.25">
      <c r="A29">
        <v>19</v>
      </c>
      <c r="B29" s="6" t="s">
        <v>433</v>
      </c>
      <c r="C29" s="6"/>
      <c r="D29" s="6" t="s">
        <v>541</v>
      </c>
      <c r="E29" s="6" t="s">
        <v>538</v>
      </c>
      <c r="F29" s="6"/>
      <c r="G29" s="6"/>
      <c r="H29" s="6"/>
      <c r="I29" s="6"/>
      <c r="J29" s="10"/>
      <c r="K29" s="10"/>
      <c r="L29" s="10"/>
      <c r="M29" s="10"/>
      <c r="N29" s="10"/>
      <c r="O29" s="6"/>
      <c r="P29" s="10"/>
      <c r="Q29" s="6"/>
      <c r="R29" s="6"/>
      <c r="S29" s="6"/>
      <c r="T29" s="6"/>
      <c r="U29" s="6"/>
      <c r="V29" s="6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6"/>
      <c r="AK29" s="6"/>
      <c r="AL29" s="6"/>
      <c r="AM29" s="6"/>
      <c r="AN29" s="6"/>
      <c r="AO29" s="6"/>
      <c r="AP29" s="6"/>
      <c r="AQ29" s="6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6"/>
      <c r="BG29" s="6"/>
      <c r="BH29" s="10"/>
      <c r="BI29" s="10"/>
      <c r="BJ29" s="10"/>
      <c r="BK29" s="10"/>
      <c r="BL29" s="10"/>
      <c r="BM29" s="10"/>
      <c r="BN29" s="6"/>
      <c r="BO29" s="6"/>
      <c r="BP29" s="10">
        <v>36</v>
      </c>
      <c r="BQ29" s="10"/>
      <c r="BR29" s="10"/>
      <c r="BS29" s="10"/>
      <c r="BT29" s="10"/>
      <c r="BU29" s="10"/>
      <c r="BV29" s="6">
        <f t="shared" si="0"/>
        <v>36</v>
      </c>
    </row>
    <row r="30" spans="1:74" x14ac:dyDescent="0.25">
      <c r="A30">
        <v>20</v>
      </c>
      <c r="B30" s="6" t="s">
        <v>44</v>
      </c>
      <c r="C30" s="6"/>
      <c r="D30" s="6" t="s">
        <v>53</v>
      </c>
      <c r="E30" s="6" t="s">
        <v>68</v>
      </c>
      <c r="F30" s="6"/>
      <c r="G30" s="6"/>
      <c r="H30" s="6"/>
      <c r="I30" s="6"/>
      <c r="J30" s="10"/>
      <c r="K30" s="10"/>
      <c r="L30" s="10"/>
      <c r="M30" s="10"/>
      <c r="N30" s="10"/>
      <c r="O30" s="6"/>
      <c r="P30" s="10"/>
      <c r="Q30" s="6"/>
      <c r="R30" s="6"/>
      <c r="S30" s="6"/>
      <c r="T30" s="6"/>
      <c r="U30" s="6"/>
      <c r="V30" s="6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6"/>
      <c r="AK30" s="6"/>
      <c r="AL30" s="6"/>
      <c r="AM30" s="6"/>
      <c r="AN30" s="6"/>
      <c r="AO30" s="6"/>
      <c r="AP30" s="6"/>
      <c r="AQ30" s="6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6"/>
      <c r="BG30" s="6"/>
      <c r="BH30" s="10">
        <v>2.4</v>
      </c>
      <c r="BI30" s="10">
        <v>4</v>
      </c>
      <c r="BJ30" s="10">
        <v>7.5</v>
      </c>
      <c r="BK30" s="10">
        <v>50</v>
      </c>
      <c r="BL30" s="10"/>
      <c r="BM30" s="10"/>
      <c r="BN30" s="6">
        <f>SUM(BG30:BM30)</f>
        <v>63.9</v>
      </c>
      <c r="BO30" s="6">
        <f>(BN30-BG30)/2</f>
        <v>31.95</v>
      </c>
      <c r="BP30" s="10"/>
      <c r="BQ30" s="10"/>
      <c r="BR30" s="10"/>
      <c r="BS30" s="10"/>
      <c r="BT30" s="10"/>
      <c r="BU30" s="10"/>
      <c r="BV30" s="6">
        <f t="shared" si="0"/>
        <v>31.95</v>
      </c>
    </row>
    <row r="31" spans="1:74" x14ac:dyDescent="0.25">
      <c r="A31">
        <v>21</v>
      </c>
      <c r="B31" s="6" t="s">
        <v>420</v>
      </c>
      <c r="C31" s="6"/>
      <c r="D31" s="6" t="s">
        <v>421</v>
      </c>
      <c r="E31" s="6" t="s">
        <v>482</v>
      </c>
      <c r="F31" s="6"/>
      <c r="G31" s="6"/>
      <c r="H31" s="6"/>
      <c r="I31" s="6"/>
      <c r="J31" s="10"/>
      <c r="K31" s="10"/>
      <c r="L31" s="10"/>
      <c r="M31" s="10"/>
      <c r="N31" s="10"/>
      <c r="O31" s="6"/>
      <c r="P31" s="10"/>
      <c r="Q31" s="6"/>
      <c r="R31" s="6"/>
      <c r="S31" s="6"/>
      <c r="T31" s="6"/>
      <c r="U31" s="6"/>
      <c r="V31" s="6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6"/>
      <c r="AK31" s="6"/>
      <c r="AL31" s="6"/>
      <c r="AM31" s="6"/>
      <c r="AN31" s="6"/>
      <c r="AO31" s="6"/>
      <c r="AP31" s="6"/>
      <c r="AQ31" s="6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6"/>
      <c r="BG31" s="6"/>
      <c r="BH31" s="10"/>
      <c r="BI31" s="10"/>
      <c r="BJ31" s="10"/>
      <c r="BK31" s="10"/>
      <c r="BL31" s="10"/>
      <c r="BM31" s="10"/>
      <c r="BN31" s="6"/>
      <c r="BO31" s="6"/>
      <c r="BP31" s="10">
        <v>3</v>
      </c>
      <c r="BQ31" s="10">
        <v>28.8</v>
      </c>
      <c r="BR31" s="10"/>
      <c r="BS31" s="10"/>
      <c r="BT31" s="10"/>
      <c r="BU31" s="10"/>
      <c r="BV31" s="6">
        <f t="shared" si="0"/>
        <v>31.8</v>
      </c>
    </row>
    <row r="32" spans="1:74" x14ac:dyDescent="0.25">
      <c r="A32">
        <v>22</v>
      </c>
      <c r="B32" s="6" t="s">
        <v>60</v>
      </c>
      <c r="C32" s="6"/>
      <c r="D32" s="6" t="s">
        <v>20</v>
      </c>
      <c r="E32" s="6" t="s">
        <v>485</v>
      </c>
      <c r="F32" s="6"/>
      <c r="G32" s="6"/>
      <c r="H32" s="6"/>
      <c r="I32" s="6"/>
      <c r="J32" s="10"/>
      <c r="K32" s="10"/>
      <c r="L32" s="10"/>
      <c r="M32" s="10"/>
      <c r="N32" s="10"/>
      <c r="O32" s="6"/>
      <c r="P32" s="10"/>
      <c r="Q32" s="6"/>
      <c r="R32" s="6"/>
      <c r="S32" s="6"/>
      <c r="T32" s="6"/>
      <c r="U32" s="6"/>
      <c r="V32" s="6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6"/>
      <c r="AK32" s="6"/>
      <c r="AL32" s="6"/>
      <c r="AM32" s="6"/>
      <c r="AN32" s="6"/>
      <c r="AO32" s="6"/>
      <c r="AP32" s="6"/>
      <c r="AQ32" s="6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6"/>
      <c r="BG32" s="6"/>
      <c r="BH32" s="10"/>
      <c r="BI32" s="10"/>
      <c r="BJ32" s="10"/>
      <c r="BK32" s="10"/>
      <c r="BL32" s="10"/>
      <c r="BM32" s="10"/>
      <c r="BN32" s="6"/>
      <c r="BO32" s="6"/>
      <c r="BP32" s="10">
        <v>30</v>
      </c>
      <c r="BQ32" s="10"/>
      <c r="BR32" s="10"/>
      <c r="BS32" s="10"/>
      <c r="BT32" s="10"/>
      <c r="BU32" s="10"/>
      <c r="BV32" s="6">
        <f t="shared" si="0"/>
        <v>30</v>
      </c>
    </row>
    <row r="33" spans="1:74" x14ac:dyDescent="0.25">
      <c r="A33">
        <v>23</v>
      </c>
      <c r="B33" s="6" t="s">
        <v>443</v>
      </c>
      <c r="C33" s="6"/>
      <c r="D33" s="6" t="s">
        <v>481</v>
      </c>
      <c r="E33" s="6" t="s">
        <v>254</v>
      </c>
      <c r="F33" s="6"/>
      <c r="G33" s="6"/>
      <c r="H33" s="6"/>
      <c r="I33" s="6"/>
      <c r="J33" s="10"/>
      <c r="K33" s="10"/>
      <c r="L33" s="10"/>
      <c r="M33" s="10"/>
      <c r="N33" s="10"/>
      <c r="O33" s="6"/>
      <c r="P33" s="10"/>
      <c r="Q33" s="6"/>
      <c r="R33" s="6"/>
      <c r="S33" s="6"/>
      <c r="T33" s="6"/>
      <c r="U33" s="6"/>
      <c r="V33" s="6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6"/>
      <c r="AK33" s="6"/>
      <c r="AL33" s="6"/>
      <c r="AM33" s="6"/>
      <c r="AN33" s="6"/>
      <c r="AO33" s="6"/>
      <c r="AP33" s="6"/>
      <c r="AQ33" s="6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6"/>
      <c r="BG33" s="6"/>
      <c r="BH33" s="10"/>
      <c r="BI33" s="10"/>
      <c r="BJ33" s="10"/>
      <c r="BK33" s="10"/>
      <c r="BL33" s="10"/>
      <c r="BM33" s="10"/>
      <c r="BN33" s="6"/>
      <c r="BO33" s="6"/>
      <c r="BP33" s="10"/>
      <c r="BQ33" s="10">
        <v>28.8</v>
      </c>
      <c r="BR33" s="10"/>
      <c r="BS33" s="10"/>
      <c r="BT33" s="10"/>
      <c r="BU33" s="10"/>
      <c r="BV33" s="6">
        <f t="shared" si="0"/>
        <v>28.8</v>
      </c>
    </row>
    <row r="34" spans="1:74" x14ac:dyDescent="0.25">
      <c r="A34">
        <v>24</v>
      </c>
      <c r="B34" s="6" t="s">
        <v>234</v>
      </c>
      <c r="C34" s="6" t="s">
        <v>235</v>
      </c>
      <c r="D34" s="6" t="s">
        <v>47</v>
      </c>
      <c r="E34" s="6" t="s">
        <v>73</v>
      </c>
      <c r="F34" s="6"/>
      <c r="G34" s="6"/>
      <c r="H34" s="6"/>
      <c r="I34" s="6"/>
      <c r="J34" s="10"/>
      <c r="K34" s="10"/>
      <c r="L34" s="10"/>
      <c r="M34" s="10"/>
      <c r="N34" s="10"/>
      <c r="O34" s="6"/>
      <c r="P34" s="10"/>
      <c r="Q34" s="6"/>
      <c r="R34" s="6"/>
      <c r="S34" s="6"/>
      <c r="T34" s="6"/>
      <c r="U34" s="6"/>
      <c r="V34" s="6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6"/>
      <c r="AK34" s="6"/>
      <c r="AL34" s="6"/>
      <c r="AM34" s="6"/>
      <c r="AN34" s="6"/>
      <c r="AO34" s="6"/>
      <c r="AP34" s="6"/>
      <c r="AQ34" s="6"/>
      <c r="AR34" s="10"/>
      <c r="AS34" s="10"/>
      <c r="AT34" s="10"/>
      <c r="AU34" s="10"/>
      <c r="AV34" s="10"/>
      <c r="AW34" s="10"/>
      <c r="AX34" s="10"/>
      <c r="AY34" s="10"/>
      <c r="AZ34" s="10">
        <v>36</v>
      </c>
      <c r="BA34" s="10"/>
      <c r="BB34" s="10"/>
      <c r="BC34" s="10"/>
      <c r="BD34" s="10"/>
      <c r="BE34" s="10"/>
      <c r="BF34" s="6">
        <f>SUM(AK34:BE34)</f>
        <v>36</v>
      </c>
      <c r="BG34" s="6">
        <f>(BF34-AK34)/2</f>
        <v>18</v>
      </c>
      <c r="BH34" s="10"/>
      <c r="BI34" s="10"/>
      <c r="BJ34" s="10">
        <v>50</v>
      </c>
      <c r="BK34" s="10"/>
      <c r="BL34" s="10"/>
      <c r="BM34" s="10"/>
      <c r="BN34" s="6">
        <f>SUM(BG34:BM34)</f>
        <v>68</v>
      </c>
      <c r="BO34" s="6">
        <f>(BN34-BG34)/2</f>
        <v>25</v>
      </c>
      <c r="BP34" s="10"/>
      <c r="BQ34" s="10"/>
      <c r="BR34" s="10"/>
      <c r="BS34" s="10"/>
      <c r="BT34" s="10"/>
      <c r="BU34" s="10"/>
      <c r="BV34" s="6">
        <f t="shared" si="0"/>
        <v>25</v>
      </c>
    </row>
    <row r="35" spans="1:74" x14ac:dyDescent="0.25">
      <c r="A35">
        <v>25</v>
      </c>
      <c r="B35" s="6" t="s">
        <v>483</v>
      </c>
      <c r="C35" s="6"/>
      <c r="D35" s="6" t="s">
        <v>484</v>
      </c>
      <c r="E35" s="6" t="s">
        <v>425</v>
      </c>
      <c r="F35" s="6"/>
      <c r="G35" s="6"/>
      <c r="H35" s="6"/>
      <c r="I35" s="6"/>
      <c r="J35" s="10"/>
      <c r="K35" s="10"/>
      <c r="L35" s="10"/>
      <c r="M35" s="10"/>
      <c r="N35" s="10"/>
      <c r="O35" s="6"/>
      <c r="P35" s="10"/>
      <c r="Q35" s="6"/>
      <c r="R35" s="6"/>
      <c r="S35" s="6"/>
      <c r="T35" s="6"/>
      <c r="U35" s="6"/>
      <c r="V35" s="6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6"/>
      <c r="AK35" s="6"/>
      <c r="AL35" s="6"/>
      <c r="AM35" s="6"/>
      <c r="AN35" s="6"/>
      <c r="AO35" s="6"/>
      <c r="AP35" s="6"/>
      <c r="AQ35" s="6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6"/>
      <c r="BG35" s="6"/>
      <c r="BH35" s="10"/>
      <c r="BI35" s="10"/>
      <c r="BJ35" s="10"/>
      <c r="BK35" s="10"/>
      <c r="BL35" s="10"/>
      <c r="BM35" s="10"/>
      <c r="BN35" s="6"/>
      <c r="BO35" s="6"/>
      <c r="BP35" s="10"/>
      <c r="BQ35" s="10">
        <v>4</v>
      </c>
      <c r="BR35" s="10"/>
      <c r="BS35" s="10"/>
      <c r="BT35" s="10"/>
      <c r="BU35" s="10"/>
      <c r="BV35" s="6">
        <f t="shared" si="0"/>
        <v>4</v>
      </c>
    </row>
    <row r="36" spans="1:74" x14ac:dyDescent="0.25">
      <c r="A36">
        <v>26</v>
      </c>
      <c r="B36" s="6" t="s">
        <v>112</v>
      </c>
      <c r="C36" s="6"/>
      <c r="D36" s="6" t="s">
        <v>389</v>
      </c>
      <c r="E36" s="6" t="s">
        <v>390</v>
      </c>
      <c r="F36" s="6"/>
      <c r="G36" s="6"/>
      <c r="H36" s="6"/>
      <c r="I36" s="6"/>
      <c r="J36" s="10"/>
      <c r="K36" s="10"/>
      <c r="L36" s="10"/>
      <c r="M36" s="10"/>
      <c r="N36" s="10"/>
      <c r="O36" s="6"/>
      <c r="P36" s="10"/>
      <c r="Q36" s="6"/>
      <c r="R36" s="6"/>
      <c r="S36" s="6"/>
      <c r="T36" s="6"/>
      <c r="U36" s="6"/>
      <c r="V36" s="6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6"/>
      <c r="AK36" s="6"/>
      <c r="AL36" s="6"/>
      <c r="AM36" s="6"/>
      <c r="AN36" s="6"/>
      <c r="AO36" s="6"/>
      <c r="AP36" s="6"/>
      <c r="AQ36" s="6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6"/>
      <c r="BG36" s="6"/>
      <c r="BH36" s="10"/>
      <c r="BI36" s="10"/>
      <c r="BJ36" s="10">
        <v>7.5</v>
      </c>
      <c r="BK36" s="10"/>
      <c r="BL36" s="10"/>
      <c r="BM36" s="10"/>
      <c r="BN36" s="6">
        <f>SUM(BG36:BM36)</f>
        <v>7.5</v>
      </c>
      <c r="BO36" s="6">
        <f>(BN36-BG36)/2</f>
        <v>3.75</v>
      </c>
      <c r="BP36" s="10"/>
      <c r="BQ36" s="10"/>
      <c r="BR36" s="10"/>
      <c r="BS36" s="10"/>
      <c r="BT36" s="10"/>
      <c r="BU36" s="10"/>
      <c r="BV36" s="6">
        <f t="shared" si="0"/>
        <v>3.75</v>
      </c>
    </row>
    <row r="37" spans="1:74" x14ac:dyDescent="0.25">
      <c r="A37">
        <v>27</v>
      </c>
      <c r="B37" s="6" t="s">
        <v>40</v>
      </c>
      <c r="C37" s="6"/>
      <c r="D37" s="6" t="s">
        <v>249</v>
      </c>
      <c r="E37" s="6" t="s">
        <v>39</v>
      </c>
      <c r="F37" s="6"/>
      <c r="G37" s="6"/>
      <c r="H37" s="6"/>
      <c r="I37" s="6"/>
      <c r="J37" s="10"/>
      <c r="K37" s="10"/>
      <c r="L37" s="10"/>
      <c r="M37" s="10"/>
      <c r="N37" s="10"/>
      <c r="O37" s="6"/>
      <c r="P37" s="10"/>
      <c r="Q37" s="6"/>
      <c r="R37" s="6"/>
      <c r="S37" s="6"/>
      <c r="T37" s="6"/>
      <c r="U37" s="6"/>
      <c r="V37" s="6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6"/>
      <c r="AK37" s="6"/>
      <c r="AL37" s="6"/>
      <c r="AM37" s="6"/>
      <c r="AN37" s="6"/>
      <c r="AO37" s="6"/>
      <c r="AP37" s="6"/>
      <c r="AQ37" s="6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6"/>
      <c r="BG37" s="6"/>
      <c r="BH37" s="10">
        <v>2.4</v>
      </c>
      <c r="BI37" s="10"/>
      <c r="BJ37" s="10"/>
      <c r="BK37" s="10"/>
      <c r="BL37" s="10"/>
      <c r="BM37" s="10"/>
      <c r="BN37" s="6">
        <f>SUM(BG37:BM37)</f>
        <v>2.4</v>
      </c>
      <c r="BO37" s="6">
        <f>(BN37-BG37)/2</f>
        <v>1.2</v>
      </c>
      <c r="BP37" s="10"/>
      <c r="BQ37" s="10"/>
      <c r="BR37" s="10"/>
      <c r="BS37" s="10"/>
      <c r="BT37" s="10"/>
      <c r="BU37" s="10"/>
      <c r="BV37" s="6">
        <f t="shared" si="0"/>
        <v>1.2</v>
      </c>
    </row>
  </sheetData>
  <sortState xmlns:xlrd2="http://schemas.microsoft.com/office/spreadsheetml/2017/richdata2" ref="B11:BV37">
    <sortCondition descending="1" ref="BV11:BV37"/>
  </sortState>
  <mergeCells count="5">
    <mergeCell ref="B8:C10"/>
    <mergeCell ref="BJ9:BM9"/>
    <mergeCell ref="BR9:BU9"/>
    <mergeCell ref="D4:BV5"/>
    <mergeCell ref="B1:BV1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F38"/>
  <sheetViews>
    <sheetView zoomScale="80" zoomScaleNormal="80" workbookViewId="0">
      <selection activeCell="CJ23" sqref="CJ23"/>
    </sheetView>
  </sheetViews>
  <sheetFormatPr baseColWidth="10" defaultRowHeight="15" x14ac:dyDescent="0.25"/>
  <cols>
    <col min="1" max="1" width="3.140625" bestFit="1" customWidth="1"/>
    <col min="2" max="2" width="14.140625" bestFit="1" customWidth="1"/>
    <col min="4" max="4" width="13.28515625" bestFit="1" customWidth="1"/>
    <col min="5" max="5" width="23.42578125" bestFit="1" customWidth="1"/>
    <col min="6" max="8" width="6.42578125" hidden="1" customWidth="1"/>
    <col min="9" max="9" width="7.28515625" hidden="1" customWidth="1"/>
    <col min="10" max="12" width="6.28515625" style="7" hidden="1" customWidth="1"/>
    <col min="13" max="14" width="6.7109375" style="7" hidden="1" customWidth="1"/>
    <col min="15" max="18" width="7.28515625" style="7" hidden="1" customWidth="1"/>
    <col min="19" max="19" width="6.42578125" style="7" hidden="1" customWidth="1"/>
    <col min="20" max="21" width="6.7109375" style="7" hidden="1" customWidth="1"/>
    <col min="22" max="22" width="0" hidden="1" customWidth="1"/>
    <col min="23" max="23" width="0" style="7" hidden="1" customWidth="1"/>
    <col min="24" max="41" width="5.5703125" hidden="1" customWidth="1"/>
    <col min="42" max="42" width="5.5703125" style="7" hidden="1" customWidth="1"/>
    <col min="43" max="43" width="6.28515625" hidden="1" customWidth="1"/>
    <col min="44" max="44" width="6.85546875" hidden="1" customWidth="1"/>
    <col min="45" max="52" width="5.5703125" hidden="1" customWidth="1"/>
    <col min="53" max="60" width="5.5703125" style="7" hidden="1" customWidth="1"/>
    <col min="61" max="62" width="6" style="7" hidden="1" customWidth="1"/>
    <col min="63" max="66" width="5.5703125" style="7" hidden="1" customWidth="1"/>
    <col min="67" max="67" width="6.85546875" style="7" hidden="1" customWidth="1"/>
    <col min="68" max="68" width="6.28515625" hidden="1" customWidth="1"/>
    <col min="69" max="69" width="0" hidden="1" customWidth="1"/>
    <col min="70" max="70" width="5.5703125" style="7" hidden="1" customWidth="1"/>
    <col min="71" max="71" width="8.140625" style="7" hidden="1" customWidth="1"/>
    <col min="72" max="72" width="7.85546875" style="7" hidden="1" customWidth="1"/>
    <col min="73" max="73" width="9" style="7" hidden="1" customWidth="1"/>
    <col min="74" max="74" width="7.85546875" style="7" hidden="1" customWidth="1"/>
    <col min="75" max="75" width="6.7109375" style="7" hidden="1" customWidth="1"/>
    <col min="78" max="78" width="6.85546875" style="7" customWidth="1"/>
    <col min="79" max="79" width="7.42578125" style="7" customWidth="1"/>
    <col min="80" max="80" width="7.85546875" style="7" customWidth="1"/>
    <col min="81" max="81" width="8.140625" style="7" customWidth="1"/>
    <col min="82" max="82" width="7.42578125" style="7" customWidth="1"/>
    <col min="83" max="83" width="11.42578125" style="7"/>
  </cols>
  <sheetData>
    <row r="1" spans="1:84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</row>
    <row r="2" spans="1:84" ht="15.75" thickBot="1" x14ac:dyDescent="0.3">
      <c r="C2" s="7"/>
      <c r="D2" s="7"/>
      <c r="E2" s="7"/>
    </row>
    <row r="3" spans="1:84" ht="15.75" thickTop="1" x14ac:dyDescent="0.25">
      <c r="B3" s="1" t="s">
        <v>0</v>
      </c>
      <c r="C3" s="4" t="s">
        <v>13</v>
      </c>
    </row>
    <row r="4" spans="1:84" ht="14.65" customHeight="1" x14ac:dyDescent="0.25">
      <c r="B4" s="2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</row>
    <row r="5" spans="1:84" ht="15" customHeight="1" thickBot="1" x14ac:dyDescent="0.3">
      <c r="B5" s="3" t="s">
        <v>2</v>
      </c>
      <c r="C5" s="14">
        <v>-50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</row>
    <row r="6" spans="1:84" ht="15.75" thickTop="1" x14ac:dyDescent="0.25"/>
    <row r="7" spans="1:84" ht="15.75" thickBot="1" x14ac:dyDescent="0.3"/>
    <row r="8" spans="1:84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33</v>
      </c>
      <c r="I8" s="4" t="s">
        <v>55</v>
      </c>
      <c r="J8" s="4" t="s">
        <v>72</v>
      </c>
      <c r="K8" s="4" t="s">
        <v>80</v>
      </c>
      <c r="L8" s="4" t="s">
        <v>84</v>
      </c>
      <c r="M8" s="4" t="s">
        <v>9</v>
      </c>
      <c r="N8" s="4" t="s">
        <v>9</v>
      </c>
      <c r="O8" s="4" t="s">
        <v>9</v>
      </c>
      <c r="P8" s="4" t="s">
        <v>9</v>
      </c>
      <c r="Q8" s="4" t="s">
        <v>9</v>
      </c>
      <c r="R8" s="4" t="s">
        <v>96</v>
      </c>
      <c r="S8" s="4" t="s">
        <v>9</v>
      </c>
      <c r="T8" s="4" t="s">
        <v>100</v>
      </c>
      <c r="U8" s="4" t="s">
        <v>103</v>
      </c>
      <c r="V8" s="1"/>
      <c r="W8" s="13">
        <v>44927</v>
      </c>
      <c r="X8" s="4" t="s">
        <v>9</v>
      </c>
      <c r="Y8" s="4" t="s">
        <v>9</v>
      </c>
      <c r="Z8" s="4" t="s">
        <v>103</v>
      </c>
      <c r="AA8" s="4" t="s">
        <v>9</v>
      </c>
      <c r="AB8" s="4" t="s">
        <v>9</v>
      </c>
      <c r="AC8" s="4" t="s">
        <v>9</v>
      </c>
      <c r="AD8" s="4" t="s">
        <v>127</v>
      </c>
      <c r="AE8" s="4" t="s">
        <v>127</v>
      </c>
      <c r="AF8" s="4" t="s">
        <v>127</v>
      </c>
      <c r="AG8" s="4" t="s">
        <v>9</v>
      </c>
      <c r="AH8" s="4" t="s">
        <v>103</v>
      </c>
      <c r="AI8" s="4" t="s">
        <v>9</v>
      </c>
      <c r="AJ8" s="4" t="s">
        <v>9</v>
      </c>
      <c r="AK8" s="4" t="s">
        <v>100</v>
      </c>
      <c r="AL8" s="4" t="s">
        <v>9</v>
      </c>
      <c r="AM8" s="4" t="s">
        <v>9</v>
      </c>
      <c r="AN8" s="4" t="s">
        <v>103</v>
      </c>
      <c r="AO8" s="4" t="s">
        <v>9</v>
      </c>
      <c r="AP8" s="4" t="s">
        <v>104</v>
      </c>
      <c r="AQ8" s="4" t="s">
        <v>6</v>
      </c>
      <c r="AR8" s="13">
        <v>45292</v>
      </c>
      <c r="AS8" s="13" t="s">
        <v>9</v>
      </c>
      <c r="AT8" s="13" t="s">
        <v>9</v>
      </c>
      <c r="AU8" s="13" t="s">
        <v>9</v>
      </c>
      <c r="AV8" s="13" t="s">
        <v>9</v>
      </c>
      <c r="AW8" s="13" t="s">
        <v>9</v>
      </c>
      <c r="AX8" s="13" t="s">
        <v>9</v>
      </c>
      <c r="AY8" s="13" t="s">
        <v>9</v>
      </c>
      <c r="AZ8" s="13" t="s">
        <v>103</v>
      </c>
      <c r="BA8" s="13" t="s">
        <v>103</v>
      </c>
      <c r="BB8" s="13" t="s">
        <v>127</v>
      </c>
      <c r="BC8" s="13" t="s">
        <v>127</v>
      </c>
      <c r="BD8" s="13" t="s">
        <v>103</v>
      </c>
      <c r="BE8" s="13" t="s">
        <v>9</v>
      </c>
      <c r="BF8" s="13" t="s">
        <v>9</v>
      </c>
      <c r="BG8" s="13" t="s">
        <v>9</v>
      </c>
      <c r="BH8" s="13" t="s">
        <v>9</v>
      </c>
      <c r="BI8" s="13" t="s">
        <v>9</v>
      </c>
      <c r="BJ8" s="13" t="s">
        <v>9</v>
      </c>
      <c r="BK8" s="13" t="s">
        <v>9</v>
      </c>
      <c r="BL8" s="13" t="s">
        <v>9</v>
      </c>
      <c r="BM8" s="13" t="s">
        <v>103</v>
      </c>
      <c r="BN8" s="13" t="s">
        <v>102</v>
      </c>
      <c r="BO8" s="13" t="s">
        <v>104</v>
      </c>
      <c r="BP8" s="13" t="s">
        <v>6</v>
      </c>
      <c r="BQ8" s="13">
        <v>45658</v>
      </c>
      <c r="BR8" s="13"/>
      <c r="BS8" s="13"/>
      <c r="BT8" s="18"/>
      <c r="BU8" s="19"/>
      <c r="BV8" s="19"/>
      <c r="BW8" s="20"/>
      <c r="BX8" s="13" t="s">
        <v>6</v>
      </c>
      <c r="BY8" s="13">
        <v>46023</v>
      </c>
      <c r="BZ8" s="13"/>
      <c r="CA8" s="13"/>
      <c r="CB8" s="18"/>
      <c r="CC8" s="19"/>
      <c r="CD8" s="19"/>
      <c r="CE8" s="20"/>
      <c r="CF8" s="13" t="s">
        <v>6</v>
      </c>
    </row>
    <row r="9" spans="1:84" x14ac:dyDescent="0.25">
      <c r="B9" s="26"/>
      <c r="C9" s="27"/>
      <c r="D9" s="2"/>
      <c r="E9" s="2"/>
      <c r="F9" s="8" t="s">
        <v>10</v>
      </c>
      <c r="G9" s="8" t="s">
        <v>22</v>
      </c>
      <c r="H9" s="8" t="s">
        <v>34</v>
      </c>
      <c r="I9" s="8" t="s">
        <v>56</v>
      </c>
      <c r="J9" s="8" t="s">
        <v>75</v>
      </c>
      <c r="K9" s="8" t="s">
        <v>81</v>
      </c>
      <c r="L9" s="8" t="s">
        <v>34</v>
      </c>
      <c r="M9" s="8" t="s">
        <v>22</v>
      </c>
      <c r="N9" s="8" t="s">
        <v>70</v>
      </c>
      <c r="O9" s="8" t="s">
        <v>65</v>
      </c>
      <c r="P9" s="8" t="s">
        <v>10</v>
      </c>
      <c r="Q9" s="8" t="s">
        <v>89</v>
      </c>
      <c r="R9" s="8" t="s">
        <v>97</v>
      </c>
      <c r="S9" s="8" t="s">
        <v>89</v>
      </c>
      <c r="T9" s="8" t="s">
        <v>101</v>
      </c>
      <c r="U9" s="8" t="s">
        <v>104</v>
      </c>
      <c r="V9" s="2" t="s">
        <v>6</v>
      </c>
      <c r="W9" s="5"/>
      <c r="X9" s="8" t="s">
        <v>22</v>
      </c>
      <c r="Y9" s="8" t="s">
        <v>85</v>
      </c>
      <c r="Z9" s="8" t="s">
        <v>72</v>
      </c>
      <c r="AA9" s="8" t="s">
        <v>70</v>
      </c>
      <c r="AB9" s="8" t="s">
        <v>89</v>
      </c>
      <c r="AC9" s="8" t="s">
        <v>30</v>
      </c>
      <c r="AD9" s="8" t="s">
        <v>76</v>
      </c>
      <c r="AE9" s="8" t="s">
        <v>80</v>
      </c>
      <c r="AF9" s="8" t="s">
        <v>72</v>
      </c>
      <c r="AG9" s="8" t="s">
        <v>65</v>
      </c>
      <c r="AH9" s="8" t="s">
        <v>76</v>
      </c>
      <c r="AI9" s="8" t="s">
        <v>142</v>
      </c>
      <c r="AJ9" s="8" t="s">
        <v>22</v>
      </c>
      <c r="AK9" s="8" t="s">
        <v>148</v>
      </c>
      <c r="AL9" s="8" t="s">
        <v>70</v>
      </c>
      <c r="AM9" s="8" t="s">
        <v>89</v>
      </c>
      <c r="AN9" s="8" t="s">
        <v>80</v>
      </c>
      <c r="AO9" s="8" t="s">
        <v>142</v>
      </c>
      <c r="AP9" s="8"/>
      <c r="AQ9" s="2"/>
      <c r="AR9" s="5"/>
      <c r="AS9" s="5" t="s">
        <v>70</v>
      </c>
      <c r="AT9" s="5" t="s">
        <v>10</v>
      </c>
      <c r="AU9" s="5" t="s">
        <v>142</v>
      </c>
      <c r="AV9" s="5" t="s">
        <v>181</v>
      </c>
      <c r="AW9" s="5" t="s">
        <v>65</v>
      </c>
      <c r="AX9" s="5" t="s">
        <v>18</v>
      </c>
      <c r="AY9" s="5" t="s">
        <v>22</v>
      </c>
      <c r="AZ9" s="5" t="s">
        <v>76</v>
      </c>
      <c r="BA9" s="5" t="s">
        <v>209</v>
      </c>
      <c r="BB9" s="5" t="s">
        <v>72</v>
      </c>
      <c r="BC9" s="5" t="s">
        <v>80</v>
      </c>
      <c r="BD9" s="5" t="s">
        <v>72</v>
      </c>
      <c r="BE9" s="5" t="s">
        <v>70</v>
      </c>
      <c r="BF9" s="5" t="s">
        <v>18</v>
      </c>
      <c r="BG9" s="5" t="s">
        <v>181</v>
      </c>
      <c r="BH9" s="5" t="s">
        <v>142</v>
      </c>
      <c r="BI9" s="5" t="s">
        <v>22</v>
      </c>
      <c r="BJ9" s="5" t="s">
        <v>10</v>
      </c>
      <c r="BK9" s="5" t="s">
        <v>65</v>
      </c>
      <c r="BL9" s="5" t="s">
        <v>236</v>
      </c>
      <c r="BM9" s="5" t="s">
        <v>80</v>
      </c>
      <c r="BN9" s="5" t="s">
        <v>243</v>
      </c>
      <c r="BO9" s="5" t="s">
        <v>245</v>
      </c>
      <c r="BP9" s="5"/>
      <c r="BQ9" s="5"/>
      <c r="BR9" s="8" t="s">
        <v>9</v>
      </c>
      <c r="BS9" s="8" t="s">
        <v>127</v>
      </c>
      <c r="BT9" s="28" t="s">
        <v>247</v>
      </c>
      <c r="BU9" s="29"/>
      <c r="BV9" s="29"/>
      <c r="BW9" s="30"/>
      <c r="BX9" s="5"/>
      <c r="BY9" s="5"/>
      <c r="BZ9" s="8" t="s">
        <v>9</v>
      </c>
      <c r="CA9" s="8" t="s">
        <v>127</v>
      </c>
      <c r="CB9" s="28" t="s">
        <v>247</v>
      </c>
      <c r="CC9" s="29"/>
      <c r="CD9" s="29"/>
      <c r="CE9" s="30"/>
      <c r="CF9" s="5"/>
    </row>
    <row r="10" spans="1:84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44653</v>
      </c>
      <c r="H10" s="9">
        <v>44681</v>
      </c>
      <c r="I10" s="9">
        <v>44696</v>
      </c>
      <c r="J10" s="9">
        <v>44730</v>
      </c>
      <c r="K10" s="9">
        <v>44737</v>
      </c>
      <c r="L10" s="9">
        <v>44759</v>
      </c>
      <c r="M10" s="9">
        <v>44779</v>
      </c>
      <c r="N10" s="9">
        <v>44800</v>
      </c>
      <c r="O10" s="9">
        <v>44814</v>
      </c>
      <c r="P10" s="9">
        <v>44814</v>
      </c>
      <c r="Q10" s="9">
        <v>44814</v>
      </c>
      <c r="R10" s="9">
        <v>44828</v>
      </c>
      <c r="S10" s="9">
        <v>44856</v>
      </c>
      <c r="T10" s="9">
        <v>44868</v>
      </c>
      <c r="U10" s="9">
        <v>44905</v>
      </c>
      <c r="V10" s="2">
        <v>2022</v>
      </c>
      <c r="W10" s="5"/>
      <c r="X10" s="2" t="s">
        <v>106</v>
      </c>
      <c r="Y10" s="5" t="s">
        <v>108</v>
      </c>
      <c r="Z10" s="5" t="s">
        <v>111</v>
      </c>
      <c r="AA10" s="5" t="s">
        <v>123</v>
      </c>
      <c r="AB10" s="5" t="s">
        <v>121</v>
      </c>
      <c r="AC10" s="5" t="s">
        <v>126</v>
      </c>
      <c r="AD10" s="5" t="s">
        <v>128</v>
      </c>
      <c r="AE10" s="5" t="s">
        <v>133</v>
      </c>
      <c r="AF10" s="5" t="s">
        <v>134</v>
      </c>
      <c r="AG10" s="5" t="s">
        <v>138</v>
      </c>
      <c r="AH10" s="5" t="s">
        <v>140</v>
      </c>
      <c r="AI10" s="5" t="s">
        <v>143</v>
      </c>
      <c r="AJ10" s="5" t="s">
        <v>146</v>
      </c>
      <c r="AK10" s="5" t="s">
        <v>149</v>
      </c>
      <c r="AL10" s="5" t="s">
        <v>147</v>
      </c>
      <c r="AM10" s="5" t="s">
        <v>147</v>
      </c>
      <c r="AN10" s="5" t="s">
        <v>156</v>
      </c>
      <c r="AO10" s="5" t="s">
        <v>164</v>
      </c>
      <c r="AP10" s="5" t="s">
        <v>165</v>
      </c>
      <c r="AQ10" s="2">
        <v>2023</v>
      </c>
      <c r="AR10" s="5"/>
      <c r="AS10" s="5" t="s">
        <v>166</v>
      </c>
      <c r="AT10" s="5" t="s">
        <v>166</v>
      </c>
      <c r="AU10" s="5" t="s">
        <v>166</v>
      </c>
      <c r="AV10" s="5" t="s">
        <v>166</v>
      </c>
      <c r="AW10" s="5" t="s">
        <v>166</v>
      </c>
      <c r="AX10" s="5" t="s">
        <v>185</v>
      </c>
      <c r="AY10" s="5" t="s">
        <v>199</v>
      </c>
      <c r="AZ10" s="5" t="s">
        <v>207</v>
      </c>
      <c r="BA10" s="5" t="s">
        <v>210</v>
      </c>
      <c r="BB10" s="5" t="s">
        <v>217</v>
      </c>
      <c r="BC10" s="5" t="s">
        <v>220</v>
      </c>
      <c r="BD10" s="5" t="s">
        <v>222</v>
      </c>
      <c r="BE10" s="5" t="s">
        <v>149</v>
      </c>
      <c r="BF10" s="5" t="s">
        <v>227</v>
      </c>
      <c r="BG10" s="5" t="s">
        <v>227</v>
      </c>
      <c r="BH10" s="5" t="s">
        <v>226</v>
      </c>
      <c r="BI10" s="5" t="s">
        <v>228</v>
      </c>
      <c r="BJ10" s="5" t="s">
        <v>232</v>
      </c>
      <c r="BK10" s="5" t="s">
        <v>233</v>
      </c>
      <c r="BL10" s="5" t="s">
        <v>237</v>
      </c>
      <c r="BM10" s="5" t="s">
        <v>238</v>
      </c>
      <c r="BN10" s="5" t="s">
        <v>244</v>
      </c>
      <c r="BO10" s="5" t="s">
        <v>246</v>
      </c>
      <c r="BP10" s="5">
        <v>2024</v>
      </c>
      <c r="BQ10" s="5"/>
      <c r="BR10" s="5"/>
      <c r="BS10" s="5"/>
      <c r="BT10" s="5">
        <v>1</v>
      </c>
      <c r="BU10" s="5">
        <v>2</v>
      </c>
      <c r="BV10" s="5">
        <v>3</v>
      </c>
      <c r="BW10" s="5">
        <v>4</v>
      </c>
      <c r="BX10" s="5">
        <v>2025</v>
      </c>
      <c r="BY10" s="5"/>
      <c r="BZ10" s="5"/>
      <c r="CA10" s="5"/>
      <c r="CB10" s="5">
        <v>1</v>
      </c>
      <c r="CC10" s="5">
        <v>2</v>
      </c>
      <c r="CD10" s="5">
        <v>3</v>
      </c>
      <c r="CE10" s="5">
        <v>4</v>
      </c>
      <c r="CF10" s="5">
        <v>2026</v>
      </c>
    </row>
    <row r="11" spans="1:84" x14ac:dyDescent="0.25">
      <c r="A11">
        <v>1</v>
      </c>
      <c r="B11" s="10" t="s">
        <v>319</v>
      </c>
      <c r="C11" s="6"/>
      <c r="D11" s="6" t="s">
        <v>83</v>
      </c>
      <c r="E11" s="6" t="s">
        <v>320</v>
      </c>
      <c r="F11" s="6"/>
      <c r="G11" s="6"/>
      <c r="H11" s="6"/>
      <c r="I11" s="6"/>
      <c r="J11" s="6"/>
      <c r="K11" s="6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6"/>
      <c r="Z11" s="10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10"/>
      <c r="AQ11" s="6"/>
      <c r="AR11" s="6"/>
      <c r="AS11" s="6"/>
      <c r="AT11" s="6"/>
      <c r="AU11" s="6"/>
      <c r="AV11" s="10"/>
      <c r="AW11" s="6"/>
      <c r="AX11" s="6"/>
      <c r="AY11" s="6"/>
      <c r="AZ11" s="6"/>
      <c r="BA11" s="6"/>
      <c r="BB11" s="6"/>
      <c r="BC11" s="6"/>
      <c r="BD11" s="6"/>
      <c r="BE11" s="6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6"/>
      <c r="BS11" s="6"/>
      <c r="BT11" s="10">
        <v>36</v>
      </c>
      <c r="BU11" s="10">
        <v>40</v>
      </c>
      <c r="BV11" s="10">
        <v>54</v>
      </c>
      <c r="BW11" s="10">
        <v>70</v>
      </c>
      <c r="BX11" s="6">
        <v>355</v>
      </c>
      <c r="BY11" s="6">
        <f>(BX11-BQ11)/2</f>
        <v>177.5</v>
      </c>
      <c r="BZ11" s="10">
        <v>36</v>
      </c>
      <c r="CA11" s="10">
        <v>80</v>
      </c>
      <c r="CB11" s="10">
        <v>75</v>
      </c>
      <c r="CC11" s="10">
        <v>36</v>
      </c>
      <c r="CD11" s="10"/>
      <c r="CE11" s="10"/>
      <c r="CF11" s="6">
        <f>SUM(BY11:CE11)</f>
        <v>404.5</v>
      </c>
    </row>
    <row r="12" spans="1:84" x14ac:dyDescent="0.25">
      <c r="A12">
        <v>2</v>
      </c>
      <c r="B12" s="6" t="s">
        <v>419</v>
      </c>
      <c r="C12" s="6"/>
      <c r="D12" s="6" t="s">
        <v>364</v>
      </c>
      <c r="E12" s="6" t="s">
        <v>41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6"/>
      <c r="W12" s="10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10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6"/>
      <c r="BQ12" s="6"/>
      <c r="BR12" s="10"/>
      <c r="BS12" s="10"/>
      <c r="BT12" s="10"/>
      <c r="BU12" s="10"/>
      <c r="BV12" s="10"/>
      <c r="BW12" s="10"/>
      <c r="BX12" s="6"/>
      <c r="BY12" s="6"/>
      <c r="BZ12" s="10">
        <v>48</v>
      </c>
      <c r="CA12" s="10">
        <v>56</v>
      </c>
      <c r="CB12" s="10">
        <v>105</v>
      </c>
      <c r="CC12" s="10">
        <v>70</v>
      </c>
      <c r="CD12" s="10">
        <v>30</v>
      </c>
      <c r="CE12" s="10">
        <v>70</v>
      </c>
      <c r="CF12" s="6">
        <f>SUM(BY12:CE12)</f>
        <v>379</v>
      </c>
    </row>
    <row r="13" spans="1:84" x14ac:dyDescent="0.25">
      <c r="A13">
        <v>3</v>
      </c>
      <c r="B13" s="6" t="s">
        <v>308</v>
      </c>
      <c r="C13" s="6"/>
      <c r="D13" s="6" t="s">
        <v>309</v>
      </c>
      <c r="E13" s="6" t="s">
        <v>87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6"/>
      <c r="W13" s="10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10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6"/>
      <c r="BQ13" s="6"/>
      <c r="BR13" s="10"/>
      <c r="BS13" s="10"/>
      <c r="BT13" s="10"/>
      <c r="BU13" s="10"/>
      <c r="BV13" s="10"/>
      <c r="BW13" s="10"/>
      <c r="BX13" s="6"/>
      <c r="BY13" s="6"/>
      <c r="BZ13" s="10">
        <v>36</v>
      </c>
      <c r="CA13" s="10">
        <v>3.2</v>
      </c>
      <c r="CB13" s="10">
        <v>150</v>
      </c>
      <c r="CC13" s="10">
        <v>100</v>
      </c>
      <c r="CD13" s="10">
        <v>36</v>
      </c>
      <c r="CE13" s="10"/>
      <c r="CF13" s="6">
        <f>SUM(BY13:CE13)</f>
        <v>325.2</v>
      </c>
    </row>
    <row r="14" spans="1:84" x14ac:dyDescent="0.25">
      <c r="A14" s="21">
        <v>4</v>
      </c>
      <c r="B14" s="6" t="s">
        <v>52</v>
      </c>
      <c r="C14" s="6"/>
      <c r="D14" s="6" t="s">
        <v>221</v>
      </c>
      <c r="E14" s="6" t="s">
        <v>37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6"/>
      <c r="W14" s="10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10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6"/>
      <c r="BQ14" s="6"/>
      <c r="BR14" s="10"/>
      <c r="BS14" s="10"/>
      <c r="BT14" s="10"/>
      <c r="BU14" s="10"/>
      <c r="BV14" s="10"/>
      <c r="BW14" s="10"/>
      <c r="BX14" s="6"/>
      <c r="BY14" s="6"/>
      <c r="BZ14" s="10">
        <v>42</v>
      </c>
      <c r="CA14" s="10">
        <v>40</v>
      </c>
      <c r="CB14" s="10">
        <v>75</v>
      </c>
      <c r="CC14" s="10">
        <v>50</v>
      </c>
      <c r="CD14" s="10">
        <v>33.6</v>
      </c>
      <c r="CE14" s="10"/>
      <c r="CF14" s="6">
        <f>SUM(BY14:CE14)</f>
        <v>240.6</v>
      </c>
    </row>
    <row r="15" spans="1:84" x14ac:dyDescent="0.25">
      <c r="A15">
        <v>5</v>
      </c>
      <c r="B15" s="6" t="s">
        <v>297</v>
      </c>
      <c r="C15" s="6"/>
      <c r="D15" s="6" t="s">
        <v>298</v>
      </c>
      <c r="E15" s="6" t="s">
        <v>78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6"/>
      <c r="W15" s="10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10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6"/>
      <c r="BQ15" s="6"/>
      <c r="BR15" s="10"/>
      <c r="BS15" s="10"/>
      <c r="BT15" s="10"/>
      <c r="BU15" s="10"/>
      <c r="BV15" s="10"/>
      <c r="BW15" s="10"/>
      <c r="BX15" s="6"/>
      <c r="BY15" s="6">
        <f>138.4/2</f>
        <v>69.2</v>
      </c>
      <c r="BZ15" s="10">
        <v>36</v>
      </c>
      <c r="CA15" s="10"/>
      <c r="CB15" s="10">
        <v>54</v>
      </c>
      <c r="CC15" s="10">
        <v>36</v>
      </c>
      <c r="CD15" s="10">
        <v>36</v>
      </c>
      <c r="CE15" s="10"/>
      <c r="CF15" s="6">
        <f>SUM(BY15:CE15)</f>
        <v>231.2</v>
      </c>
    </row>
    <row r="16" spans="1:84" x14ac:dyDescent="0.25">
      <c r="A16">
        <v>6</v>
      </c>
      <c r="B16" s="6" t="s">
        <v>360</v>
      </c>
      <c r="C16" s="6"/>
      <c r="D16" s="6" t="s">
        <v>361</v>
      </c>
      <c r="E16" s="6" t="s">
        <v>197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6"/>
      <c r="W16" s="10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0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6"/>
      <c r="BQ16" s="6"/>
      <c r="BR16" s="10"/>
      <c r="BS16" s="10"/>
      <c r="BT16" s="10"/>
      <c r="BU16" s="10"/>
      <c r="BV16" s="10"/>
      <c r="BW16" s="10"/>
      <c r="BX16" s="6"/>
      <c r="BY16" s="6">
        <v>66.25</v>
      </c>
      <c r="BZ16" s="10">
        <v>36</v>
      </c>
      <c r="CA16" s="10">
        <v>40</v>
      </c>
      <c r="CB16" s="10">
        <v>7.5</v>
      </c>
      <c r="CC16" s="10">
        <v>36</v>
      </c>
      <c r="CD16" s="10"/>
      <c r="CE16" s="10"/>
      <c r="CF16" s="6">
        <f>SUM(BY16:CE16)</f>
        <v>185.75</v>
      </c>
    </row>
    <row r="17" spans="1:84" x14ac:dyDescent="0.25">
      <c r="A17">
        <v>7</v>
      </c>
      <c r="B17" s="6" t="s">
        <v>213</v>
      </c>
      <c r="C17" s="6"/>
      <c r="D17" s="6" t="s">
        <v>58</v>
      </c>
      <c r="E17" s="6" t="s">
        <v>317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6"/>
      <c r="W17" s="10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10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6"/>
      <c r="BQ17" s="6"/>
      <c r="BR17" s="10"/>
      <c r="BS17" s="10"/>
      <c r="BT17" s="10"/>
      <c r="BU17" s="10"/>
      <c r="BV17" s="10"/>
      <c r="BW17" s="10"/>
      <c r="BX17" s="6"/>
      <c r="BY17" s="6"/>
      <c r="BZ17" s="10">
        <v>36</v>
      </c>
      <c r="CA17" s="10">
        <v>44.8</v>
      </c>
      <c r="CB17" s="10">
        <v>39</v>
      </c>
      <c r="CC17" s="10">
        <v>5</v>
      </c>
      <c r="CD17" s="10">
        <v>36</v>
      </c>
      <c r="CE17" s="10"/>
      <c r="CF17" s="6">
        <f>SUM(BY17:CE17)</f>
        <v>160.80000000000001</v>
      </c>
    </row>
    <row r="18" spans="1:84" x14ac:dyDescent="0.25">
      <c r="A18">
        <v>8</v>
      </c>
      <c r="B18" s="6" t="s">
        <v>456</v>
      </c>
      <c r="C18" s="6"/>
      <c r="D18" s="6" t="s">
        <v>83</v>
      </c>
      <c r="E18" s="6" t="s">
        <v>451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6"/>
      <c r="W18" s="10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10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6"/>
      <c r="BQ18" s="6"/>
      <c r="BR18" s="10"/>
      <c r="BS18" s="10"/>
      <c r="BT18" s="10"/>
      <c r="BU18" s="10"/>
      <c r="BV18" s="10"/>
      <c r="BW18" s="10"/>
      <c r="BX18" s="6"/>
      <c r="BY18" s="6"/>
      <c r="BZ18" s="10">
        <v>36</v>
      </c>
      <c r="CA18" s="10">
        <v>64</v>
      </c>
      <c r="CB18" s="10">
        <v>54</v>
      </c>
      <c r="CC18" s="10"/>
      <c r="CD18" s="10"/>
      <c r="CE18" s="10"/>
      <c r="CF18" s="6">
        <f>SUM(BY18:CE18)</f>
        <v>154</v>
      </c>
    </row>
    <row r="19" spans="1:84" x14ac:dyDescent="0.25">
      <c r="A19">
        <v>9</v>
      </c>
      <c r="B19" s="6" t="s">
        <v>193</v>
      </c>
      <c r="C19" s="6" t="s">
        <v>194</v>
      </c>
      <c r="D19" s="6" t="s">
        <v>82</v>
      </c>
      <c r="E19" s="6" t="s">
        <v>68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6"/>
      <c r="W19" s="10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10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6"/>
      <c r="BQ19" s="6"/>
      <c r="BR19" s="10"/>
      <c r="BS19" s="10">
        <v>80</v>
      </c>
      <c r="BT19" s="10">
        <v>54</v>
      </c>
      <c r="BU19" s="10">
        <v>100</v>
      </c>
      <c r="BV19" s="10"/>
      <c r="BW19" s="10"/>
      <c r="BX19" s="6">
        <f>SUM(BQ19:BW19)</f>
        <v>234</v>
      </c>
      <c r="BY19" s="6">
        <f>(BX19-BQ19)/2</f>
        <v>117</v>
      </c>
      <c r="BZ19" s="10"/>
      <c r="CA19" s="10"/>
      <c r="CB19" s="10"/>
      <c r="CC19" s="10"/>
      <c r="CD19" s="10"/>
      <c r="CE19" s="10"/>
      <c r="CF19" s="6">
        <f>SUM(BY19:CE19)</f>
        <v>117</v>
      </c>
    </row>
    <row r="20" spans="1:84" x14ac:dyDescent="0.25">
      <c r="A20">
        <v>10</v>
      </c>
      <c r="B20" s="6" t="s">
        <v>251</v>
      </c>
      <c r="C20" s="6"/>
      <c r="D20" s="6" t="s">
        <v>527</v>
      </c>
      <c r="E20" s="6" t="s">
        <v>482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6"/>
      <c r="W20" s="10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10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6"/>
      <c r="BQ20" s="6"/>
      <c r="BR20" s="10"/>
      <c r="BS20" s="10"/>
      <c r="BT20" s="10"/>
      <c r="BU20" s="10"/>
      <c r="BV20" s="10"/>
      <c r="BW20" s="10"/>
      <c r="BX20" s="6"/>
      <c r="BY20" s="6"/>
      <c r="BZ20" s="10">
        <v>60</v>
      </c>
      <c r="CA20" s="10"/>
      <c r="CB20" s="10"/>
      <c r="CC20" s="10">
        <v>50</v>
      </c>
      <c r="CD20" s="10"/>
      <c r="CE20" s="10"/>
      <c r="CF20" s="6">
        <f>SUM(BY20:CE20)</f>
        <v>110</v>
      </c>
    </row>
    <row r="21" spans="1:84" x14ac:dyDescent="0.25">
      <c r="A21">
        <v>11</v>
      </c>
      <c r="B21" s="6" t="s">
        <v>464</v>
      </c>
      <c r="C21" s="6"/>
      <c r="D21" s="6" t="s">
        <v>135</v>
      </c>
      <c r="E21" s="6" t="s">
        <v>461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6"/>
      <c r="W21" s="10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10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6"/>
      <c r="BQ21" s="6"/>
      <c r="BR21" s="10"/>
      <c r="BS21" s="10"/>
      <c r="BT21" s="10"/>
      <c r="BU21" s="10"/>
      <c r="BV21" s="10"/>
      <c r="BW21" s="10"/>
      <c r="BX21" s="6"/>
      <c r="BY21" s="6"/>
      <c r="BZ21" s="10">
        <v>36</v>
      </c>
      <c r="CA21" s="10">
        <v>3.2</v>
      </c>
      <c r="CB21" s="10">
        <v>7.5</v>
      </c>
      <c r="CC21" s="10">
        <v>36</v>
      </c>
      <c r="CD21" s="10"/>
      <c r="CE21" s="10"/>
      <c r="CF21" s="6">
        <f>SUM(BY21:CE21)</f>
        <v>82.7</v>
      </c>
    </row>
    <row r="22" spans="1:84" x14ac:dyDescent="0.25">
      <c r="A22">
        <v>12</v>
      </c>
      <c r="B22" s="6" t="s">
        <v>325</v>
      </c>
      <c r="C22" s="6"/>
      <c r="D22" s="6" t="s">
        <v>326</v>
      </c>
      <c r="E22" s="6" t="s">
        <v>117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6"/>
      <c r="W22" s="10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10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6"/>
      <c r="BQ22" s="6"/>
      <c r="BR22" s="10">
        <v>36</v>
      </c>
      <c r="BS22" s="10">
        <v>4</v>
      </c>
      <c r="BT22" s="10">
        <v>75</v>
      </c>
      <c r="BU22" s="10">
        <v>7.5</v>
      </c>
      <c r="BV22" s="10">
        <v>7.5</v>
      </c>
      <c r="BW22" s="10"/>
      <c r="BX22" s="6">
        <f>SUM(BQ22:BW22)</f>
        <v>130</v>
      </c>
      <c r="BY22" s="6">
        <f>(BX22-BQ22)/2</f>
        <v>65</v>
      </c>
      <c r="BZ22" s="10"/>
      <c r="CA22" s="10"/>
      <c r="CB22" s="10"/>
      <c r="CC22" s="10"/>
      <c r="CD22" s="10"/>
      <c r="CE22" s="10"/>
      <c r="CF22" s="6">
        <f>SUM(BY22:CE22)</f>
        <v>65</v>
      </c>
    </row>
    <row r="23" spans="1:84" x14ac:dyDescent="0.25">
      <c r="A23">
        <v>13</v>
      </c>
      <c r="B23" s="6" t="s">
        <v>503</v>
      </c>
      <c r="C23" s="6"/>
      <c r="D23" s="6" t="s">
        <v>504</v>
      </c>
      <c r="E23" s="6" t="s">
        <v>307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6"/>
      <c r="W23" s="10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10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6"/>
      <c r="BQ23" s="6"/>
      <c r="BR23" s="10"/>
      <c r="BS23" s="10"/>
      <c r="BT23" s="10"/>
      <c r="BU23" s="10"/>
      <c r="BV23" s="10"/>
      <c r="BW23" s="10"/>
      <c r="BX23" s="6"/>
      <c r="BY23" s="6"/>
      <c r="BZ23" s="10"/>
      <c r="CA23" s="10">
        <v>64</v>
      </c>
      <c r="CB23" s="10"/>
      <c r="CC23" s="10"/>
      <c r="CD23" s="10"/>
      <c r="CE23" s="10"/>
      <c r="CF23" s="6">
        <f>SUM(BY23:CE23)</f>
        <v>64</v>
      </c>
    </row>
    <row r="24" spans="1:84" x14ac:dyDescent="0.25">
      <c r="A24">
        <v>14</v>
      </c>
      <c r="B24" s="6" t="s">
        <v>342</v>
      </c>
      <c r="C24" s="6"/>
      <c r="D24" s="6" t="s">
        <v>343</v>
      </c>
      <c r="E24" s="6" t="s">
        <v>39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6"/>
      <c r="W24" s="10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10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6"/>
      <c r="BQ24" s="6"/>
      <c r="BR24" s="10">
        <v>2.4</v>
      </c>
      <c r="BS24" s="10"/>
      <c r="BT24" s="10">
        <v>36</v>
      </c>
      <c r="BU24" s="10">
        <v>54</v>
      </c>
      <c r="BV24" s="10"/>
      <c r="BW24" s="10"/>
      <c r="BX24" s="6">
        <f>SUM(BQ24:BW24)</f>
        <v>92.4</v>
      </c>
      <c r="BY24" s="6">
        <f>(BX24-BQ24)/2</f>
        <v>46.2</v>
      </c>
      <c r="BZ24" s="10"/>
      <c r="CA24" s="10"/>
      <c r="CB24" s="10"/>
      <c r="CC24" s="10"/>
      <c r="CD24" s="10"/>
      <c r="CE24" s="10"/>
      <c r="CF24" s="6">
        <f>SUM(BY24:CE24)</f>
        <v>46.2</v>
      </c>
    </row>
    <row r="25" spans="1:84" x14ac:dyDescent="0.25">
      <c r="A25">
        <v>15</v>
      </c>
      <c r="B25" s="10" t="s">
        <v>288</v>
      </c>
      <c r="C25" s="6"/>
      <c r="D25" s="6" t="s">
        <v>289</v>
      </c>
      <c r="E25" s="6" t="s">
        <v>59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6"/>
      <c r="W25" s="10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10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6"/>
      <c r="BQ25" s="6"/>
      <c r="BR25" s="10"/>
      <c r="BS25" s="10"/>
      <c r="BT25" s="10"/>
      <c r="BU25" s="10"/>
      <c r="BV25" s="10"/>
      <c r="BW25" s="10"/>
      <c r="BX25" s="6"/>
      <c r="BY25" s="6">
        <v>39.450000000000003</v>
      </c>
      <c r="BZ25" s="10"/>
      <c r="CA25" s="10"/>
      <c r="CB25" s="10"/>
      <c r="CC25" s="10"/>
      <c r="CD25" s="10"/>
      <c r="CE25" s="10"/>
      <c r="CF25" s="6">
        <f>SUM(BY25:CE25)</f>
        <v>39.450000000000003</v>
      </c>
    </row>
    <row r="26" spans="1:84" x14ac:dyDescent="0.25">
      <c r="A26">
        <v>16</v>
      </c>
      <c r="B26" s="38" t="s">
        <v>305</v>
      </c>
      <c r="C26" s="6"/>
      <c r="D26" s="38" t="s">
        <v>29</v>
      </c>
      <c r="E26" s="38" t="s">
        <v>16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6"/>
      <c r="W26" s="1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10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6"/>
      <c r="BQ26" s="6"/>
      <c r="BR26" s="10"/>
      <c r="BS26" s="10"/>
      <c r="BT26" s="10"/>
      <c r="BU26" s="10"/>
      <c r="BV26" s="10"/>
      <c r="BW26" s="10"/>
      <c r="BX26" s="6"/>
      <c r="BY26" s="6"/>
      <c r="BZ26" s="10">
        <v>36</v>
      </c>
      <c r="CA26" s="10"/>
      <c r="CB26" s="10"/>
      <c r="CC26" s="10"/>
      <c r="CD26" s="10"/>
      <c r="CE26" s="10"/>
      <c r="CF26" s="6">
        <f>SUM(BY26:CE26)</f>
        <v>36</v>
      </c>
    </row>
    <row r="27" spans="1:84" x14ac:dyDescent="0.25">
      <c r="A27">
        <v>17</v>
      </c>
      <c r="B27" s="6" t="s">
        <v>44</v>
      </c>
      <c r="C27" s="6"/>
      <c r="D27" s="6" t="s">
        <v>53</v>
      </c>
      <c r="E27" s="6" t="s">
        <v>68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6"/>
      <c r="W27" s="10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10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6"/>
      <c r="BQ27" s="6"/>
      <c r="BR27" s="10">
        <v>2.4</v>
      </c>
      <c r="BS27" s="10">
        <v>4</v>
      </c>
      <c r="BT27" s="10">
        <v>54</v>
      </c>
      <c r="BU27" s="10"/>
      <c r="BV27" s="10"/>
      <c r="BW27" s="10"/>
      <c r="BX27" s="6">
        <f>SUM(BQ27:BW27)</f>
        <v>60.4</v>
      </c>
      <c r="BY27" s="6">
        <f>(BX27-BQ27)/2</f>
        <v>30.2</v>
      </c>
      <c r="BZ27" s="10"/>
      <c r="CA27" s="10"/>
      <c r="CB27" s="10"/>
      <c r="CC27" s="10"/>
      <c r="CD27" s="10"/>
      <c r="CE27" s="10"/>
      <c r="CF27" s="6">
        <f>SUM(BY27:CE27)</f>
        <v>30.2</v>
      </c>
    </row>
    <row r="28" spans="1:84" x14ac:dyDescent="0.25">
      <c r="A28">
        <v>18</v>
      </c>
      <c r="B28" s="6" t="s">
        <v>130</v>
      </c>
      <c r="C28" s="6"/>
      <c r="D28" s="6" t="s">
        <v>324</v>
      </c>
      <c r="E28" s="6" t="s">
        <v>307</v>
      </c>
      <c r="F28" s="6"/>
      <c r="G28" s="6"/>
      <c r="H28" s="6"/>
      <c r="I28" s="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6"/>
      <c r="W28" s="10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10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6"/>
      <c r="BQ28" s="6"/>
      <c r="BR28" s="10"/>
      <c r="BS28" s="10">
        <v>48</v>
      </c>
      <c r="BT28" s="10">
        <v>10</v>
      </c>
      <c r="BU28" s="10"/>
      <c r="BV28" s="10"/>
      <c r="BW28" s="10"/>
      <c r="BX28" s="6">
        <f>SUM(BQ28:BW28)</f>
        <v>58</v>
      </c>
      <c r="BY28" s="6">
        <f>(BX28-BQ28)/2</f>
        <v>29</v>
      </c>
      <c r="BZ28" s="10"/>
      <c r="CA28" s="10"/>
      <c r="CB28" s="10"/>
      <c r="CC28" s="10"/>
      <c r="CD28" s="10"/>
      <c r="CE28" s="10"/>
      <c r="CF28" s="6">
        <f>SUM(BY28:CE28)</f>
        <v>29</v>
      </c>
    </row>
    <row r="29" spans="1:84" x14ac:dyDescent="0.25">
      <c r="A29">
        <v>19</v>
      </c>
      <c r="B29" s="6" t="s">
        <v>60</v>
      </c>
      <c r="C29" s="6"/>
      <c r="D29" s="6" t="s">
        <v>20</v>
      </c>
      <c r="E29" s="6" t="s">
        <v>485</v>
      </c>
      <c r="F29" s="6"/>
      <c r="G29" s="6"/>
      <c r="H29" s="6"/>
      <c r="I29" s="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6"/>
      <c r="W29" s="10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10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6"/>
      <c r="BQ29" s="6"/>
      <c r="BR29" s="10"/>
      <c r="BS29" s="10"/>
      <c r="BT29" s="10"/>
      <c r="BU29" s="10"/>
      <c r="BV29" s="10"/>
      <c r="BW29" s="10"/>
      <c r="BX29" s="6"/>
      <c r="BY29" s="6"/>
      <c r="BZ29" s="10"/>
      <c r="CA29" s="10">
        <v>28.8</v>
      </c>
      <c r="CB29" s="10"/>
      <c r="CC29" s="10"/>
      <c r="CD29" s="10"/>
      <c r="CE29" s="10"/>
      <c r="CF29" s="6">
        <f>SUM(BY29:CE29)</f>
        <v>28.8</v>
      </c>
    </row>
    <row r="30" spans="1:84" x14ac:dyDescent="0.25">
      <c r="A30">
        <v>20</v>
      </c>
      <c r="B30" s="6" t="s">
        <v>211</v>
      </c>
      <c r="C30" s="6"/>
      <c r="D30" s="6" t="s">
        <v>93</v>
      </c>
      <c r="E30" s="6" t="s">
        <v>116</v>
      </c>
      <c r="F30" s="6"/>
      <c r="G30" s="6"/>
      <c r="H30" s="6"/>
      <c r="I30" s="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6"/>
      <c r="W30" s="10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10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>
        <v>112</v>
      </c>
      <c r="BP30" s="6">
        <f>SUM(AR30:BO30)</f>
        <v>112</v>
      </c>
      <c r="BQ30" s="6">
        <f>(BP30-AR30)</f>
        <v>112</v>
      </c>
      <c r="BR30" s="10">
        <v>36</v>
      </c>
      <c r="BS30" s="10"/>
      <c r="BT30" s="10">
        <v>5</v>
      </c>
      <c r="BU30" s="10"/>
      <c r="BV30" s="10"/>
      <c r="BW30" s="10"/>
      <c r="BX30" s="6">
        <f>SUM(BQ30:BW30)</f>
        <v>153</v>
      </c>
      <c r="BY30" s="6">
        <f>(BX30-BQ30)/2</f>
        <v>20.5</v>
      </c>
      <c r="BZ30" s="10"/>
      <c r="CA30" s="10"/>
      <c r="CB30" s="10"/>
      <c r="CC30" s="10"/>
      <c r="CD30" s="10"/>
      <c r="CE30" s="10"/>
      <c r="CF30" s="6">
        <f>SUM(BY30:CE30)</f>
        <v>20.5</v>
      </c>
    </row>
    <row r="31" spans="1:84" x14ac:dyDescent="0.25">
      <c r="A31">
        <v>21</v>
      </c>
      <c r="B31" s="6" t="s">
        <v>19</v>
      </c>
      <c r="C31" s="6"/>
      <c r="D31" s="6" t="s">
        <v>20</v>
      </c>
      <c r="E31" s="6" t="s">
        <v>95</v>
      </c>
      <c r="F31" s="6"/>
      <c r="G31" s="6"/>
      <c r="H31" s="6"/>
      <c r="I31" s="6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6"/>
      <c r="W31" s="10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10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6"/>
      <c r="BQ31" s="6"/>
      <c r="BR31" s="10">
        <v>36</v>
      </c>
      <c r="BS31" s="10"/>
      <c r="BT31" s="10"/>
      <c r="BU31" s="10"/>
      <c r="BV31" s="10"/>
      <c r="BW31" s="10"/>
      <c r="BX31" s="6">
        <f>SUM(BQ31:BW31)</f>
        <v>36</v>
      </c>
      <c r="BY31" s="6">
        <f>(BX31-BQ31)/2</f>
        <v>18</v>
      </c>
      <c r="BZ31" s="10"/>
      <c r="CA31" s="10"/>
      <c r="CB31" s="10"/>
      <c r="CC31" s="10"/>
      <c r="CD31" s="10"/>
      <c r="CE31" s="10"/>
      <c r="CF31" s="6">
        <f>SUM(BY31:CE31)</f>
        <v>18</v>
      </c>
    </row>
    <row r="32" spans="1:84" x14ac:dyDescent="0.25">
      <c r="A32">
        <v>22</v>
      </c>
      <c r="B32" s="6" t="s">
        <v>357</v>
      </c>
      <c r="C32" s="6"/>
      <c r="D32" s="6" t="s">
        <v>359</v>
      </c>
      <c r="E32" s="6" t="s">
        <v>474</v>
      </c>
      <c r="F32" s="6"/>
      <c r="G32" s="6"/>
      <c r="H32" s="6"/>
      <c r="I32" s="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6"/>
      <c r="W32" s="10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10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6"/>
      <c r="BQ32" s="6"/>
      <c r="BR32" s="10"/>
      <c r="BS32" s="10"/>
      <c r="BT32" s="10"/>
      <c r="BU32" s="10"/>
      <c r="BV32" s="10"/>
      <c r="BW32" s="10"/>
      <c r="BX32" s="6"/>
      <c r="BY32" s="6"/>
      <c r="BZ32" s="10">
        <v>3</v>
      </c>
      <c r="CA32" s="10">
        <v>4</v>
      </c>
      <c r="CB32" s="10"/>
      <c r="CC32" s="10"/>
      <c r="CD32" s="10"/>
      <c r="CE32" s="10"/>
      <c r="CF32" s="6">
        <f>SUM(BY32:CE32)</f>
        <v>7</v>
      </c>
    </row>
    <row r="33" spans="1:84" x14ac:dyDescent="0.25">
      <c r="A33">
        <v>23</v>
      </c>
      <c r="B33" s="6" t="s">
        <v>486</v>
      </c>
      <c r="C33" s="6"/>
      <c r="D33" s="6" t="s">
        <v>74</v>
      </c>
      <c r="E33" s="6" t="s">
        <v>425</v>
      </c>
      <c r="F33" s="6"/>
      <c r="G33" s="6"/>
      <c r="H33" s="6"/>
      <c r="I33" s="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6"/>
      <c r="W33" s="10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10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6"/>
      <c r="BQ33" s="6"/>
      <c r="BR33" s="10"/>
      <c r="BS33" s="10"/>
      <c r="BT33" s="10"/>
      <c r="BU33" s="10"/>
      <c r="BV33" s="10"/>
      <c r="BW33" s="10"/>
      <c r="BX33" s="6"/>
      <c r="BY33" s="6"/>
      <c r="BZ33" s="10"/>
      <c r="CA33" s="10">
        <v>4</v>
      </c>
      <c r="CB33" s="10"/>
      <c r="CC33" s="10"/>
      <c r="CD33" s="10"/>
      <c r="CE33" s="10"/>
      <c r="CF33" s="6">
        <f>SUM(BY33:CE33)</f>
        <v>4</v>
      </c>
    </row>
    <row r="34" spans="1:84" x14ac:dyDescent="0.25">
      <c r="A34">
        <v>24</v>
      </c>
      <c r="B34" s="6" t="s">
        <v>356</v>
      </c>
      <c r="C34" s="6"/>
      <c r="D34" s="6" t="s">
        <v>49</v>
      </c>
      <c r="E34" s="6" t="s">
        <v>197</v>
      </c>
      <c r="F34" s="6"/>
      <c r="G34" s="6"/>
      <c r="H34" s="6"/>
      <c r="I34" s="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6"/>
      <c r="W34" s="10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10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6"/>
      <c r="BQ34" s="6"/>
      <c r="BR34" s="10">
        <v>3.2</v>
      </c>
      <c r="BS34" s="10">
        <v>4</v>
      </c>
      <c r="BT34" s="10"/>
      <c r="BU34" s="10"/>
      <c r="BV34" s="10"/>
      <c r="BW34" s="10"/>
      <c r="BX34" s="6">
        <f>SUM(BQ34:BW34)</f>
        <v>7.2</v>
      </c>
      <c r="BY34" s="6">
        <f>(BX34-BQ34)/2</f>
        <v>3.6</v>
      </c>
      <c r="BZ34" s="10"/>
      <c r="CA34" s="10"/>
      <c r="CB34" s="10"/>
      <c r="CC34" s="10"/>
      <c r="CD34" s="10"/>
      <c r="CE34" s="10"/>
      <c r="CF34" s="6">
        <f>SUM(BY34:CE34)</f>
        <v>3.6</v>
      </c>
    </row>
    <row r="35" spans="1:84" x14ac:dyDescent="0.25">
      <c r="A35">
        <v>25</v>
      </c>
      <c r="B35" s="6" t="s">
        <v>551</v>
      </c>
      <c r="C35" s="6"/>
      <c r="D35" s="6" t="s">
        <v>173</v>
      </c>
      <c r="E35" s="6" t="s">
        <v>552</v>
      </c>
      <c r="F35" s="6"/>
      <c r="G35" s="6"/>
      <c r="H35" s="6"/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6"/>
      <c r="W35" s="10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10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6"/>
      <c r="BQ35" s="6"/>
      <c r="BR35" s="10"/>
      <c r="BS35" s="10"/>
      <c r="BT35" s="10"/>
      <c r="BU35" s="10"/>
      <c r="BV35" s="10"/>
      <c r="BW35" s="10"/>
      <c r="BX35" s="6"/>
      <c r="BY35" s="6"/>
      <c r="BZ35" s="10">
        <v>3</v>
      </c>
      <c r="CA35" s="10"/>
      <c r="CB35" s="10"/>
      <c r="CC35" s="10"/>
      <c r="CD35" s="10"/>
      <c r="CE35" s="10"/>
      <c r="CF35" s="6">
        <f>SUM(BY35:CE35)</f>
        <v>3</v>
      </c>
    </row>
    <row r="36" spans="1:84" x14ac:dyDescent="0.25">
      <c r="A36">
        <v>26</v>
      </c>
      <c r="B36" s="6" t="s">
        <v>420</v>
      </c>
      <c r="C36" s="6"/>
      <c r="D36" s="6" t="s">
        <v>421</v>
      </c>
      <c r="E36" s="6" t="s">
        <v>375</v>
      </c>
      <c r="F36" s="6"/>
      <c r="G36" s="6"/>
      <c r="H36" s="6"/>
      <c r="I36" s="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6"/>
      <c r="W36" s="10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10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6"/>
      <c r="BQ36" s="6"/>
      <c r="BR36" s="10"/>
      <c r="BS36" s="10"/>
      <c r="BT36" s="10"/>
      <c r="BU36" s="10"/>
      <c r="BV36" s="10"/>
      <c r="BW36" s="10"/>
      <c r="BX36" s="6"/>
      <c r="BY36" s="6"/>
      <c r="BZ36" s="10">
        <v>2.4</v>
      </c>
      <c r="CA36" s="10"/>
      <c r="CB36" s="10"/>
      <c r="CC36" s="10"/>
      <c r="CD36" s="10"/>
      <c r="CE36" s="10"/>
      <c r="CF36" s="6">
        <f>SUM(BY36:CE36)</f>
        <v>2.4</v>
      </c>
    </row>
    <row r="37" spans="1:84" x14ac:dyDescent="0.25">
      <c r="A37">
        <v>27</v>
      </c>
      <c r="B37" s="6" t="s">
        <v>352</v>
      </c>
      <c r="C37" s="6"/>
      <c r="D37" s="6" t="s">
        <v>353</v>
      </c>
      <c r="E37" s="6" t="s">
        <v>202</v>
      </c>
      <c r="F37" s="6"/>
      <c r="G37" s="6"/>
      <c r="H37" s="6"/>
      <c r="I37" s="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6"/>
      <c r="W37" s="10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10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6"/>
      <c r="BQ37" s="6"/>
      <c r="BR37" s="10"/>
      <c r="BS37" s="10">
        <v>4</v>
      </c>
      <c r="BT37" s="10"/>
      <c r="BU37" s="10"/>
      <c r="BV37" s="10"/>
      <c r="BW37" s="10"/>
      <c r="BX37" s="6">
        <f>SUM(BQ37:BW37)</f>
        <v>4</v>
      </c>
      <c r="BY37" s="6">
        <f>(BX37-BQ37)/2</f>
        <v>2</v>
      </c>
      <c r="BZ37" s="10"/>
      <c r="CA37" s="10"/>
      <c r="CB37" s="10"/>
      <c r="CC37" s="10"/>
      <c r="CD37" s="10"/>
      <c r="CE37" s="10"/>
      <c r="CF37" s="6">
        <f>SUM(BY37:CE37)</f>
        <v>2</v>
      </c>
    </row>
    <row r="38" spans="1:84" x14ac:dyDescent="0.25">
      <c r="A38">
        <v>28</v>
      </c>
      <c r="B38" s="6" t="s">
        <v>354</v>
      </c>
      <c r="C38" s="6"/>
      <c r="D38" s="6" t="s">
        <v>271</v>
      </c>
      <c r="E38" s="6" t="s">
        <v>24</v>
      </c>
      <c r="F38" s="6"/>
      <c r="G38" s="6"/>
      <c r="H38" s="6"/>
      <c r="I38" s="6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6"/>
      <c r="W38" s="10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10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6"/>
      <c r="BQ38" s="6"/>
      <c r="BR38" s="10"/>
      <c r="BS38" s="10">
        <v>4</v>
      </c>
      <c r="BT38" s="10"/>
      <c r="BU38" s="10"/>
      <c r="BV38" s="10"/>
      <c r="BW38" s="10"/>
      <c r="BX38" s="6">
        <f>SUM(BQ38:BW38)</f>
        <v>4</v>
      </c>
      <c r="BY38" s="6">
        <f>(BX38-BQ38)/2</f>
        <v>2</v>
      </c>
      <c r="BZ38" s="10"/>
      <c r="CA38" s="10"/>
      <c r="CB38" s="10"/>
      <c r="CC38" s="10"/>
      <c r="CD38" s="10"/>
      <c r="CE38" s="10"/>
      <c r="CF38" s="6">
        <f>SUM(BY38:CE38)</f>
        <v>2</v>
      </c>
    </row>
  </sheetData>
  <sortState xmlns:xlrd2="http://schemas.microsoft.com/office/spreadsheetml/2017/richdata2" ref="B11:CF38">
    <sortCondition descending="1" ref="CF11:CF38"/>
  </sortState>
  <mergeCells count="5">
    <mergeCell ref="B8:C10"/>
    <mergeCell ref="BT9:BW9"/>
    <mergeCell ref="CB9:CE9"/>
    <mergeCell ref="D4:CF5"/>
    <mergeCell ref="B1:CF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P38"/>
  <sheetViews>
    <sheetView zoomScale="80" zoomScaleNormal="80" workbookViewId="0">
      <selection activeCell="CT25" sqref="CT25"/>
    </sheetView>
  </sheetViews>
  <sheetFormatPr baseColWidth="10" defaultRowHeight="15" x14ac:dyDescent="0.25"/>
  <cols>
    <col min="1" max="1" width="3.140625" bestFit="1" customWidth="1"/>
    <col min="2" max="2" width="13" style="7" bestFit="1" customWidth="1"/>
    <col min="4" max="4" width="13.28515625" bestFit="1" customWidth="1"/>
    <col min="5" max="5" width="19.42578125" bestFit="1" customWidth="1"/>
    <col min="6" max="9" width="6.85546875" hidden="1" customWidth="1"/>
    <col min="10" max="13" width="7.28515625" style="7" hidden="1" customWidth="1"/>
    <col min="14" max="16" width="6.7109375" style="7" hidden="1" customWidth="1"/>
    <col min="17" max="18" width="6.28515625" style="7" hidden="1" customWidth="1"/>
    <col min="19" max="21" width="6.7109375" style="7" hidden="1" customWidth="1"/>
    <col min="22" max="27" width="7.5703125" style="7" hidden="1" customWidth="1"/>
    <col min="28" max="29" width="6.7109375" style="7" hidden="1" customWidth="1"/>
    <col min="30" max="30" width="7.140625" style="7" hidden="1" customWidth="1"/>
    <col min="31" max="31" width="6.5703125" style="7" hidden="1" customWidth="1"/>
    <col min="32" max="32" width="0" hidden="1" customWidth="1"/>
    <col min="33" max="33" width="6.85546875" style="7" hidden="1" customWidth="1"/>
    <col min="34" max="53" width="6" hidden="1" customWidth="1"/>
    <col min="54" max="54" width="6" style="7" hidden="1" customWidth="1"/>
    <col min="55" max="55" width="6.28515625" hidden="1" customWidth="1"/>
    <col min="56" max="59" width="6.85546875" hidden="1" customWidth="1"/>
    <col min="60" max="64" width="6" hidden="1" customWidth="1"/>
    <col min="65" max="77" width="6" style="7" hidden="1" customWidth="1"/>
    <col min="78" max="78" width="6.7109375" hidden="1" customWidth="1"/>
    <col min="79" max="79" width="7.85546875" hidden="1" customWidth="1"/>
    <col min="80" max="80" width="5.42578125" style="7" hidden="1" customWidth="1"/>
    <col min="81" max="81" width="7.42578125" style="7" hidden="1" customWidth="1"/>
    <col min="82" max="82" width="8.7109375" style="7" hidden="1" customWidth="1"/>
    <col min="83" max="83" width="8.28515625" style="7" hidden="1" customWidth="1"/>
    <col min="84" max="84" width="6.7109375" style="7" hidden="1" customWidth="1"/>
    <col min="85" max="85" width="6.140625" style="7" hidden="1" customWidth="1"/>
    <col min="88" max="88" width="8.85546875" style="7" customWidth="1"/>
    <col min="89" max="89" width="7.28515625" style="7" customWidth="1"/>
    <col min="90" max="90" width="7.85546875" style="7" customWidth="1"/>
    <col min="91" max="91" width="8.85546875" style="7" customWidth="1"/>
  </cols>
  <sheetData>
    <row r="1" spans="1:94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</row>
    <row r="2" spans="1:94" ht="15.75" thickBot="1" x14ac:dyDescent="0.3">
      <c r="C2" s="7"/>
      <c r="D2" s="7"/>
      <c r="E2" s="7"/>
    </row>
    <row r="3" spans="1:94" ht="15.75" thickTop="1" x14ac:dyDescent="0.25">
      <c r="B3" s="4" t="s">
        <v>0</v>
      </c>
      <c r="C3" s="4" t="s">
        <v>13</v>
      </c>
    </row>
    <row r="4" spans="1:94" ht="14.65" customHeight="1" x14ac:dyDescent="0.25">
      <c r="B4" s="5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</row>
    <row r="5" spans="1:94" ht="15" customHeight="1" thickBot="1" x14ac:dyDescent="0.3">
      <c r="B5" s="14" t="s">
        <v>2</v>
      </c>
      <c r="C5" s="14">
        <v>-55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</row>
    <row r="6" spans="1:94" ht="15.75" thickTop="1" x14ac:dyDescent="0.25"/>
    <row r="7" spans="1:94" ht="15.75" thickBot="1" x14ac:dyDescent="0.3"/>
    <row r="8" spans="1:94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9</v>
      </c>
      <c r="I8" s="4" t="s">
        <v>33</v>
      </c>
      <c r="J8" s="4" t="s">
        <v>55</v>
      </c>
      <c r="K8" s="4" t="s">
        <v>9</v>
      </c>
      <c r="L8" s="4" t="s">
        <v>9</v>
      </c>
      <c r="M8" s="4" t="s">
        <v>9</v>
      </c>
      <c r="N8" s="4" t="s">
        <v>72</v>
      </c>
      <c r="O8" s="4" t="s">
        <v>76</v>
      </c>
      <c r="P8" s="4" t="s">
        <v>80</v>
      </c>
      <c r="Q8" s="4" t="s">
        <v>84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4" t="s">
        <v>9</v>
      </c>
      <c r="Z8" s="4" t="s">
        <v>9</v>
      </c>
      <c r="AA8" s="4" t="s">
        <v>96</v>
      </c>
      <c r="AB8" s="4" t="s">
        <v>9</v>
      </c>
      <c r="AC8" s="4" t="s">
        <v>9</v>
      </c>
      <c r="AD8" s="4" t="s">
        <v>102</v>
      </c>
      <c r="AE8" s="4" t="s">
        <v>103</v>
      </c>
      <c r="AF8" s="1"/>
      <c r="AG8" s="13">
        <v>44927</v>
      </c>
      <c r="AH8" s="4" t="s">
        <v>9</v>
      </c>
      <c r="AI8" s="4" t="s">
        <v>9</v>
      </c>
      <c r="AJ8" s="4" t="s">
        <v>9</v>
      </c>
      <c r="AK8" s="4" t="s">
        <v>103</v>
      </c>
      <c r="AL8" s="4" t="s">
        <v>9</v>
      </c>
      <c r="AM8" s="4" t="s">
        <v>9</v>
      </c>
      <c r="AN8" s="4" t="s">
        <v>9</v>
      </c>
      <c r="AO8" s="4" t="s">
        <v>127</v>
      </c>
      <c r="AP8" s="4" t="s">
        <v>127</v>
      </c>
      <c r="AQ8" s="4" t="s">
        <v>127</v>
      </c>
      <c r="AR8" s="4" t="s">
        <v>9</v>
      </c>
      <c r="AS8" s="4" t="s">
        <v>103</v>
      </c>
      <c r="AT8" s="4" t="s">
        <v>9</v>
      </c>
      <c r="AU8" s="4" t="s">
        <v>9</v>
      </c>
      <c r="AV8" s="4" t="s">
        <v>9</v>
      </c>
      <c r="AW8" s="4" t="s">
        <v>9</v>
      </c>
      <c r="AX8" s="4" t="s">
        <v>9</v>
      </c>
      <c r="AY8" s="4" t="s">
        <v>9</v>
      </c>
      <c r="AZ8" s="4" t="s">
        <v>103</v>
      </c>
      <c r="BA8" s="4" t="s">
        <v>9</v>
      </c>
      <c r="BB8" s="4" t="s">
        <v>104</v>
      </c>
      <c r="BC8" s="4" t="s">
        <v>6</v>
      </c>
      <c r="BD8" s="13">
        <v>45292</v>
      </c>
      <c r="BE8" s="13" t="s">
        <v>9</v>
      </c>
      <c r="BF8" s="13" t="s">
        <v>9</v>
      </c>
      <c r="BG8" s="13" t="s">
        <v>9</v>
      </c>
      <c r="BH8" s="13" t="s">
        <v>9</v>
      </c>
      <c r="BI8" s="13" t="s">
        <v>9</v>
      </c>
      <c r="BJ8" s="13" t="s">
        <v>9</v>
      </c>
      <c r="BK8" s="13" t="s">
        <v>9</v>
      </c>
      <c r="BL8" s="13" t="s">
        <v>103</v>
      </c>
      <c r="BM8" s="13" t="s">
        <v>103</v>
      </c>
      <c r="BN8" s="13" t="s">
        <v>127</v>
      </c>
      <c r="BO8" s="13" t="s">
        <v>127</v>
      </c>
      <c r="BP8" s="13" t="s">
        <v>127</v>
      </c>
      <c r="BQ8" s="13" t="s">
        <v>103</v>
      </c>
      <c r="BR8" s="13" t="s">
        <v>9</v>
      </c>
      <c r="BS8" s="13" t="s">
        <v>9</v>
      </c>
      <c r="BT8" s="13" t="s">
        <v>9</v>
      </c>
      <c r="BU8" s="13" t="s">
        <v>9</v>
      </c>
      <c r="BV8" s="13" t="s">
        <v>9</v>
      </c>
      <c r="BW8" s="13" t="s">
        <v>103</v>
      </c>
      <c r="BX8" s="13" t="s">
        <v>100</v>
      </c>
      <c r="BY8" s="13" t="s">
        <v>104</v>
      </c>
      <c r="BZ8" s="13" t="s">
        <v>6</v>
      </c>
      <c r="CA8" s="13">
        <v>45658</v>
      </c>
      <c r="CB8" s="13"/>
      <c r="CC8" s="13"/>
      <c r="CD8" s="18"/>
      <c r="CE8" s="19"/>
      <c r="CF8" s="19"/>
      <c r="CG8" s="20"/>
      <c r="CH8" s="13" t="s">
        <v>6</v>
      </c>
      <c r="CI8" s="13">
        <v>46023</v>
      </c>
      <c r="CJ8" s="13"/>
      <c r="CK8" s="13"/>
      <c r="CL8" s="18"/>
      <c r="CM8" s="19"/>
      <c r="CN8" s="16"/>
      <c r="CO8" s="17"/>
      <c r="CP8" s="13" t="s">
        <v>6</v>
      </c>
    </row>
    <row r="9" spans="1:94" x14ac:dyDescent="0.25">
      <c r="B9" s="26"/>
      <c r="C9" s="27"/>
      <c r="D9" s="2"/>
      <c r="E9" s="2"/>
      <c r="F9" s="8" t="s">
        <v>22</v>
      </c>
      <c r="G9" s="8" t="s">
        <v>18</v>
      </c>
      <c r="H9" s="8" t="s">
        <v>30</v>
      </c>
      <c r="I9" s="8" t="s">
        <v>34</v>
      </c>
      <c r="J9" s="8" t="s">
        <v>56</v>
      </c>
      <c r="K9" s="8" t="s">
        <v>61</v>
      </c>
      <c r="L9" s="8" t="s">
        <v>70</v>
      </c>
      <c r="M9" s="8" t="s">
        <v>65</v>
      </c>
      <c r="N9" s="8" t="s">
        <v>75</v>
      </c>
      <c r="O9" s="8" t="s">
        <v>77</v>
      </c>
      <c r="P9" s="8" t="s">
        <v>81</v>
      </c>
      <c r="Q9" s="8" t="s">
        <v>34</v>
      </c>
      <c r="R9" s="8" t="s">
        <v>85</v>
      </c>
      <c r="S9" s="8" t="s">
        <v>22</v>
      </c>
      <c r="T9" s="8" t="s">
        <v>18</v>
      </c>
      <c r="U9" s="8" t="s">
        <v>70</v>
      </c>
      <c r="V9" s="8" t="s">
        <v>94</v>
      </c>
      <c r="W9" s="8" t="s">
        <v>85</v>
      </c>
      <c r="X9" s="8" t="s">
        <v>65</v>
      </c>
      <c r="Y9" s="8" t="s">
        <v>10</v>
      </c>
      <c r="Z9" s="8" t="s">
        <v>89</v>
      </c>
      <c r="AA9" s="8" t="s">
        <v>97</v>
      </c>
      <c r="AB9" s="8" t="s">
        <v>61</v>
      </c>
      <c r="AC9" s="8" t="s">
        <v>89</v>
      </c>
      <c r="AD9" s="8" t="s">
        <v>56</v>
      </c>
      <c r="AE9" s="8" t="s">
        <v>104</v>
      </c>
      <c r="AF9" s="2" t="s">
        <v>6</v>
      </c>
      <c r="AG9" s="5"/>
      <c r="AH9" s="8" t="s">
        <v>22</v>
      </c>
      <c r="AI9" s="8" t="s">
        <v>85</v>
      </c>
      <c r="AJ9" s="8" t="s">
        <v>18</v>
      </c>
      <c r="AK9" s="8" t="s">
        <v>72</v>
      </c>
      <c r="AL9" s="8" t="s">
        <v>70</v>
      </c>
      <c r="AM9" s="8" t="s">
        <v>89</v>
      </c>
      <c r="AN9" s="8" t="s">
        <v>30</v>
      </c>
      <c r="AO9" s="8" t="s">
        <v>76</v>
      </c>
      <c r="AP9" s="8" t="s">
        <v>80</v>
      </c>
      <c r="AQ9" s="8" t="s">
        <v>72</v>
      </c>
      <c r="AR9" s="8" t="s">
        <v>65</v>
      </c>
      <c r="AS9" s="8" t="s">
        <v>76</v>
      </c>
      <c r="AT9" s="8" t="s">
        <v>142</v>
      </c>
      <c r="AU9" s="8" t="s">
        <v>22</v>
      </c>
      <c r="AV9" s="8" t="s">
        <v>89</v>
      </c>
      <c r="AW9" s="8" t="s">
        <v>70</v>
      </c>
      <c r="AX9" s="8" t="s">
        <v>18</v>
      </c>
      <c r="AY9" s="8" t="s">
        <v>85</v>
      </c>
      <c r="AZ9" s="8" t="s">
        <v>80</v>
      </c>
      <c r="BA9" s="8" t="s">
        <v>65</v>
      </c>
      <c r="BB9" s="8"/>
      <c r="BC9" s="2"/>
      <c r="BD9" s="5"/>
      <c r="BE9" s="5" t="s">
        <v>70</v>
      </c>
      <c r="BF9" s="5" t="s">
        <v>10</v>
      </c>
      <c r="BG9" s="5" t="s">
        <v>85</v>
      </c>
      <c r="BH9" s="5" t="s">
        <v>181</v>
      </c>
      <c r="BI9" s="5" t="s">
        <v>142</v>
      </c>
      <c r="BJ9" s="5" t="s">
        <v>65</v>
      </c>
      <c r="BK9" s="5" t="s">
        <v>18</v>
      </c>
      <c r="BL9" s="5" t="s">
        <v>76</v>
      </c>
      <c r="BM9" s="5" t="s">
        <v>209</v>
      </c>
      <c r="BN9" s="5" t="s">
        <v>76</v>
      </c>
      <c r="BO9" s="5" t="s">
        <v>72</v>
      </c>
      <c r="BP9" s="5" t="s">
        <v>80</v>
      </c>
      <c r="BQ9" s="5" t="s">
        <v>72</v>
      </c>
      <c r="BR9" s="5" t="s">
        <v>18</v>
      </c>
      <c r="BS9" s="5" t="s">
        <v>22</v>
      </c>
      <c r="BT9" s="5" t="s">
        <v>10</v>
      </c>
      <c r="BU9" s="5" t="s">
        <v>65</v>
      </c>
      <c r="BV9" s="5" t="s">
        <v>236</v>
      </c>
      <c r="BW9" s="5" t="s">
        <v>80</v>
      </c>
      <c r="BX9" s="5" t="s">
        <v>239</v>
      </c>
      <c r="BY9" s="5" t="s">
        <v>245</v>
      </c>
      <c r="BZ9" s="5"/>
      <c r="CA9" s="5"/>
      <c r="CB9" s="8" t="s">
        <v>9</v>
      </c>
      <c r="CC9" s="8" t="s">
        <v>127</v>
      </c>
      <c r="CD9" s="28" t="s">
        <v>247</v>
      </c>
      <c r="CE9" s="29"/>
      <c r="CF9" s="29"/>
      <c r="CG9" s="30"/>
      <c r="CH9" s="5"/>
      <c r="CI9" s="5"/>
      <c r="CJ9" s="8" t="s">
        <v>9</v>
      </c>
      <c r="CK9" s="8" t="s">
        <v>127</v>
      </c>
      <c r="CL9" s="28" t="s">
        <v>247</v>
      </c>
      <c r="CM9" s="29"/>
      <c r="CN9" s="29"/>
      <c r="CO9" s="30"/>
      <c r="CP9" s="5"/>
    </row>
    <row r="10" spans="1:94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44660</v>
      </c>
      <c r="H10" s="9">
        <v>44674</v>
      </c>
      <c r="I10" s="9">
        <v>44681</v>
      </c>
      <c r="J10" s="9">
        <v>44696</v>
      </c>
      <c r="K10" s="9">
        <v>44709</v>
      </c>
      <c r="L10" s="9">
        <v>44709</v>
      </c>
      <c r="M10" s="9">
        <v>44709</v>
      </c>
      <c r="N10" s="9">
        <v>44730</v>
      </c>
      <c r="O10" s="9">
        <v>44730</v>
      </c>
      <c r="P10" s="9">
        <v>44737</v>
      </c>
      <c r="Q10" s="9">
        <v>44759</v>
      </c>
      <c r="R10" s="9">
        <v>44765</v>
      </c>
      <c r="S10" s="9">
        <v>44779</v>
      </c>
      <c r="T10" s="9">
        <v>44793</v>
      </c>
      <c r="U10" s="9">
        <v>44800</v>
      </c>
      <c r="V10" s="9">
        <v>44807</v>
      </c>
      <c r="W10" s="9">
        <v>44814</v>
      </c>
      <c r="X10" s="9">
        <v>44814</v>
      </c>
      <c r="Y10" s="9">
        <v>44814</v>
      </c>
      <c r="Z10" s="9">
        <v>44814</v>
      </c>
      <c r="AA10" s="9">
        <v>44828</v>
      </c>
      <c r="AB10" s="9">
        <v>44849</v>
      </c>
      <c r="AC10" s="9">
        <v>44856</v>
      </c>
      <c r="AD10" s="9">
        <v>44889</v>
      </c>
      <c r="AE10" s="9">
        <v>44905</v>
      </c>
      <c r="AF10" s="2">
        <v>2022</v>
      </c>
      <c r="AG10" s="5"/>
      <c r="AH10" s="2" t="s">
        <v>106</v>
      </c>
      <c r="AI10" s="5" t="s">
        <v>108</v>
      </c>
      <c r="AJ10" s="5" t="s">
        <v>110</v>
      </c>
      <c r="AK10" s="5" t="s">
        <v>111</v>
      </c>
      <c r="AL10" s="5" t="s">
        <v>123</v>
      </c>
      <c r="AM10" s="5" t="s">
        <v>121</v>
      </c>
      <c r="AN10" s="5" t="s">
        <v>126</v>
      </c>
      <c r="AO10" s="5" t="s">
        <v>128</v>
      </c>
      <c r="AP10" s="5" t="s">
        <v>133</v>
      </c>
      <c r="AQ10" s="5" t="s">
        <v>134</v>
      </c>
      <c r="AR10" s="5" t="s">
        <v>138</v>
      </c>
      <c r="AS10" s="5" t="s">
        <v>140</v>
      </c>
      <c r="AT10" s="5" t="s">
        <v>143</v>
      </c>
      <c r="AU10" s="5" t="s">
        <v>146</v>
      </c>
      <c r="AV10" s="5" t="s">
        <v>147</v>
      </c>
      <c r="AW10" s="5" t="s">
        <v>147</v>
      </c>
      <c r="AX10" s="5" t="s">
        <v>150</v>
      </c>
      <c r="AY10" s="5" t="s">
        <v>151</v>
      </c>
      <c r="AZ10" s="5" t="s">
        <v>156</v>
      </c>
      <c r="BA10" s="5" t="s">
        <v>158</v>
      </c>
      <c r="BB10" s="5" t="s">
        <v>165</v>
      </c>
      <c r="BC10" s="2">
        <v>2023</v>
      </c>
      <c r="BD10" s="5"/>
      <c r="BE10" s="5" t="s">
        <v>166</v>
      </c>
      <c r="BF10" s="5" t="s">
        <v>166</v>
      </c>
      <c r="BG10" s="5" t="s">
        <v>166</v>
      </c>
      <c r="BH10" s="5" t="s">
        <v>166</v>
      </c>
      <c r="BI10" s="5" t="s">
        <v>166</v>
      </c>
      <c r="BJ10" s="5" t="s">
        <v>166</v>
      </c>
      <c r="BK10" s="5" t="s">
        <v>185</v>
      </c>
      <c r="BL10" s="5" t="s">
        <v>207</v>
      </c>
      <c r="BM10" s="5" t="s">
        <v>210</v>
      </c>
      <c r="BN10" s="5" t="s">
        <v>217</v>
      </c>
      <c r="BO10" s="5" t="s">
        <v>217</v>
      </c>
      <c r="BP10" s="5" t="s">
        <v>220</v>
      </c>
      <c r="BQ10" s="5" t="s">
        <v>222</v>
      </c>
      <c r="BR10" s="5" t="s">
        <v>227</v>
      </c>
      <c r="BS10" s="5" t="s">
        <v>228</v>
      </c>
      <c r="BT10" s="5" t="s">
        <v>232</v>
      </c>
      <c r="BU10" s="5" t="s">
        <v>233</v>
      </c>
      <c r="BV10" s="5" t="s">
        <v>237</v>
      </c>
      <c r="BW10" s="5" t="s">
        <v>238</v>
      </c>
      <c r="BX10" s="5" t="s">
        <v>240</v>
      </c>
      <c r="BY10" s="5" t="s">
        <v>246</v>
      </c>
      <c r="BZ10" s="5">
        <v>2024</v>
      </c>
      <c r="CA10" s="5"/>
      <c r="CB10" s="5"/>
      <c r="CC10" s="5"/>
      <c r="CD10" s="5">
        <v>1</v>
      </c>
      <c r="CE10" s="5">
        <v>2</v>
      </c>
      <c r="CF10" s="5">
        <v>3</v>
      </c>
      <c r="CG10" s="5">
        <v>4</v>
      </c>
      <c r="CH10" s="5">
        <v>2025</v>
      </c>
      <c r="CI10" s="5"/>
      <c r="CJ10" s="5"/>
      <c r="CK10" s="5"/>
      <c r="CL10" s="5">
        <v>1</v>
      </c>
      <c r="CM10" s="5">
        <v>2</v>
      </c>
      <c r="CN10" s="5">
        <v>3</v>
      </c>
      <c r="CO10" s="5">
        <v>4</v>
      </c>
      <c r="CP10" s="5">
        <v>2026</v>
      </c>
    </row>
    <row r="11" spans="1:94" x14ac:dyDescent="0.25">
      <c r="A11">
        <v>1</v>
      </c>
      <c r="B11" s="10" t="s">
        <v>447</v>
      </c>
      <c r="C11" s="6"/>
      <c r="D11" s="6" t="s">
        <v>465</v>
      </c>
      <c r="E11" s="6" t="s">
        <v>461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6"/>
      <c r="AG11" s="10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10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6"/>
      <c r="CA11" s="6"/>
      <c r="CB11" s="10"/>
      <c r="CC11" s="10"/>
      <c r="CD11" s="10"/>
      <c r="CE11" s="10"/>
      <c r="CF11" s="10"/>
      <c r="CG11" s="10"/>
      <c r="CH11" s="6"/>
      <c r="CI11" s="6"/>
      <c r="CJ11" s="10">
        <v>33.6</v>
      </c>
      <c r="CK11" s="10">
        <v>44.8</v>
      </c>
      <c r="CL11" s="10">
        <v>120</v>
      </c>
      <c r="CM11" s="10">
        <v>2.4</v>
      </c>
      <c r="CN11" s="6"/>
      <c r="CO11" s="6"/>
      <c r="CP11" s="6">
        <f t="shared" ref="CP11:CP38" si="0">SUM(CI11:CO11)</f>
        <v>200.8</v>
      </c>
    </row>
    <row r="12" spans="1:94" x14ac:dyDescent="0.25">
      <c r="A12">
        <v>2</v>
      </c>
      <c r="B12" s="10" t="s">
        <v>265</v>
      </c>
      <c r="C12" s="6"/>
      <c r="D12" s="6" t="s">
        <v>253</v>
      </c>
      <c r="E12" s="6" t="s">
        <v>487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6"/>
      <c r="AG12" s="10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10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6"/>
      <c r="CA12" s="6"/>
      <c r="CB12" s="10"/>
      <c r="CC12" s="10"/>
      <c r="CD12" s="10"/>
      <c r="CE12" s="10"/>
      <c r="CF12" s="10"/>
      <c r="CG12" s="10"/>
      <c r="CH12" s="6"/>
      <c r="CI12" s="6"/>
      <c r="CJ12" s="10">
        <v>48</v>
      </c>
      <c r="CK12" s="10">
        <v>64</v>
      </c>
      <c r="CL12" s="10">
        <v>60</v>
      </c>
      <c r="CM12" s="10"/>
      <c r="CN12" s="6"/>
      <c r="CO12" s="6"/>
      <c r="CP12" s="6">
        <f t="shared" si="0"/>
        <v>172</v>
      </c>
    </row>
    <row r="13" spans="1:94" x14ac:dyDescent="0.25">
      <c r="A13">
        <v>3</v>
      </c>
      <c r="B13" s="10" t="s">
        <v>186</v>
      </c>
      <c r="C13" s="6"/>
      <c r="D13" s="6" t="s">
        <v>51</v>
      </c>
      <c r="E13" s="6" t="s">
        <v>12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6"/>
      <c r="AG13" s="10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10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6"/>
      <c r="CA13" s="6"/>
      <c r="CB13" s="10"/>
      <c r="CC13" s="10"/>
      <c r="CD13" s="10"/>
      <c r="CE13" s="10"/>
      <c r="CF13" s="10"/>
      <c r="CG13" s="10"/>
      <c r="CH13" s="6"/>
      <c r="CI13" s="6"/>
      <c r="CJ13" s="10">
        <v>48</v>
      </c>
      <c r="CK13" s="10">
        <v>64</v>
      </c>
      <c r="CL13" s="10">
        <v>48</v>
      </c>
      <c r="CM13" s="10"/>
      <c r="CN13" s="6"/>
      <c r="CO13" s="6"/>
      <c r="CP13" s="6">
        <f t="shared" si="0"/>
        <v>160</v>
      </c>
    </row>
    <row r="14" spans="1:94" x14ac:dyDescent="0.25">
      <c r="A14" s="21">
        <v>4</v>
      </c>
      <c r="B14" s="10" t="s">
        <v>182</v>
      </c>
      <c r="C14" s="6"/>
      <c r="D14" s="6" t="s">
        <v>183</v>
      </c>
      <c r="E14" s="6" t="s">
        <v>250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6"/>
      <c r="AG14" s="10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10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6"/>
      <c r="CA14" s="6"/>
      <c r="CB14" s="10">
        <v>60</v>
      </c>
      <c r="CC14" s="10"/>
      <c r="CD14" s="10">
        <v>54</v>
      </c>
      <c r="CE14" s="10">
        <v>50</v>
      </c>
      <c r="CF14" s="10">
        <v>75</v>
      </c>
      <c r="CG14" s="10">
        <v>75</v>
      </c>
      <c r="CH14" s="6">
        <f>SUM(CA14:CG14)</f>
        <v>314</v>
      </c>
      <c r="CI14" s="6">
        <f>(CH14-CA14)/2</f>
        <v>157</v>
      </c>
      <c r="CJ14" s="10" t="s">
        <v>469</v>
      </c>
      <c r="CK14" s="10"/>
      <c r="CL14" s="10"/>
      <c r="CM14" s="10"/>
      <c r="CN14" s="6"/>
      <c r="CO14" s="6"/>
      <c r="CP14" s="6">
        <f t="shared" si="0"/>
        <v>157</v>
      </c>
    </row>
    <row r="15" spans="1:94" x14ac:dyDescent="0.25">
      <c r="A15">
        <v>5</v>
      </c>
      <c r="B15" s="10" t="s">
        <v>40</v>
      </c>
      <c r="C15" s="6"/>
      <c r="D15" s="6" t="s">
        <v>14</v>
      </c>
      <c r="E15" s="6" t="s">
        <v>116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6"/>
      <c r="AG15" s="10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10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6"/>
      <c r="CA15" s="6">
        <v>55.5</v>
      </c>
      <c r="CB15" s="10">
        <v>48</v>
      </c>
      <c r="CC15" s="10"/>
      <c r="CD15" s="10">
        <v>36</v>
      </c>
      <c r="CE15" s="10">
        <v>72</v>
      </c>
      <c r="CF15" s="10"/>
      <c r="CG15" s="10"/>
      <c r="CH15" s="6">
        <f>SUM(CA15:CG15)</f>
        <v>211.5</v>
      </c>
      <c r="CI15" s="6">
        <f>(CH15-CA15)/2</f>
        <v>78</v>
      </c>
      <c r="CJ15" s="10"/>
      <c r="CK15" s="10"/>
      <c r="CL15" s="10"/>
      <c r="CM15" s="10"/>
      <c r="CN15" s="6"/>
      <c r="CO15" s="6"/>
      <c r="CP15" s="6">
        <f t="shared" si="0"/>
        <v>78</v>
      </c>
    </row>
    <row r="16" spans="1:94" x14ac:dyDescent="0.25">
      <c r="A16">
        <v>6</v>
      </c>
      <c r="B16" s="10" t="s">
        <v>373</v>
      </c>
      <c r="C16" s="6"/>
      <c r="D16" s="6" t="s">
        <v>58</v>
      </c>
      <c r="E16" s="6" t="s">
        <v>374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6"/>
      <c r="AG16" s="10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10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6"/>
      <c r="CA16" s="6"/>
      <c r="CB16" s="10">
        <v>36</v>
      </c>
      <c r="CC16" s="10">
        <v>4</v>
      </c>
      <c r="CD16" s="10">
        <v>40</v>
      </c>
      <c r="CE16" s="10">
        <v>52</v>
      </c>
      <c r="CF16" s="10"/>
      <c r="CG16" s="10"/>
      <c r="CH16" s="6">
        <f>SUM(CA16:CG16)</f>
        <v>132</v>
      </c>
      <c r="CI16" s="6">
        <f>(CH16-CA16)/2</f>
        <v>66</v>
      </c>
      <c r="CJ16" s="10"/>
      <c r="CK16" s="10"/>
      <c r="CL16" s="10"/>
      <c r="CM16" s="10"/>
      <c r="CN16" s="6"/>
      <c r="CO16" s="6"/>
      <c r="CP16" s="6">
        <f t="shared" si="0"/>
        <v>66</v>
      </c>
    </row>
    <row r="17" spans="1:94" x14ac:dyDescent="0.25">
      <c r="A17">
        <v>7</v>
      </c>
      <c r="B17" s="10" t="s">
        <v>515</v>
      </c>
      <c r="C17" s="6"/>
      <c r="D17" s="6" t="s">
        <v>14</v>
      </c>
      <c r="E17" s="6" t="s">
        <v>124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6"/>
      <c r="AG17" s="10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10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6"/>
      <c r="CA17" s="6"/>
      <c r="CB17" s="10"/>
      <c r="CC17" s="10"/>
      <c r="CD17" s="10"/>
      <c r="CE17" s="10"/>
      <c r="CF17" s="10"/>
      <c r="CG17" s="10"/>
      <c r="CH17" s="6"/>
      <c r="CI17" s="6"/>
      <c r="CJ17" s="10"/>
      <c r="CK17" s="10">
        <v>64</v>
      </c>
      <c r="CL17" s="10"/>
      <c r="CM17" s="10"/>
      <c r="CN17" s="6"/>
      <c r="CO17" s="6"/>
      <c r="CP17" s="6">
        <f t="shared" si="0"/>
        <v>64</v>
      </c>
    </row>
    <row r="18" spans="1:94" x14ac:dyDescent="0.25">
      <c r="A18">
        <v>8</v>
      </c>
      <c r="B18" s="10" t="s">
        <v>532</v>
      </c>
      <c r="C18" s="6"/>
      <c r="D18" s="6" t="s">
        <v>533</v>
      </c>
      <c r="E18" s="6" t="s">
        <v>534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6"/>
      <c r="AG18" s="10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10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6"/>
      <c r="CA18" s="6"/>
      <c r="CB18" s="10"/>
      <c r="CC18" s="10"/>
      <c r="CD18" s="10"/>
      <c r="CE18" s="10"/>
      <c r="CF18" s="10"/>
      <c r="CG18" s="10"/>
      <c r="CH18" s="6"/>
      <c r="CI18" s="6"/>
      <c r="CJ18" s="10">
        <v>48</v>
      </c>
      <c r="CK18" s="10"/>
      <c r="CL18" s="10"/>
      <c r="CM18" s="10"/>
      <c r="CN18" s="6"/>
      <c r="CO18" s="6"/>
      <c r="CP18" s="6">
        <f t="shared" si="0"/>
        <v>48</v>
      </c>
    </row>
    <row r="19" spans="1:94" x14ac:dyDescent="0.25">
      <c r="A19">
        <v>9</v>
      </c>
      <c r="B19" s="10" t="s">
        <v>488</v>
      </c>
      <c r="C19" s="6"/>
      <c r="D19" s="6" t="s">
        <v>361</v>
      </c>
      <c r="E19" s="6" t="s">
        <v>425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6"/>
      <c r="AG19" s="10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10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6"/>
      <c r="CA19" s="6"/>
      <c r="CB19" s="10"/>
      <c r="CC19" s="10"/>
      <c r="CD19" s="10"/>
      <c r="CE19" s="10"/>
      <c r="CF19" s="10"/>
      <c r="CG19" s="10"/>
      <c r="CH19" s="6"/>
      <c r="CI19" s="6"/>
      <c r="CJ19" s="10"/>
      <c r="CK19" s="10">
        <v>44.8</v>
      </c>
      <c r="CL19" s="10"/>
      <c r="CM19" s="10"/>
      <c r="CN19" s="6"/>
      <c r="CO19" s="6"/>
      <c r="CP19" s="6">
        <f t="shared" si="0"/>
        <v>44.8</v>
      </c>
    </row>
    <row r="20" spans="1:94" x14ac:dyDescent="0.25">
      <c r="A20">
        <v>10</v>
      </c>
      <c r="B20" s="6" t="s">
        <v>179</v>
      </c>
      <c r="C20" s="6"/>
      <c r="D20" s="6" t="s">
        <v>180</v>
      </c>
      <c r="E20" s="6" t="s">
        <v>78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6"/>
      <c r="AG20" s="10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10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6"/>
      <c r="CA20" s="6"/>
      <c r="CB20" s="10">
        <v>30</v>
      </c>
      <c r="CC20" s="10">
        <v>40</v>
      </c>
      <c r="CD20" s="10">
        <v>10</v>
      </c>
      <c r="CE20" s="10"/>
      <c r="CF20" s="10"/>
      <c r="CG20" s="10"/>
      <c r="CH20" s="6">
        <f>SUM(CA20:CG20)</f>
        <v>80</v>
      </c>
      <c r="CI20" s="6">
        <f>(CH20-CA20)/2</f>
        <v>40</v>
      </c>
      <c r="CJ20" s="10"/>
      <c r="CK20" s="10"/>
      <c r="CL20" s="10"/>
      <c r="CM20" s="10"/>
      <c r="CN20" s="6"/>
      <c r="CO20" s="6"/>
      <c r="CP20" s="6">
        <f t="shared" si="0"/>
        <v>40</v>
      </c>
    </row>
    <row r="21" spans="1:94" x14ac:dyDescent="0.25">
      <c r="A21">
        <v>11</v>
      </c>
      <c r="B21" s="10" t="s">
        <v>19</v>
      </c>
      <c r="C21" s="6"/>
      <c r="D21" s="6" t="s">
        <v>318</v>
      </c>
      <c r="E21" s="6" t="s">
        <v>439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6"/>
      <c r="AG21" s="10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10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6"/>
      <c r="CA21" s="6"/>
      <c r="CB21" s="10"/>
      <c r="CC21" s="10"/>
      <c r="CD21" s="10"/>
      <c r="CE21" s="10"/>
      <c r="CF21" s="10"/>
      <c r="CG21" s="10"/>
      <c r="CH21" s="6"/>
      <c r="CI21" s="6"/>
      <c r="CJ21" s="10">
        <v>36</v>
      </c>
      <c r="CK21" s="10"/>
      <c r="CL21" s="10"/>
      <c r="CM21" s="10"/>
      <c r="CN21" s="6"/>
      <c r="CO21" s="6"/>
      <c r="CP21" s="6">
        <f t="shared" si="0"/>
        <v>36</v>
      </c>
    </row>
    <row r="22" spans="1:94" x14ac:dyDescent="0.25">
      <c r="A22">
        <v>12</v>
      </c>
      <c r="B22" s="10" t="s">
        <v>54</v>
      </c>
      <c r="C22" s="6"/>
      <c r="D22" s="6" t="s">
        <v>457</v>
      </c>
      <c r="E22" s="6" t="s">
        <v>24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"/>
      <c r="AG22" s="10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10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6"/>
      <c r="CA22" s="6"/>
      <c r="CB22" s="10"/>
      <c r="CC22" s="10"/>
      <c r="CD22" s="10"/>
      <c r="CE22" s="10"/>
      <c r="CF22" s="10"/>
      <c r="CG22" s="10"/>
      <c r="CH22" s="6"/>
      <c r="CI22" s="6"/>
      <c r="CJ22" s="10">
        <v>36</v>
      </c>
      <c r="CK22" s="10"/>
      <c r="CL22" s="10"/>
      <c r="CM22" s="10"/>
      <c r="CN22" s="6"/>
      <c r="CO22" s="6"/>
      <c r="CP22" s="6">
        <f t="shared" si="0"/>
        <v>36</v>
      </c>
    </row>
    <row r="23" spans="1:94" x14ac:dyDescent="0.25">
      <c r="A23">
        <v>13</v>
      </c>
      <c r="B23" s="10" t="s">
        <v>535</v>
      </c>
      <c r="C23" s="6"/>
      <c r="D23" s="6" t="s">
        <v>536</v>
      </c>
      <c r="E23" s="6" t="s">
        <v>534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6"/>
      <c r="AG23" s="10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10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6"/>
      <c r="CA23" s="6"/>
      <c r="CB23" s="10"/>
      <c r="CC23" s="10"/>
      <c r="CD23" s="10"/>
      <c r="CE23" s="10"/>
      <c r="CF23" s="10"/>
      <c r="CG23" s="10"/>
      <c r="CH23" s="6"/>
      <c r="CI23" s="6"/>
      <c r="CJ23" s="10">
        <v>33.6</v>
      </c>
      <c r="CK23" s="10"/>
      <c r="CL23" s="10"/>
      <c r="CM23" s="10"/>
      <c r="CN23" s="6"/>
      <c r="CO23" s="6"/>
      <c r="CP23" s="6">
        <f t="shared" si="0"/>
        <v>33.6</v>
      </c>
    </row>
    <row r="24" spans="1:94" x14ac:dyDescent="0.25">
      <c r="A24">
        <v>14</v>
      </c>
      <c r="B24" s="10" t="s">
        <v>21</v>
      </c>
      <c r="C24" s="6"/>
      <c r="D24" s="6" t="s">
        <v>88</v>
      </c>
      <c r="E24" s="6" t="s">
        <v>12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6"/>
      <c r="AG24" s="10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10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6"/>
      <c r="CA24" s="6"/>
      <c r="CB24" s="10">
        <v>48</v>
      </c>
      <c r="CC24" s="10"/>
      <c r="CD24" s="10">
        <v>7.5</v>
      </c>
      <c r="CE24" s="10"/>
      <c r="CF24" s="10"/>
      <c r="CG24" s="10"/>
      <c r="CH24" s="6">
        <f>SUM(CA24:CG24)</f>
        <v>55.5</v>
      </c>
      <c r="CI24" s="6">
        <f>(CH24-CA24)/2</f>
        <v>27.75</v>
      </c>
      <c r="CJ24" s="10"/>
      <c r="CK24" s="10"/>
      <c r="CL24" s="10"/>
      <c r="CM24" s="10"/>
      <c r="CN24" s="6"/>
      <c r="CO24" s="6"/>
      <c r="CP24" s="6">
        <f t="shared" si="0"/>
        <v>27.75</v>
      </c>
    </row>
    <row r="25" spans="1:94" x14ac:dyDescent="0.25">
      <c r="A25">
        <v>15</v>
      </c>
      <c r="B25" s="10" t="s">
        <v>273</v>
      </c>
      <c r="C25" s="6"/>
      <c r="D25" s="6" t="s">
        <v>139</v>
      </c>
      <c r="E25" s="6" t="s">
        <v>202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6"/>
      <c r="AG25" s="10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10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6"/>
      <c r="CA25" s="6"/>
      <c r="CB25" s="10">
        <v>48</v>
      </c>
      <c r="CC25" s="10">
        <v>3.2</v>
      </c>
      <c r="CD25" s="10"/>
      <c r="CE25" s="10"/>
      <c r="CF25" s="10"/>
      <c r="CG25" s="10"/>
      <c r="CH25" s="6">
        <f>SUM(CA25:CG25)</f>
        <v>51.2</v>
      </c>
      <c r="CI25" s="6">
        <f>(CH25-CA25)/2</f>
        <v>25.6</v>
      </c>
      <c r="CJ25" s="10"/>
      <c r="CK25" s="10"/>
      <c r="CL25" s="10"/>
      <c r="CM25" s="10"/>
      <c r="CN25" s="6"/>
      <c r="CO25" s="6"/>
      <c r="CP25" s="6">
        <f t="shared" si="0"/>
        <v>25.6</v>
      </c>
    </row>
    <row r="26" spans="1:94" x14ac:dyDescent="0.25">
      <c r="A26">
        <v>16</v>
      </c>
      <c r="B26" s="10" t="s">
        <v>272</v>
      </c>
      <c r="C26" s="6"/>
      <c r="D26" s="6" t="s">
        <v>200</v>
      </c>
      <c r="E26" s="6" t="s">
        <v>26</v>
      </c>
      <c r="F26" s="6"/>
      <c r="G26" s="6"/>
      <c r="H26" s="6"/>
      <c r="I26" s="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6"/>
      <c r="AG26" s="10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10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6"/>
      <c r="CA26" s="6"/>
      <c r="CB26" s="10"/>
      <c r="CC26" s="10"/>
      <c r="CD26" s="10"/>
      <c r="CE26" s="10"/>
      <c r="CF26" s="10"/>
      <c r="CG26" s="10"/>
      <c r="CH26" s="6"/>
      <c r="CI26" s="6">
        <v>21.75</v>
      </c>
      <c r="CJ26" s="10"/>
      <c r="CK26" s="10"/>
      <c r="CL26" s="10"/>
      <c r="CM26" s="10"/>
      <c r="CN26" s="6"/>
      <c r="CO26" s="6"/>
      <c r="CP26" s="6">
        <f t="shared" si="0"/>
        <v>21.75</v>
      </c>
    </row>
    <row r="27" spans="1:94" x14ac:dyDescent="0.25">
      <c r="A27">
        <v>17</v>
      </c>
      <c r="B27" s="10" t="s">
        <v>310</v>
      </c>
      <c r="C27" s="6"/>
      <c r="D27" s="6" t="s">
        <v>344</v>
      </c>
      <c r="E27" s="6" t="s">
        <v>345</v>
      </c>
      <c r="F27" s="6"/>
      <c r="G27" s="6"/>
      <c r="H27" s="6"/>
      <c r="I27" s="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6"/>
      <c r="AG27" s="10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10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6"/>
      <c r="CA27" s="6"/>
      <c r="CB27" s="10">
        <v>36</v>
      </c>
      <c r="CC27" s="10"/>
      <c r="CD27" s="10">
        <v>5</v>
      </c>
      <c r="CE27" s="10"/>
      <c r="CF27" s="10"/>
      <c r="CG27" s="10"/>
      <c r="CH27" s="6">
        <f>SUM(CA27:CG27)</f>
        <v>41</v>
      </c>
      <c r="CI27" s="6">
        <f>(CH27-CA27)/2</f>
        <v>20.5</v>
      </c>
      <c r="CJ27" s="10"/>
      <c r="CK27" s="10"/>
      <c r="CL27" s="10"/>
      <c r="CM27" s="10"/>
      <c r="CN27" s="6"/>
      <c r="CO27" s="6"/>
      <c r="CP27" s="6">
        <f t="shared" si="0"/>
        <v>20.5</v>
      </c>
    </row>
    <row r="28" spans="1:94" x14ac:dyDescent="0.25">
      <c r="A28">
        <v>18</v>
      </c>
      <c r="B28" s="10" t="s">
        <v>466</v>
      </c>
      <c r="C28" s="6"/>
      <c r="D28" s="6" t="s">
        <v>74</v>
      </c>
      <c r="E28" s="6" t="s">
        <v>461</v>
      </c>
      <c r="F28" s="6"/>
      <c r="G28" s="6"/>
      <c r="H28" s="6"/>
      <c r="I28" s="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6"/>
      <c r="AG28" s="10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10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6"/>
      <c r="CA28" s="6"/>
      <c r="CB28" s="10"/>
      <c r="CC28" s="10"/>
      <c r="CD28" s="10"/>
      <c r="CE28" s="10"/>
      <c r="CF28" s="10"/>
      <c r="CG28" s="10"/>
      <c r="CH28" s="6"/>
      <c r="CI28" s="6"/>
      <c r="CJ28" s="10">
        <v>2.4</v>
      </c>
      <c r="CK28" s="10"/>
      <c r="CL28" s="10">
        <v>6</v>
      </c>
      <c r="CM28" s="10"/>
      <c r="CN28" s="6"/>
      <c r="CO28" s="6"/>
      <c r="CP28" s="6">
        <f t="shared" si="0"/>
        <v>8.4</v>
      </c>
    </row>
    <row r="29" spans="1:94" x14ac:dyDescent="0.25">
      <c r="A29">
        <v>19</v>
      </c>
      <c r="B29" s="10" t="s">
        <v>176</v>
      </c>
      <c r="C29" s="6"/>
      <c r="D29" s="6" t="s">
        <v>253</v>
      </c>
      <c r="E29" s="6" t="s">
        <v>39</v>
      </c>
      <c r="F29" s="6"/>
      <c r="G29" s="6"/>
      <c r="H29" s="6"/>
      <c r="I29" s="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6"/>
      <c r="AG29" s="10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10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6"/>
      <c r="CA29" s="6"/>
      <c r="CB29" s="10">
        <v>3</v>
      </c>
      <c r="CC29" s="10">
        <v>3.2</v>
      </c>
      <c r="CD29" s="10">
        <v>7.5</v>
      </c>
      <c r="CE29" s="10">
        <v>3</v>
      </c>
      <c r="CF29" s="10"/>
      <c r="CG29" s="10"/>
      <c r="CH29" s="6">
        <f>SUM(CA29:CG29)</f>
        <v>16.7</v>
      </c>
      <c r="CI29" s="6">
        <f>(CH29-CA29)/2</f>
        <v>8.35</v>
      </c>
      <c r="CJ29" s="10"/>
      <c r="CK29" s="10"/>
      <c r="CL29" s="10"/>
      <c r="CM29" s="10"/>
      <c r="CN29" s="6"/>
      <c r="CO29" s="6"/>
      <c r="CP29" s="6">
        <f t="shared" si="0"/>
        <v>8.35</v>
      </c>
    </row>
    <row r="30" spans="1:94" x14ac:dyDescent="0.25">
      <c r="A30">
        <v>20</v>
      </c>
      <c r="B30" s="10" t="s">
        <v>262</v>
      </c>
      <c r="C30" s="6"/>
      <c r="D30" s="6" t="s">
        <v>93</v>
      </c>
      <c r="E30" s="6" t="s">
        <v>12</v>
      </c>
      <c r="F30" s="6"/>
      <c r="G30" s="6"/>
      <c r="H30" s="6"/>
      <c r="I30" s="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6"/>
      <c r="AG30" s="10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10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6"/>
      <c r="CA30" s="6"/>
      <c r="CB30" s="10">
        <v>2.4</v>
      </c>
      <c r="CC30" s="10"/>
      <c r="CD30" s="10">
        <v>7.5</v>
      </c>
      <c r="CE30" s="10">
        <v>4</v>
      </c>
      <c r="CF30" s="10"/>
      <c r="CG30" s="10"/>
      <c r="CH30" s="6">
        <f>SUM(CA30:CG30)</f>
        <v>13.9</v>
      </c>
      <c r="CI30" s="6">
        <f>(CH30-CA30)/2</f>
        <v>6.95</v>
      </c>
      <c r="CJ30" s="10"/>
      <c r="CK30" s="10"/>
      <c r="CL30" s="10"/>
      <c r="CM30" s="10"/>
      <c r="CN30" s="6"/>
      <c r="CO30" s="6"/>
      <c r="CP30" s="6">
        <f t="shared" si="0"/>
        <v>6.95</v>
      </c>
    </row>
    <row r="31" spans="1:94" x14ac:dyDescent="0.25">
      <c r="A31">
        <v>21</v>
      </c>
      <c r="B31" s="10" t="s">
        <v>391</v>
      </c>
      <c r="C31" s="6"/>
      <c r="D31" s="6" t="s">
        <v>353</v>
      </c>
      <c r="E31" s="6" t="s">
        <v>202</v>
      </c>
      <c r="F31" s="6"/>
      <c r="G31" s="6"/>
      <c r="H31" s="6"/>
      <c r="I31" s="6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6"/>
      <c r="AG31" s="10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10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6"/>
      <c r="CA31" s="6"/>
      <c r="CB31" s="10"/>
      <c r="CC31" s="10"/>
      <c r="CD31" s="10">
        <v>7.5</v>
      </c>
      <c r="CE31" s="10"/>
      <c r="CF31" s="10"/>
      <c r="CG31" s="10"/>
      <c r="CH31" s="6">
        <f>SUM(CA31:CG31)</f>
        <v>7.5</v>
      </c>
      <c r="CI31" s="6">
        <f>(CH31-CA31)/2</f>
        <v>3.75</v>
      </c>
      <c r="CJ31" s="10"/>
      <c r="CK31" s="10"/>
      <c r="CL31" s="10"/>
      <c r="CM31" s="10"/>
      <c r="CN31" s="6"/>
      <c r="CO31" s="6"/>
      <c r="CP31" s="6">
        <f t="shared" si="0"/>
        <v>3.75</v>
      </c>
    </row>
    <row r="32" spans="1:94" x14ac:dyDescent="0.25">
      <c r="A32">
        <v>22</v>
      </c>
      <c r="B32" s="10" t="s">
        <v>90</v>
      </c>
      <c r="C32" s="6"/>
      <c r="D32" s="6" t="s">
        <v>115</v>
      </c>
      <c r="E32" s="6" t="s">
        <v>62</v>
      </c>
      <c r="F32" s="6"/>
      <c r="G32" s="6"/>
      <c r="H32" s="6"/>
      <c r="I32" s="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6"/>
      <c r="AG32" s="10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10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6"/>
      <c r="CA32" s="6"/>
      <c r="CB32" s="10">
        <v>2.4</v>
      </c>
      <c r="CC32" s="10"/>
      <c r="CD32" s="10">
        <v>5</v>
      </c>
      <c r="CE32" s="10"/>
      <c r="CF32" s="10"/>
      <c r="CG32" s="10"/>
      <c r="CH32" s="6">
        <f>SUM(CA32:CG32)</f>
        <v>7.4</v>
      </c>
      <c r="CI32" s="6">
        <f>(CH32-CA32)/2</f>
        <v>3.7</v>
      </c>
      <c r="CJ32" s="10"/>
      <c r="CK32" s="10"/>
      <c r="CL32" s="10"/>
      <c r="CM32" s="10"/>
      <c r="CN32" s="6"/>
      <c r="CO32" s="6"/>
      <c r="CP32" s="6">
        <f t="shared" si="0"/>
        <v>3.7</v>
      </c>
    </row>
    <row r="33" spans="1:94" x14ac:dyDescent="0.25">
      <c r="A33">
        <v>23</v>
      </c>
      <c r="B33" s="10" t="s">
        <v>489</v>
      </c>
      <c r="C33" s="6"/>
      <c r="D33" s="6" t="s">
        <v>490</v>
      </c>
      <c r="E33" s="6" t="s">
        <v>205</v>
      </c>
      <c r="F33" s="6"/>
      <c r="G33" s="6"/>
      <c r="H33" s="6"/>
      <c r="I33" s="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6"/>
      <c r="AG33" s="10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10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6"/>
      <c r="CA33" s="6"/>
      <c r="CB33" s="10"/>
      <c r="CC33" s="10"/>
      <c r="CD33" s="10"/>
      <c r="CE33" s="10"/>
      <c r="CF33" s="10"/>
      <c r="CG33" s="10"/>
      <c r="CH33" s="6"/>
      <c r="CI33" s="6"/>
      <c r="CJ33" s="10"/>
      <c r="CK33" s="10">
        <v>3.2</v>
      </c>
      <c r="CL33" s="10"/>
      <c r="CM33" s="10"/>
      <c r="CN33" s="6"/>
      <c r="CO33" s="6"/>
      <c r="CP33" s="6">
        <f t="shared" si="0"/>
        <v>3.2</v>
      </c>
    </row>
    <row r="34" spans="1:94" x14ac:dyDescent="0.25">
      <c r="A34">
        <v>24</v>
      </c>
      <c r="B34" s="10" t="s">
        <v>505</v>
      </c>
      <c r="C34" s="6"/>
      <c r="D34" s="6" t="s">
        <v>364</v>
      </c>
      <c r="E34" s="6" t="s">
        <v>295</v>
      </c>
      <c r="F34" s="6"/>
      <c r="G34" s="6"/>
      <c r="H34" s="6"/>
      <c r="I34" s="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6"/>
      <c r="AG34" s="10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10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6"/>
      <c r="CA34" s="6"/>
      <c r="CB34" s="10"/>
      <c r="CC34" s="10"/>
      <c r="CD34" s="10"/>
      <c r="CE34" s="10"/>
      <c r="CF34" s="10"/>
      <c r="CG34" s="10"/>
      <c r="CH34" s="6"/>
      <c r="CI34" s="6"/>
      <c r="CJ34" s="10"/>
      <c r="CK34" s="10">
        <v>3.2</v>
      </c>
      <c r="CL34" s="10"/>
      <c r="CM34" s="10"/>
      <c r="CN34" s="6"/>
      <c r="CO34" s="6"/>
      <c r="CP34" s="6">
        <f t="shared" si="0"/>
        <v>3.2</v>
      </c>
    </row>
    <row r="35" spans="1:94" x14ac:dyDescent="0.25">
      <c r="A35">
        <v>25</v>
      </c>
      <c r="B35" s="10" t="s">
        <v>516</v>
      </c>
      <c r="C35" s="6"/>
      <c r="D35" s="6" t="s">
        <v>173</v>
      </c>
      <c r="E35" s="6" t="s">
        <v>117</v>
      </c>
      <c r="F35" s="6"/>
      <c r="G35" s="6"/>
      <c r="H35" s="6"/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6"/>
      <c r="AG35" s="10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10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6"/>
      <c r="CA35" s="6"/>
      <c r="CB35" s="10"/>
      <c r="CC35" s="10"/>
      <c r="CD35" s="10"/>
      <c r="CE35" s="10"/>
      <c r="CF35" s="10"/>
      <c r="CG35" s="10"/>
      <c r="CH35" s="6"/>
      <c r="CI35" s="6"/>
      <c r="CJ35" s="10"/>
      <c r="CK35" s="10">
        <v>3.2</v>
      </c>
      <c r="CL35" s="10"/>
      <c r="CM35" s="10"/>
      <c r="CN35" s="6"/>
      <c r="CO35" s="6"/>
      <c r="CP35" s="6">
        <f t="shared" si="0"/>
        <v>3.2</v>
      </c>
    </row>
    <row r="36" spans="1:94" x14ac:dyDescent="0.25">
      <c r="A36">
        <v>26</v>
      </c>
      <c r="B36" s="10" t="s">
        <v>486</v>
      </c>
      <c r="C36" s="6"/>
      <c r="D36" s="6" t="s">
        <v>74</v>
      </c>
      <c r="E36" s="6" t="s">
        <v>425</v>
      </c>
      <c r="F36" s="6"/>
      <c r="G36" s="6"/>
      <c r="H36" s="6"/>
      <c r="I36" s="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6"/>
      <c r="AG36" s="10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10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6"/>
      <c r="CA36" s="6"/>
      <c r="CB36" s="10"/>
      <c r="CC36" s="10"/>
      <c r="CD36" s="10"/>
      <c r="CE36" s="10"/>
      <c r="CF36" s="10"/>
      <c r="CG36" s="10"/>
      <c r="CH36" s="6"/>
      <c r="CI36" s="6"/>
      <c r="CJ36" s="10">
        <v>2.4</v>
      </c>
      <c r="CK36" s="10"/>
      <c r="CL36" s="10"/>
      <c r="CM36" s="10"/>
      <c r="CN36" s="6"/>
      <c r="CO36" s="6"/>
      <c r="CP36" s="6">
        <f t="shared" si="0"/>
        <v>2.4</v>
      </c>
    </row>
    <row r="37" spans="1:94" x14ac:dyDescent="0.25">
      <c r="A37">
        <v>27</v>
      </c>
      <c r="B37" s="10" t="s">
        <v>386</v>
      </c>
      <c r="C37" s="6"/>
      <c r="D37" s="6" t="s">
        <v>29</v>
      </c>
      <c r="E37" s="6" t="s">
        <v>188</v>
      </c>
      <c r="F37" s="6"/>
      <c r="G37" s="6"/>
      <c r="H37" s="6"/>
      <c r="I37" s="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6"/>
      <c r="AG37" s="10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10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6"/>
      <c r="CA37" s="6"/>
      <c r="CB37" s="10"/>
      <c r="CC37" s="10">
        <v>3.2</v>
      </c>
      <c r="CD37" s="10"/>
      <c r="CE37" s="10"/>
      <c r="CF37" s="10"/>
      <c r="CG37" s="10"/>
      <c r="CH37" s="6">
        <f>SUM(CA37:CG37)</f>
        <v>3.2</v>
      </c>
      <c r="CI37" s="6">
        <f>(CH37-CA37)/2</f>
        <v>1.6</v>
      </c>
      <c r="CJ37" s="10"/>
      <c r="CK37" s="10"/>
      <c r="CL37" s="10"/>
      <c r="CM37" s="10"/>
      <c r="CN37" s="6"/>
      <c r="CO37" s="6"/>
      <c r="CP37" s="6">
        <f t="shared" si="0"/>
        <v>1.6</v>
      </c>
    </row>
    <row r="38" spans="1:94" x14ac:dyDescent="0.25">
      <c r="A38">
        <v>28</v>
      </c>
      <c r="B38" s="10" t="s">
        <v>198</v>
      </c>
      <c r="C38" s="6"/>
      <c r="D38" s="6" t="s">
        <v>88</v>
      </c>
      <c r="E38" s="6" t="s">
        <v>39</v>
      </c>
      <c r="F38" s="6"/>
      <c r="G38" s="6"/>
      <c r="H38" s="6"/>
      <c r="I38" s="6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6"/>
      <c r="AG38" s="10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10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6"/>
      <c r="CA38" s="6"/>
      <c r="CB38" s="10">
        <v>3</v>
      </c>
      <c r="CC38" s="10"/>
      <c r="CD38" s="10"/>
      <c r="CE38" s="10"/>
      <c r="CF38" s="10"/>
      <c r="CG38" s="10"/>
      <c r="CH38" s="6">
        <f>SUM(CA38:CG38)</f>
        <v>3</v>
      </c>
      <c r="CI38" s="6">
        <f>(CH38-CA38)/2</f>
        <v>1.5</v>
      </c>
      <c r="CJ38" s="10"/>
      <c r="CK38" s="10"/>
      <c r="CL38" s="10"/>
      <c r="CM38" s="10"/>
      <c r="CN38" s="6"/>
      <c r="CO38" s="6"/>
      <c r="CP38" s="6">
        <f t="shared" si="0"/>
        <v>1.5</v>
      </c>
    </row>
  </sheetData>
  <sortState xmlns:xlrd2="http://schemas.microsoft.com/office/spreadsheetml/2017/richdata2" ref="B11:CP38">
    <sortCondition descending="1" ref="CP11:CP38"/>
  </sortState>
  <mergeCells count="5">
    <mergeCell ref="B8:C10"/>
    <mergeCell ref="CD9:CG9"/>
    <mergeCell ref="CL9:CO9"/>
    <mergeCell ref="D4:CP5"/>
    <mergeCell ref="B1:CP1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H26"/>
  <sheetViews>
    <sheetView zoomScale="80" zoomScaleNormal="80" workbookViewId="0">
      <selection activeCell="CF31" sqref="CF31"/>
    </sheetView>
  </sheetViews>
  <sheetFormatPr baseColWidth="10" defaultRowHeight="15" x14ac:dyDescent="0.25"/>
  <cols>
    <col min="1" max="1" width="3.42578125" bestFit="1" customWidth="1"/>
    <col min="2" max="2" width="14.140625" bestFit="1" customWidth="1"/>
    <col min="3" max="3" width="14" bestFit="1" customWidth="1"/>
    <col min="4" max="4" width="13.140625" bestFit="1" customWidth="1"/>
    <col min="5" max="5" width="18.7109375" bestFit="1" customWidth="1"/>
    <col min="6" max="6" width="6.42578125" hidden="1" customWidth="1"/>
    <col min="7" max="10" width="7.28515625" hidden="1" customWidth="1"/>
    <col min="11" max="11" width="6.28515625" hidden="1" customWidth="1"/>
    <col min="12" max="13" width="6.28515625" style="7" hidden="1" customWidth="1"/>
    <col min="14" max="16" width="6.7109375" style="7" hidden="1" customWidth="1"/>
    <col min="17" max="22" width="7.28515625" style="7" hidden="1" customWidth="1"/>
    <col min="23" max="23" width="6.7109375" style="7" hidden="1" customWidth="1"/>
    <col min="24" max="24" width="6.140625" style="7" hidden="1" customWidth="1"/>
    <col min="25" max="25" width="0" hidden="1" customWidth="1"/>
    <col min="26" max="26" width="6.85546875" style="7" hidden="1" customWidth="1"/>
    <col min="27" max="41" width="5.5703125" hidden="1" customWidth="1"/>
    <col min="42" max="42" width="10.5703125" style="7" hidden="1" customWidth="1"/>
    <col min="43" max="47" width="5.5703125" hidden="1" customWidth="1"/>
    <col min="48" max="48" width="5.5703125" style="7" hidden="1" customWidth="1"/>
    <col min="49" max="49" width="6.28515625" hidden="1" customWidth="1"/>
    <col min="50" max="50" width="6.85546875" hidden="1" customWidth="1"/>
    <col min="51" max="57" width="5.5703125" hidden="1" customWidth="1"/>
    <col min="58" max="64" width="5.5703125" style="7" hidden="1" customWidth="1"/>
    <col min="65" max="65" width="10.85546875" style="7" hidden="1" customWidth="1"/>
    <col min="66" max="68" width="6.140625" style="7" hidden="1" customWidth="1"/>
    <col min="69" max="69" width="6.85546875" style="7" hidden="1" customWidth="1"/>
    <col min="70" max="70" width="6.28515625" hidden="1" customWidth="1"/>
    <col min="71" max="71" width="7.85546875" hidden="1" customWidth="1"/>
    <col min="72" max="72" width="7.28515625" style="7" hidden="1" customWidth="1"/>
    <col min="73" max="73" width="7.5703125" style="7" hidden="1" customWidth="1"/>
    <col min="74" max="74" width="6.7109375" style="7" hidden="1" customWidth="1"/>
    <col min="75" max="75" width="7.7109375" style="7" hidden="1" customWidth="1"/>
    <col min="76" max="76" width="7" style="7" hidden="1" customWidth="1"/>
    <col min="77" max="77" width="7.28515625" style="7" hidden="1" customWidth="1"/>
    <col min="80" max="80" width="7" style="7" customWidth="1"/>
    <col min="81" max="81" width="7.7109375" style="7" customWidth="1"/>
    <col min="82" max="82" width="7.28515625" style="7" customWidth="1"/>
    <col min="83" max="83" width="8" style="7" customWidth="1"/>
    <col min="84" max="85" width="11.42578125" style="7"/>
  </cols>
  <sheetData>
    <row r="1" spans="1:86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</row>
    <row r="2" spans="1:86" ht="15.75" thickBot="1" x14ac:dyDescent="0.3">
      <c r="C2" s="7"/>
      <c r="D2" s="7"/>
      <c r="E2" s="7"/>
    </row>
    <row r="3" spans="1:86" ht="15.75" thickTop="1" x14ac:dyDescent="0.25">
      <c r="B3" s="1" t="s">
        <v>0</v>
      </c>
      <c r="C3" s="4" t="s">
        <v>13</v>
      </c>
    </row>
    <row r="4" spans="1:86" ht="14.65" customHeight="1" x14ac:dyDescent="0.25">
      <c r="B4" s="2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</row>
    <row r="5" spans="1:86" ht="15" customHeight="1" thickBot="1" x14ac:dyDescent="0.3">
      <c r="B5" s="3" t="s">
        <v>2</v>
      </c>
      <c r="C5" s="14">
        <v>-60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</row>
    <row r="6" spans="1:86" ht="15.75" thickTop="1" x14ac:dyDescent="0.25"/>
    <row r="7" spans="1:86" ht="15.75" thickBot="1" x14ac:dyDescent="0.3"/>
    <row r="8" spans="1:86" ht="15.75" thickTop="1" x14ac:dyDescent="0.25">
      <c r="B8" s="24" t="s">
        <v>8</v>
      </c>
      <c r="C8" s="25"/>
      <c r="D8" s="1"/>
      <c r="E8" s="1"/>
      <c r="F8" s="4" t="s">
        <v>33</v>
      </c>
      <c r="G8" s="4" t="s">
        <v>55</v>
      </c>
      <c r="H8" s="4" t="s">
        <v>9</v>
      </c>
      <c r="I8" s="4" t="s">
        <v>9</v>
      </c>
      <c r="J8" s="4" t="s">
        <v>72</v>
      </c>
      <c r="K8" s="4" t="s">
        <v>76</v>
      </c>
      <c r="L8" s="4" t="s">
        <v>80</v>
      </c>
      <c r="M8" s="4" t="s">
        <v>84</v>
      </c>
      <c r="N8" s="4" t="s">
        <v>9</v>
      </c>
      <c r="O8" s="4" t="s">
        <v>9</v>
      </c>
      <c r="P8" s="4" t="s">
        <v>9</v>
      </c>
      <c r="Q8" s="4" t="s">
        <v>9</v>
      </c>
      <c r="R8" s="4" t="s">
        <v>9</v>
      </c>
      <c r="S8" s="4" t="s">
        <v>9</v>
      </c>
      <c r="T8" s="4" t="s">
        <v>96</v>
      </c>
      <c r="U8" s="4" t="s">
        <v>9</v>
      </c>
      <c r="V8" s="4" t="s">
        <v>9</v>
      </c>
      <c r="W8" s="4" t="s">
        <v>100</v>
      </c>
      <c r="X8" s="4" t="s">
        <v>103</v>
      </c>
      <c r="Y8" s="1"/>
      <c r="Z8" s="13">
        <v>44927</v>
      </c>
      <c r="AA8" s="4" t="s">
        <v>9</v>
      </c>
      <c r="AB8" s="4" t="s">
        <v>9</v>
      </c>
      <c r="AC8" s="4" t="s">
        <v>103</v>
      </c>
      <c r="AD8" s="4" t="s">
        <v>9</v>
      </c>
      <c r="AE8" s="4" t="s">
        <v>9</v>
      </c>
      <c r="AF8" s="4" t="s">
        <v>127</v>
      </c>
      <c r="AG8" s="4" t="s">
        <v>127</v>
      </c>
      <c r="AH8" s="4" t="s">
        <v>127</v>
      </c>
      <c r="AI8" s="4" t="s">
        <v>102</v>
      </c>
      <c r="AJ8" s="4" t="s">
        <v>9</v>
      </c>
      <c r="AK8" s="4" t="s">
        <v>103</v>
      </c>
      <c r="AL8" s="4" t="s">
        <v>9</v>
      </c>
      <c r="AM8" s="4" t="s">
        <v>9</v>
      </c>
      <c r="AN8" s="4" t="s">
        <v>100</v>
      </c>
      <c r="AO8" s="4" t="s">
        <v>9</v>
      </c>
      <c r="AP8" s="4" t="s">
        <v>9</v>
      </c>
      <c r="AQ8" s="4" t="s">
        <v>9</v>
      </c>
      <c r="AR8" s="4" t="s">
        <v>103</v>
      </c>
      <c r="AS8" s="4" t="s">
        <v>9</v>
      </c>
      <c r="AT8" s="4" t="s">
        <v>9</v>
      </c>
      <c r="AU8" s="4" t="s">
        <v>9</v>
      </c>
      <c r="AV8" s="4" t="s">
        <v>104</v>
      </c>
      <c r="AW8" s="4" t="s">
        <v>6</v>
      </c>
      <c r="AX8" s="13">
        <v>45292</v>
      </c>
      <c r="AY8" s="13" t="s">
        <v>9</v>
      </c>
      <c r="AZ8" s="13" t="s">
        <v>9</v>
      </c>
      <c r="BA8" s="13" t="s">
        <v>9</v>
      </c>
      <c r="BB8" s="13" t="s">
        <v>9</v>
      </c>
      <c r="BC8" s="13" t="s">
        <v>9</v>
      </c>
      <c r="BD8" s="13" t="s">
        <v>9</v>
      </c>
      <c r="BE8" s="13" t="s">
        <v>103</v>
      </c>
      <c r="BF8" s="13" t="s">
        <v>103</v>
      </c>
      <c r="BG8" s="13" t="s">
        <v>127</v>
      </c>
      <c r="BH8" s="13" t="s">
        <v>127</v>
      </c>
      <c r="BI8" s="13" t="s">
        <v>103</v>
      </c>
      <c r="BJ8" s="13" t="s">
        <v>9</v>
      </c>
      <c r="BK8" s="13" t="s">
        <v>9</v>
      </c>
      <c r="BL8" s="13" t="s">
        <v>9</v>
      </c>
      <c r="BM8" s="13" t="s">
        <v>9</v>
      </c>
      <c r="BN8" s="13" t="s">
        <v>9</v>
      </c>
      <c r="BO8" s="13" t="s">
        <v>9</v>
      </c>
      <c r="BP8" s="13" t="s">
        <v>103</v>
      </c>
      <c r="BQ8" s="13" t="s">
        <v>104</v>
      </c>
      <c r="BR8" s="13" t="s">
        <v>6</v>
      </c>
      <c r="BS8" s="13">
        <v>45658</v>
      </c>
      <c r="BT8" s="13"/>
      <c r="BU8" s="13"/>
      <c r="BV8" s="18"/>
      <c r="BW8" s="19"/>
      <c r="BX8" s="19"/>
      <c r="BY8" s="20"/>
      <c r="BZ8" s="13" t="s">
        <v>6</v>
      </c>
      <c r="CA8" s="13">
        <v>46023</v>
      </c>
      <c r="CB8" s="13"/>
      <c r="CC8" s="13"/>
      <c r="CD8" s="18"/>
      <c r="CE8" s="19"/>
      <c r="CF8" s="19"/>
      <c r="CG8" s="20"/>
      <c r="CH8" s="13" t="s">
        <v>6</v>
      </c>
    </row>
    <row r="9" spans="1:86" x14ac:dyDescent="0.25">
      <c r="B9" s="26"/>
      <c r="C9" s="27"/>
      <c r="D9" s="2"/>
      <c r="E9" s="2"/>
      <c r="F9" s="8" t="s">
        <v>34</v>
      </c>
      <c r="G9" s="8" t="s">
        <v>56</v>
      </c>
      <c r="H9" s="8" t="s">
        <v>61</v>
      </c>
      <c r="I9" s="8" t="s">
        <v>65</v>
      </c>
      <c r="J9" s="8" t="s">
        <v>75</v>
      </c>
      <c r="K9" s="8" t="s">
        <v>77</v>
      </c>
      <c r="L9" s="8" t="s">
        <v>81</v>
      </c>
      <c r="M9" s="8" t="s">
        <v>34</v>
      </c>
      <c r="N9" s="8" t="s">
        <v>22</v>
      </c>
      <c r="O9" s="8" t="s">
        <v>18</v>
      </c>
      <c r="P9" s="8" t="s">
        <v>70</v>
      </c>
      <c r="Q9" s="8" t="s">
        <v>85</v>
      </c>
      <c r="R9" s="8" t="s">
        <v>65</v>
      </c>
      <c r="S9" s="8" t="s">
        <v>89</v>
      </c>
      <c r="T9" s="8" t="s">
        <v>97</v>
      </c>
      <c r="U9" s="8" t="s">
        <v>61</v>
      </c>
      <c r="V9" s="8" t="s">
        <v>89</v>
      </c>
      <c r="W9" s="8" t="s">
        <v>101</v>
      </c>
      <c r="X9" s="8" t="s">
        <v>104</v>
      </c>
      <c r="Y9" s="2" t="s">
        <v>6</v>
      </c>
      <c r="Z9" s="5"/>
      <c r="AA9" s="8" t="s">
        <v>22</v>
      </c>
      <c r="AB9" s="8" t="s">
        <v>85</v>
      </c>
      <c r="AC9" s="8" t="s">
        <v>72</v>
      </c>
      <c r="AD9" s="8" t="s">
        <v>89</v>
      </c>
      <c r="AE9" s="8" t="s">
        <v>30</v>
      </c>
      <c r="AF9" s="8" t="s">
        <v>76</v>
      </c>
      <c r="AG9" s="8" t="s">
        <v>80</v>
      </c>
      <c r="AH9" s="8" t="s">
        <v>72</v>
      </c>
      <c r="AI9" s="8" t="s">
        <v>136</v>
      </c>
      <c r="AJ9" s="8" t="s">
        <v>65</v>
      </c>
      <c r="AK9" s="8" t="s">
        <v>76</v>
      </c>
      <c r="AL9" s="8" t="s">
        <v>142</v>
      </c>
      <c r="AM9" s="8" t="s">
        <v>22</v>
      </c>
      <c r="AN9" s="8" t="s">
        <v>148</v>
      </c>
      <c r="AO9" s="8" t="s">
        <v>89</v>
      </c>
      <c r="AP9" s="8" t="s">
        <v>153</v>
      </c>
      <c r="AQ9" s="8" t="s">
        <v>85</v>
      </c>
      <c r="AR9" s="8" t="s">
        <v>80</v>
      </c>
      <c r="AS9" s="8" t="s">
        <v>65</v>
      </c>
      <c r="AT9" s="8" t="s">
        <v>163</v>
      </c>
      <c r="AU9" s="8" t="s">
        <v>142</v>
      </c>
      <c r="AV9" s="8"/>
      <c r="AW9" s="2"/>
      <c r="AX9" s="5"/>
      <c r="AY9" s="5" t="s">
        <v>70</v>
      </c>
      <c r="AZ9" s="5" t="s">
        <v>10</v>
      </c>
      <c r="BA9" s="5" t="s">
        <v>65</v>
      </c>
      <c r="BB9" s="5" t="s">
        <v>181</v>
      </c>
      <c r="BC9" s="5" t="s">
        <v>142</v>
      </c>
      <c r="BD9" s="5" t="s">
        <v>22</v>
      </c>
      <c r="BE9" s="5" t="s">
        <v>76</v>
      </c>
      <c r="BF9" s="5" t="s">
        <v>209</v>
      </c>
      <c r="BG9" s="5" t="s">
        <v>72</v>
      </c>
      <c r="BH9" s="5" t="s">
        <v>80</v>
      </c>
      <c r="BI9" s="5" t="s">
        <v>72</v>
      </c>
      <c r="BJ9" s="5" t="s">
        <v>70</v>
      </c>
      <c r="BK9" s="5" t="s">
        <v>181</v>
      </c>
      <c r="BL9" s="5" t="s">
        <v>142</v>
      </c>
      <c r="BM9" s="5" t="s">
        <v>153</v>
      </c>
      <c r="BN9" s="5" t="s">
        <v>22</v>
      </c>
      <c r="BO9" s="5" t="s">
        <v>65</v>
      </c>
      <c r="BP9" s="5" t="s">
        <v>80</v>
      </c>
      <c r="BQ9" s="5" t="s">
        <v>245</v>
      </c>
      <c r="BR9" s="5"/>
      <c r="BS9" s="5"/>
      <c r="BT9" s="8" t="s">
        <v>9</v>
      </c>
      <c r="BU9" s="8" t="s">
        <v>127</v>
      </c>
      <c r="BV9" s="28" t="s">
        <v>247</v>
      </c>
      <c r="BW9" s="29"/>
      <c r="BX9" s="29"/>
      <c r="BY9" s="30"/>
      <c r="BZ9" s="5"/>
      <c r="CA9" s="5"/>
      <c r="CB9" s="8" t="s">
        <v>9</v>
      </c>
      <c r="CC9" s="8" t="s">
        <v>127</v>
      </c>
      <c r="CD9" s="28" t="s">
        <v>247</v>
      </c>
      <c r="CE9" s="29"/>
      <c r="CF9" s="29"/>
      <c r="CG9" s="30"/>
      <c r="CH9" s="5"/>
    </row>
    <row r="10" spans="1:86" x14ac:dyDescent="0.25">
      <c r="B10" s="26"/>
      <c r="C10" s="27"/>
      <c r="D10" s="2" t="s">
        <v>4</v>
      </c>
      <c r="E10" s="2" t="s">
        <v>5</v>
      </c>
      <c r="F10" s="9">
        <v>44681</v>
      </c>
      <c r="G10" s="9">
        <v>44696</v>
      </c>
      <c r="H10" s="9">
        <v>44709</v>
      </c>
      <c r="I10" s="9">
        <v>44709</v>
      </c>
      <c r="J10" s="9">
        <v>44730</v>
      </c>
      <c r="K10" s="9">
        <v>44730</v>
      </c>
      <c r="L10" s="9">
        <v>44737</v>
      </c>
      <c r="M10" s="9">
        <v>44759</v>
      </c>
      <c r="N10" s="9">
        <v>44779</v>
      </c>
      <c r="O10" s="9">
        <v>44793</v>
      </c>
      <c r="P10" s="9">
        <v>44800</v>
      </c>
      <c r="Q10" s="9">
        <v>44814</v>
      </c>
      <c r="R10" s="9">
        <v>44814</v>
      </c>
      <c r="S10" s="9">
        <v>44814</v>
      </c>
      <c r="T10" s="9">
        <v>44828</v>
      </c>
      <c r="U10" s="9">
        <v>44849</v>
      </c>
      <c r="V10" s="9">
        <v>44856</v>
      </c>
      <c r="W10" s="9">
        <v>44868</v>
      </c>
      <c r="X10" s="9">
        <v>44905</v>
      </c>
      <c r="Y10" s="2">
        <v>2022</v>
      </c>
      <c r="Z10" s="5"/>
      <c r="AA10" s="2" t="s">
        <v>106</v>
      </c>
      <c r="AB10" s="5" t="s">
        <v>108</v>
      </c>
      <c r="AC10" s="5" t="s">
        <v>111</v>
      </c>
      <c r="AD10" s="5" t="s">
        <v>121</v>
      </c>
      <c r="AE10" s="5" t="s">
        <v>126</v>
      </c>
      <c r="AF10" s="5" t="s">
        <v>128</v>
      </c>
      <c r="AG10" s="5" t="s">
        <v>133</v>
      </c>
      <c r="AH10" s="5" t="s">
        <v>134</v>
      </c>
      <c r="AI10" s="5" t="s">
        <v>137</v>
      </c>
      <c r="AJ10" s="5" t="s">
        <v>138</v>
      </c>
      <c r="AK10" s="5" t="s">
        <v>140</v>
      </c>
      <c r="AL10" s="5" t="s">
        <v>143</v>
      </c>
      <c r="AM10" s="5" t="s">
        <v>146</v>
      </c>
      <c r="AN10" s="5" t="s">
        <v>149</v>
      </c>
      <c r="AO10" s="5" t="s">
        <v>147</v>
      </c>
      <c r="AP10" s="5" t="s">
        <v>151</v>
      </c>
      <c r="AQ10" s="5" t="s">
        <v>151</v>
      </c>
      <c r="AR10" s="5" t="s">
        <v>156</v>
      </c>
      <c r="AS10" s="5" t="s">
        <v>158</v>
      </c>
      <c r="AT10" s="5" t="s">
        <v>161</v>
      </c>
      <c r="AU10" s="5" t="s">
        <v>164</v>
      </c>
      <c r="AV10" s="5" t="s">
        <v>165</v>
      </c>
      <c r="AW10" s="2">
        <v>2023</v>
      </c>
      <c r="AX10" s="5"/>
      <c r="AY10" s="5" t="s">
        <v>166</v>
      </c>
      <c r="AZ10" s="5" t="s">
        <v>166</v>
      </c>
      <c r="BA10" s="5" t="s">
        <v>166</v>
      </c>
      <c r="BB10" s="5" t="s">
        <v>166</v>
      </c>
      <c r="BC10" s="5" t="s">
        <v>166</v>
      </c>
      <c r="BD10" s="5" t="s">
        <v>199</v>
      </c>
      <c r="BE10" s="5" t="s">
        <v>207</v>
      </c>
      <c r="BF10" s="5" t="s">
        <v>210</v>
      </c>
      <c r="BG10" s="5" t="s">
        <v>217</v>
      </c>
      <c r="BH10" s="5" t="s">
        <v>220</v>
      </c>
      <c r="BI10" s="5" t="s">
        <v>222</v>
      </c>
      <c r="BJ10" s="5" t="s">
        <v>149</v>
      </c>
      <c r="BK10" s="5" t="s">
        <v>227</v>
      </c>
      <c r="BL10" s="5" t="s">
        <v>226</v>
      </c>
      <c r="BM10" s="5" t="s">
        <v>228</v>
      </c>
      <c r="BN10" s="5" t="s">
        <v>228</v>
      </c>
      <c r="BO10" s="5" t="s">
        <v>233</v>
      </c>
      <c r="BP10" s="5" t="s">
        <v>238</v>
      </c>
      <c r="BQ10" s="5" t="s">
        <v>246</v>
      </c>
      <c r="BR10" s="5">
        <v>2024</v>
      </c>
      <c r="BS10" s="5"/>
      <c r="BT10" s="5"/>
      <c r="BU10" s="5"/>
      <c r="BV10" s="5">
        <v>1</v>
      </c>
      <c r="BW10" s="5">
        <v>2</v>
      </c>
      <c r="BX10" s="5">
        <v>3</v>
      </c>
      <c r="BY10" s="5">
        <v>4</v>
      </c>
      <c r="BZ10" s="5">
        <v>2025</v>
      </c>
      <c r="CA10" s="5"/>
      <c r="CB10" s="5"/>
      <c r="CC10" s="5"/>
      <c r="CD10" s="5">
        <v>1</v>
      </c>
      <c r="CE10" s="5">
        <v>2</v>
      </c>
      <c r="CF10" s="5">
        <v>3</v>
      </c>
      <c r="CG10" s="5">
        <v>4</v>
      </c>
      <c r="CH10" s="5">
        <v>2026</v>
      </c>
    </row>
    <row r="11" spans="1:86" x14ac:dyDescent="0.25">
      <c r="A11">
        <v>1</v>
      </c>
      <c r="B11" s="10" t="s">
        <v>517</v>
      </c>
      <c r="C11" s="6"/>
      <c r="D11" s="6" t="s">
        <v>331</v>
      </c>
      <c r="E11" s="6" t="s">
        <v>26</v>
      </c>
      <c r="F11" s="6"/>
      <c r="G11" s="6"/>
      <c r="H11" s="6"/>
      <c r="I11" s="6"/>
      <c r="J11" s="6"/>
      <c r="K11" s="6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6"/>
      <c r="Z11" s="10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10"/>
      <c r="AQ11" s="6"/>
      <c r="AR11" s="6"/>
      <c r="AS11" s="6"/>
      <c r="AT11" s="6"/>
      <c r="AU11" s="6"/>
      <c r="AV11" s="10"/>
      <c r="AW11" s="6"/>
      <c r="AX11" s="6"/>
      <c r="AY11" s="6"/>
      <c r="AZ11" s="6"/>
      <c r="BA11" s="6"/>
      <c r="BB11" s="6"/>
      <c r="BC11" s="6"/>
      <c r="BD11" s="6"/>
      <c r="BE11" s="6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6"/>
      <c r="BS11" s="6"/>
      <c r="BT11" s="10"/>
      <c r="BU11" s="10"/>
      <c r="BV11" s="10"/>
      <c r="BW11" s="10"/>
      <c r="BX11" s="10"/>
      <c r="BY11" s="10"/>
      <c r="BZ11" s="6"/>
      <c r="CA11" s="6">
        <v>115</v>
      </c>
      <c r="CB11" s="10">
        <v>36</v>
      </c>
      <c r="CC11" s="10">
        <v>64</v>
      </c>
      <c r="CD11" s="10">
        <v>105</v>
      </c>
      <c r="CE11" s="10"/>
      <c r="CF11" s="10"/>
      <c r="CG11" s="10">
        <v>80</v>
      </c>
      <c r="CH11" s="6">
        <f t="shared" ref="CH11:CH26" si="0">SUM(CA11:CG11)</f>
        <v>400</v>
      </c>
    </row>
    <row r="12" spans="1:86" x14ac:dyDescent="0.25">
      <c r="A12">
        <v>2</v>
      </c>
      <c r="B12" s="10" t="s">
        <v>370</v>
      </c>
      <c r="C12" s="6"/>
      <c r="D12" s="6" t="s">
        <v>58</v>
      </c>
      <c r="E12" s="6" t="s">
        <v>41</v>
      </c>
      <c r="F12" s="6"/>
      <c r="G12" s="6"/>
      <c r="H12" s="6"/>
      <c r="I12" s="6"/>
      <c r="J12" s="6"/>
      <c r="K12" s="6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6"/>
      <c r="Z12" s="10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10"/>
      <c r="AQ12" s="6"/>
      <c r="AR12" s="6"/>
      <c r="AS12" s="6"/>
      <c r="AT12" s="6"/>
      <c r="AU12" s="6"/>
      <c r="AV12" s="10"/>
      <c r="AW12" s="6"/>
      <c r="AX12" s="6"/>
      <c r="AY12" s="6"/>
      <c r="AZ12" s="6"/>
      <c r="BA12" s="6"/>
      <c r="BB12" s="6"/>
      <c r="BC12" s="6"/>
      <c r="BD12" s="6"/>
      <c r="BE12" s="6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6"/>
      <c r="BS12" s="6"/>
      <c r="BT12" s="10"/>
      <c r="BU12" s="10"/>
      <c r="BV12" s="10"/>
      <c r="BW12" s="10"/>
      <c r="BX12" s="10"/>
      <c r="BY12" s="10"/>
      <c r="BZ12" s="6"/>
      <c r="CA12" s="6"/>
      <c r="CB12" s="10">
        <v>36</v>
      </c>
      <c r="CC12" s="10">
        <v>64</v>
      </c>
      <c r="CD12" s="10">
        <v>150</v>
      </c>
      <c r="CE12" s="10">
        <v>60</v>
      </c>
      <c r="CF12" s="10"/>
      <c r="CG12" s="10"/>
      <c r="CH12" s="6">
        <f t="shared" si="0"/>
        <v>310</v>
      </c>
    </row>
    <row r="13" spans="1:86" x14ac:dyDescent="0.25">
      <c r="A13">
        <v>3</v>
      </c>
      <c r="B13" s="10" t="s">
        <v>69</v>
      </c>
      <c r="C13" s="6"/>
      <c r="D13" s="6" t="s">
        <v>47</v>
      </c>
      <c r="E13" s="6" t="s">
        <v>197</v>
      </c>
      <c r="F13" s="6"/>
      <c r="G13" s="6"/>
      <c r="H13" s="6"/>
      <c r="I13" s="6"/>
      <c r="J13" s="6"/>
      <c r="K13" s="6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6"/>
      <c r="Z13" s="10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10"/>
      <c r="AQ13" s="6"/>
      <c r="AR13" s="6"/>
      <c r="AS13" s="6"/>
      <c r="AT13" s="6"/>
      <c r="AU13" s="6"/>
      <c r="AV13" s="10"/>
      <c r="AW13" s="6"/>
      <c r="AX13" s="6"/>
      <c r="AY13" s="6"/>
      <c r="AZ13" s="6"/>
      <c r="BA13" s="6"/>
      <c r="BB13" s="6"/>
      <c r="BC13" s="6"/>
      <c r="BD13" s="6"/>
      <c r="BE13" s="6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6"/>
      <c r="BS13" s="6"/>
      <c r="BT13" s="10"/>
      <c r="BU13" s="10"/>
      <c r="BV13" s="10"/>
      <c r="BW13" s="10"/>
      <c r="BX13" s="10"/>
      <c r="BY13" s="10"/>
      <c r="BZ13" s="6"/>
      <c r="CA13" s="6">
        <v>141.25</v>
      </c>
      <c r="CB13" s="10">
        <v>36</v>
      </c>
      <c r="CC13" s="10">
        <v>44.8</v>
      </c>
      <c r="CD13" s="10">
        <v>7.5</v>
      </c>
      <c r="CE13" s="10">
        <v>36</v>
      </c>
      <c r="CF13" s="10"/>
      <c r="CG13" s="10"/>
      <c r="CH13" s="6">
        <f t="shared" si="0"/>
        <v>265.55</v>
      </c>
    </row>
    <row r="14" spans="1:86" x14ac:dyDescent="0.25">
      <c r="A14" s="21">
        <v>4</v>
      </c>
      <c r="B14" s="10" t="s">
        <v>308</v>
      </c>
      <c r="C14" s="6"/>
      <c r="D14" s="6" t="s">
        <v>309</v>
      </c>
      <c r="E14" s="6" t="s">
        <v>87</v>
      </c>
      <c r="F14" s="6"/>
      <c r="G14" s="6"/>
      <c r="H14" s="6"/>
      <c r="I14" s="6"/>
      <c r="J14" s="6"/>
      <c r="K14" s="6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6"/>
      <c r="Z14" s="10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10"/>
      <c r="AQ14" s="6"/>
      <c r="AR14" s="6"/>
      <c r="AS14" s="6"/>
      <c r="AT14" s="6"/>
      <c r="AU14" s="6"/>
      <c r="AV14" s="10"/>
      <c r="AW14" s="6"/>
      <c r="AX14" s="6"/>
      <c r="AY14" s="6"/>
      <c r="AZ14" s="6"/>
      <c r="BA14" s="6"/>
      <c r="BB14" s="6"/>
      <c r="BC14" s="6"/>
      <c r="BD14" s="6"/>
      <c r="BE14" s="6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6"/>
      <c r="BS14" s="6"/>
      <c r="BT14" s="10">
        <v>36</v>
      </c>
      <c r="BU14" s="10">
        <v>64</v>
      </c>
      <c r="BV14" s="10">
        <v>50</v>
      </c>
      <c r="BW14" s="10">
        <v>54</v>
      </c>
      <c r="BX14" s="10">
        <v>72</v>
      </c>
      <c r="BY14" s="10">
        <v>54</v>
      </c>
      <c r="BZ14" s="6">
        <f>SUM(BS14:BY14)</f>
        <v>330</v>
      </c>
      <c r="CA14" s="6">
        <f>(BZ14-BS14)/2</f>
        <v>165</v>
      </c>
      <c r="CB14" s="10"/>
      <c r="CC14" s="10"/>
      <c r="CD14" s="10"/>
      <c r="CE14" s="10"/>
      <c r="CF14" s="10"/>
      <c r="CG14" s="10"/>
      <c r="CH14" s="6">
        <f t="shared" si="0"/>
        <v>165</v>
      </c>
    </row>
    <row r="15" spans="1:86" x14ac:dyDescent="0.25">
      <c r="A15">
        <v>5</v>
      </c>
      <c r="B15" s="10" t="s">
        <v>186</v>
      </c>
      <c r="C15" s="6"/>
      <c r="D15" s="6" t="s">
        <v>187</v>
      </c>
      <c r="E15" s="6" t="s">
        <v>16</v>
      </c>
      <c r="F15" s="6"/>
      <c r="G15" s="6"/>
      <c r="H15" s="6"/>
      <c r="I15" s="6"/>
      <c r="J15" s="6"/>
      <c r="K15" s="6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6"/>
      <c r="Z15" s="10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10"/>
      <c r="AQ15" s="6"/>
      <c r="AR15" s="6"/>
      <c r="AS15" s="6"/>
      <c r="AT15" s="6"/>
      <c r="AU15" s="6"/>
      <c r="AV15" s="10"/>
      <c r="AW15" s="6"/>
      <c r="AX15" s="6"/>
      <c r="AY15" s="6"/>
      <c r="AZ15" s="6"/>
      <c r="BA15" s="6"/>
      <c r="BB15" s="6"/>
      <c r="BC15" s="6"/>
      <c r="BD15" s="6"/>
      <c r="BE15" s="6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6"/>
      <c r="BS15" s="6"/>
      <c r="BT15" s="10">
        <v>48</v>
      </c>
      <c r="BU15" s="10">
        <v>44.8</v>
      </c>
      <c r="BV15" s="10">
        <v>75</v>
      </c>
      <c r="BW15" s="10">
        <v>50</v>
      </c>
      <c r="BX15" s="10">
        <v>7.5</v>
      </c>
      <c r="BY15" s="10">
        <v>75</v>
      </c>
      <c r="BZ15" s="6">
        <f>SUM(BS15:BY15)</f>
        <v>300.3</v>
      </c>
      <c r="CA15" s="6">
        <f>(BZ15-BS15)/2</f>
        <v>150.15</v>
      </c>
      <c r="CB15" s="10"/>
      <c r="CC15" s="10"/>
      <c r="CD15" s="10"/>
      <c r="CE15" s="10"/>
      <c r="CF15" s="10"/>
      <c r="CG15" s="10"/>
      <c r="CH15" s="6">
        <f t="shared" si="0"/>
        <v>150.15</v>
      </c>
    </row>
    <row r="16" spans="1:86" x14ac:dyDescent="0.25">
      <c r="A16">
        <v>6</v>
      </c>
      <c r="B16" s="10" t="s">
        <v>19</v>
      </c>
      <c r="C16" s="6"/>
      <c r="D16" s="6" t="s">
        <v>318</v>
      </c>
      <c r="E16" s="6" t="s">
        <v>316</v>
      </c>
      <c r="F16" s="6"/>
      <c r="G16" s="6"/>
      <c r="H16" s="6"/>
      <c r="I16" s="6"/>
      <c r="J16" s="6"/>
      <c r="K16" s="6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6"/>
      <c r="Z16" s="10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0"/>
      <c r="AQ16" s="6"/>
      <c r="AR16" s="6"/>
      <c r="AS16" s="6"/>
      <c r="AT16" s="6"/>
      <c r="AU16" s="6"/>
      <c r="AV16" s="10"/>
      <c r="AW16" s="6"/>
      <c r="AX16" s="6"/>
      <c r="AY16" s="6"/>
      <c r="AZ16" s="6"/>
      <c r="BA16" s="6"/>
      <c r="BB16" s="6"/>
      <c r="BC16" s="6"/>
      <c r="BD16" s="6"/>
      <c r="BE16" s="6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6"/>
      <c r="BS16" s="6"/>
      <c r="BT16" s="10">
        <v>2.4</v>
      </c>
      <c r="BU16" s="10"/>
      <c r="BV16" s="10">
        <v>7.5</v>
      </c>
      <c r="BW16" s="10"/>
      <c r="BX16" s="10"/>
      <c r="BY16" s="10"/>
      <c r="BZ16" s="6">
        <f>SUM(BS16:BY16)</f>
        <v>9.9</v>
      </c>
      <c r="CA16" s="6">
        <f>(BZ16-BS16)/2</f>
        <v>4.95</v>
      </c>
      <c r="CB16" s="10">
        <v>36</v>
      </c>
      <c r="CC16" s="10">
        <v>48</v>
      </c>
      <c r="CD16" s="10"/>
      <c r="CE16" s="10"/>
      <c r="CF16" s="10"/>
      <c r="CG16" s="10"/>
      <c r="CH16" s="6">
        <f t="shared" si="0"/>
        <v>88.95</v>
      </c>
    </row>
    <row r="17" spans="1:86" x14ac:dyDescent="0.25">
      <c r="A17">
        <v>7</v>
      </c>
      <c r="B17" s="10" t="s">
        <v>273</v>
      </c>
      <c r="C17" s="6"/>
      <c r="D17" s="6" t="s">
        <v>139</v>
      </c>
      <c r="E17" s="6" t="s">
        <v>202</v>
      </c>
      <c r="F17" s="6"/>
      <c r="G17" s="6"/>
      <c r="H17" s="6"/>
      <c r="I17" s="6"/>
      <c r="J17" s="6"/>
      <c r="K17" s="6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6"/>
      <c r="Z17" s="10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10"/>
      <c r="AQ17" s="6"/>
      <c r="AR17" s="6"/>
      <c r="AS17" s="6"/>
      <c r="AT17" s="6"/>
      <c r="AU17" s="6"/>
      <c r="AV17" s="10"/>
      <c r="AW17" s="6"/>
      <c r="AX17" s="6"/>
      <c r="AY17" s="6"/>
      <c r="AZ17" s="6"/>
      <c r="BA17" s="6"/>
      <c r="BB17" s="6"/>
      <c r="BC17" s="6"/>
      <c r="BD17" s="6"/>
      <c r="BE17" s="6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6"/>
      <c r="BS17" s="6"/>
      <c r="BT17" s="10"/>
      <c r="BU17" s="10"/>
      <c r="BV17" s="10">
        <v>75</v>
      </c>
      <c r="BW17" s="10">
        <v>100</v>
      </c>
      <c r="BX17" s="10"/>
      <c r="BY17" s="10"/>
      <c r="BZ17" s="6">
        <f>SUM(BS17:BY17)</f>
        <v>175</v>
      </c>
      <c r="CA17" s="6">
        <f>(BZ17-BS17)/2</f>
        <v>87.5</v>
      </c>
      <c r="CB17" s="10"/>
      <c r="CC17" s="10"/>
      <c r="CD17" s="10"/>
      <c r="CE17" s="10"/>
      <c r="CF17" s="10"/>
      <c r="CG17" s="10"/>
      <c r="CH17" s="6">
        <f t="shared" si="0"/>
        <v>87.5</v>
      </c>
    </row>
    <row r="18" spans="1:86" x14ac:dyDescent="0.25">
      <c r="A18">
        <v>8</v>
      </c>
      <c r="B18" s="10" t="s">
        <v>54</v>
      </c>
      <c r="C18" s="6"/>
      <c r="D18" s="6" t="s">
        <v>457</v>
      </c>
      <c r="E18" s="6" t="s">
        <v>24</v>
      </c>
      <c r="F18" s="6"/>
      <c r="G18" s="6"/>
      <c r="H18" s="6"/>
      <c r="I18" s="6"/>
      <c r="J18" s="6"/>
      <c r="K18" s="6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6"/>
      <c r="Z18" s="10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10"/>
      <c r="AQ18" s="6"/>
      <c r="AR18" s="6"/>
      <c r="AS18" s="6"/>
      <c r="AT18" s="6"/>
      <c r="AU18" s="6"/>
      <c r="AV18" s="10"/>
      <c r="AW18" s="6"/>
      <c r="AX18" s="6"/>
      <c r="AY18" s="6"/>
      <c r="AZ18" s="6"/>
      <c r="BA18" s="6"/>
      <c r="BB18" s="6"/>
      <c r="BC18" s="6"/>
      <c r="BD18" s="6"/>
      <c r="BE18" s="6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6"/>
      <c r="BS18" s="6"/>
      <c r="BT18" s="10"/>
      <c r="BU18" s="10"/>
      <c r="BV18" s="10"/>
      <c r="BW18" s="10"/>
      <c r="BX18" s="10"/>
      <c r="BY18" s="10"/>
      <c r="BZ18" s="6"/>
      <c r="CA18" s="6"/>
      <c r="CB18" s="10"/>
      <c r="CC18" s="10">
        <v>3.2</v>
      </c>
      <c r="CD18" s="10">
        <v>60</v>
      </c>
      <c r="CE18" s="10"/>
      <c r="CF18" s="10"/>
      <c r="CG18" s="10"/>
      <c r="CH18" s="6">
        <f t="shared" si="0"/>
        <v>63.2</v>
      </c>
    </row>
    <row r="19" spans="1:86" x14ac:dyDescent="0.25">
      <c r="A19">
        <v>9</v>
      </c>
      <c r="B19" s="10" t="s">
        <v>472</v>
      </c>
      <c r="C19" s="6"/>
      <c r="D19" s="6" t="s">
        <v>47</v>
      </c>
      <c r="E19" s="6" t="s">
        <v>12</v>
      </c>
      <c r="F19" s="6"/>
      <c r="G19" s="6"/>
      <c r="H19" s="6"/>
      <c r="I19" s="6"/>
      <c r="J19" s="6"/>
      <c r="K19" s="6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6"/>
      <c r="Z19" s="10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10"/>
      <c r="AQ19" s="6"/>
      <c r="AR19" s="6"/>
      <c r="AS19" s="6"/>
      <c r="AT19" s="6"/>
      <c r="AU19" s="6"/>
      <c r="AV19" s="10"/>
      <c r="AW19" s="6"/>
      <c r="AX19" s="6"/>
      <c r="AY19" s="6"/>
      <c r="AZ19" s="6"/>
      <c r="BA19" s="6"/>
      <c r="BB19" s="6"/>
      <c r="BC19" s="6"/>
      <c r="BD19" s="6"/>
      <c r="BE19" s="6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6"/>
      <c r="BS19" s="6"/>
      <c r="BT19" s="10"/>
      <c r="BU19" s="10"/>
      <c r="BV19" s="10"/>
      <c r="BW19" s="10"/>
      <c r="BX19" s="10"/>
      <c r="BY19" s="10"/>
      <c r="BZ19" s="6"/>
      <c r="CA19" s="6"/>
      <c r="CB19" s="10">
        <v>36</v>
      </c>
      <c r="CC19" s="10"/>
      <c r="CD19" s="10"/>
      <c r="CE19" s="10"/>
      <c r="CF19" s="10"/>
      <c r="CG19" s="10"/>
      <c r="CH19" s="6">
        <f t="shared" si="0"/>
        <v>36</v>
      </c>
    </row>
    <row r="20" spans="1:86" x14ac:dyDescent="0.25">
      <c r="A20">
        <v>10</v>
      </c>
      <c r="B20" s="10" t="s">
        <v>546</v>
      </c>
      <c r="C20" s="6"/>
      <c r="D20" s="6" t="s">
        <v>547</v>
      </c>
      <c r="E20" s="6" t="s">
        <v>548</v>
      </c>
      <c r="F20" s="6"/>
      <c r="G20" s="6"/>
      <c r="H20" s="6"/>
      <c r="I20" s="6"/>
      <c r="J20" s="6"/>
      <c r="K20" s="6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6"/>
      <c r="Z20" s="10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10"/>
      <c r="AQ20" s="6"/>
      <c r="AR20" s="6"/>
      <c r="AS20" s="6"/>
      <c r="AT20" s="6"/>
      <c r="AU20" s="6"/>
      <c r="AV20" s="10"/>
      <c r="AW20" s="6"/>
      <c r="AX20" s="6"/>
      <c r="AY20" s="6"/>
      <c r="AZ20" s="6"/>
      <c r="BA20" s="6"/>
      <c r="BB20" s="6"/>
      <c r="BC20" s="6"/>
      <c r="BD20" s="6"/>
      <c r="BE20" s="6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6"/>
      <c r="BS20" s="6"/>
      <c r="BT20" s="10"/>
      <c r="BU20" s="10"/>
      <c r="BV20" s="10"/>
      <c r="BW20" s="10"/>
      <c r="BX20" s="10"/>
      <c r="BY20" s="10"/>
      <c r="BZ20" s="6"/>
      <c r="CA20" s="6"/>
      <c r="CB20" s="10">
        <v>36</v>
      </c>
      <c r="CC20" s="10"/>
      <c r="CD20" s="10"/>
      <c r="CE20" s="10"/>
      <c r="CF20" s="10"/>
      <c r="CG20" s="10"/>
      <c r="CH20" s="6">
        <f t="shared" si="0"/>
        <v>36</v>
      </c>
    </row>
    <row r="21" spans="1:86" x14ac:dyDescent="0.25">
      <c r="A21">
        <v>11</v>
      </c>
      <c r="B21" s="10" t="s">
        <v>255</v>
      </c>
      <c r="C21" s="6"/>
      <c r="D21" s="6" t="s">
        <v>256</v>
      </c>
      <c r="E21" s="6" t="s">
        <v>92</v>
      </c>
      <c r="F21" s="6"/>
      <c r="G21" s="6"/>
      <c r="H21" s="6"/>
      <c r="I21" s="6"/>
      <c r="J21" s="6"/>
      <c r="K21" s="6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6"/>
      <c r="Z21" s="10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10"/>
      <c r="AQ21" s="6"/>
      <c r="AR21" s="6"/>
      <c r="AS21" s="6"/>
      <c r="AT21" s="6"/>
      <c r="AU21" s="6"/>
      <c r="AV21" s="10"/>
      <c r="AW21" s="6"/>
      <c r="AX21" s="6"/>
      <c r="AY21" s="6"/>
      <c r="AZ21" s="6"/>
      <c r="BA21" s="6"/>
      <c r="BB21" s="6"/>
      <c r="BC21" s="6"/>
      <c r="BD21" s="6"/>
      <c r="BE21" s="6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6"/>
      <c r="BS21" s="6"/>
      <c r="BT21" s="10"/>
      <c r="BU21" s="10"/>
      <c r="BV21" s="10">
        <v>36</v>
      </c>
      <c r="BW21" s="10">
        <v>7.5</v>
      </c>
      <c r="BX21" s="10">
        <v>5</v>
      </c>
      <c r="BY21" s="10">
        <v>7.5</v>
      </c>
      <c r="BZ21" s="6">
        <f t="shared" ref="BZ21:BZ26" si="1">SUM(BS21:BY21)</f>
        <v>56</v>
      </c>
      <c r="CA21" s="6">
        <f t="shared" ref="CA21:CA26" si="2">(BZ21-BS21)/2</f>
        <v>28</v>
      </c>
      <c r="CB21" s="10"/>
      <c r="CC21" s="10"/>
      <c r="CD21" s="10"/>
      <c r="CE21" s="10"/>
      <c r="CF21" s="10"/>
      <c r="CG21" s="10"/>
      <c r="CH21" s="6">
        <f t="shared" si="0"/>
        <v>28</v>
      </c>
    </row>
    <row r="22" spans="1:86" x14ac:dyDescent="0.25">
      <c r="A22">
        <v>12</v>
      </c>
      <c r="B22" s="10" t="s">
        <v>304</v>
      </c>
      <c r="C22" s="6"/>
      <c r="D22" s="6" t="s">
        <v>20</v>
      </c>
      <c r="E22" s="6" t="s">
        <v>17</v>
      </c>
      <c r="F22" s="6"/>
      <c r="G22" s="6"/>
      <c r="H22" s="6"/>
      <c r="I22" s="6"/>
      <c r="J22" s="6"/>
      <c r="K22" s="6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6"/>
      <c r="Z22" s="10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10"/>
      <c r="AQ22" s="6"/>
      <c r="AR22" s="6"/>
      <c r="AS22" s="6"/>
      <c r="AT22" s="6"/>
      <c r="AU22" s="6"/>
      <c r="AV22" s="10"/>
      <c r="AW22" s="6"/>
      <c r="AX22" s="6"/>
      <c r="AY22" s="6"/>
      <c r="AZ22" s="6"/>
      <c r="BA22" s="6"/>
      <c r="BB22" s="6"/>
      <c r="BC22" s="6"/>
      <c r="BD22" s="6"/>
      <c r="BE22" s="6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6"/>
      <c r="BS22" s="6"/>
      <c r="BT22" s="10">
        <v>33.6</v>
      </c>
      <c r="BU22" s="10"/>
      <c r="BV22" s="10">
        <v>7.5</v>
      </c>
      <c r="BW22" s="10"/>
      <c r="BX22" s="10"/>
      <c r="BY22" s="10"/>
      <c r="BZ22" s="6">
        <f t="shared" si="1"/>
        <v>41.1</v>
      </c>
      <c r="CA22" s="6">
        <f t="shared" si="2"/>
        <v>20.55</v>
      </c>
      <c r="CB22" s="10"/>
      <c r="CC22" s="10"/>
      <c r="CD22" s="10"/>
      <c r="CE22" s="10"/>
      <c r="CF22" s="10"/>
      <c r="CG22" s="10"/>
      <c r="CH22" s="6">
        <f t="shared" si="0"/>
        <v>20.55</v>
      </c>
    </row>
    <row r="23" spans="1:86" x14ac:dyDescent="0.25">
      <c r="A23">
        <v>13</v>
      </c>
      <c r="B23" s="10" t="s">
        <v>357</v>
      </c>
      <c r="C23" s="6"/>
      <c r="D23" s="6" t="s">
        <v>359</v>
      </c>
      <c r="E23" s="6" t="s">
        <v>358</v>
      </c>
      <c r="F23" s="6"/>
      <c r="G23" s="6"/>
      <c r="H23" s="6"/>
      <c r="I23" s="6"/>
      <c r="J23" s="6"/>
      <c r="K23" s="6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6"/>
      <c r="Z23" s="10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10"/>
      <c r="AQ23" s="6"/>
      <c r="AR23" s="6"/>
      <c r="AS23" s="6"/>
      <c r="AT23" s="6"/>
      <c r="AU23" s="6"/>
      <c r="AV23" s="10"/>
      <c r="AW23" s="6"/>
      <c r="AX23" s="6"/>
      <c r="AY23" s="6"/>
      <c r="AZ23" s="6"/>
      <c r="BA23" s="6"/>
      <c r="BB23" s="6"/>
      <c r="BC23" s="6"/>
      <c r="BD23" s="6"/>
      <c r="BE23" s="6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6"/>
      <c r="BS23" s="6"/>
      <c r="BT23" s="10"/>
      <c r="BU23" s="10">
        <v>40</v>
      </c>
      <c r="BV23" s="10"/>
      <c r="BW23" s="10"/>
      <c r="BX23" s="10"/>
      <c r="BY23" s="10"/>
      <c r="BZ23" s="6">
        <f t="shared" si="1"/>
        <v>40</v>
      </c>
      <c r="CA23" s="6">
        <f t="shared" si="2"/>
        <v>20</v>
      </c>
      <c r="CB23" s="10"/>
      <c r="CC23" s="10"/>
      <c r="CD23" s="10"/>
      <c r="CE23" s="10"/>
      <c r="CF23" s="10"/>
      <c r="CG23" s="10"/>
      <c r="CH23" s="6">
        <f t="shared" si="0"/>
        <v>20</v>
      </c>
    </row>
    <row r="24" spans="1:86" x14ac:dyDescent="0.25">
      <c r="A24">
        <v>14</v>
      </c>
      <c r="B24" s="10" t="s">
        <v>90</v>
      </c>
      <c r="C24" s="6"/>
      <c r="D24" s="6" t="s">
        <v>115</v>
      </c>
      <c r="E24" s="6" t="s">
        <v>62</v>
      </c>
      <c r="F24" s="6"/>
      <c r="G24" s="6"/>
      <c r="H24" s="6"/>
      <c r="I24" s="6"/>
      <c r="J24" s="6"/>
      <c r="K24" s="6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6"/>
      <c r="Z24" s="10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10"/>
      <c r="AQ24" s="6"/>
      <c r="AR24" s="6"/>
      <c r="AS24" s="6"/>
      <c r="AT24" s="6"/>
      <c r="AU24" s="6"/>
      <c r="AV24" s="10"/>
      <c r="AW24" s="6"/>
      <c r="AX24" s="6"/>
      <c r="AY24" s="6"/>
      <c r="AZ24" s="6"/>
      <c r="BA24" s="6"/>
      <c r="BB24" s="6"/>
      <c r="BC24" s="6"/>
      <c r="BD24" s="6"/>
      <c r="BE24" s="6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6"/>
      <c r="BS24" s="6"/>
      <c r="BT24" s="10"/>
      <c r="BU24" s="10"/>
      <c r="BV24" s="10">
        <v>7.5</v>
      </c>
      <c r="BW24" s="10">
        <v>5</v>
      </c>
      <c r="BX24" s="10"/>
      <c r="BY24" s="10"/>
      <c r="BZ24" s="6">
        <f t="shared" si="1"/>
        <v>12.5</v>
      </c>
      <c r="CA24" s="6">
        <f t="shared" si="2"/>
        <v>6.25</v>
      </c>
      <c r="CB24" s="10"/>
      <c r="CC24" s="10"/>
      <c r="CD24" s="10"/>
      <c r="CE24" s="10"/>
      <c r="CF24" s="10"/>
      <c r="CG24" s="10"/>
      <c r="CH24" s="6">
        <f t="shared" si="0"/>
        <v>6.25</v>
      </c>
    </row>
    <row r="25" spans="1:86" x14ac:dyDescent="0.25">
      <c r="A25">
        <v>15</v>
      </c>
      <c r="B25" s="10" t="s">
        <v>301</v>
      </c>
      <c r="C25" s="6"/>
      <c r="D25" s="6" t="s">
        <v>93</v>
      </c>
      <c r="E25" s="6" t="s">
        <v>224</v>
      </c>
      <c r="F25" s="6"/>
      <c r="G25" s="6"/>
      <c r="H25" s="6"/>
      <c r="I25" s="6"/>
      <c r="J25" s="6"/>
      <c r="K25" s="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6"/>
      <c r="Z25" s="10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10"/>
      <c r="AQ25" s="6"/>
      <c r="AR25" s="6"/>
      <c r="AS25" s="6"/>
      <c r="AT25" s="6"/>
      <c r="AU25" s="6"/>
      <c r="AV25" s="10"/>
      <c r="AW25" s="6"/>
      <c r="AX25" s="6"/>
      <c r="AY25" s="6"/>
      <c r="AZ25" s="6"/>
      <c r="BA25" s="6"/>
      <c r="BB25" s="6"/>
      <c r="BC25" s="6"/>
      <c r="BD25" s="6"/>
      <c r="BE25" s="6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6"/>
      <c r="BS25" s="6"/>
      <c r="BT25" s="10"/>
      <c r="BU25" s="10"/>
      <c r="BV25" s="10">
        <v>5</v>
      </c>
      <c r="BW25" s="10"/>
      <c r="BX25" s="10"/>
      <c r="BY25" s="10"/>
      <c r="BZ25" s="6">
        <f t="shared" si="1"/>
        <v>5</v>
      </c>
      <c r="CA25" s="6">
        <f t="shared" si="2"/>
        <v>2.5</v>
      </c>
      <c r="CB25" s="10"/>
      <c r="CC25" s="10"/>
      <c r="CD25" s="10"/>
      <c r="CE25" s="10"/>
      <c r="CF25" s="10"/>
      <c r="CG25" s="10"/>
      <c r="CH25" s="6">
        <f t="shared" si="0"/>
        <v>2.5</v>
      </c>
    </row>
    <row r="26" spans="1:86" x14ac:dyDescent="0.25">
      <c r="B26" s="10" t="s">
        <v>305</v>
      </c>
      <c r="C26" s="6"/>
      <c r="D26" s="6" t="s">
        <v>29</v>
      </c>
      <c r="E26" s="6" t="s">
        <v>16</v>
      </c>
      <c r="F26" s="6"/>
      <c r="G26" s="6"/>
      <c r="H26" s="6"/>
      <c r="I26" s="6"/>
      <c r="J26" s="6"/>
      <c r="K26" s="6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6"/>
      <c r="Z26" s="10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10"/>
      <c r="AQ26" s="6"/>
      <c r="AR26" s="6"/>
      <c r="AS26" s="6"/>
      <c r="AT26" s="6"/>
      <c r="AU26" s="6"/>
      <c r="AV26" s="10"/>
      <c r="AW26" s="6"/>
      <c r="AX26" s="6"/>
      <c r="AY26" s="6"/>
      <c r="AZ26" s="6"/>
      <c r="BA26" s="6"/>
      <c r="BB26" s="6"/>
      <c r="BC26" s="6"/>
      <c r="BD26" s="6"/>
      <c r="BE26" s="6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6"/>
      <c r="BS26" s="6"/>
      <c r="BT26" s="10">
        <v>2.4</v>
      </c>
      <c r="BU26" s="10"/>
      <c r="BV26" s="10"/>
      <c r="BW26" s="10"/>
      <c r="BX26" s="10"/>
      <c r="BY26" s="10"/>
      <c r="BZ26" s="6">
        <f t="shared" si="1"/>
        <v>2.4</v>
      </c>
      <c r="CA26" s="6">
        <f t="shared" si="2"/>
        <v>1.2</v>
      </c>
      <c r="CB26" s="10"/>
      <c r="CC26" s="10"/>
      <c r="CD26" s="10"/>
      <c r="CE26" s="10"/>
      <c r="CF26" s="10"/>
      <c r="CG26" s="10"/>
      <c r="CH26" s="6">
        <f t="shared" si="0"/>
        <v>1.2</v>
      </c>
    </row>
  </sheetData>
  <sortState xmlns:xlrd2="http://schemas.microsoft.com/office/spreadsheetml/2017/richdata2" ref="B11:CH26">
    <sortCondition descending="1" ref="CH11:CH26"/>
  </sortState>
  <mergeCells count="5">
    <mergeCell ref="B8:C10"/>
    <mergeCell ref="BV9:BY9"/>
    <mergeCell ref="CD9:CG9"/>
    <mergeCell ref="B1:CH1"/>
    <mergeCell ref="D4:CH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M25"/>
  <sheetViews>
    <sheetView zoomScale="80" zoomScaleNormal="80" workbookViewId="0">
      <selection activeCell="CJ30" sqref="CJ30"/>
    </sheetView>
  </sheetViews>
  <sheetFormatPr baseColWidth="10" defaultRowHeight="15" x14ac:dyDescent="0.25"/>
  <cols>
    <col min="1" max="1" width="3.140625" bestFit="1" customWidth="1"/>
    <col min="2" max="2" width="12.42578125" bestFit="1" customWidth="1"/>
    <col min="3" max="3" width="14" bestFit="1" customWidth="1"/>
    <col min="4" max="4" width="13.28515625" bestFit="1" customWidth="1"/>
    <col min="5" max="5" width="18.7109375" bestFit="1" customWidth="1"/>
    <col min="6" max="6" width="6.7109375" hidden="1" customWidth="1"/>
    <col min="7" max="9" width="6.85546875" hidden="1" customWidth="1"/>
    <col min="10" max="13" width="7.28515625" style="7" hidden="1" customWidth="1"/>
    <col min="14" max="15" width="6.7109375" style="7" hidden="1" customWidth="1"/>
    <col min="16" max="16" width="6.28515625" style="7" hidden="1" customWidth="1"/>
    <col min="17" max="19" width="6.7109375" style="7" hidden="1" customWidth="1"/>
    <col min="20" max="25" width="7.28515625" style="7" hidden="1" customWidth="1"/>
    <col min="26" max="26" width="0" hidden="1" customWidth="1"/>
    <col min="27" max="27" width="6.85546875" style="7" hidden="1" customWidth="1"/>
    <col min="28" max="45" width="6" hidden="1" customWidth="1"/>
    <col min="46" max="46" width="10.5703125" hidden="1" customWidth="1"/>
    <col min="47" max="47" width="6" hidden="1" customWidth="1"/>
    <col min="48" max="51" width="6" style="7" hidden="1" customWidth="1"/>
    <col min="52" max="52" width="6.28515625" hidden="1" customWidth="1"/>
    <col min="53" max="53" width="6.85546875" hidden="1" customWidth="1"/>
    <col min="54" max="54" width="10.5703125" hidden="1" customWidth="1"/>
    <col min="55" max="59" width="6" hidden="1" customWidth="1"/>
    <col min="60" max="66" width="6" style="7" hidden="1" customWidth="1"/>
    <col min="67" max="67" width="10.85546875" style="7" hidden="1" customWidth="1"/>
    <col min="68" max="74" width="6.140625" style="7" hidden="1" customWidth="1"/>
    <col min="75" max="75" width="6.7109375" hidden="1" customWidth="1"/>
    <col min="76" max="76" width="7.85546875" hidden="1" customWidth="1"/>
    <col min="77" max="77" width="5.5703125" style="7" hidden="1" customWidth="1"/>
    <col min="78" max="78" width="7.5703125" style="7" hidden="1" customWidth="1"/>
    <col min="79" max="79" width="8.7109375" style="7" hidden="1" customWidth="1"/>
    <col min="80" max="80" width="8.85546875" style="7" hidden="1" customWidth="1"/>
    <col min="81" max="81" width="8.140625" style="7" hidden="1" customWidth="1"/>
    <col min="82" max="82" width="8.28515625" style="7" hidden="1" customWidth="1"/>
    <col min="86" max="86" width="11.42578125" style="7"/>
    <col min="87" max="87" width="7.42578125" style="7" customWidth="1"/>
    <col min="90" max="90" width="11.42578125" style="7"/>
  </cols>
  <sheetData>
    <row r="1" spans="1:91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</row>
    <row r="2" spans="1:91" ht="15.75" thickBot="1" x14ac:dyDescent="0.3">
      <c r="C2" s="7"/>
      <c r="D2" s="7"/>
      <c r="E2" s="7"/>
    </row>
    <row r="3" spans="1:91" ht="15.75" thickTop="1" x14ac:dyDescent="0.25">
      <c r="B3" s="1" t="s">
        <v>0</v>
      </c>
      <c r="C3" s="4" t="s">
        <v>13</v>
      </c>
    </row>
    <row r="4" spans="1:91" ht="14.65" customHeight="1" x14ac:dyDescent="0.25">
      <c r="B4" s="2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</row>
    <row r="5" spans="1:91" ht="15" customHeight="1" thickBot="1" x14ac:dyDescent="0.3">
      <c r="B5" s="3" t="s">
        <v>2</v>
      </c>
      <c r="C5" s="14">
        <v>-66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</row>
    <row r="6" spans="1:91" ht="15.75" thickTop="1" x14ac:dyDescent="0.25"/>
    <row r="7" spans="1:91" ht="15.75" thickBot="1" x14ac:dyDescent="0.3"/>
    <row r="8" spans="1:91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9</v>
      </c>
      <c r="I8" s="4" t="s">
        <v>33</v>
      </c>
      <c r="J8" s="4" t="s">
        <v>55</v>
      </c>
      <c r="K8" s="4" t="s">
        <v>9</v>
      </c>
      <c r="L8" s="4" t="s">
        <v>9</v>
      </c>
      <c r="M8" s="4" t="s">
        <v>9</v>
      </c>
      <c r="N8" s="4" t="s">
        <v>72</v>
      </c>
      <c r="O8" s="4" t="s">
        <v>80</v>
      </c>
      <c r="P8" s="4" t="s">
        <v>84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96</v>
      </c>
      <c r="W8" s="4" t="s">
        <v>9</v>
      </c>
      <c r="X8" s="4" t="s">
        <v>100</v>
      </c>
      <c r="Y8" s="4" t="s">
        <v>103</v>
      </c>
      <c r="Z8" s="1"/>
      <c r="AA8" s="13">
        <v>44927</v>
      </c>
      <c r="AB8" s="4" t="s">
        <v>9</v>
      </c>
      <c r="AC8" s="4" t="s">
        <v>9</v>
      </c>
      <c r="AD8" s="4" t="s">
        <v>9</v>
      </c>
      <c r="AE8" s="4" t="s">
        <v>103</v>
      </c>
      <c r="AF8" s="4" t="s">
        <v>9</v>
      </c>
      <c r="AG8" s="4" t="s">
        <v>9</v>
      </c>
      <c r="AH8" s="4" t="s">
        <v>9</v>
      </c>
      <c r="AI8" s="4" t="s">
        <v>127</v>
      </c>
      <c r="AJ8" s="4" t="s">
        <v>127</v>
      </c>
      <c r="AK8" s="4" t="s">
        <v>127</v>
      </c>
      <c r="AL8" s="4" t="s">
        <v>102</v>
      </c>
      <c r="AM8" s="4" t="s">
        <v>103</v>
      </c>
      <c r="AN8" s="4" t="s">
        <v>9</v>
      </c>
      <c r="AO8" s="4" t="s">
        <v>9</v>
      </c>
      <c r="AP8" s="4" t="s">
        <v>100</v>
      </c>
      <c r="AQ8" s="4" t="s">
        <v>9</v>
      </c>
      <c r="AR8" s="4" t="s">
        <v>9</v>
      </c>
      <c r="AS8" s="4" t="s">
        <v>9</v>
      </c>
      <c r="AT8" s="4" t="s">
        <v>9</v>
      </c>
      <c r="AU8" s="4" t="s">
        <v>9</v>
      </c>
      <c r="AV8" s="4" t="s">
        <v>103</v>
      </c>
      <c r="AW8" s="4" t="s">
        <v>9</v>
      </c>
      <c r="AX8" s="4" t="s">
        <v>9</v>
      </c>
      <c r="AY8" s="4" t="s">
        <v>104</v>
      </c>
      <c r="AZ8" s="4" t="s">
        <v>6</v>
      </c>
      <c r="BA8" s="13">
        <v>45292</v>
      </c>
      <c r="BB8" s="13" t="s">
        <v>9</v>
      </c>
      <c r="BC8" s="13" t="s">
        <v>9</v>
      </c>
      <c r="BD8" s="13" t="s">
        <v>9</v>
      </c>
      <c r="BE8" s="13" t="s">
        <v>9</v>
      </c>
      <c r="BF8" s="13" t="s">
        <v>9</v>
      </c>
      <c r="BG8" s="13" t="s">
        <v>103</v>
      </c>
      <c r="BH8" s="13" t="s">
        <v>103</v>
      </c>
      <c r="BI8" s="13" t="s">
        <v>127</v>
      </c>
      <c r="BJ8" s="13" t="s">
        <v>127</v>
      </c>
      <c r="BK8" s="13" t="s">
        <v>103</v>
      </c>
      <c r="BL8" s="13" t="s">
        <v>9</v>
      </c>
      <c r="BM8" s="13" t="s">
        <v>9</v>
      </c>
      <c r="BN8" s="13" t="s">
        <v>9</v>
      </c>
      <c r="BO8" s="13" t="s">
        <v>9</v>
      </c>
      <c r="BP8" s="13" t="s">
        <v>9</v>
      </c>
      <c r="BQ8" s="13" t="s">
        <v>9</v>
      </c>
      <c r="BR8" s="13" t="s">
        <v>9</v>
      </c>
      <c r="BS8" s="13" t="s">
        <v>103</v>
      </c>
      <c r="BT8" s="13" t="s">
        <v>100</v>
      </c>
      <c r="BU8" s="13" t="s">
        <v>102</v>
      </c>
      <c r="BV8" s="13" t="s">
        <v>104</v>
      </c>
      <c r="BW8" s="13" t="s">
        <v>6</v>
      </c>
      <c r="BX8" s="13">
        <v>45658</v>
      </c>
      <c r="BY8" s="13"/>
      <c r="BZ8" s="13"/>
      <c r="CA8" s="18"/>
      <c r="CB8" s="19"/>
      <c r="CC8" s="19"/>
      <c r="CD8" s="20"/>
      <c r="CE8" s="13" t="s">
        <v>6</v>
      </c>
      <c r="CF8" s="13">
        <v>46023</v>
      </c>
      <c r="CG8" s="13"/>
      <c r="CH8" s="13"/>
      <c r="CI8" s="18"/>
      <c r="CJ8" s="16"/>
      <c r="CK8" s="16"/>
      <c r="CL8" s="20"/>
      <c r="CM8" s="13" t="s">
        <v>6</v>
      </c>
    </row>
    <row r="9" spans="1:91" x14ac:dyDescent="0.25">
      <c r="B9" s="26"/>
      <c r="C9" s="27"/>
      <c r="D9" s="2"/>
      <c r="E9" s="2"/>
      <c r="F9" s="8" t="s">
        <v>22</v>
      </c>
      <c r="G9" s="8" t="s">
        <v>18</v>
      </c>
      <c r="H9" s="8" t="s">
        <v>30</v>
      </c>
      <c r="I9" s="8" t="s">
        <v>34</v>
      </c>
      <c r="J9" s="8" t="s">
        <v>56</v>
      </c>
      <c r="K9" s="8" t="s">
        <v>61</v>
      </c>
      <c r="L9" s="8" t="s">
        <v>70</v>
      </c>
      <c r="M9" s="8" t="s">
        <v>65</v>
      </c>
      <c r="N9" s="8" t="s">
        <v>75</v>
      </c>
      <c r="O9" s="8" t="s">
        <v>81</v>
      </c>
      <c r="P9" s="8" t="s">
        <v>34</v>
      </c>
      <c r="Q9" s="8" t="s">
        <v>22</v>
      </c>
      <c r="R9" s="8" t="s">
        <v>18</v>
      </c>
      <c r="S9" s="8" t="s">
        <v>70</v>
      </c>
      <c r="T9" s="8" t="s">
        <v>65</v>
      </c>
      <c r="U9" s="8" t="s">
        <v>89</v>
      </c>
      <c r="V9" s="8" t="s">
        <v>97</v>
      </c>
      <c r="W9" s="8" t="s">
        <v>89</v>
      </c>
      <c r="X9" s="8" t="s">
        <v>101</v>
      </c>
      <c r="Y9" s="8" t="s">
        <v>104</v>
      </c>
      <c r="Z9" s="2" t="s">
        <v>6</v>
      </c>
      <c r="AA9" s="5"/>
      <c r="AB9" s="8" t="s">
        <v>22</v>
      </c>
      <c r="AC9" s="8" t="s">
        <v>85</v>
      </c>
      <c r="AD9" s="8" t="s">
        <v>18</v>
      </c>
      <c r="AE9" s="8" t="s">
        <v>72</v>
      </c>
      <c r="AF9" s="8" t="s">
        <v>70</v>
      </c>
      <c r="AG9" s="8" t="s">
        <v>89</v>
      </c>
      <c r="AH9" s="8" t="s">
        <v>30</v>
      </c>
      <c r="AI9" s="8" t="s">
        <v>76</v>
      </c>
      <c r="AJ9" s="8" t="s">
        <v>80</v>
      </c>
      <c r="AK9" s="8" t="s">
        <v>72</v>
      </c>
      <c r="AL9" s="8" t="s">
        <v>136</v>
      </c>
      <c r="AM9" s="8" t="s">
        <v>76</v>
      </c>
      <c r="AN9" s="8" t="s">
        <v>142</v>
      </c>
      <c r="AO9" s="8" t="s">
        <v>22</v>
      </c>
      <c r="AP9" s="8" t="s">
        <v>148</v>
      </c>
      <c r="AQ9" s="8" t="s">
        <v>89</v>
      </c>
      <c r="AR9" s="8" t="s">
        <v>70</v>
      </c>
      <c r="AS9" s="8" t="s">
        <v>18</v>
      </c>
      <c r="AT9" s="8" t="s">
        <v>153</v>
      </c>
      <c r="AU9" s="8" t="s">
        <v>85</v>
      </c>
      <c r="AV9" s="8" t="s">
        <v>80</v>
      </c>
      <c r="AW9" s="8" t="s">
        <v>163</v>
      </c>
      <c r="AX9" s="8" t="s">
        <v>142</v>
      </c>
      <c r="AY9" s="8"/>
      <c r="AZ9" s="2"/>
      <c r="BA9" s="5"/>
      <c r="BB9" s="5" t="s">
        <v>153</v>
      </c>
      <c r="BC9" s="5" t="s">
        <v>65</v>
      </c>
      <c r="BD9" s="5" t="s">
        <v>70</v>
      </c>
      <c r="BE9" s="5" t="s">
        <v>181</v>
      </c>
      <c r="BF9" s="5" t="s">
        <v>30</v>
      </c>
      <c r="BG9" s="5" t="s">
        <v>76</v>
      </c>
      <c r="BH9" s="5" t="s">
        <v>209</v>
      </c>
      <c r="BI9" s="5" t="s">
        <v>72</v>
      </c>
      <c r="BJ9" s="5" t="s">
        <v>80</v>
      </c>
      <c r="BK9" s="5" t="s">
        <v>72</v>
      </c>
      <c r="BL9" s="5" t="s">
        <v>70</v>
      </c>
      <c r="BM9" s="5" t="s">
        <v>181</v>
      </c>
      <c r="BN9" s="5" t="s">
        <v>142</v>
      </c>
      <c r="BO9" s="5" t="s">
        <v>153</v>
      </c>
      <c r="BP9" s="5" t="s">
        <v>22</v>
      </c>
      <c r="BQ9" s="5" t="s">
        <v>65</v>
      </c>
      <c r="BR9" s="5" t="s">
        <v>236</v>
      </c>
      <c r="BS9" s="5" t="s">
        <v>80</v>
      </c>
      <c r="BT9" s="5" t="s">
        <v>239</v>
      </c>
      <c r="BU9" s="5" t="s">
        <v>243</v>
      </c>
      <c r="BV9" s="5" t="s">
        <v>245</v>
      </c>
      <c r="BW9" s="5"/>
      <c r="BX9" s="5"/>
      <c r="BY9" s="8" t="s">
        <v>9</v>
      </c>
      <c r="BZ9" s="8" t="s">
        <v>127</v>
      </c>
      <c r="CA9" s="28" t="s">
        <v>247</v>
      </c>
      <c r="CB9" s="29"/>
      <c r="CC9" s="29"/>
      <c r="CD9" s="30"/>
      <c r="CE9" s="5"/>
      <c r="CF9" s="5"/>
      <c r="CG9" s="8" t="s">
        <v>9</v>
      </c>
      <c r="CH9" s="8" t="s">
        <v>127</v>
      </c>
      <c r="CI9" s="28" t="s">
        <v>247</v>
      </c>
      <c r="CJ9" s="29"/>
      <c r="CK9" s="29"/>
      <c r="CL9" s="30"/>
      <c r="CM9" s="5"/>
    </row>
    <row r="10" spans="1:91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44660</v>
      </c>
      <c r="H10" s="9">
        <v>44674</v>
      </c>
      <c r="I10" s="9">
        <v>44681</v>
      </c>
      <c r="J10" s="9">
        <v>44696</v>
      </c>
      <c r="K10" s="9">
        <v>44709</v>
      </c>
      <c r="L10" s="9">
        <v>44709</v>
      </c>
      <c r="M10" s="9">
        <v>44709</v>
      </c>
      <c r="N10" s="9">
        <v>44730</v>
      </c>
      <c r="O10" s="9">
        <v>44737</v>
      </c>
      <c r="P10" s="9">
        <v>44759</v>
      </c>
      <c r="Q10" s="9">
        <v>44779</v>
      </c>
      <c r="R10" s="9">
        <v>44793</v>
      </c>
      <c r="S10" s="9">
        <v>44800</v>
      </c>
      <c r="T10" s="9">
        <v>44814</v>
      </c>
      <c r="U10" s="9">
        <v>44814</v>
      </c>
      <c r="V10" s="9">
        <v>44828</v>
      </c>
      <c r="W10" s="9">
        <v>44856</v>
      </c>
      <c r="X10" s="9">
        <v>44868</v>
      </c>
      <c r="Y10" s="9">
        <v>44905</v>
      </c>
      <c r="Z10" s="2">
        <v>2022</v>
      </c>
      <c r="AA10" s="5"/>
      <c r="AB10" s="2" t="s">
        <v>106</v>
      </c>
      <c r="AC10" s="5" t="s">
        <v>108</v>
      </c>
      <c r="AD10" s="5" t="s">
        <v>110</v>
      </c>
      <c r="AE10" s="5" t="s">
        <v>111</v>
      </c>
      <c r="AF10" s="5" t="s">
        <v>123</v>
      </c>
      <c r="AG10" s="5" t="s">
        <v>121</v>
      </c>
      <c r="AH10" s="5" t="s">
        <v>126</v>
      </c>
      <c r="AI10" s="5" t="s">
        <v>128</v>
      </c>
      <c r="AJ10" s="5" t="s">
        <v>133</v>
      </c>
      <c r="AK10" s="5" t="s">
        <v>134</v>
      </c>
      <c r="AL10" s="5" t="s">
        <v>137</v>
      </c>
      <c r="AM10" s="5" t="s">
        <v>140</v>
      </c>
      <c r="AN10" s="5" t="s">
        <v>143</v>
      </c>
      <c r="AO10" s="5" t="s">
        <v>146</v>
      </c>
      <c r="AP10" s="5" t="s">
        <v>149</v>
      </c>
      <c r="AQ10" s="5" t="s">
        <v>147</v>
      </c>
      <c r="AR10" s="5" t="s">
        <v>147</v>
      </c>
      <c r="AS10" s="5" t="s">
        <v>150</v>
      </c>
      <c r="AT10" s="5" t="s">
        <v>151</v>
      </c>
      <c r="AU10" s="5" t="s">
        <v>151</v>
      </c>
      <c r="AV10" s="5" t="s">
        <v>155</v>
      </c>
      <c r="AW10" s="5" t="s">
        <v>161</v>
      </c>
      <c r="AX10" s="5" t="s">
        <v>164</v>
      </c>
      <c r="AY10" s="5" t="s">
        <v>165</v>
      </c>
      <c r="AZ10" s="2">
        <v>2023</v>
      </c>
      <c r="BA10" s="5"/>
      <c r="BB10" s="5" t="s">
        <v>166</v>
      </c>
      <c r="BC10" s="5" t="s">
        <v>166</v>
      </c>
      <c r="BD10" s="5" t="s">
        <v>166</v>
      </c>
      <c r="BE10" s="5" t="s">
        <v>166</v>
      </c>
      <c r="BF10" s="5" t="s">
        <v>199</v>
      </c>
      <c r="BG10" s="5" t="s">
        <v>207</v>
      </c>
      <c r="BH10" s="5" t="s">
        <v>210</v>
      </c>
      <c r="BI10" s="5" t="s">
        <v>217</v>
      </c>
      <c r="BJ10" s="5" t="s">
        <v>220</v>
      </c>
      <c r="BK10" s="5" t="s">
        <v>222</v>
      </c>
      <c r="BL10" s="5" t="s">
        <v>149</v>
      </c>
      <c r="BM10" s="5" t="s">
        <v>227</v>
      </c>
      <c r="BN10" s="5" t="s">
        <v>226</v>
      </c>
      <c r="BO10" s="5" t="s">
        <v>228</v>
      </c>
      <c r="BP10" s="5" t="s">
        <v>228</v>
      </c>
      <c r="BQ10" s="5" t="s">
        <v>233</v>
      </c>
      <c r="BR10" s="5" t="s">
        <v>237</v>
      </c>
      <c r="BS10" s="5" t="s">
        <v>238</v>
      </c>
      <c r="BT10" s="5" t="s">
        <v>240</v>
      </c>
      <c r="BU10" s="5" t="s">
        <v>244</v>
      </c>
      <c r="BV10" s="5" t="s">
        <v>246</v>
      </c>
      <c r="BW10" s="5">
        <v>2024</v>
      </c>
      <c r="BX10" s="5"/>
      <c r="BY10" s="5"/>
      <c r="BZ10" s="5"/>
      <c r="CA10" s="5">
        <v>1</v>
      </c>
      <c r="CB10" s="5">
        <v>2</v>
      </c>
      <c r="CC10" s="5">
        <v>3</v>
      </c>
      <c r="CD10" s="5">
        <v>4</v>
      </c>
      <c r="CE10" s="5">
        <v>2025</v>
      </c>
      <c r="CF10" s="5"/>
      <c r="CG10" s="5"/>
      <c r="CH10" s="5"/>
      <c r="CI10" s="5">
        <v>1</v>
      </c>
      <c r="CJ10" s="5">
        <v>2</v>
      </c>
      <c r="CK10" s="5">
        <v>3</v>
      </c>
      <c r="CL10" s="5">
        <v>4</v>
      </c>
      <c r="CM10" s="5">
        <v>2026</v>
      </c>
    </row>
    <row r="11" spans="1:91" x14ac:dyDescent="0.25">
      <c r="A11">
        <v>1</v>
      </c>
      <c r="B11" s="10" t="s">
        <v>40</v>
      </c>
      <c r="C11" s="6"/>
      <c r="D11" s="6" t="s">
        <v>51</v>
      </c>
      <c r="E11" s="6" t="s">
        <v>57</v>
      </c>
      <c r="F11" s="6"/>
      <c r="G11" s="6"/>
      <c r="H11" s="6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6"/>
      <c r="AA11" s="10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10"/>
      <c r="AW11" s="10"/>
      <c r="AX11" s="10"/>
      <c r="AY11" s="10"/>
      <c r="AZ11" s="6"/>
      <c r="BA11" s="6"/>
      <c r="BB11" s="6"/>
      <c r="BC11" s="6"/>
      <c r="BD11" s="6"/>
      <c r="BE11" s="6"/>
      <c r="BF11" s="6"/>
      <c r="BG11" s="6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6"/>
      <c r="BX11" s="6"/>
      <c r="BY11" s="10"/>
      <c r="BZ11" s="10"/>
      <c r="CA11" s="10"/>
      <c r="CB11" s="10"/>
      <c r="CC11" s="10"/>
      <c r="CD11" s="10"/>
      <c r="CE11" s="6"/>
      <c r="CF11" s="6">
        <v>154.6</v>
      </c>
      <c r="CG11" s="6">
        <v>36</v>
      </c>
      <c r="CH11" s="10">
        <v>48</v>
      </c>
      <c r="CI11" s="10">
        <v>90</v>
      </c>
      <c r="CJ11" s="6"/>
      <c r="CK11" s="6"/>
      <c r="CL11" s="10">
        <v>80</v>
      </c>
      <c r="CM11" s="6">
        <f t="shared" ref="CM11:CM25" si="0">SUM(CF11:CL11)</f>
        <v>408.6</v>
      </c>
    </row>
    <row r="12" spans="1:91" x14ac:dyDescent="0.25">
      <c r="A12">
        <v>2</v>
      </c>
      <c r="B12" s="10" t="s">
        <v>43</v>
      </c>
      <c r="C12" s="6"/>
      <c r="D12" s="6" t="s">
        <v>29</v>
      </c>
      <c r="E12" s="6" t="s">
        <v>27</v>
      </c>
      <c r="F12" s="6"/>
      <c r="G12" s="6"/>
      <c r="H12" s="6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6"/>
      <c r="AA12" s="10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10"/>
      <c r="AW12" s="10"/>
      <c r="AX12" s="10"/>
      <c r="AY12" s="10"/>
      <c r="AZ12" s="6"/>
      <c r="BA12" s="6"/>
      <c r="BB12" s="6"/>
      <c r="BC12" s="6"/>
      <c r="BD12" s="6"/>
      <c r="BE12" s="6"/>
      <c r="BF12" s="6"/>
      <c r="BG12" s="6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>
        <v>54</v>
      </c>
      <c r="BT12" s="10"/>
      <c r="BU12" s="10"/>
      <c r="BV12" s="10">
        <v>100</v>
      </c>
      <c r="BW12" s="6">
        <f>SUM(BA12:BV12)</f>
        <v>154</v>
      </c>
      <c r="BX12" s="6">
        <f>(BW12-BA12)/2</f>
        <v>77</v>
      </c>
      <c r="BY12" s="10">
        <v>48</v>
      </c>
      <c r="BZ12" s="10">
        <v>48</v>
      </c>
      <c r="CA12" s="10">
        <v>54</v>
      </c>
      <c r="CB12" s="10">
        <v>54</v>
      </c>
      <c r="CC12" s="10">
        <v>36</v>
      </c>
      <c r="CD12" s="10">
        <v>4</v>
      </c>
      <c r="CE12" s="6">
        <f t="shared" ref="CE12:CE25" si="1">SUM(BX12:CD12)</f>
        <v>321</v>
      </c>
      <c r="CF12" s="6">
        <f t="shared" ref="CF12:CF25" si="2">(CE12-BX12)/2</f>
        <v>122</v>
      </c>
      <c r="CG12" s="6"/>
      <c r="CH12" s="10"/>
      <c r="CI12" s="10"/>
      <c r="CJ12" s="6"/>
      <c r="CK12" s="6"/>
      <c r="CL12" s="10"/>
      <c r="CM12" s="6">
        <f t="shared" si="0"/>
        <v>122</v>
      </c>
    </row>
    <row r="13" spans="1:91" x14ac:dyDescent="0.25">
      <c r="A13">
        <v>3</v>
      </c>
      <c r="B13" s="10" t="s">
        <v>299</v>
      </c>
      <c r="C13" s="6"/>
      <c r="D13" s="6" t="s">
        <v>300</v>
      </c>
      <c r="E13" s="6" t="s">
        <v>188</v>
      </c>
      <c r="F13" s="6"/>
      <c r="G13" s="6"/>
      <c r="H13" s="6"/>
      <c r="I13" s="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6"/>
      <c r="AA13" s="10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10"/>
      <c r="AW13" s="10"/>
      <c r="AX13" s="10"/>
      <c r="AY13" s="10"/>
      <c r="AZ13" s="6"/>
      <c r="BA13" s="6"/>
      <c r="BB13" s="6"/>
      <c r="BC13" s="6"/>
      <c r="BD13" s="6"/>
      <c r="BE13" s="6"/>
      <c r="BF13" s="6"/>
      <c r="BG13" s="6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6"/>
      <c r="BX13" s="6"/>
      <c r="BY13" s="10">
        <v>36</v>
      </c>
      <c r="BZ13" s="10">
        <v>32</v>
      </c>
      <c r="CA13" s="10">
        <v>75</v>
      </c>
      <c r="CB13" s="10">
        <v>100</v>
      </c>
      <c r="CC13" s="10"/>
      <c r="CD13" s="10"/>
      <c r="CE13" s="6">
        <f t="shared" si="1"/>
        <v>243</v>
      </c>
      <c r="CF13" s="6">
        <f t="shared" si="2"/>
        <v>121.5</v>
      </c>
      <c r="CG13" s="6"/>
      <c r="CH13" s="10"/>
      <c r="CI13" s="10"/>
      <c r="CJ13" s="6"/>
      <c r="CK13" s="6"/>
      <c r="CL13" s="10"/>
      <c r="CM13" s="6">
        <f t="shared" si="0"/>
        <v>121.5</v>
      </c>
    </row>
    <row r="14" spans="1:91" x14ac:dyDescent="0.25">
      <c r="A14" s="21">
        <v>4</v>
      </c>
      <c r="B14" s="10" t="s">
        <v>327</v>
      </c>
      <c r="C14" s="6"/>
      <c r="D14" s="6" t="s">
        <v>58</v>
      </c>
      <c r="E14" s="6" t="s">
        <v>41</v>
      </c>
      <c r="F14" s="6"/>
      <c r="G14" s="6"/>
      <c r="H14" s="6"/>
      <c r="I14" s="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6"/>
      <c r="AA14" s="10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10"/>
      <c r="AW14" s="10"/>
      <c r="AX14" s="10"/>
      <c r="AY14" s="10"/>
      <c r="AZ14" s="6"/>
      <c r="BA14" s="6"/>
      <c r="BB14" s="6"/>
      <c r="BC14" s="6"/>
      <c r="BD14" s="6"/>
      <c r="BE14" s="6"/>
      <c r="BF14" s="6"/>
      <c r="BG14" s="6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6"/>
      <c r="BX14" s="6"/>
      <c r="BY14" s="10">
        <v>3</v>
      </c>
      <c r="BZ14" s="10">
        <v>40</v>
      </c>
      <c r="CA14" s="10">
        <v>7.5</v>
      </c>
      <c r="CB14" s="10">
        <v>7.5</v>
      </c>
      <c r="CC14" s="10">
        <v>75</v>
      </c>
      <c r="CD14" s="10">
        <v>10</v>
      </c>
      <c r="CE14" s="6">
        <f t="shared" si="1"/>
        <v>143</v>
      </c>
      <c r="CF14" s="6">
        <f t="shared" si="2"/>
        <v>71.5</v>
      </c>
      <c r="CG14" s="6"/>
      <c r="CH14" s="10"/>
      <c r="CI14" s="10"/>
      <c r="CJ14" s="6"/>
      <c r="CK14" s="6"/>
      <c r="CL14" s="10"/>
      <c r="CM14" s="6">
        <f t="shared" si="0"/>
        <v>71.5</v>
      </c>
    </row>
    <row r="15" spans="1:91" x14ac:dyDescent="0.25">
      <c r="A15">
        <v>5</v>
      </c>
      <c r="B15" s="10" t="s">
        <v>257</v>
      </c>
      <c r="C15" s="6"/>
      <c r="D15" s="6" t="s">
        <v>258</v>
      </c>
      <c r="E15" s="6" t="s">
        <v>375</v>
      </c>
      <c r="F15" s="6"/>
      <c r="G15" s="6"/>
      <c r="H15" s="6"/>
      <c r="I15" s="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6"/>
      <c r="AA15" s="10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10"/>
      <c r="AW15" s="10"/>
      <c r="AX15" s="10"/>
      <c r="AY15" s="10"/>
      <c r="AZ15" s="6"/>
      <c r="BA15" s="6"/>
      <c r="BB15" s="6"/>
      <c r="BC15" s="6"/>
      <c r="BD15" s="6"/>
      <c r="BE15" s="6"/>
      <c r="BF15" s="6"/>
      <c r="BG15" s="6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6"/>
      <c r="BX15" s="6"/>
      <c r="BY15" s="10">
        <v>30</v>
      </c>
      <c r="BZ15" s="10">
        <v>32</v>
      </c>
      <c r="CA15" s="10">
        <v>7.5</v>
      </c>
      <c r="CB15" s="10">
        <v>36</v>
      </c>
      <c r="CC15" s="10">
        <v>10</v>
      </c>
      <c r="CD15" s="10"/>
      <c r="CE15" s="6">
        <f t="shared" si="1"/>
        <v>115.5</v>
      </c>
      <c r="CF15" s="6">
        <f t="shared" si="2"/>
        <v>57.75</v>
      </c>
      <c r="CG15" s="6"/>
      <c r="CH15" s="10"/>
      <c r="CI15" s="10"/>
      <c r="CJ15" s="6"/>
      <c r="CK15" s="6"/>
      <c r="CL15" s="10"/>
      <c r="CM15" s="6">
        <f t="shared" si="0"/>
        <v>57.75</v>
      </c>
    </row>
    <row r="16" spans="1:91" x14ac:dyDescent="0.25">
      <c r="A16">
        <v>6</v>
      </c>
      <c r="B16" s="10" t="s">
        <v>339</v>
      </c>
      <c r="C16" s="6"/>
      <c r="D16" s="6" t="s">
        <v>218</v>
      </c>
      <c r="E16" s="6" t="s">
        <v>340</v>
      </c>
      <c r="F16" s="6"/>
      <c r="G16" s="6"/>
      <c r="H16" s="6"/>
      <c r="I16" s="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6"/>
      <c r="AA16" s="10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10"/>
      <c r="AW16" s="10"/>
      <c r="AX16" s="10"/>
      <c r="AY16" s="10"/>
      <c r="AZ16" s="6"/>
      <c r="BA16" s="6"/>
      <c r="BB16" s="6"/>
      <c r="BC16" s="6"/>
      <c r="BD16" s="6"/>
      <c r="BE16" s="6"/>
      <c r="BF16" s="6"/>
      <c r="BG16" s="6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6"/>
      <c r="BX16" s="6"/>
      <c r="BY16" s="10"/>
      <c r="BZ16" s="10">
        <v>40</v>
      </c>
      <c r="CA16" s="10">
        <v>50</v>
      </c>
      <c r="CB16" s="10"/>
      <c r="CC16" s="10"/>
      <c r="CD16" s="10"/>
      <c r="CE16" s="6">
        <f t="shared" si="1"/>
        <v>90</v>
      </c>
      <c r="CF16" s="6">
        <f t="shared" si="2"/>
        <v>45</v>
      </c>
      <c r="CG16" s="6"/>
      <c r="CH16" s="10"/>
      <c r="CI16" s="10"/>
      <c r="CJ16" s="6"/>
      <c r="CK16" s="6"/>
      <c r="CL16" s="10"/>
      <c r="CM16" s="6">
        <f t="shared" si="0"/>
        <v>45</v>
      </c>
    </row>
    <row r="17" spans="1:91" x14ac:dyDescent="0.25">
      <c r="A17">
        <v>7</v>
      </c>
      <c r="B17" s="10" t="s">
        <v>174</v>
      </c>
      <c r="C17" s="6"/>
      <c r="D17" s="6" t="s">
        <v>83</v>
      </c>
      <c r="E17" s="6" t="s">
        <v>124</v>
      </c>
      <c r="F17" s="6"/>
      <c r="G17" s="6"/>
      <c r="H17" s="6"/>
      <c r="I17" s="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6"/>
      <c r="AA17" s="10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10"/>
      <c r="AW17" s="10"/>
      <c r="AX17" s="10"/>
      <c r="AY17" s="10"/>
      <c r="AZ17" s="6"/>
      <c r="BA17" s="6"/>
      <c r="BB17" s="6"/>
      <c r="BC17" s="6"/>
      <c r="BD17" s="6">
        <v>30</v>
      </c>
      <c r="BE17" s="6"/>
      <c r="BF17" s="6"/>
      <c r="BG17" s="6">
        <v>6</v>
      </c>
      <c r="BH17" s="10"/>
      <c r="BI17" s="10"/>
      <c r="BJ17" s="10">
        <v>3.2</v>
      </c>
      <c r="BK17" s="10"/>
      <c r="BL17" s="10">
        <v>42</v>
      </c>
      <c r="BM17" s="10"/>
      <c r="BN17" s="10"/>
      <c r="BO17" s="10"/>
      <c r="BP17" s="10"/>
      <c r="BQ17" s="10"/>
      <c r="BR17" s="10"/>
      <c r="BS17" s="10">
        <v>75</v>
      </c>
      <c r="BT17" s="10"/>
      <c r="BU17" s="10"/>
      <c r="BV17" s="10">
        <v>10</v>
      </c>
      <c r="BW17" s="6">
        <f>SUM(BA17:BV17)</f>
        <v>166.2</v>
      </c>
      <c r="BX17" s="6">
        <f>(BW17-BA17)/2</f>
        <v>83.1</v>
      </c>
      <c r="BY17" s="10">
        <v>2.4</v>
      </c>
      <c r="BZ17" s="10">
        <v>56</v>
      </c>
      <c r="CA17" s="10"/>
      <c r="CB17" s="10"/>
      <c r="CC17" s="10"/>
      <c r="CD17" s="10"/>
      <c r="CE17" s="6">
        <f t="shared" si="1"/>
        <v>141.5</v>
      </c>
      <c r="CF17" s="6">
        <f t="shared" si="2"/>
        <v>29.200000000000003</v>
      </c>
      <c r="CG17" s="6"/>
      <c r="CH17" s="10"/>
      <c r="CI17" s="10"/>
      <c r="CJ17" s="6"/>
      <c r="CK17" s="6"/>
      <c r="CL17" s="10"/>
      <c r="CM17" s="6">
        <f t="shared" si="0"/>
        <v>29.200000000000003</v>
      </c>
    </row>
    <row r="18" spans="1:91" x14ac:dyDescent="0.25">
      <c r="A18">
        <v>8</v>
      </c>
      <c r="B18" s="10" t="s">
        <v>196</v>
      </c>
      <c r="C18" s="6"/>
      <c r="D18" s="6" t="s">
        <v>135</v>
      </c>
      <c r="E18" s="6" t="s">
        <v>67</v>
      </c>
      <c r="F18" s="6"/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6"/>
      <c r="AA18" s="10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10"/>
      <c r="AW18" s="10"/>
      <c r="AX18" s="10"/>
      <c r="AY18" s="10"/>
      <c r="AZ18" s="6"/>
      <c r="BA18" s="6"/>
      <c r="BB18" s="6"/>
      <c r="BC18" s="6"/>
      <c r="BD18" s="6"/>
      <c r="BE18" s="6"/>
      <c r="BF18" s="6"/>
      <c r="BG18" s="6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6"/>
      <c r="BX18" s="6"/>
      <c r="BY18" s="10"/>
      <c r="BZ18" s="10"/>
      <c r="CA18" s="10">
        <v>54</v>
      </c>
      <c r="CB18" s="10"/>
      <c r="CC18" s="10"/>
      <c r="CD18" s="10"/>
      <c r="CE18" s="6">
        <f t="shared" si="1"/>
        <v>54</v>
      </c>
      <c r="CF18" s="6">
        <f t="shared" si="2"/>
        <v>27</v>
      </c>
      <c r="CG18" s="6"/>
      <c r="CH18" s="10"/>
      <c r="CI18" s="10"/>
      <c r="CJ18" s="6"/>
      <c r="CK18" s="6"/>
      <c r="CL18" s="10"/>
      <c r="CM18" s="6">
        <f t="shared" si="0"/>
        <v>27</v>
      </c>
    </row>
    <row r="19" spans="1:91" x14ac:dyDescent="0.25">
      <c r="A19">
        <v>9</v>
      </c>
      <c r="B19" s="10" t="s">
        <v>285</v>
      </c>
      <c r="C19" s="6"/>
      <c r="D19" s="6" t="s">
        <v>29</v>
      </c>
      <c r="E19" s="6" t="s">
        <v>27</v>
      </c>
      <c r="F19" s="6"/>
      <c r="G19" s="6"/>
      <c r="H19" s="6"/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6"/>
      <c r="AA19" s="10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10"/>
      <c r="AW19" s="10"/>
      <c r="AX19" s="10"/>
      <c r="AY19" s="10"/>
      <c r="AZ19" s="6"/>
      <c r="BA19" s="6"/>
      <c r="BB19" s="6"/>
      <c r="BC19" s="6"/>
      <c r="BD19" s="6"/>
      <c r="BE19" s="6"/>
      <c r="BF19" s="6"/>
      <c r="BG19" s="6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6"/>
      <c r="BX19" s="6"/>
      <c r="BY19" s="10"/>
      <c r="BZ19" s="10"/>
      <c r="CA19" s="10">
        <v>54</v>
      </c>
      <c r="CB19" s="10"/>
      <c r="CC19" s="10"/>
      <c r="CD19" s="10"/>
      <c r="CE19" s="6">
        <f t="shared" si="1"/>
        <v>54</v>
      </c>
      <c r="CF19" s="6">
        <f t="shared" si="2"/>
        <v>27</v>
      </c>
      <c r="CG19" s="6"/>
      <c r="CH19" s="10"/>
      <c r="CI19" s="10"/>
      <c r="CJ19" s="6"/>
      <c r="CK19" s="6"/>
      <c r="CL19" s="10"/>
      <c r="CM19" s="6">
        <f t="shared" si="0"/>
        <v>27</v>
      </c>
    </row>
    <row r="20" spans="1:91" x14ac:dyDescent="0.25">
      <c r="A20">
        <v>10</v>
      </c>
      <c r="B20" s="10" t="s">
        <v>301</v>
      </c>
      <c r="C20" s="6"/>
      <c r="D20" s="6" t="s">
        <v>378</v>
      </c>
      <c r="E20" s="6" t="s">
        <v>224</v>
      </c>
      <c r="F20" s="6"/>
      <c r="G20" s="6"/>
      <c r="H20" s="6"/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6"/>
      <c r="AA20" s="10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10"/>
      <c r="AW20" s="10"/>
      <c r="AX20" s="10"/>
      <c r="AY20" s="10"/>
      <c r="AZ20" s="6"/>
      <c r="BA20" s="6"/>
      <c r="BB20" s="6"/>
      <c r="BC20" s="6"/>
      <c r="BD20" s="6"/>
      <c r="BE20" s="6"/>
      <c r="BF20" s="6"/>
      <c r="BG20" s="6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6"/>
      <c r="BX20" s="6"/>
      <c r="BY20" s="10"/>
      <c r="BZ20" s="10"/>
      <c r="CA20" s="10">
        <v>50</v>
      </c>
      <c r="CB20" s="10"/>
      <c r="CC20" s="10"/>
      <c r="CD20" s="10"/>
      <c r="CE20" s="6">
        <f t="shared" si="1"/>
        <v>50</v>
      </c>
      <c r="CF20" s="6">
        <f t="shared" si="2"/>
        <v>25</v>
      </c>
      <c r="CG20" s="6"/>
      <c r="CH20" s="10"/>
      <c r="CI20" s="10"/>
      <c r="CJ20" s="6"/>
      <c r="CK20" s="6"/>
      <c r="CL20" s="10"/>
      <c r="CM20" s="6">
        <f t="shared" si="0"/>
        <v>25</v>
      </c>
    </row>
    <row r="21" spans="1:91" x14ac:dyDescent="0.25">
      <c r="A21">
        <v>11</v>
      </c>
      <c r="B21" s="10" t="s">
        <v>357</v>
      </c>
      <c r="C21" s="6"/>
      <c r="D21" s="6" t="s">
        <v>359</v>
      </c>
      <c r="E21" s="6" t="s">
        <v>358</v>
      </c>
      <c r="F21" s="6"/>
      <c r="G21" s="6"/>
      <c r="H21" s="6"/>
      <c r="I21" s="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6"/>
      <c r="AA21" s="10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10"/>
      <c r="AW21" s="10"/>
      <c r="AX21" s="10"/>
      <c r="AY21" s="10"/>
      <c r="AZ21" s="6"/>
      <c r="BA21" s="6"/>
      <c r="BB21" s="6"/>
      <c r="BC21" s="6"/>
      <c r="BD21" s="6"/>
      <c r="BE21" s="6"/>
      <c r="BF21" s="6"/>
      <c r="BG21" s="6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6"/>
      <c r="BX21" s="6"/>
      <c r="BY21" s="10">
        <v>24</v>
      </c>
      <c r="BZ21" s="10"/>
      <c r="CA21" s="10"/>
      <c r="CB21" s="10"/>
      <c r="CC21" s="10"/>
      <c r="CD21" s="10"/>
      <c r="CE21" s="6">
        <f t="shared" si="1"/>
        <v>24</v>
      </c>
      <c r="CF21" s="6">
        <f t="shared" si="2"/>
        <v>12</v>
      </c>
      <c r="CG21" s="6"/>
      <c r="CH21" s="10"/>
      <c r="CI21" s="10"/>
      <c r="CJ21" s="6"/>
      <c r="CK21" s="6"/>
      <c r="CL21" s="10"/>
      <c r="CM21" s="6">
        <f t="shared" si="0"/>
        <v>12</v>
      </c>
    </row>
    <row r="22" spans="1:91" x14ac:dyDescent="0.25">
      <c r="A22">
        <v>12</v>
      </c>
      <c r="B22" s="10" t="s">
        <v>357</v>
      </c>
      <c r="C22" s="6"/>
      <c r="D22" s="6" t="s">
        <v>221</v>
      </c>
      <c r="E22" s="6" t="s">
        <v>37</v>
      </c>
      <c r="F22" s="6"/>
      <c r="G22" s="6"/>
      <c r="H22" s="6"/>
      <c r="I22" s="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6"/>
      <c r="AA22" s="10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10"/>
      <c r="AW22" s="10"/>
      <c r="AX22" s="10"/>
      <c r="AY22" s="10"/>
      <c r="AZ22" s="6"/>
      <c r="BA22" s="6"/>
      <c r="BB22" s="6"/>
      <c r="BC22" s="6"/>
      <c r="BD22" s="6"/>
      <c r="BE22" s="6"/>
      <c r="BF22" s="6"/>
      <c r="BG22" s="6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6"/>
      <c r="BX22" s="6"/>
      <c r="BY22" s="10"/>
      <c r="BZ22" s="10"/>
      <c r="CA22" s="10">
        <v>7.5</v>
      </c>
      <c r="CB22" s="10"/>
      <c r="CC22" s="10"/>
      <c r="CD22" s="10"/>
      <c r="CE22" s="6">
        <f t="shared" si="1"/>
        <v>7.5</v>
      </c>
      <c r="CF22" s="6">
        <f t="shared" si="2"/>
        <v>3.75</v>
      </c>
      <c r="CG22" s="6"/>
      <c r="CH22" s="10"/>
      <c r="CI22" s="10"/>
      <c r="CJ22" s="6"/>
      <c r="CK22" s="6"/>
      <c r="CL22" s="10"/>
      <c r="CM22" s="6">
        <f t="shared" si="0"/>
        <v>3.75</v>
      </c>
    </row>
    <row r="23" spans="1:91" x14ac:dyDescent="0.25">
      <c r="A23">
        <v>13</v>
      </c>
      <c r="B23" s="10" t="s">
        <v>19</v>
      </c>
      <c r="C23" s="6"/>
      <c r="D23" s="6" t="s">
        <v>318</v>
      </c>
      <c r="E23" s="6" t="s">
        <v>316</v>
      </c>
      <c r="F23" s="6"/>
      <c r="G23" s="6"/>
      <c r="H23" s="6"/>
      <c r="I23" s="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6"/>
      <c r="AA23" s="10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10"/>
      <c r="AW23" s="10"/>
      <c r="AX23" s="10"/>
      <c r="AY23" s="10"/>
      <c r="AZ23" s="6"/>
      <c r="BA23" s="6"/>
      <c r="BB23" s="6"/>
      <c r="BC23" s="6"/>
      <c r="BD23" s="6"/>
      <c r="BE23" s="6"/>
      <c r="BF23" s="6"/>
      <c r="BG23" s="6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6"/>
      <c r="BX23" s="6"/>
      <c r="BY23" s="10"/>
      <c r="BZ23" s="10">
        <v>3.2</v>
      </c>
      <c r="CA23" s="10"/>
      <c r="CB23" s="10"/>
      <c r="CC23" s="10"/>
      <c r="CD23" s="10"/>
      <c r="CE23" s="6">
        <f t="shared" si="1"/>
        <v>3.2</v>
      </c>
      <c r="CF23" s="6">
        <f t="shared" si="2"/>
        <v>1.6</v>
      </c>
      <c r="CG23" s="6"/>
      <c r="CH23" s="10"/>
      <c r="CI23" s="10"/>
      <c r="CJ23" s="6"/>
      <c r="CK23" s="6"/>
      <c r="CL23" s="10"/>
      <c r="CM23" s="6">
        <f t="shared" si="0"/>
        <v>1.6</v>
      </c>
    </row>
    <row r="24" spans="1:91" x14ac:dyDescent="0.25">
      <c r="A24">
        <v>14</v>
      </c>
      <c r="B24" s="10" t="s">
        <v>255</v>
      </c>
      <c r="C24" s="6"/>
      <c r="D24" s="6" t="s">
        <v>256</v>
      </c>
      <c r="E24" s="6" t="s">
        <v>92</v>
      </c>
      <c r="F24" s="6"/>
      <c r="G24" s="6"/>
      <c r="H24" s="6"/>
      <c r="I24" s="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6"/>
      <c r="AA24" s="10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10"/>
      <c r="AW24" s="10"/>
      <c r="AX24" s="10"/>
      <c r="AY24" s="10"/>
      <c r="AZ24" s="6"/>
      <c r="BA24" s="6"/>
      <c r="BB24" s="6"/>
      <c r="BC24" s="6"/>
      <c r="BD24" s="6"/>
      <c r="BE24" s="6"/>
      <c r="BF24" s="6"/>
      <c r="BG24" s="6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6"/>
      <c r="BX24" s="6"/>
      <c r="BY24" s="10">
        <v>2.4</v>
      </c>
      <c r="BZ24" s="10"/>
      <c r="CA24" s="10"/>
      <c r="CB24" s="10"/>
      <c r="CC24" s="10"/>
      <c r="CD24" s="10"/>
      <c r="CE24" s="6">
        <f t="shared" si="1"/>
        <v>2.4</v>
      </c>
      <c r="CF24" s="6">
        <f t="shared" si="2"/>
        <v>1.2</v>
      </c>
      <c r="CG24" s="6"/>
      <c r="CH24" s="10"/>
      <c r="CI24" s="10"/>
      <c r="CJ24" s="6"/>
      <c r="CK24" s="6"/>
      <c r="CL24" s="10"/>
      <c r="CM24" s="6">
        <f t="shared" si="0"/>
        <v>1.2</v>
      </c>
    </row>
    <row r="25" spans="1:91" x14ac:dyDescent="0.25">
      <c r="A25">
        <v>15</v>
      </c>
      <c r="B25" s="10" t="s">
        <v>275</v>
      </c>
      <c r="C25" s="6"/>
      <c r="D25" s="6" t="s">
        <v>276</v>
      </c>
      <c r="E25" s="6" t="s">
        <v>25</v>
      </c>
      <c r="F25" s="6"/>
      <c r="G25" s="6"/>
      <c r="H25" s="6"/>
      <c r="I25" s="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6"/>
      <c r="AA25" s="10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10"/>
      <c r="AW25" s="10"/>
      <c r="AX25" s="10"/>
      <c r="AY25" s="10"/>
      <c r="AZ25" s="6"/>
      <c r="BA25" s="6"/>
      <c r="BB25" s="6"/>
      <c r="BC25" s="6"/>
      <c r="BD25" s="6"/>
      <c r="BE25" s="6"/>
      <c r="BF25" s="6"/>
      <c r="BG25" s="6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6"/>
      <c r="BX25" s="6"/>
      <c r="BY25" s="10">
        <v>2.4</v>
      </c>
      <c r="BZ25" s="10"/>
      <c r="CA25" s="10"/>
      <c r="CB25" s="10"/>
      <c r="CC25" s="10"/>
      <c r="CD25" s="10"/>
      <c r="CE25" s="6">
        <f t="shared" si="1"/>
        <v>2.4</v>
      </c>
      <c r="CF25" s="6">
        <f t="shared" si="2"/>
        <v>1.2</v>
      </c>
      <c r="CG25" s="6"/>
      <c r="CH25" s="10"/>
      <c r="CI25" s="10"/>
      <c r="CJ25" s="6"/>
      <c r="CK25" s="6"/>
      <c r="CL25" s="10"/>
      <c r="CM25" s="6">
        <f t="shared" si="0"/>
        <v>1.2</v>
      </c>
    </row>
  </sheetData>
  <sortState xmlns:xlrd2="http://schemas.microsoft.com/office/spreadsheetml/2017/richdata2" ref="B11:CM25">
    <sortCondition descending="1" ref="CM11:CM25"/>
  </sortState>
  <mergeCells count="5">
    <mergeCell ref="B8:C10"/>
    <mergeCell ref="CA9:CD9"/>
    <mergeCell ref="CI9:CL9"/>
    <mergeCell ref="D4:CM5"/>
    <mergeCell ref="B1:CM1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9322-A1CF-484C-9CD7-B1742E44E3B0}">
  <dimension ref="A1:CM18"/>
  <sheetViews>
    <sheetView zoomScale="80" zoomScaleNormal="80" workbookViewId="0">
      <selection activeCell="CE29" sqref="CE29"/>
    </sheetView>
  </sheetViews>
  <sheetFormatPr baseColWidth="10" defaultRowHeight="15" x14ac:dyDescent="0.25"/>
  <cols>
    <col min="1" max="1" width="2.28515625" bestFit="1" customWidth="1"/>
    <col min="5" max="5" width="19.42578125" bestFit="1" customWidth="1"/>
    <col min="6" max="82" width="0" hidden="1" customWidth="1"/>
    <col min="85" max="90" width="6.28515625" style="7" customWidth="1"/>
  </cols>
  <sheetData>
    <row r="1" spans="1:91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</row>
    <row r="2" spans="1:91" ht="15.75" thickBot="1" x14ac:dyDescent="0.3">
      <c r="C2" s="7"/>
      <c r="D2" s="7"/>
      <c r="E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AA2" s="7"/>
      <c r="AV2" s="7"/>
      <c r="AW2" s="7"/>
      <c r="AX2" s="7"/>
      <c r="AY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Y2" s="7"/>
      <c r="BZ2" s="7"/>
      <c r="CA2" s="7"/>
      <c r="CB2" s="7"/>
      <c r="CC2" s="7"/>
      <c r="CD2" s="7"/>
    </row>
    <row r="3" spans="1:91" ht="15.75" thickTop="1" x14ac:dyDescent="0.25">
      <c r="B3" s="1" t="s">
        <v>0</v>
      </c>
      <c r="C3" s="4" t="s">
        <v>13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AA3" s="7"/>
      <c r="AV3" s="7"/>
      <c r="AW3" s="7"/>
      <c r="AX3" s="7"/>
      <c r="AY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Y3" s="7"/>
      <c r="BZ3" s="7"/>
      <c r="CA3" s="7"/>
      <c r="CB3" s="7"/>
      <c r="CC3" s="7"/>
      <c r="CD3" s="7"/>
    </row>
    <row r="4" spans="1:91" x14ac:dyDescent="0.25">
      <c r="B4" s="2" t="s">
        <v>1</v>
      </c>
      <c r="C4" s="5" t="s">
        <v>11</v>
      </c>
      <c r="D4" s="36" t="s">
        <v>394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</row>
    <row r="5" spans="1:91" ht="15.75" thickBot="1" x14ac:dyDescent="0.3">
      <c r="B5" s="3" t="s">
        <v>2</v>
      </c>
      <c r="C5" s="14">
        <v>-73</v>
      </c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</row>
    <row r="6" spans="1:91" ht="15.75" thickTop="1" x14ac:dyDescent="0.25"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AA6" s="7"/>
      <c r="AV6" s="7"/>
      <c r="AW6" s="7"/>
      <c r="AX6" s="7"/>
      <c r="AY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Y6" s="7"/>
      <c r="BZ6" s="7"/>
      <c r="CA6" s="7"/>
      <c r="CB6" s="7"/>
      <c r="CC6" s="7"/>
      <c r="CD6" s="7"/>
    </row>
    <row r="7" spans="1:91" ht="15.75" thickBot="1" x14ac:dyDescent="0.3"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AA7" s="7"/>
      <c r="AV7" s="7"/>
      <c r="AW7" s="7"/>
      <c r="AX7" s="7"/>
      <c r="AY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Y7" s="7"/>
      <c r="BZ7" s="7"/>
      <c r="CA7" s="7"/>
      <c r="CB7" s="7"/>
      <c r="CC7" s="7"/>
      <c r="CD7" s="7"/>
    </row>
    <row r="8" spans="1:91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9</v>
      </c>
      <c r="I8" s="4" t="s">
        <v>33</v>
      </c>
      <c r="J8" s="4" t="s">
        <v>55</v>
      </c>
      <c r="K8" s="4" t="s">
        <v>9</v>
      </c>
      <c r="L8" s="4" t="s">
        <v>9</v>
      </c>
      <c r="M8" s="4" t="s">
        <v>9</v>
      </c>
      <c r="N8" s="4" t="s">
        <v>72</v>
      </c>
      <c r="O8" s="4" t="s">
        <v>80</v>
      </c>
      <c r="P8" s="4" t="s">
        <v>84</v>
      </c>
      <c r="Q8" s="4" t="s">
        <v>9</v>
      </c>
      <c r="R8" s="4" t="s">
        <v>9</v>
      </c>
      <c r="S8" s="4" t="s">
        <v>9</v>
      </c>
      <c r="T8" s="4" t="s">
        <v>9</v>
      </c>
      <c r="U8" s="4" t="s">
        <v>9</v>
      </c>
      <c r="V8" s="4" t="s">
        <v>96</v>
      </c>
      <c r="W8" s="4" t="s">
        <v>9</v>
      </c>
      <c r="X8" s="4" t="s">
        <v>100</v>
      </c>
      <c r="Y8" s="4" t="s">
        <v>103</v>
      </c>
      <c r="Z8" s="1"/>
      <c r="AA8" s="13">
        <v>44927</v>
      </c>
      <c r="AB8" s="4" t="s">
        <v>9</v>
      </c>
      <c r="AC8" s="4" t="s">
        <v>9</v>
      </c>
      <c r="AD8" s="4" t="s">
        <v>9</v>
      </c>
      <c r="AE8" s="4" t="s">
        <v>103</v>
      </c>
      <c r="AF8" s="4" t="s">
        <v>9</v>
      </c>
      <c r="AG8" s="4" t="s">
        <v>9</v>
      </c>
      <c r="AH8" s="4" t="s">
        <v>9</v>
      </c>
      <c r="AI8" s="4" t="s">
        <v>127</v>
      </c>
      <c r="AJ8" s="4" t="s">
        <v>127</v>
      </c>
      <c r="AK8" s="4" t="s">
        <v>127</v>
      </c>
      <c r="AL8" s="4" t="s">
        <v>102</v>
      </c>
      <c r="AM8" s="4" t="s">
        <v>103</v>
      </c>
      <c r="AN8" s="4" t="s">
        <v>9</v>
      </c>
      <c r="AO8" s="4" t="s">
        <v>9</v>
      </c>
      <c r="AP8" s="4" t="s">
        <v>100</v>
      </c>
      <c r="AQ8" s="4" t="s">
        <v>9</v>
      </c>
      <c r="AR8" s="4" t="s">
        <v>9</v>
      </c>
      <c r="AS8" s="4" t="s">
        <v>9</v>
      </c>
      <c r="AT8" s="4" t="s">
        <v>9</v>
      </c>
      <c r="AU8" s="4" t="s">
        <v>9</v>
      </c>
      <c r="AV8" s="4" t="s">
        <v>103</v>
      </c>
      <c r="AW8" s="4" t="s">
        <v>9</v>
      </c>
      <c r="AX8" s="4" t="s">
        <v>9</v>
      </c>
      <c r="AY8" s="4" t="s">
        <v>104</v>
      </c>
      <c r="AZ8" s="4" t="s">
        <v>6</v>
      </c>
      <c r="BA8" s="13">
        <v>45292</v>
      </c>
      <c r="BB8" s="13" t="s">
        <v>9</v>
      </c>
      <c r="BC8" s="13" t="s">
        <v>9</v>
      </c>
      <c r="BD8" s="13" t="s">
        <v>9</v>
      </c>
      <c r="BE8" s="13" t="s">
        <v>9</v>
      </c>
      <c r="BF8" s="13" t="s">
        <v>9</v>
      </c>
      <c r="BG8" s="13" t="s">
        <v>103</v>
      </c>
      <c r="BH8" s="13" t="s">
        <v>103</v>
      </c>
      <c r="BI8" s="13" t="s">
        <v>127</v>
      </c>
      <c r="BJ8" s="13" t="s">
        <v>127</v>
      </c>
      <c r="BK8" s="13" t="s">
        <v>103</v>
      </c>
      <c r="BL8" s="13" t="s">
        <v>9</v>
      </c>
      <c r="BM8" s="13" t="s">
        <v>9</v>
      </c>
      <c r="BN8" s="13" t="s">
        <v>9</v>
      </c>
      <c r="BO8" s="13" t="s">
        <v>9</v>
      </c>
      <c r="BP8" s="13" t="s">
        <v>9</v>
      </c>
      <c r="BQ8" s="13" t="s">
        <v>9</v>
      </c>
      <c r="BR8" s="13" t="s">
        <v>9</v>
      </c>
      <c r="BS8" s="13" t="s">
        <v>103</v>
      </c>
      <c r="BT8" s="13" t="s">
        <v>100</v>
      </c>
      <c r="BU8" s="13" t="s">
        <v>102</v>
      </c>
      <c r="BV8" s="13" t="s">
        <v>104</v>
      </c>
      <c r="BW8" s="13" t="s">
        <v>6</v>
      </c>
      <c r="BX8" s="13">
        <v>45658</v>
      </c>
      <c r="BY8" s="13"/>
      <c r="BZ8" s="13"/>
      <c r="CA8" s="18"/>
      <c r="CB8" s="19"/>
      <c r="CC8" s="19"/>
      <c r="CD8" s="20"/>
      <c r="CE8" s="13" t="s">
        <v>6</v>
      </c>
      <c r="CF8" s="13">
        <v>46023</v>
      </c>
      <c r="CG8" s="13"/>
      <c r="CH8" s="13"/>
      <c r="CI8" s="18"/>
      <c r="CJ8" s="19"/>
      <c r="CK8" s="19"/>
      <c r="CL8" s="20"/>
      <c r="CM8" s="13" t="s">
        <v>6</v>
      </c>
    </row>
    <row r="9" spans="1:91" x14ac:dyDescent="0.25">
      <c r="B9" s="26"/>
      <c r="C9" s="27"/>
      <c r="D9" s="2"/>
      <c r="E9" s="2"/>
      <c r="F9" s="8" t="s">
        <v>22</v>
      </c>
      <c r="G9" s="8" t="s">
        <v>18</v>
      </c>
      <c r="H9" s="8" t="s">
        <v>30</v>
      </c>
      <c r="I9" s="8" t="s">
        <v>34</v>
      </c>
      <c r="J9" s="8" t="s">
        <v>56</v>
      </c>
      <c r="K9" s="8" t="s">
        <v>61</v>
      </c>
      <c r="L9" s="8" t="s">
        <v>70</v>
      </c>
      <c r="M9" s="8" t="s">
        <v>65</v>
      </c>
      <c r="N9" s="8" t="s">
        <v>75</v>
      </c>
      <c r="O9" s="8" t="s">
        <v>81</v>
      </c>
      <c r="P9" s="8" t="s">
        <v>34</v>
      </c>
      <c r="Q9" s="8" t="s">
        <v>22</v>
      </c>
      <c r="R9" s="8" t="s">
        <v>18</v>
      </c>
      <c r="S9" s="8" t="s">
        <v>70</v>
      </c>
      <c r="T9" s="8" t="s">
        <v>65</v>
      </c>
      <c r="U9" s="8" t="s">
        <v>89</v>
      </c>
      <c r="V9" s="8" t="s">
        <v>97</v>
      </c>
      <c r="W9" s="8" t="s">
        <v>89</v>
      </c>
      <c r="X9" s="8" t="s">
        <v>101</v>
      </c>
      <c r="Y9" s="8" t="s">
        <v>104</v>
      </c>
      <c r="Z9" s="2" t="s">
        <v>6</v>
      </c>
      <c r="AA9" s="5"/>
      <c r="AB9" s="8" t="s">
        <v>22</v>
      </c>
      <c r="AC9" s="8" t="s">
        <v>85</v>
      </c>
      <c r="AD9" s="8" t="s">
        <v>18</v>
      </c>
      <c r="AE9" s="8" t="s">
        <v>72</v>
      </c>
      <c r="AF9" s="8" t="s">
        <v>70</v>
      </c>
      <c r="AG9" s="8" t="s">
        <v>89</v>
      </c>
      <c r="AH9" s="8" t="s">
        <v>30</v>
      </c>
      <c r="AI9" s="8" t="s">
        <v>76</v>
      </c>
      <c r="AJ9" s="8" t="s">
        <v>80</v>
      </c>
      <c r="AK9" s="8" t="s">
        <v>72</v>
      </c>
      <c r="AL9" s="8" t="s">
        <v>136</v>
      </c>
      <c r="AM9" s="8" t="s">
        <v>76</v>
      </c>
      <c r="AN9" s="8" t="s">
        <v>142</v>
      </c>
      <c r="AO9" s="8" t="s">
        <v>22</v>
      </c>
      <c r="AP9" s="8" t="s">
        <v>148</v>
      </c>
      <c r="AQ9" s="8" t="s">
        <v>89</v>
      </c>
      <c r="AR9" s="8" t="s">
        <v>70</v>
      </c>
      <c r="AS9" s="8" t="s">
        <v>18</v>
      </c>
      <c r="AT9" s="8" t="s">
        <v>153</v>
      </c>
      <c r="AU9" s="8" t="s">
        <v>85</v>
      </c>
      <c r="AV9" s="8" t="s">
        <v>80</v>
      </c>
      <c r="AW9" s="8" t="s">
        <v>163</v>
      </c>
      <c r="AX9" s="8" t="s">
        <v>142</v>
      </c>
      <c r="AY9" s="8"/>
      <c r="AZ9" s="2"/>
      <c r="BA9" s="5"/>
      <c r="BB9" s="5" t="s">
        <v>153</v>
      </c>
      <c r="BC9" s="5" t="s">
        <v>65</v>
      </c>
      <c r="BD9" s="5" t="s">
        <v>70</v>
      </c>
      <c r="BE9" s="5" t="s">
        <v>181</v>
      </c>
      <c r="BF9" s="5" t="s">
        <v>30</v>
      </c>
      <c r="BG9" s="5" t="s">
        <v>76</v>
      </c>
      <c r="BH9" s="5" t="s">
        <v>209</v>
      </c>
      <c r="BI9" s="5" t="s">
        <v>72</v>
      </c>
      <c r="BJ9" s="5" t="s">
        <v>80</v>
      </c>
      <c r="BK9" s="5" t="s">
        <v>72</v>
      </c>
      <c r="BL9" s="5" t="s">
        <v>70</v>
      </c>
      <c r="BM9" s="5" t="s">
        <v>181</v>
      </c>
      <c r="BN9" s="5" t="s">
        <v>142</v>
      </c>
      <c r="BO9" s="5" t="s">
        <v>153</v>
      </c>
      <c r="BP9" s="5" t="s">
        <v>22</v>
      </c>
      <c r="BQ9" s="5" t="s">
        <v>65</v>
      </c>
      <c r="BR9" s="5" t="s">
        <v>236</v>
      </c>
      <c r="BS9" s="5" t="s">
        <v>80</v>
      </c>
      <c r="BT9" s="5" t="s">
        <v>239</v>
      </c>
      <c r="BU9" s="5" t="s">
        <v>243</v>
      </c>
      <c r="BV9" s="5" t="s">
        <v>245</v>
      </c>
      <c r="BW9" s="5"/>
      <c r="BX9" s="5"/>
      <c r="BY9" s="8" t="s">
        <v>9</v>
      </c>
      <c r="BZ9" s="8" t="s">
        <v>127</v>
      </c>
      <c r="CA9" s="28" t="s">
        <v>247</v>
      </c>
      <c r="CB9" s="29"/>
      <c r="CC9" s="29"/>
      <c r="CD9" s="30"/>
      <c r="CE9" s="5"/>
      <c r="CF9" s="5"/>
      <c r="CG9" s="8" t="s">
        <v>9</v>
      </c>
      <c r="CH9" s="8" t="s">
        <v>127</v>
      </c>
      <c r="CI9" s="28" t="s">
        <v>247</v>
      </c>
      <c r="CJ9" s="29"/>
      <c r="CK9" s="29"/>
      <c r="CL9" s="30"/>
      <c r="CM9" s="5"/>
    </row>
    <row r="10" spans="1:91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44660</v>
      </c>
      <c r="H10" s="9">
        <v>44674</v>
      </c>
      <c r="I10" s="9">
        <v>44681</v>
      </c>
      <c r="J10" s="9">
        <v>44696</v>
      </c>
      <c r="K10" s="9">
        <v>44709</v>
      </c>
      <c r="L10" s="9">
        <v>44709</v>
      </c>
      <c r="M10" s="9">
        <v>44709</v>
      </c>
      <c r="N10" s="9">
        <v>44730</v>
      </c>
      <c r="O10" s="9">
        <v>44737</v>
      </c>
      <c r="P10" s="9">
        <v>44759</v>
      </c>
      <c r="Q10" s="9">
        <v>44779</v>
      </c>
      <c r="R10" s="9">
        <v>44793</v>
      </c>
      <c r="S10" s="9">
        <v>44800</v>
      </c>
      <c r="T10" s="9">
        <v>44814</v>
      </c>
      <c r="U10" s="9">
        <v>44814</v>
      </c>
      <c r="V10" s="9">
        <v>44828</v>
      </c>
      <c r="W10" s="9">
        <v>44856</v>
      </c>
      <c r="X10" s="9">
        <v>44868</v>
      </c>
      <c r="Y10" s="9">
        <v>44905</v>
      </c>
      <c r="Z10" s="2">
        <v>2022</v>
      </c>
      <c r="AA10" s="5"/>
      <c r="AB10" s="2" t="s">
        <v>106</v>
      </c>
      <c r="AC10" s="5" t="s">
        <v>108</v>
      </c>
      <c r="AD10" s="5" t="s">
        <v>110</v>
      </c>
      <c r="AE10" s="5" t="s">
        <v>111</v>
      </c>
      <c r="AF10" s="5" t="s">
        <v>123</v>
      </c>
      <c r="AG10" s="5" t="s">
        <v>121</v>
      </c>
      <c r="AH10" s="5" t="s">
        <v>126</v>
      </c>
      <c r="AI10" s="5" t="s">
        <v>128</v>
      </c>
      <c r="AJ10" s="5" t="s">
        <v>133</v>
      </c>
      <c r="AK10" s="5" t="s">
        <v>134</v>
      </c>
      <c r="AL10" s="5" t="s">
        <v>137</v>
      </c>
      <c r="AM10" s="5" t="s">
        <v>140</v>
      </c>
      <c r="AN10" s="5" t="s">
        <v>143</v>
      </c>
      <c r="AO10" s="5" t="s">
        <v>146</v>
      </c>
      <c r="AP10" s="5" t="s">
        <v>149</v>
      </c>
      <c r="AQ10" s="5" t="s">
        <v>147</v>
      </c>
      <c r="AR10" s="5" t="s">
        <v>147</v>
      </c>
      <c r="AS10" s="5" t="s">
        <v>150</v>
      </c>
      <c r="AT10" s="5" t="s">
        <v>151</v>
      </c>
      <c r="AU10" s="5" t="s">
        <v>151</v>
      </c>
      <c r="AV10" s="5" t="s">
        <v>155</v>
      </c>
      <c r="AW10" s="5" t="s">
        <v>161</v>
      </c>
      <c r="AX10" s="5" t="s">
        <v>164</v>
      </c>
      <c r="AY10" s="5" t="s">
        <v>165</v>
      </c>
      <c r="AZ10" s="2">
        <v>2023</v>
      </c>
      <c r="BA10" s="5"/>
      <c r="BB10" s="5" t="s">
        <v>166</v>
      </c>
      <c r="BC10" s="5" t="s">
        <v>166</v>
      </c>
      <c r="BD10" s="5" t="s">
        <v>166</v>
      </c>
      <c r="BE10" s="5" t="s">
        <v>166</v>
      </c>
      <c r="BF10" s="5" t="s">
        <v>199</v>
      </c>
      <c r="BG10" s="5" t="s">
        <v>207</v>
      </c>
      <c r="BH10" s="5" t="s">
        <v>210</v>
      </c>
      <c r="BI10" s="5" t="s">
        <v>217</v>
      </c>
      <c r="BJ10" s="5" t="s">
        <v>220</v>
      </c>
      <c r="BK10" s="5" t="s">
        <v>222</v>
      </c>
      <c r="BL10" s="5" t="s">
        <v>149</v>
      </c>
      <c r="BM10" s="5" t="s">
        <v>227</v>
      </c>
      <c r="BN10" s="5" t="s">
        <v>226</v>
      </c>
      <c r="BO10" s="5" t="s">
        <v>228</v>
      </c>
      <c r="BP10" s="5" t="s">
        <v>228</v>
      </c>
      <c r="BQ10" s="5" t="s">
        <v>233</v>
      </c>
      <c r="BR10" s="5" t="s">
        <v>237</v>
      </c>
      <c r="BS10" s="5" t="s">
        <v>238</v>
      </c>
      <c r="BT10" s="5" t="s">
        <v>240</v>
      </c>
      <c r="BU10" s="5" t="s">
        <v>244</v>
      </c>
      <c r="BV10" s="5" t="s">
        <v>246</v>
      </c>
      <c r="BW10" s="5">
        <v>2024</v>
      </c>
      <c r="BX10" s="5"/>
      <c r="BY10" s="5"/>
      <c r="BZ10" s="5"/>
      <c r="CA10" s="5">
        <v>1</v>
      </c>
      <c r="CB10" s="5">
        <v>2</v>
      </c>
      <c r="CC10" s="5">
        <v>3</v>
      </c>
      <c r="CD10" s="5">
        <v>4</v>
      </c>
      <c r="CE10" s="5">
        <v>2025</v>
      </c>
      <c r="CF10" s="5"/>
      <c r="CG10" s="5"/>
      <c r="CH10" s="5"/>
      <c r="CI10" s="5">
        <v>1</v>
      </c>
      <c r="CJ10" s="5">
        <v>2</v>
      </c>
      <c r="CK10" s="5">
        <v>3</v>
      </c>
      <c r="CL10" s="5">
        <v>4</v>
      </c>
      <c r="CM10" s="5">
        <v>2026</v>
      </c>
    </row>
    <row r="11" spans="1:91" x14ac:dyDescent="0.25">
      <c r="A11">
        <v>1</v>
      </c>
      <c r="B11" s="6" t="s">
        <v>422</v>
      </c>
      <c r="C11" s="6"/>
      <c r="D11" s="6" t="s">
        <v>423</v>
      </c>
      <c r="E11" s="6" t="s">
        <v>205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10">
        <v>36</v>
      </c>
      <c r="CH11" s="10">
        <v>64</v>
      </c>
      <c r="CI11" s="10">
        <v>60</v>
      </c>
      <c r="CJ11" s="10">
        <v>36</v>
      </c>
      <c r="CK11" s="10"/>
      <c r="CL11" s="10"/>
      <c r="CM11" s="6">
        <f>SUM(CF11:CL11)</f>
        <v>196</v>
      </c>
    </row>
    <row r="12" spans="1:91" x14ac:dyDescent="0.25">
      <c r="A12" s="21">
        <v>2</v>
      </c>
      <c r="B12" s="6" t="s">
        <v>467</v>
      </c>
      <c r="C12" s="6"/>
      <c r="D12" s="6" t="s">
        <v>468</v>
      </c>
      <c r="E12" s="6" t="s">
        <v>425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10"/>
      <c r="CH12" s="10">
        <v>3.2</v>
      </c>
      <c r="CI12" s="10">
        <v>90</v>
      </c>
      <c r="CJ12" s="10"/>
      <c r="CK12" s="10"/>
      <c r="CL12" s="10"/>
      <c r="CM12" s="6">
        <f>SUM(CF12:CL12)</f>
        <v>93.2</v>
      </c>
    </row>
    <row r="13" spans="1:91" x14ac:dyDescent="0.25">
      <c r="A13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10"/>
      <c r="CH13" s="10"/>
      <c r="CI13" s="10"/>
      <c r="CJ13" s="10"/>
      <c r="CK13" s="10"/>
      <c r="CL13" s="10"/>
      <c r="CM13" s="6"/>
    </row>
    <row r="14" spans="1:91" x14ac:dyDescent="0.25">
      <c r="A14">
        <v>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10"/>
      <c r="CH14" s="10"/>
      <c r="CI14" s="10"/>
      <c r="CJ14" s="10"/>
      <c r="CK14" s="10"/>
      <c r="CL14" s="10"/>
      <c r="CM14" s="6"/>
    </row>
    <row r="15" spans="1:91" x14ac:dyDescent="0.25">
      <c r="A15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10"/>
      <c r="CH15" s="10"/>
      <c r="CI15" s="10"/>
      <c r="CJ15" s="10"/>
      <c r="CK15" s="10"/>
      <c r="CL15" s="10"/>
      <c r="CM15" s="6"/>
    </row>
    <row r="16" spans="1:91" x14ac:dyDescent="0.25">
      <c r="A16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10"/>
      <c r="CH16" s="10"/>
      <c r="CI16" s="10"/>
      <c r="CJ16" s="10"/>
      <c r="CK16" s="10"/>
      <c r="CL16" s="10"/>
      <c r="CM16" s="6"/>
    </row>
    <row r="17" spans="1:91" x14ac:dyDescent="0.25">
      <c r="A17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10"/>
      <c r="CH17" s="10"/>
      <c r="CI17" s="10"/>
      <c r="CJ17" s="10"/>
      <c r="CK17" s="10"/>
      <c r="CL17" s="10"/>
      <c r="CM17" s="6"/>
    </row>
    <row r="18" spans="1:91" x14ac:dyDescent="0.25">
      <c r="A18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10"/>
      <c r="CH18" s="10"/>
      <c r="CI18" s="10"/>
      <c r="CJ18" s="10"/>
      <c r="CK18" s="10"/>
      <c r="CL18" s="10"/>
      <c r="CM18" s="6"/>
    </row>
  </sheetData>
  <sortState xmlns:xlrd2="http://schemas.microsoft.com/office/spreadsheetml/2017/richdata2" ref="B11:CM12">
    <sortCondition descending="1" ref="CM11:CM12"/>
  </sortState>
  <mergeCells count="5">
    <mergeCell ref="B1:CM1"/>
    <mergeCell ref="D4:CM5"/>
    <mergeCell ref="B8:C10"/>
    <mergeCell ref="CA9:CD9"/>
    <mergeCell ref="CI9:CL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A27"/>
  <sheetViews>
    <sheetView zoomScale="80" zoomScaleNormal="80" workbookViewId="0">
      <selection activeCell="DE16" sqref="DE16"/>
    </sheetView>
  </sheetViews>
  <sheetFormatPr baseColWidth="10" defaultRowHeight="15" x14ac:dyDescent="0.25"/>
  <cols>
    <col min="1" max="1" width="3.140625" bestFit="1" customWidth="1"/>
    <col min="2" max="2" width="13" bestFit="1" customWidth="1"/>
    <col min="3" max="3" width="13.5703125" bestFit="1" customWidth="1"/>
    <col min="4" max="4" width="13.140625" bestFit="1" customWidth="1"/>
    <col min="5" max="5" width="19.140625" bestFit="1" customWidth="1"/>
    <col min="6" max="10" width="6.85546875" hidden="1" customWidth="1"/>
    <col min="11" max="14" width="7.28515625" style="7" hidden="1" customWidth="1"/>
    <col min="15" max="17" width="6.7109375" style="7" hidden="1" customWidth="1"/>
    <col min="18" max="19" width="6.28515625" style="7" hidden="1" customWidth="1"/>
    <col min="20" max="22" width="6.7109375" style="7" hidden="1" customWidth="1"/>
    <col min="23" max="31" width="7.28515625" style="7" hidden="1" customWidth="1"/>
    <col min="32" max="32" width="0" hidden="1" customWidth="1"/>
    <col min="33" max="34" width="6.85546875" hidden="1" customWidth="1"/>
    <col min="35" max="51" width="6" hidden="1" customWidth="1"/>
    <col min="52" max="52" width="10.5703125" style="7" hidden="1" customWidth="1"/>
    <col min="53" max="59" width="6" hidden="1" customWidth="1"/>
    <col min="60" max="60" width="6" style="7" hidden="1" customWidth="1"/>
    <col min="61" max="61" width="6.28515625" hidden="1" customWidth="1"/>
    <col min="62" max="63" width="6.85546875" hidden="1" customWidth="1"/>
    <col min="64" max="64" width="10.5703125" hidden="1" customWidth="1"/>
    <col min="65" max="76" width="6" hidden="1" customWidth="1"/>
    <col min="77" max="81" width="6" style="7" hidden="1" customWidth="1"/>
    <col min="82" max="82" width="10.85546875" style="7" hidden="1" customWidth="1"/>
    <col min="83" max="88" width="6.140625" style="7" hidden="1" customWidth="1"/>
    <col min="89" max="89" width="6.7109375" hidden="1" customWidth="1"/>
    <col min="90" max="90" width="7.7109375" hidden="1" customWidth="1"/>
    <col min="91" max="91" width="5.5703125" style="7" hidden="1" customWidth="1"/>
    <col min="92" max="92" width="7.85546875" style="7" hidden="1" customWidth="1"/>
    <col min="93" max="93" width="9.42578125" style="7" hidden="1" customWidth="1"/>
    <col min="94" max="94" width="8.85546875" style="7" hidden="1" customWidth="1"/>
    <col min="95" max="96" width="7.7109375" style="7" hidden="1" customWidth="1"/>
    <col min="99" max="99" width="5.42578125" style="7" customWidth="1"/>
    <col min="100" max="100" width="6.5703125" style="7" customWidth="1"/>
    <col min="101" max="101" width="9.140625" style="7" customWidth="1"/>
    <col min="102" max="102" width="7" style="7" customWidth="1"/>
    <col min="103" max="103" width="7.85546875" style="7" customWidth="1"/>
    <col min="104" max="104" width="7.7109375" style="7" customWidth="1"/>
  </cols>
  <sheetData>
    <row r="1" spans="1:105" ht="26.25" x14ac:dyDescent="0.4">
      <c r="B1" s="33" t="s">
        <v>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</row>
    <row r="2" spans="1:105" ht="15.75" thickBot="1" x14ac:dyDescent="0.3">
      <c r="C2" s="7"/>
      <c r="D2" s="7"/>
      <c r="E2" s="7"/>
    </row>
    <row r="3" spans="1:105" ht="15.75" thickTop="1" x14ac:dyDescent="0.25">
      <c r="B3" s="1" t="s">
        <v>0</v>
      </c>
      <c r="C3" s="4" t="s">
        <v>13</v>
      </c>
    </row>
    <row r="4" spans="1:105" ht="14.65" customHeight="1" x14ac:dyDescent="0.25">
      <c r="B4" s="2" t="s">
        <v>1</v>
      </c>
      <c r="C4" s="5" t="s">
        <v>11</v>
      </c>
      <c r="D4" s="31" t="s">
        <v>394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</row>
    <row r="5" spans="1:105" ht="15" customHeight="1" thickBot="1" x14ac:dyDescent="0.3">
      <c r="B5" s="3" t="s">
        <v>2</v>
      </c>
      <c r="C5" s="14" t="s">
        <v>396</v>
      </c>
      <c r="D5" s="31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</row>
    <row r="6" spans="1:105" ht="15.75" thickTop="1" x14ac:dyDescent="0.25"/>
    <row r="7" spans="1:105" ht="15.75" thickBot="1" x14ac:dyDescent="0.3"/>
    <row r="8" spans="1:105" ht="15.75" thickTop="1" x14ac:dyDescent="0.25">
      <c r="B8" s="24" t="s">
        <v>8</v>
      </c>
      <c r="C8" s="25"/>
      <c r="D8" s="1"/>
      <c r="E8" s="1"/>
      <c r="F8" s="4" t="s">
        <v>9</v>
      </c>
      <c r="G8" s="4" t="s">
        <v>9</v>
      </c>
      <c r="H8" s="4" t="s">
        <v>9</v>
      </c>
      <c r="I8" s="4" t="s">
        <v>9</v>
      </c>
      <c r="J8" s="4" t="s">
        <v>33</v>
      </c>
      <c r="K8" s="4" t="s">
        <v>55</v>
      </c>
      <c r="L8" s="4" t="s">
        <v>9</v>
      </c>
      <c r="M8" s="4" t="s">
        <v>9</v>
      </c>
      <c r="N8" s="4" t="s">
        <v>9</v>
      </c>
      <c r="O8" s="4" t="s">
        <v>72</v>
      </c>
      <c r="P8" s="4" t="s">
        <v>76</v>
      </c>
      <c r="Q8" s="4" t="s">
        <v>80</v>
      </c>
      <c r="R8" s="4" t="s">
        <v>84</v>
      </c>
      <c r="S8" s="4" t="s">
        <v>9</v>
      </c>
      <c r="T8" s="4" t="s">
        <v>9</v>
      </c>
      <c r="U8" s="4" t="s">
        <v>9</v>
      </c>
      <c r="V8" s="4" t="s">
        <v>9</v>
      </c>
      <c r="W8" s="4" t="s">
        <v>9</v>
      </c>
      <c r="X8" s="4" t="s">
        <v>9</v>
      </c>
      <c r="Y8" s="4" t="s">
        <v>9</v>
      </c>
      <c r="Z8" s="4" t="s">
        <v>9</v>
      </c>
      <c r="AA8" s="4" t="s">
        <v>96</v>
      </c>
      <c r="AB8" s="4" t="s">
        <v>9</v>
      </c>
      <c r="AC8" s="4" t="s">
        <v>9</v>
      </c>
      <c r="AD8" s="4" t="s">
        <v>100</v>
      </c>
      <c r="AE8" s="4" t="s">
        <v>103</v>
      </c>
      <c r="AF8" s="1"/>
      <c r="AG8" s="12">
        <v>44927</v>
      </c>
      <c r="AH8" s="4" t="s">
        <v>9</v>
      </c>
      <c r="AI8" s="4" t="s">
        <v>9</v>
      </c>
      <c r="AJ8" s="4" t="s">
        <v>9</v>
      </c>
      <c r="AK8" s="4" t="s">
        <v>103</v>
      </c>
      <c r="AL8" s="4" t="s">
        <v>9</v>
      </c>
      <c r="AM8" s="4" t="s">
        <v>9</v>
      </c>
      <c r="AN8" s="4" t="s">
        <v>127</v>
      </c>
      <c r="AO8" s="4" t="s">
        <v>127</v>
      </c>
      <c r="AP8" s="4" t="s">
        <v>127</v>
      </c>
      <c r="AQ8" s="4" t="s">
        <v>102</v>
      </c>
      <c r="AR8" s="4" t="s">
        <v>9</v>
      </c>
      <c r="AS8" s="4" t="s">
        <v>103</v>
      </c>
      <c r="AT8" s="4" t="s">
        <v>9</v>
      </c>
      <c r="AU8" s="4" t="s">
        <v>9</v>
      </c>
      <c r="AV8" s="4" t="s">
        <v>100</v>
      </c>
      <c r="AW8" s="4" t="s">
        <v>9</v>
      </c>
      <c r="AX8" s="4" t="s">
        <v>9</v>
      </c>
      <c r="AY8" s="4" t="s">
        <v>9</v>
      </c>
      <c r="AZ8" s="4" t="s">
        <v>9</v>
      </c>
      <c r="BA8" s="4" t="s">
        <v>9</v>
      </c>
      <c r="BB8" s="4" t="s">
        <v>103</v>
      </c>
      <c r="BC8" s="4" t="s">
        <v>9</v>
      </c>
      <c r="BD8" s="4" t="s">
        <v>9</v>
      </c>
      <c r="BE8" s="4" t="s">
        <v>9</v>
      </c>
      <c r="BF8" s="4" t="s">
        <v>9</v>
      </c>
      <c r="BG8" s="4" t="s">
        <v>9</v>
      </c>
      <c r="BH8" s="4" t="s">
        <v>104</v>
      </c>
      <c r="BI8" s="4" t="s">
        <v>6</v>
      </c>
      <c r="BJ8" s="13">
        <v>45292</v>
      </c>
      <c r="BK8" s="13" t="s">
        <v>9</v>
      </c>
      <c r="BL8" s="13" t="s">
        <v>9</v>
      </c>
      <c r="BM8" s="13" t="s">
        <v>9</v>
      </c>
      <c r="BN8" s="13" t="s">
        <v>9</v>
      </c>
      <c r="BO8" s="13" t="s">
        <v>9</v>
      </c>
      <c r="BP8" s="13" t="s">
        <v>9</v>
      </c>
      <c r="BQ8" s="13" t="s">
        <v>9</v>
      </c>
      <c r="BR8" s="13" t="s">
        <v>9</v>
      </c>
      <c r="BS8" s="13" t="s">
        <v>9</v>
      </c>
      <c r="BT8" s="13" t="s">
        <v>103</v>
      </c>
      <c r="BU8" s="13" t="s">
        <v>103</v>
      </c>
      <c r="BV8" s="13" t="s">
        <v>127</v>
      </c>
      <c r="BW8" s="13" t="s">
        <v>127</v>
      </c>
      <c r="BX8" s="13" t="s">
        <v>127</v>
      </c>
      <c r="BY8" s="13" t="s">
        <v>103</v>
      </c>
      <c r="BZ8" s="13" t="s">
        <v>9</v>
      </c>
      <c r="CA8" s="13" t="s">
        <v>9</v>
      </c>
      <c r="CB8" s="13" t="s">
        <v>9</v>
      </c>
      <c r="CC8" s="13" t="s">
        <v>9</v>
      </c>
      <c r="CD8" s="13" t="s">
        <v>9</v>
      </c>
      <c r="CE8" s="13" t="s">
        <v>9</v>
      </c>
      <c r="CF8" s="13" t="s">
        <v>9</v>
      </c>
      <c r="CG8" s="13" t="s">
        <v>9</v>
      </c>
      <c r="CH8" s="13" t="s">
        <v>103</v>
      </c>
      <c r="CI8" s="13" t="s">
        <v>102</v>
      </c>
      <c r="CJ8" s="13" t="s">
        <v>104</v>
      </c>
      <c r="CK8" s="13" t="s">
        <v>6</v>
      </c>
      <c r="CL8" s="13">
        <v>45658</v>
      </c>
      <c r="CM8" s="13"/>
      <c r="CN8" s="13"/>
      <c r="CO8" s="18"/>
      <c r="CP8" s="19"/>
      <c r="CQ8" s="19"/>
      <c r="CR8" s="20"/>
      <c r="CS8" s="13" t="s">
        <v>6</v>
      </c>
      <c r="CT8" s="13">
        <v>46023</v>
      </c>
      <c r="CU8" s="13"/>
      <c r="CV8" s="13"/>
      <c r="CW8" s="18"/>
      <c r="CX8" s="19"/>
      <c r="CY8" s="19"/>
      <c r="CZ8" s="20"/>
      <c r="DA8" s="13" t="s">
        <v>6</v>
      </c>
    </row>
    <row r="9" spans="1:105" x14ac:dyDescent="0.25">
      <c r="B9" s="26"/>
      <c r="C9" s="27"/>
      <c r="D9" s="2"/>
      <c r="E9" s="2"/>
      <c r="F9" s="8" t="s">
        <v>10</v>
      </c>
      <c r="G9" s="8" t="s">
        <v>22</v>
      </c>
      <c r="H9" s="8" t="s">
        <v>18</v>
      </c>
      <c r="I9" s="8" t="s">
        <v>30</v>
      </c>
      <c r="J9" s="8" t="s">
        <v>34</v>
      </c>
      <c r="K9" s="8" t="s">
        <v>56</v>
      </c>
      <c r="L9" s="8" t="s">
        <v>61</v>
      </c>
      <c r="M9" s="8" t="s">
        <v>70</v>
      </c>
      <c r="N9" s="8" t="s">
        <v>65</v>
      </c>
      <c r="O9" s="8" t="s">
        <v>75</v>
      </c>
      <c r="P9" s="8" t="s">
        <v>77</v>
      </c>
      <c r="Q9" s="8" t="s">
        <v>81</v>
      </c>
      <c r="R9" s="8" t="s">
        <v>34</v>
      </c>
      <c r="S9" s="8" t="s">
        <v>85</v>
      </c>
      <c r="T9" s="8" t="s">
        <v>22</v>
      </c>
      <c r="U9" s="8" t="s">
        <v>18</v>
      </c>
      <c r="V9" s="8" t="s">
        <v>70</v>
      </c>
      <c r="W9" s="8" t="s">
        <v>85</v>
      </c>
      <c r="X9" s="8" t="s">
        <v>65</v>
      </c>
      <c r="Y9" s="8" t="s">
        <v>10</v>
      </c>
      <c r="Z9" s="8" t="s">
        <v>89</v>
      </c>
      <c r="AA9" s="8" t="s">
        <v>97</v>
      </c>
      <c r="AB9" s="8" t="s">
        <v>61</v>
      </c>
      <c r="AC9" s="8" t="s">
        <v>89</v>
      </c>
      <c r="AD9" s="8" t="s">
        <v>101</v>
      </c>
      <c r="AE9" s="8" t="s">
        <v>104</v>
      </c>
      <c r="AF9" s="2" t="s">
        <v>6</v>
      </c>
      <c r="AG9" s="2"/>
      <c r="AH9" s="8" t="s">
        <v>22</v>
      </c>
      <c r="AI9" s="8" t="s">
        <v>10</v>
      </c>
      <c r="AJ9" s="8" t="s">
        <v>18</v>
      </c>
      <c r="AK9" s="8" t="s">
        <v>72</v>
      </c>
      <c r="AL9" s="8" t="s">
        <v>70</v>
      </c>
      <c r="AM9" s="8" t="s">
        <v>89</v>
      </c>
      <c r="AN9" s="8" t="s">
        <v>76</v>
      </c>
      <c r="AO9" s="8" t="s">
        <v>80</v>
      </c>
      <c r="AP9" s="8" t="s">
        <v>72</v>
      </c>
      <c r="AQ9" s="8" t="s">
        <v>136</v>
      </c>
      <c r="AR9" s="8" t="s">
        <v>65</v>
      </c>
      <c r="AS9" s="8" t="s">
        <v>76</v>
      </c>
      <c r="AT9" s="8" t="s">
        <v>142</v>
      </c>
      <c r="AU9" s="8" t="s">
        <v>22</v>
      </c>
      <c r="AV9" s="8" t="s">
        <v>148</v>
      </c>
      <c r="AW9" s="8" t="s">
        <v>89</v>
      </c>
      <c r="AX9" s="8" t="s">
        <v>70</v>
      </c>
      <c r="AY9" s="8" t="s">
        <v>18</v>
      </c>
      <c r="AZ9" s="8" t="s">
        <v>153</v>
      </c>
      <c r="BA9" s="8" t="s">
        <v>85</v>
      </c>
      <c r="BB9" s="8" t="s">
        <v>80</v>
      </c>
      <c r="BC9" s="8" t="s">
        <v>65</v>
      </c>
      <c r="BD9" s="8" t="s">
        <v>159</v>
      </c>
      <c r="BE9" s="8" t="s">
        <v>10</v>
      </c>
      <c r="BF9" s="8" t="s">
        <v>163</v>
      </c>
      <c r="BG9" s="8" t="s">
        <v>142</v>
      </c>
      <c r="BH9" s="8"/>
      <c r="BI9" s="2"/>
      <c r="BJ9" s="5"/>
      <c r="BK9" s="5" t="s">
        <v>70</v>
      </c>
      <c r="BL9" s="5" t="s">
        <v>153</v>
      </c>
      <c r="BM9" s="5" t="s">
        <v>85</v>
      </c>
      <c r="BN9" s="5" t="s">
        <v>142</v>
      </c>
      <c r="BO9" s="5" t="s">
        <v>181</v>
      </c>
      <c r="BP9" s="5" t="s">
        <v>65</v>
      </c>
      <c r="BQ9" s="5" t="s">
        <v>18</v>
      </c>
      <c r="BR9" s="5" t="s">
        <v>22</v>
      </c>
      <c r="BS9" s="5" t="s">
        <v>30</v>
      </c>
      <c r="BT9" s="5" t="s">
        <v>76</v>
      </c>
      <c r="BU9" s="5" t="s">
        <v>209</v>
      </c>
      <c r="BV9" s="5" t="s">
        <v>76</v>
      </c>
      <c r="BW9" s="5" t="s">
        <v>72</v>
      </c>
      <c r="BX9" s="5" t="s">
        <v>80</v>
      </c>
      <c r="BY9" s="5" t="s">
        <v>72</v>
      </c>
      <c r="BZ9" s="5" t="s">
        <v>70</v>
      </c>
      <c r="CA9" s="5" t="s">
        <v>18</v>
      </c>
      <c r="CB9" s="5" t="s">
        <v>181</v>
      </c>
      <c r="CC9" s="5" t="s">
        <v>142</v>
      </c>
      <c r="CD9" s="5" t="s">
        <v>153</v>
      </c>
      <c r="CE9" s="5" t="s">
        <v>22</v>
      </c>
      <c r="CF9" s="5" t="s">
        <v>65</v>
      </c>
      <c r="CG9" s="5" t="s">
        <v>236</v>
      </c>
      <c r="CH9" s="5" t="s">
        <v>80</v>
      </c>
      <c r="CI9" s="5" t="s">
        <v>243</v>
      </c>
      <c r="CJ9" s="5" t="s">
        <v>245</v>
      </c>
      <c r="CK9" s="5"/>
      <c r="CL9" s="5"/>
      <c r="CM9" s="8" t="s">
        <v>9</v>
      </c>
      <c r="CN9" s="8" t="s">
        <v>127</v>
      </c>
      <c r="CO9" s="28" t="s">
        <v>247</v>
      </c>
      <c r="CP9" s="29"/>
      <c r="CQ9" s="29"/>
      <c r="CR9" s="30"/>
      <c r="CS9" s="5"/>
      <c r="CT9" s="5"/>
      <c r="CU9" s="8" t="s">
        <v>9</v>
      </c>
      <c r="CV9" s="8" t="s">
        <v>127</v>
      </c>
      <c r="CW9" s="28" t="s">
        <v>247</v>
      </c>
      <c r="CX9" s="29"/>
      <c r="CY9" s="29"/>
      <c r="CZ9" s="30"/>
      <c r="DA9" s="5"/>
    </row>
    <row r="10" spans="1:105" x14ac:dyDescent="0.25">
      <c r="B10" s="26"/>
      <c r="C10" s="27"/>
      <c r="D10" s="2" t="s">
        <v>4</v>
      </c>
      <c r="E10" s="2" t="s">
        <v>5</v>
      </c>
      <c r="F10" s="9">
        <v>44653</v>
      </c>
      <c r="G10" s="9">
        <v>44653</v>
      </c>
      <c r="H10" s="9">
        <v>44660</v>
      </c>
      <c r="I10" s="9">
        <v>44674</v>
      </c>
      <c r="J10" s="9">
        <v>44681</v>
      </c>
      <c r="K10" s="9">
        <v>44696</v>
      </c>
      <c r="L10" s="9">
        <v>44709</v>
      </c>
      <c r="M10" s="9">
        <v>44709</v>
      </c>
      <c r="N10" s="9">
        <v>44709</v>
      </c>
      <c r="O10" s="9">
        <v>44730</v>
      </c>
      <c r="P10" s="9">
        <v>44730</v>
      </c>
      <c r="Q10" s="9">
        <v>44737</v>
      </c>
      <c r="R10" s="9">
        <v>44759</v>
      </c>
      <c r="S10" s="9">
        <v>44765</v>
      </c>
      <c r="T10" s="9">
        <v>44779</v>
      </c>
      <c r="U10" s="9">
        <v>44793</v>
      </c>
      <c r="V10" s="9">
        <v>44800</v>
      </c>
      <c r="W10" s="9">
        <v>44814</v>
      </c>
      <c r="X10" s="9">
        <v>44814</v>
      </c>
      <c r="Y10" s="9">
        <v>44814</v>
      </c>
      <c r="Z10" s="9">
        <v>44814</v>
      </c>
      <c r="AA10" s="9">
        <v>44828</v>
      </c>
      <c r="AB10" s="9">
        <v>44849</v>
      </c>
      <c r="AC10" s="9">
        <v>44856</v>
      </c>
      <c r="AD10" s="9">
        <v>44868</v>
      </c>
      <c r="AE10" s="9">
        <v>44905</v>
      </c>
      <c r="AF10" s="2">
        <v>2022</v>
      </c>
      <c r="AG10" s="2"/>
      <c r="AH10" s="2" t="s">
        <v>106</v>
      </c>
      <c r="AI10" s="2" t="s">
        <v>105</v>
      </c>
      <c r="AJ10" s="5" t="s">
        <v>110</v>
      </c>
      <c r="AK10" s="5" t="s">
        <v>111</v>
      </c>
      <c r="AL10" s="5" t="s">
        <v>123</v>
      </c>
      <c r="AM10" s="5" t="s">
        <v>121</v>
      </c>
      <c r="AN10" s="5" t="s">
        <v>128</v>
      </c>
      <c r="AO10" s="5" t="s">
        <v>133</v>
      </c>
      <c r="AP10" s="5" t="s">
        <v>134</v>
      </c>
      <c r="AQ10" s="5" t="s">
        <v>137</v>
      </c>
      <c r="AR10" s="5" t="s">
        <v>138</v>
      </c>
      <c r="AS10" s="5" t="s">
        <v>140</v>
      </c>
      <c r="AT10" s="5" t="s">
        <v>143</v>
      </c>
      <c r="AU10" s="5" t="s">
        <v>146</v>
      </c>
      <c r="AV10" s="5" t="s">
        <v>149</v>
      </c>
      <c r="AW10" s="5" t="s">
        <v>147</v>
      </c>
      <c r="AX10" s="5" t="s">
        <v>147</v>
      </c>
      <c r="AY10" s="5" t="s">
        <v>150</v>
      </c>
      <c r="AZ10" s="5" t="s">
        <v>151</v>
      </c>
      <c r="BA10" s="5" t="s">
        <v>151</v>
      </c>
      <c r="BB10" s="5" t="s">
        <v>155</v>
      </c>
      <c r="BC10" s="5" t="s">
        <v>158</v>
      </c>
      <c r="BD10" s="5" t="s">
        <v>160</v>
      </c>
      <c r="BE10" s="5" t="s">
        <v>161</v>
      </c>
      <c r="BF10" s="5" t="s">
        <v>161</v>
      </c>
      <c r="BG10" s="5" t="s">
        <v>164</v>
      </c>
      <c r="BH10" s="5" t="s">
        <v>165</v>
      </c>
      <c r="BI10" s="2">
        <v>2023</v>
      </c>
      <c r="BJ10" s="5"/>
      <c r="BK10" s="5" t="s">
        <v>166</v>
      </c>
      <c r="BL10" s="5" t="s">
        <v>166</v>
      </c>
      <c r="BM10" s="5" t="s">
        <v>166</v>
      </c>
      <c r="BN10" s="5" t="s">
        <v>166</v>
      </c>
      <c r="BO10" s="5" t="s">
        <v>166</v>
      </c>
      <c r="BP10" s="5" t="s">
        <v>166</v>
      </c>
      <c r="BQ10" s="5" t="s">
        <v>185</v>
      </c>
      <c r="BR10" s="5" t="s">
        <v>199</v>
      </c>
      <c r="BS10" s="5" t="s">
        <v>199</v>
      </c>
      <c r="BT10" s="5" t="s">
        <v>207</v>
      </c>
      <c r="BU10" s="5" t="s">
        <v>210</v>
      </c>
      <c r="BV10" s="5" t="s">
        <v>217</v>
      </c>
      <c r="BW10" s="5" t="s">
        <v>217</v>
      </c>
      <c r="BX10" s="5" t="s">
        <v>220</v>
      </c>
      <c r="BY10" s="5" t="s">
        <v>222</v>
      </c>
      <c r="BZ10" s="5" t="s">
        <v>149</v>
      </c>
      <c r="CA10" s="5" t="s">
        <v>227</v>
      </c>
      <c r="CB10" s="5" t="s">
        <v>227</v>
      </c>
      <c r="CC10" s="5" t="s">
        <v>226</v>
      </c>
      <c r="CD10" s="5" t="s">
        <v>228</v>
      </c>
      <c r="CE10" s="5" t="s">
        <v>228</v>
      </c>
      <c r="CF10" s="5" t="s">
        <v>233</v>
      </c>
      <c r="CG10" s="5" t="s">
        <v>237</v>
      </c>
      <c r="CH10" s="5" t="s">
        <v>238</v>
      </c>
      <c r="CI10" s="5" t="s">
        <v>244</v>
      </c>
      <c r="CJ10" s="5" t="s">
        <v>246</v>
      </c>
      <c r="CK10" s="5">
        <v>2024</v>
      </c>
      <c r="CL10" s="5"/>
      <c r="CM10" s="5"/>
      <c r="CN10" s="5"/>
      <c r="CO10" s="5">
        <v>1</v>
      </c>
      <c r="CP10" s="5">
        <v>2</v>
      </c>
      <c r="CQ10" s="5">
        <v>3</v>
      </c>
      <c r="CR10" s="5">
        <v>4</v>
      </c>
      <c r="CS10" s="5">
        <v>2025</v>
      </c>
      <c r="CT10" s="5"/>
      <c r="CU10" s="5"/>
      <c r="CV10" s="5"/>
      <c r="CW10" s="5">
        <v>1</v>
      </c>
      <c r="CX10" s="5">
        <v>2</v>
      </c>
      <c r="CY10" s="5">
        <v>3</v>
      </c>
      <c r="CZ10" s="5">
        <v>4</v>
      </c>
      <c r="DA10" s="5">
        <v>2026</v>
      </c>
    </row>
    <row r="11" spans="1:105" x14ac:dyDescent="0.25">
      <c r="A11">
        <v>1</v>
      </c>
      <c r="B11" s="10" t="s">
        <v>50</v>
      </c>
      <c r="C11" s="6"/>
      <c r="D11" s="6" t="s">
        <v>290</v>
      </c>
      <c r="E11" s="6" t="s">
        <v>78</v>
      </c>
      <c r="F11" s="6"/>
      <c r="G11" s="6"/>
      <c r="H11" s="6"/>
      <c r="I11" s="6"/>
      <c r="J11" s="6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10"/>
      <c r="BA11" s="6"/>
      <c r="BB11" s="6"/>
      <c r="BC11" s="6"/>
      <c r="BD11" s="6"/>
      <c r="BE11" s="6"/>
      <c r="BF11" s="6"/>
      <c r="BG11" s="6"/>
      <c r="BH11" s="10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6"/>
      <c r="CL11" s="6"/>
      <c r="CM11" s="10">
        <v>48</v>
      </c>
      <c r="CN11" s="10">
        <v>44.8</v>
      </c>
      <c r="CO11" s="10">
        <v>75</v>
      </c>
      <c r="CP11" s="10">
        <v>70</v>
      </c>
      <c r="CQ11" s="10">
        <v>72</v>
      </c>
      <c r="CR11" s="10"/>
      <c r="CS11" s="6"/>
      <c r="CT11" s="6"/>
      <c r="CU11" s="10">
        <v>48</v>
      </c>
      <c r="CV11" s="10">
        <v>64</v>
      </c>
      <c r="CW11" s="10">
        <v>36</v>
      </c>
      <c r="CX11" s="10"/>
      <c r="CY11" s="10"/>
      <c r="CZ11" s="10"/>
      <c r="DA11" s="6">
        <f t="shared" ref="DA11:DA27" si="0">SUM(CT11:CZ11)</f>
        <v>148</v>
      </c>
    </row>
    <row r="12" spans="1:105" x14ac:dyDescent="0.25">
      <c r="A12">
        <v>2</v>
      </c>
      <c r="B12" s="10" t="s">
        <v>28</v>
      </c>
      <c r="C12" s="6"/>
      <c r="D12" s="6" t="s">
        <v>223</v>
      </c>
      <c r="E12" s="6" t="s">
        <v>224</v>
      </c>
      <c r="F12" s="6"/>
      <c r="G12" s="6"/>
      <c r="H12" s="6"/>
      <c r="I12" s="6"/>
      <c r="J12" s="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10"/>
      <c r="BA12" s="6"/>
      <c r="BB12" s="6"/>
      <c r="BC12" s="6"/>
      <c r="BD12" s="6"/>
      <c r="BE12" s="6"/>
      <c r="BF12" s="6"/>
      <c r="BG12" s="6"/>
      <c r="BH12" s="10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6"/>
      <c r="CL12" s="6"/>
      <c r="CM12" s="10"/>
      <c r="CN12" s="10">
        <v>32</v>
      </c>
      <c r="CO12" s="10">
        <v>36</v>
      </c>
      <c r="CP12" s="10">
        <v>75</v>
      </c>
      <c r="CQ12" s="10">
        <v>4</v>
      </c>
      <c r="CR12" s="10"/>
      <c r="CS12" s="6">
        <f>SUM(CL12:CR12)</f>
        <v>147</v>
      </c>
      <c r="CT12" s="6">
        <f>(CS12-CL12)/2</f>
        <v>73.5</v>
      </c>
      <c r="CU12" s="10"/>
      <c r="CV12" s="10"/>
      <c r="CW12" s="10"/>
      <c r="CX12" s="10"/>
      <c r="CY12" s="10"/>
      <c r="CZ12" s="10"/>
      <c r="DA12" s="6">
        <f t="shared" si="0"/>
        <v>73.5</v>
      </c>
    </row>
    <row r="13" spans="1:105" x14ac:dyDescent="0.25">
      <c r="A13">
        <v>3</v>
      </c>
      <c r="B13" s="10" t="s">
        <v>60</v>
      </c>
      <c r="C13" s="6"/>
      <c r="D13" s="6" t="s">
        <v>173</v>
      </c>
      <c r="E13" s="6" t="s">
        <v>172</v>
      </c>
      <c r="F13" s="6"/>
      <c r="G13" s="6"/>
      <c r="H13" s="6"/>
      <c r="I13" s="6"/>
      <c r="J13" s="6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10"/>
      <c r="BA13" s="6"/>
      <c r="BB13" s="6"/>
      <c r="BC13" s="6"/>
      <c r="BD13" s="6"/>
      <c r="BE13" s="6"/>
      <c r="BF13" s="6"/>
      <c r="BG13" s="6"/>
      <c r="BH13" s="10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28.8</v>
      </c>
      <c r="BY13" s="10"/>
      <c r="BZ13" s="10">
        <v>33.6</v>
      </c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6">
        <f>SUM(BJ13:CJ13)</f>
        <v>62.400000000000006</v>
      </c>
      <c r="CL13" s="6">
        <f>(CK13-BJ13)/2</f>
        <v>31.200000000000003</v>
      </c>
      <c r="CM13" s="10">
        <v>36</v>
      </c>
      <c r="CN13" s="10">
        <v>40</v>
      </c>
      <c r="CO13" s="10">
        <v>5</v>
      </c>
      <c r="CP13" s="10">
        <v>54</v>
      </c>
      <c r="CQ13" s="10"/>
      <c r="CR13" s="10"/>
      <c r="CS13" s="6">
        <f>SUM(CL13:CR13)</f>
        <v>166.2</v>
      </c>
      <c r="CT13" s="6">
        <f>(CS13-CL13)/2</f>
        <v>67.5</v>
      </c>
      <c r="CU13" s="10"/>
      <c r="CV13" s="10"/>
      <c r="CW13" s="10"/>
      <c r="CX13" s="10"/>
      <c r="CY13" s="10"/>
      <c r="CZ13" s="10"/>
      <c r="DA13" s="6">
        <f t="shared" si="0"/>
        <v>67.5</v>
      </c>
    </row>
    <row r="14" spans="1:105" x14ac:dyDescent="0.25">
      <c r="A14" s="21">
        <v>4</v>
      </c>
      <c r="B14" s="10" t="s">
        <v>291</v>
      </c>
      <c r="C14" s="6"/>
      <c r="D14" s="6" t="s">
        <v>29</v>
      </c>
      <c r="E14" s="6" t="s">
        <v>292</v>
      </c>
      <c r="F14" s="6"/>
      <c r="G14" s="6"/>
      <c r="H14" s="6"/>
      <c r="I14" s="6"/>
      <c r="J14" s="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10"/>
      <c r="BA14" s="6"/>
      <c r="BB14" s="6"/>
      <c r="BC14" s="6"/>
      <c r="BD14" s="6"/>
      <c r="BE14" s="6"/>
      <c r="BF14" s="6"/>
      <c r="BG14" s="6"/>
      <c r="BH14" s="10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6"/>
      <c r="CL14" s="6"/>
      <c r="CM14" s="10">
        <v>33.6</v>
      </c>
      <c r="CN14" s="10">
        <v>64</v>
      </c>
      <c r="CO14" s="10">
        <v>7.5</v>
      </c>
      <c r="CP14" s="10">
        <v>3.2</v>
      </c>
      <c r="CQ14" s="10"/>
      <c r="CR14" s="10"/>
      <c r="CS14" s="6">
        <f>SUM(CL14:CR14)</f>
        <v>108.3</v>
      </c>
      <c r="CT14" s="6">
        <f>(CS14-CL14)/2</f>
        <v>54.15</v>
      </c>
      <c r="CU14" s="10"/>
      <c r="CV14" s="10"/>
      <c r="CW14" s="10"/>
      <c r="CX14" s="10"/>
      <c r="CY14" s="10"/>
      <c r="CZ14" s="10"/>
      <c r="DA14" s="6">
        <f t="shared" si="0"/>
        <v>54.15</v>
      </c>
    </row>
    <row r="15" spans="1:105" x14ac:dyDescent="0.25">
      <c r="A15">
        <v>5</v>
      </c>
      <c r="B15" s="10" t="s">
        <v>506</v>
      </c>
      <c r="C15" s="6"/>
      <c r="D15" s="6" t="s">
        <v>74</v>
      </c>
      <c r="E15" s="6" t="s">
        <v>507</v>
      </c>
      <c r="F15" s="6"/>
      <c r="G15" s="6"/>
      <c r="H15" s="6"/>
      <c r="I15" s="6"/>
      <c r="J15" s="6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10"/>
      <c r="BA15" s="6"/>
      <c r="BB15" s="6"/>
      <c r="BC15" s="6"/>
      <c r="BD15" s="6"/>
      <c r="BE15" s="6"/>
      <c r="BF15" s="6"/>
      <c r="BG15" s="6"/>
      <c r="BH15" s="10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6"/>
      <c r="CL15" s="6"/>
      <c r="CM15" s="10"/>
      <c r="CN15" s="10"/>
      <c r="CO15" s="10"/>
      <c r="CP15" s="10"/>
      <c r="CQ15" s="10"/>
      <c r="CR15" s="10"/>
      <c r="CS15" s="6"/>
      <c r="CT15" s="6"/>
      <c r="CU15" s="10"/>
      <c r="CV15" s="10">
        <v>44.8</v>
      </c>
      <c r="CW15" s="10"/>
      <c r="CX15" s="10"/>
      <c r="CY15" s="10"/>
      <c r="CZ15" s="10"/>
      <c r="DA15" s="6">
        <f t="shared" si="0"/>
        <v>44.8</v>
      </c>
    </row>
    <row r="16" spans="1:105" x14ac:dyDescent="0.25">
      <c r="A16">
        <v>6</v>
      </c>
      <c r="B16" s="10" t="s">
        <v>52</v>
      </c>
      <c r="C16" s="6"/>
      <c r="D16" s="6" t="s">
        <v>221</v>
      </c>
      <c r="E16" s="6" t="s">
        <v>37</v>
      </c>
      <c r="F16" s="6"/>
      <c r="G16" s="6"/>
      <c r="H16" s="6"/>
      <c r="I16" s="6"/>
      <c r="J16" s="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10"/>
      <c r="BA16" s="6"/>
      <c r="BB16" s="6"/>
      <c r="BC16" s="6"/>
      <c r="BD16" s="6"/>
      <c r="BE16" s="6"/>
      <c r="BF16" s="6"/>
      <c r="BG16" s="6"/>
      <c r="BH16" s="10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6"/>
      <c r="CL16" s="6"/>
      <c r="CM16" s="10">
        <v>48</v>
      </c>
      <c r="CN16" s="10"/>
      <c r="CO16" s="10">
        <v>36</v>
      </c>
      <c r="CP16" s="10"/>
      <c r="CQ16" s="10"/>
      <c r="CR16" s="10"/>
      <c r="CS16" s="6">
        <f>SUM(CL16:CR16)</f>
        <v>84</v>
      </c>
      <c r="CT16" s="6">
        <f>(CS16-CL16)/2</f>
        <v>42</v>
      </c>
      <c r="CU16" s="10"/>
      <c r="CV16" s="10"/>
      <c r="CW16" s="10"/>
      <c r="CX16" s="10"/>
      <c r="CY16" s="10"/>
      <c r="CZ16" s="10"/>
      <c r="DA16" s="6">
        <f t="shared" si="0"/>
        <v>42</v>
      </c>
    </row>
    <row r="17" spans="1:105" x14ac:dyDescent="0.25">
      <c r="A17">
        <v>7</v>
      </c>
      <c r="B17" s="10" t="s">
        <v>45</v>
      </c>
      <c r="C17" s="6"/>
      <c r="D17" s="6" t="s">
        <v>303</v>
      </c>
      <c r="E17" s="6" t="s">
        <v>16</v>
      </c>
      <c r="F17" s="6"/>
      <c r="G17" s="6"/>
      <c r="H17" s="6"/>
      <c r="I17" s="6"/>
      <c r="J17" s="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10"/>
      <c r="BA17" s="6"/>
      <c r="BB17" s="6"/>
      <c r="BC17" s="6"/>
      <c r="BD17" s="6"/>
      <c r="BE17" s="6"/>
      <c r="BF17" s="6"/>
      <c r="BG17" s="6"/>
      <c r="BH17" s="10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6"/>
      <c r="CL17" s="6"/>
      <c r="CM17" s="10">
        <v>36</v>
      </c>
      <c r="CN17" s="10"/>
      <c r="CO17" s="10">
        <v>39</v>
      </c>
      <c r="CP17" s="10">
        <v>7.5</v>
      </c>
      <c r="CQ17" s="10"/>
      <c r="CR17" s="10"/>
      <c r="CS17" s="6">
        <f>SUM(CL17:CR17)</f>
        <v>82.5</v>
      </c>
      <c r="CT17" s="6">
        <f>(CS17-CL17)/2</f>
        <v>41.25</v>
      </c>
      <c r="CU17" s="10"/>
      <c r="CV17" s="10"/>
      <c r="CW17" s="10"/>
      <c r="CX17" s="10"/>
      <c r="CY17" s="10"/>
      <c r="CZ17" s="10"/>
      <c r="DA17" s="6">
        <f t="shared" si="0"/>
        <v>41.25</v>
      </c>
    </row>
    <row r="18" spans="1:105" x14ac:dyDescent="0.25">
      <c r="A18">
        <v>8</v>
      </c>
      <c r="B18" s="10" t="s">
        <v>362</v>
      </c>
      <c r="C18" s="6"/>
      <c r="D18" s="6" t="s">
        <v>363</v>
      </c>
      <c r="E18" s="6" t="s">
        <v>27</v>
      </c>
      <c r="F18" s="6"/>
      <c r="G18" s="6"/>
      <c r="H18" s="6"/>
      <c r="I18" s="6"/>
      <c r="J18" s="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10"/>
      <c r="BA18" s="6"/>
      <c r="BB18" s="6"/>
      <c r="BC18" s="6"/>
      <c r="BD18" s="6"/>
      <c r="BE18" s="6"/>
      <c r="BF18" s="6"/>
      <c r="BG18" s="6"/>
      <c r="BH18" s="10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6"/>
      <c r="CL18" s="6"/>
      <c r="CM18" s="10"/>
      <c r="CN18" s="10">
        <v>80</v>
      </c>
      <c r="CO18" s="10"/>
      <c r="CP18" s="10"/>
      <c r="CQ18" s="10"/>
      <c r="CR18" s="10"/>
      <c r="CS18" s="6">
        <f>SUM(CL18:CR18)</f>
        <v>80</v>
      </c>
      <c r="CT18" s="6">
        <f>(CS18-CL18)/2</f>
        <v>40</v>
      </c>
      <c r="CU18" s="10"/>
      <c r="CV18" s="10"/>
      <c r="CW18" s="10"/>
      <c r="CX18" s="10"/>
      <c r="CY18" s="10"/>
      <c r="CZ18" s="10"/>
      <c r="DA18" s="6">
        <f t="shared" si="0"/>
        <v>40</v>
      </c>
    </row>
    <row r="19" spans="1:105" x14ac:dyDescent="0.25">
      <c r="A19">
        <v>9</v>
      </c>
      <c r="B19" s="10" t="s">
        <v>405</v>
      </c>
      <c r="C19" s="6"/>
      <c r="D19" s="6" t="s">
        <v>406</v>
      </c>
      <c r="E19" s="6" t="s">
        <v>78</v>
      </c>
      <c r="F19" s="6"/>
      <c r="G19" s="6"/>
      <c r="H19" s="6"/>
      <c r="I19" s="6"/>
      <c r="J19" s="6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10"/>
      <c r="BA19" s="6"/>
      <c r="BB19" s="6"/>
      <c r="BC19" s="6"/>
      <c r="BD19" s="6"/>
      <c r="BE19" s="6"/>
      <c r="BF19" s="6"/>
      <c r="BG19" s="6"/>
      <c r="BH19" s="10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6"/>
      <c r="CL19" s="6"/>
      <c r="CM19" s="10"/>
      <c r="CN19" s="10"/>
      <c r="CO19" s="10"/>
      <c r="CP19" s="10"/>
      <c r="CQ19" s="10"/>
      <c r="CR19" s="10"/>
      <c r="CS19" s="6"/>
      <c r="CT19" s="6"/>
      <c r="CU19" s="10">
        <v>33.6</v>
      </c>
      <c r="CV19" s="10">
        <v>3.2</v>
      </c>
      <c r="CW19" s="10"/>
      <c r="CX19" s="10"/>
      <c r="CY19" s="10"/>
      <c r="CZ19" s="10"/>
      <c r="DA19" s="6">
        <f t="shared" si="0"/>
        <v>36.800000000000004</v>
      </c>
    </row>
    <row r="20" spans="1:105" x14ac:dyDescent="0.25">
      <c r="A20">
        <v>10</v>
      </c>
      <c r="B20" s="10" t="s">
        <v>257</v>
      </c>
      <c r="C20" s="6"/>
      <c r="D20" s="6" t="s">
        <v>258</v>
      </c>
      <c r="E20" s="6" t="s">
        <v>252</v>
      </c>
      <c r="F20" s="6"/>
      <c r="G20" s="6"/>
      <c r="H20" s="6"/>
      <c r="I20" s="6"/>
      <c r="J20" s="6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10"/>
      <c r="BA20" s="6"/>
      <c r="BB20" s="6"/>
      <c r="BC20" s="6"/>
      <c r="BD20" s="6"/>
      <c r="BE20" s="6"/>
      <c r="BF20" s="6"/>
      <c r="BG20" s="6"/>
      <c r="BH20" s="10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6"/>
      <c r="CL20" s="6"/>
      <c r="CM20" s="10">
        <v>2.4</v>
      </c>
      <c r="CN20" s="10">
        <v>4</v>
      </c>
      <c r="CO20" s="10">
        <v>54</v>
      </c>
      <c r="CP20" s="10">
        <v>5</v>
      </c>
      <c r="CQ20" s="10"/>
      <c r="CR20" s="10"/>
      <c r="CS20" s="6">
        <f t="shared" ref="CS20:CS27" si="1">SUM(CL20:CR20)</f>
        <v>65.400000000000006</v>
      </c>
      <c r="CT20" s="6">
        <f t="shared" ref="CT20:CT27" si="2">(CS20-CL20)/2</f>
        <v>32.700000000000003</v>
      </c>
      <c r="CU20" s="10"/>
      <c r="CV20" s="10"/>
      <c r="CW20" s="10"/>
      <c r="CX20" s="10"/>
      <c r="CY20" s="10"/>
      <c r="CZ20" s="10"/>
      <c r="DA20" s="6">
        <f t="shared" si="0"/>
        <v>32.700000000000003</v>
      </c>
    </row>
    <row r="21" spans="1:105" x14ac:dyDescent="0.25">
      <c r="A21">
        <v>11</v>
      </c>
      <c r="B21" s="10" t="s">
        <v>329</v>
      </c>
      <c r="C21" s="6"/>
      <c r="D21" s="6" t="s">
        <v>253</v>
      </c>
      <c r="E21" s="6" t="s">
        <v>330</v>
      </c>
      <c r="F21" s="6"/>
      <c r="G21" s="6"/>
      <c r="H21" s="6"/>
      <c r="I21" s="6"/>
      <c r="J21" s="6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10"/>
      <c r="BA21" s="6"/>
      <c r="BB21" s="6"/>
      <c r="BC21" s="6"/>
      <c r="BD21" s="6"/>
      <c r="BE21" s="6"/>
      <c r="BF21" s="6"/>
      <c r="BG21" s="6"/>
      <c r="BH21" s="10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6"/>
      <c r="CL21" s="6"/>
      <c r="CM21" s="10"/>
      <c r="CN21" s="10"/>
      <c r="CO21" s="10">
        <v>54</v>
      </c>
      <c r="CP21" s="10"/>
      <c r="CQ21" s="10"/>
      <c r="CR21" s="10"/>
      <c r="CS21" s="6">
        <f t="shared" si="1"/>
        <v>54</v>
      </c>
      <c r="CT21" s="6">
        <f t="shared" si="2"/>
        <v>27</v>
      </c>
      <c r="CU21" s="10"/>
      <c r="CV21" s="10"/>
      <c r="CW21" s="10"/>
      <c r="CX21" s="10"/>
      <c r="CY21" s="10"/>
      <c r="CZ21" s="10"/>
      <c r="DA21" s="6">
        <f t="shared" si="0"/>
        <v>27</v>
      </c>
    </row>
    <row r="22" spans="1:105" x14ac:dyDescent="0.25">
      <c r="A22">
        <v>12</v>
      </c>
      <c r="B22" s="10" t="s">
        <v>286</v>
      </c>
      <c r="C22" s="6"/>
      <c r="D22" s="6" t="s">
        <v>248</v>
      </c>
      <c r="E22" s="6" t="s">
        <v>202</v>
      </c>
      <c r="F22" s="6"/>
      <c r="G22" s="6"/>
      <c r="H22" s="6"/>
      <c r="I22" s="6"/>
      <c r="J22" s="6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10"/>
      <c r="BA22" s="6"/>
      <c r="BB22" s="6"/>
      <c r="BC22" s="6"/>
      <c r="BD22" s="6"/>
      <c r="BE22" s="6"/>
      <c r="BF22" s="6"/>
      <c r="BG22" s="6"/>
      <c r="BH22" s="10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6"/>
      <c r="CL22" s="6"/>
      <c r="CM22" s="10">
        <v>33.6</v>
      </c>
      <c r="CN22" s="10">
        <v>4</v>
      </c>
      <c r="CO22" s="10"/>
      <c r="CP22" s="10"/>
      <c r="CQ22" s="10"/>
      <c r="CR22" s="10"/>
      <c r="CS22" s="6">
        <f t="shared" si="1"/>
        <v>37.6</v>
      </c>
      <c r="CT22" s="6">
        <f t="shared" si="2"/>
        <v>18.8</v>
      </c>
      <c r="CU22" s="10"/>
      <c r="CV22" s="10"/>
      <c r="CW22" s="10"/>
      <c r="CX22" s="10"/>
      <c r="CY22" s="10"/>
      <c r="CZ22" s="10"/>
      <c r="DA22" s="6">
        <f t="shared" si="0"/>
        <v>18.8</v>
      </c>
    </row>
    <row r="23" spans="1:105" x14ac:dyDescent="0.25">
      <c r="A23">
        <v>13</v>
      </c>
      <c r="B23" s="10" t="s">
        <v>19</v>
      </c>
      <c r="C23" s="6"/>
      <c r="D23" s="6" t="s">
        <v>88</v>
      </c>
      <c r="E23" s="6" t="s">
        <v>67</v>
      </c>
      <c r="F23" s="6"/>
      <c r="G23" s="6"/>
      <c r="H23" s="6"/>
      <c r="I23" s="6"/>
      <c r="J23" s="6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10"/>
      <c r="BA23" s="6"/>
      <c r="BB23" s="6"/>
      <c r="BC23" s="6"/>
      <c r="BD23" s="6"/>
      <c r="BE23" s="6"/>
      <c r="BF23" s="6"/>
      <c r="BG23" s="6"/>
      <c r="BH23" s="10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6"/>
      <c r="CL23" s="6"/>
      <c r="CM23" s="10"/>
      <c r="CN23" s="10"/>
      <c r="CO23" s="10">
        <v>7.5</v>
      </c>
      <c r="CP23" s="10"/>
      <c r="CQ23" s="10"/>
      <c r="CR23" s="10"/>
      <c r="CS23" s="6">
        <f t="shared" si="1"/>
        <v>7.5</v>
      </c>
      <c r="CT23" s="6">
        <f t="shared" si="2"/>
        <v>3.75</v>
      </c>
      <c r="CU23" s="10"/>
      <c r="CV23" s="10"/>
      <c r="CW23" s="10"/>
      <c r="CX23" s="10"/>
      <c r="CY23" s="10"/>
      <c r="CZ23" s="10"/>
      <c r="DA23" s="6">
        <f t="shared" si="0"/>
        <v>3.75</v>
      </c>
    </row>
    <row r="24" spans="1:105" x14ac:dyDescent="0.25">
      <c r="A24">
        <v>14</v>
      </c>
      <c r="B24" s="10" t="s">
        <v>339</v>
      </c>
      <c r="C24" s="6"/>
      <c r="D24" s="6" t="s">
        <v>218</v>
      </c>
      <c r="E24" s="6" t="s">
        <v>340</v>
      </c>
      <c r="F24" s="6"/>
      <c r="G24" s="6"/>
      <c r="H24" s="6"/>
      <c r="I24" s="6"/>
      <c r="J24" s="6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10"/>
      <c r="BA24" s="6"/>
      <c r="BB24" s="6"/>
      <c r="BC24" s="6"/>
      <c r="BD24" s="6"/>
      <c r="BE24" s="6"/>
      <c r="BF24" s="6"/>
      <c r="BG24" s="6"/>
      <c r="BH24" s="10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6"/>
      <c r="CL24" s="6"/>
      <c r="CM24" s="10"/>
      <c r="CN24" s="10"/>
      <c r="CO24" s="10">
        <v>7.5</v>
      </c>
      <c r="CP24" s="10"/>
      <c r="CQ24" s="10"/>
      <c r="CR24" s="10"/>
      <c r="CS24" s="6">
        <f t="shared" si="1"/>
        <v>7.5</v>
      </c>
      <c r="CT24" s="6">
        <f t="shared" si="2"/>
        <v>3.75</v>
      </c>
      <c r="CU24" s="10"/>
      <c r="CV24" s="10"/>
      <c r="CW24" s="10"/>
      <c r="CX24" s="10"/>
      <c r="CY24" s="10"/>
      <c r="CZ24" s="10"/>
      <c r="DA24" s="6">
        <f t="shared" si="0"/>
        <v>3.75</v>
      </c>
    </row>
    <row r="25" spans="1:105" x14ac:dyDescent="0.25">
      <c r="A25">
        <v>15</v>
      </c>
      <c r="B25" s="10" t="s">
        <v>32</v>
      </c>
      <c r="C25" s="6"/>
      <c r="D25" s="6" t="s">
        <v>14</v>
      </c>
      <c r="E25" s="6" t="s">
        <v>26</v>
      </c>
      <c r="F25" s="6"/>
      <c r="G25" s="6"/>
      <c r="H25" s="6"/>
      <c r="I25" s="6"/>
      <c r="J25" s="6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10"/>
      <c r="BA25" s="6"/>
      <c r="BB25" s="6"/>
      <c r="BC25" s="6"/>
      <c r="BD25" s="6"/>
      <c r="BE25" s="6"/>
      <c r="BF25" s="6"/>
      <c r="BG25" s="6"/>
      <c r="BH25" s="10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6"/>
      <c r="CL25" s="6"/>
      <c r="CM25" s="10">
        <v>2.4</v>
      </c>
      <c r="CN25" s="10"/>
      <c r="CO25" s="10"/>
      <c r="CP25" s="10"/>
      <c r="CQ25" s="10"/>
      <c r="CR25" s="10"/>
      <c r="CS25" s="6">
        <f t="shared" si="1"/>
        <v>2.4</v>
      </c>
      <c r="CT25" s="6">
        <f t="shared" si="2"/>
        <v>1.2</v>
      </c>
      <c r="CU25" s="10"/>
      <c r="CV25" s="10"/>
      <c r="CW25" s="10"/>
      <c r="CX25" s="10"/>
      <c r="CY25" s="10"/>
      <c r="CZ25" s="10"/>
      <c r="DA25" s="6">
        <f t="shared" si="0"/>
        <v>1.2</v>
      </c>
    </row>
    <row r="26" spans="1:105" x14ac:dyDescent="0.25">
      <c r="A26">
        <v>16</v>
      </c>
      <c r="B26" s="10" t="s">
        <v>175</v>
      </c>
      <c r="C26" s="6"/>
      <c r="D26" s="6" t="s">
        <v>47</v>
      </c>
      <c r="E26" s="6" t="s">
        <v>141</v>
      </c>
      <c r="F26" s="6"/>
      <c r="G26" s="6"/>
      <c r="H26" s="6"/>
      <c r="I26" s="6"/>
      <c r="J26" s="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10"/>
      <c r="BA26" s="6"/>
      <c r="BB26" s="6"/>
      <c r="BC26" s="6"/>
      <c r="BD26" s="6"/>
      <c r="BE26" s="6"/>
      <c r="BF26" s="6"/>
      <c r="BG26" s="6"/>
      <c r="BH26" s="10"/>
      <c r="BI26" s="6"/>
      <c r="BJ26" s="6"/>
      <c r="BK26" s="6"/>
      <c r="BL26" s="6">
        <v>48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6">
        <f>SUM(BJ26:CJ26)</f>
        <v>48</v>
      </c>
      <c r="CL26" s="6">
        <f>(CK26-BJ26)/2</f>
        <v>24</v>
      </c>
      <c r="CM26" s="10"/>
      <c r="CN26" s="10"/>
      <c r="CO26" s="10"/>
      <c r="CP26" s="10"/>
      <c r="CQ26" s="10"/>
      <c r="CR26" s="10"/>
      <c r="CS26" s="6">
        <f t="shared" si="1"/>
        <v>24</v>
      </c>
      <c r="CT26" s="6">
        <f t="shared" si="2"/>
        <v>0</v>
      </c>
      <c r="CU26" s="10"/>
      <c r="CV26" s="10"/>
      <c r="CW26" s="10"/>
      <c r="CX26" s="10"/>
      <c r="CY26" s="10"/>
      <c r="CZ26" s="10"/>
      <c r="DA26" s="6">
        <f t="shared" si="0"/>
        <v>0</v>
      </c>
    </row>
    <row r="27" spans="1:105" x14ac:dyDescent="0.25">
      <c r="A27">
        <v>17</v>
      </c>
      <c r="B27" s="10" t="s">
        <v>86</v>
      </c>
      <c r="C27" s="6"/>
      <c r="D27" s="6" t="s">
        <v>229</v>
      </c>
      <c r="E27" s="6" t="s">
        <v>230</v>
      </c>
      <c r="F27" s="6"/>
      <c r="G27" s="6"/>
      <c r="H27" s="6"/>
      <c r="I27" s="6"/>
      <c r="J27" s="6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10"/>
      <c r="BA27" s="6"/>
      <c r="BB27" s="6"/>
      <c r="BC27" s="6"/>
      <c r="BD27" s="6"/>
      <c r="BE27" s="6"/>
      <c r="BF27" s="6"/>
      <c r="BG27" s="6"/>
      <c r="BH27" s="10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10"/>
      <c r="BZ27" s="10"/>
      <c r="CA27" s="10"/>
      <c r="CB27" s="10"/>
      <c r="CC27" s="10"/>
      <c r="CD27" s="10">
        <v>30</v>
      </c>
      <c r="CE27" s="10"/>
      <c r="CF27" s="10"/>
      <c r="CG27" s="10"/>
      <c r="CH27" s="10"/>
      <c r="CI27" s="10"/>
      <c r="CJ27" s="10"/>
      <c r="CK27" s="6">
        <f>SUM(BJ27:CJ27)</f>
        <v>30</v>
      </c>
      <c r="CL27" s="6">
        <f>(CK27-BJ27)/2</f>
        <v>15</v>
      </c>
      <c r="CM27" s="10"/>
      <c r="CN27" s="10"/>
      <c r="CO27" s="10"/>
      <c r="CP27" s="10"/>
      <c r="CQ27" s="10"/>
      <c r="CR27" s="10"/>
      <c r="CS27" s="6">
        <f t="shared" si="1"/>
        <v>15</v>
      </c>
      <c r="CT27" s="6">
        <f t="shared" si="2"/>
        <v>0</v>
      </c>
      <c r="CU27" s="10"/>
      <c r="CV27" s="10"/>
      <c r="CW27" s="10"/>
      <c r="CX27" s="10"/>
      <c r="CY27" s="10"/>
      <c r="CZ27" s="10"/>
      <c r="DA27" s="6">
        <f t="shared" si="0"/>
        <v>0</v>
      </c>
    </row>
  </sheetData>
  <sortState xmlns:xlrd2="http://schemas.microsoft.com/office/spreadsheetml/2017/richdata2" ref="B11:DA27">
    <sortCondition descending="1" ref="DA11:DA27"/>
  </sortState>
  <mergeCells count="5">
    <mergeCell ref="B8:C10"/>
    <mergeCell ref="CO9:CR9"/>
    <mergeCell ref="CW9:CZ9"/>
    <mergeCell ref="D4:DA5"/>
    <mergeCell ref="B1:DA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-32</vt:lpstr>
      <vt:lpstr>-36</vt:lpstr>
      <vt:lpstr>-40</vt:lpstr>
      <vt:lpstr>-44</vt:lpstr>
      <vt:lpstr>-48</vt:lpstr>
      <vt:lpstr>-52</vt:lpstr>
      <vt:lpstr>-57</vt:lpstr>
      <vt:lpstr>-63</vt:lpstr>
      <vt:lpstr>+63</vt:lpstr>
      <vt:lpstr>-35M</vt:lpstr>
      <vt:lpstr>-40M</vt:lpstr>
      <vt:lpstr>-45M</vt:lpstr>
      <vt:lpstr>-50M</vt:lpstr>
      <vt:lpstr>-55M</vt:lpstr>
      <vt:lpstr>-60M</vt:lpstr>
      <vt:lpstr>-66M</vt:lpstr>
      <vt:lpstr>-73M</vt:lpstr>
      <vt:lpstr>+73M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01fejuchile 2025</cp:lastModifiedBy>
  <cp:lastPrinted>2015-03-13T14:15:56Z</cp:lastPrinted>
  <dcterms:created xsi:type="dcterms:W3CDTF">2015-01-14T22:24:54Z</dcterms:created>
  <dcterms:modified xsi:type="dcterms:W3CDTF">2026-09-02T15:20:00Z</dcterms:modified>
</cp:coreProperties>
</file>