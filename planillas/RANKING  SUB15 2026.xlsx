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5.xml" ContentType="application/vnd.ms-excel.person+xml"/>
  <Override PartName="/xl/persons/person19.xml" ContentType="application/vnd.ms-excel.person+xml"/>
  <Override PartName="/xl/persons/person25.xml" ContentType="application/vnd.ms-excel.person+xml"/>
  <Override PartName="/xl/persons/person40.xml" ContentType="application/vnd.ms-excel.person+xml"/>
  <Override PartName="/xl/persons/person46.xml" ContentType="application/vnd.ms-excel.person+xml"/>
  <Override PartName="/xl/persons/person61.xml" ContentType="application/vnd.ms-excel.person+xml"/>
  <Override PartName="/xl/persons/person66.xml" ContentType="application/vnd.ms-excel.person+xml"/>
  <Override PartName="/xl/persons/person9.xml" ContentType="application/vnd.ms-excel.person+xml"/>
  <Override PartName="/xl/persons/person14.xml" ContentType="application/vnd.ms-excel.person+xml"/>
  <Override PartName="/xl/persons/person31.xml" ContentType="application/vnd.ms-excel.person+xml"/>
  <Override PartName="/xl/persons/person35.xml" ContentType="application/vnd.ms-excel.person+xml"/>
  <Override PartName="/xl/persons/person51.xml" ContentType="application/vnd.ms-excel.person+xml"/>
  <Override PartName="/xl/persons/person56.xml" ContentType="application/vnd.ms-excel.person+xml"/>
  <Override PartName="/xl/persons/person68.xml" ContentType="application/vnd.ms-excel.person+xml"/>
  <Override PartName="/xl/persons/person23.xml" ContentType="application/vnd.ms-excel.person+xml"/>
  <Override PartName="/xl/persons/person11.xml" ContentType="application/vnd.ms-excel.person+xml"/>
  <Override PartName="/xl/persons/person26.xml" ContentType="application/vnd.ms-excel.person+xml"/>
  <Override PartName="/xl/persons/person42.xml" ContentType="application/vnd.ms-excel.person+xml"/>
  <Override PartName="/xl/persons/person47.xml" ContentType="application/vnd.ms-excel.person+xml"/>
  <Override PartName="/xl/persons/person29.xml" ContentType="application/vnd.ms-excel.person+xml"/>
  <Override PartName="/xl/persons/person50.xml" ContentType="application/vnd.ms-excel.person+xml"/>
  <Override PartName="/xl/persons/person58.xml" ContentType="application/vnd.ms-excel.person+xml"/>
  <Override PartName="/xl/persons/person63.xml" ContentType="application/vnd.ms-excel.person+xml"/>
  <Override PartName="/xl/persons/person69.xml" ContentType="application/vnd.ms-excel.person+xml"/>
  <Override PartName="/xl/persons/person4.xml" ContentType="application/vnd.ms-excel.person+xml"/>
  <Override PartName="/xl/persons/person10.xml" ContentType="application/vnd.ms-excel.person+xml"/>
  <Override PartName="/xl/persons/person15.xml" ContentType="application/vnd.ms-excel.person+xml"/>
  <Override PartName="/xl/persons/person24.xml" ContentType="application/vnd.ms-excel.person+xml"/>
  <Override PartName="/xl/persons/person37.xml" ContentType="application/vnd.ms-excel.person+xml"/>
  <Override PartName="/xl/persons/person45.xml" ContentType="application/vnd.ms-excel.person+xml"/>
  <Override PartName="/xl/persons/person2.xml" ContentType="application/vnd.ms-excel.person+xml"/>
  <Override PartName="/xl/persons/person62.xml" ContentType="application/vnd.ms-excel.person+xml"/>
  <Override PartName="/xl/persons/person55.xml" ContentType="application/vnd.ms-excel.person+xml"/>
  <Override PartName="/xl/persons/person49.xml" ContentType="application/vnd.ms-excel.person+xml"/>
  <Override PartName="/xl/persons/person41.xml" ContentType="application/vnd.ms-excel.person+xml"/>
  <Override PartName="/xl/persons/person33.xml" ContentType="application/vnd.ms-excel.person+xml"/>
  <Override PartName="/xl/persons/person18.xml" ContentType="application/vnd.ms-excel.person+xml"/>
  <Override PartName="/xl/persons/person64.xml" ContentType="application/vnd.ms-excel.person+xml"/>
  <Override PartName="/xl/persons/person36.xml" ContentType="application/vnd.ms-excel.person+xml"/>
  <Override PartName="/xl/persons/person1.xml" ContentType="application/vnd.ms-excel.person+xml"/>
  <Override PartName="/xl/persons/person6.xml" ContentType="application/vnd.ms-excel.person+xml"/>
  <Override PartName="/xl/persons/person13.xml" ContentType="application/vnd.ms-excel.person+xml"/>
  <Override PartName="/xl/persons/person27.xml" ContentType="application/vnd.ms-excel.person+xml"/>
  <Override PartName="/xl/persons/person67.xml" ContentType="application/vnd.ms-excel.person+xml"/>
  <Override PartName="/xl/persons/person60.xml" ContentType="application/vnd.ms-excel.person+xml"/>
  <Override PartName="/xl/persons/person57.xml" ContentType="application/vnd.ms-excel.person+xml"/>
  <Override PartName="/xl/persons/person52.xml" ContentType="application/vnd.ms-excel.person+xml"/>
  <Override PartName="/xl/persons/person44.xml" ContentType="application/vnd.ms-excel.person+xml"/>
  <Override PartName="/xl/persons/person39.xml" ContentType="application/vnd.ms-excel.person+xml"/>
  <Override PartName="/xl/persons/person7.xml" ContentType="application/vnd.ms-excel.person+xml"/>
  <Override PartName="/xl/persons/person21.xml" ContentType="application/vnd.ms-excel.person+xml"/>
  <Override PartName="/xl/persons/person30.xml" ContentType="application/vnd.ms-excel.person+xml"/>
  <Override PartName="/xl/persons/person17.xml" ContentType="application/vnd.ms-excel.person+xml"/>
  <Override PartName="/xl/persons/person54.xml" ContentType="application/vnd.ms-excel.person+xml"/>
  <Override PartName="/xl/persons/person12.xml" ContentType="application/vnd.ms-excel.person+xml"/>
  <Override PartName="/xl/persons/person28.xml" ContentType="application/vnd.ms-excel.person+xml"/>
  <Override PartName="/xl/persons/person32.xml" ContentType="application/vnd.ms-excel.person+xml"/>
  <Override PartName="/xl/persons/person.xml" ContentType="application/vnd.ms-excel.person+xml"/>
  <Override PartName="/xl/persons/person48.xml" ContentType="application/vnd.ms-excel.person+xml"/>
  <Override PartName="/xl/persons/person0.xml" ContentType="application/vnd.ms-excel.person+xml"/>
  <Override PartName="/xl/persons/person65.xml" ContentType="application/vnd.ms-excel.person+xml"/>
  <Override PartName="/xl/persons/person20.xml" ContentType="application/vnd.ms-excel.person+xml"/>
  <Override PartName="/xl/persons/person3.xml" ContentType="application/vnd.ms-excel.person+xml"/>
  <Override PartName="/xl/persons/person22.xml" ContentType="application/vnd.ms-excel.person+xml"/>
  <Override PartName="/xl/persons/person43.xml" ContentType="application/vnd.ms-excel.person+xml"/>
  <Override PartName="/xl/persons/person38.xml" ContentType="application/vnd.ms-excel.person+xml"/>
  <Override PartName="/xl/persons/person59.xml" ContentType="application/vnd.ms-excel.person+xml"/>
  <Override PartName="/xl/persons/person16.xml" ContentType="application/vnd.ms-excel.person+xml"/>
  <Override PartName="/xl/persons/person8.xml" ContentType="application/vnd.ms-excel.person+xml"/>
  <Override PartName="/xl/persons/person34.xml" ContentType="application/vnd.ms-excel.person+xml"/>
  <Override PartName="/xl/persons/person53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juc\Desktop\jo\2026\RANKING\"/>
    </mc:Choice>
  </mc:AlternateContent>
  <xr:revisionPtr revIDLastSave="0" documentId="13_ncr:1_{483D2CC1-F20D-4E43-A641-BEC1D0ED6CF3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-36" sheetId="33" r:id="rId1"/>
    <sheet name="-40" sheetId="31" r:id="rId2"/>
    <sheet name="-44" sheetId="32" r:id="rId3"/>
    <sheet name="-48" sheetId="1" r:id="rId4"/>
    <sheet name="-52" sheetId="16" r:id="rId5"/>
    <sheet name="-57" sheetId="17" r:id="rId6"/>
    <sheet name="-63" sheetId="18" r:id="rId7"/>
    <sheet name="-70" sheetId="34" r:id="rId8"/>
    <sheet name="+70" sheetId="19" r:id="rId9"/>
    <sheet name="-40m" sheetId="28" r:id="rId10"/>
    <sheet name="-45M" sheetId="29" r:id="rId11"/>
    <sheet name="-50M" sheetId="30" r:id="rId12"/>
    <sheet name="-55M" sheetId="27" r:id="rId13"/>
    <sheet name="-60M" sheetId="22" r:id="rId14"/>
    <sheet name="-66M" sheetId="23" r:id="rId15"/>
    <sheet name="-73M" sheetId="24" r:id="rId16"/>
    <sheet name="-81M" sheetId="35" r:id="rId17"/>
    <sheet name="+81M" sheetId="25" r:id="rId18"/>
  </sheets>
  <calcPr calcId="191029"/>
</workbook>
</file>

<file path=xl/calcChain.xml><?xml version="1.0" encoding="utf-8"?>
<calcChain xmlns="http://schemas.openxmlformats.org/spreadsheetml/2006/main">
  <c r="CQ22" i="19" l="1"/>
  <c r="CX27" i="23"/>
  <c r="CT17" i="35"/>
  <c r="CT21" i="24"/>
  <c r="CF26" i="17"/>
  <c r="CF40" i="17"/>
  <c r="CM26" i="18"/>
  <c r="CF33" i="17" l="1"/>
  <c r="CQ46" i="1"/>
  <c r="DA24" i="22" l="1"/>
  <c r="CQ55" i="16"/>
  <c r="CQ45" i="1"/>
  <c r="BX19" i="32"/>
  <c r="CJ43" i="27"/>
  <c r="CJ42" i="27"/>
  <c r="CJ41" i="27"/>
  <c r="CJ36" i="27"/>
  <c r="BI28" i="29"/>
  <c r="BI30" i="29"/>
  <c r="BE22" i="28"/>
  <c r="CQ21" i="19"/>
  <c r="CC32" i="30"/>
  <c r="CC41" i="30"/>
  <c r="CQ58" i="16"/>
  <c r="CJ35" i="27"/>
  <c r="DA47" i="22"/>
  <c r="CF31" i="17"/>
  <c r="CQ27" i="1"/>
  <c r="CQ31" i="1"/>
  <c r="CT20" i="24"/>
  <c r="CF22" i="17"/>
  <c r="DA38" i="22"/>
  <c r="CJ27" i="27"/>
  <c r="BI18" i="29"/>
  <c r="BI34" i="29"/>
  <c r="CC15" i="27"/>
  <c r="CJ25" i="27"/>
  <c r="CC25" i="27"/>
  <c r="CC21" i="27"/>
  <c r="CQ50" i="16" l="1"/>
  <c r="CQ53" i="16"/>
  <c r="BX26" i="32"/>
  <c r="CT16" i="24"/>
  <c r="CT13" i="24"/>
  <c r="CT29" i="24"/>
  <c r="CT15" i="24"/>
  <c r="CT19" i="24"/>
  <c r="DA43" i="22"/>
  <c r="CJ39" i="27"/>
  <c r="CC34" i="30"/>
  <c r="CC38" i="30"/>
  <c r="BI26" i="29"/>
  <c r="BI35" i="29"/>
  <c r="BE27" i="28"/>
  <c r="CT15" i="35"/>
  <c r="CF21" i="17"/>
  <c r="CF36" i="17"/>
  <c r="CQ41" i="1"/>
  <c r="CC40" i="30"/>
  <c r="BI20" i="29"/>
  <c r="CM21" i="18"/>
  <c r="CM24" i="18"/>
  <c r="CQ34" i="16"/>
  <c r="CQ52" i="16"/>
  <c r="CQ35" i="16"/>
  <c r="CQ29" i="1"/>
  <c r="BD11" i="31"/>
  <c r="BD19" i="31"/>
  <c r="CU15" i="25"/>
  <c r="DA19" i="22"/>
  <c r="DA29" i="22"/>
  <c r="DA41" i="22"/>
  <c r="CC23" i="30"/>
  <c r="CC37" i="30"/>
  <c r="BX15" i="32"/>
  <c r="CQ15" i="23"/>
  <c r="CQ26" i="16"/>
  <c r="CB16" i="27"/>
  <c r="CJ19" i="16"/>
  <c r="BB12" i="29"/>
  <c r="BB25" i="29"/>
  <c r="BV13" i="30" l="1"/>
  <c r="CF13" i="34"/>
  <c r="CM12" i="24"/>
  <c r="AX17" i="28"/>
  <c r="CQ19" i="19"/>
  <c r="CQ24" i="16"/>
  <c r="CQ33" i="16"/>
  <c r="CT16" i="35"/>
  <c r="CT11" i="24"/>
  <c r="DA37" i="22"/>
  <c r="CJ15" i="27"/>
  <c r="CC13" i="30"/>
  <c r="CC30" i="30"/>
  <c r="BI25" i="29"/>
  <c r="CQ15" i="1"/>
  <c r="CQ19" i="1"/>
  <c r="AW17" i="31"/>
  <c r="BD17" i="31" s="1"/>
  <c r="CC20" i="30"/>
  <c r="CC30" i="27"/>
  <c r="DA30" i="22" l="1"/>
  <c r="BE24" i="28"/>
  <c r="AX24" i="28"/>
  <c r="CT13" i="35"/>
  <c r="CT14" i="35"/>
  <c r="CT12" i="35"/>
  <c r="CT18" i="35"/>
  <c r="CT12" i="24"/>
  <c r="CX19" i="23"/>
  <c r="DA18" i="22"/>
  <c r="CJ11" i="27"/>
  <c r="CJ34" i="27"/>
  <c r="CJ18" i="27"/>
  <c r="CC27" i="30"/>
  <c r="CC28" i="30"/>
  <c r="BI15" i="29"/>
  <c r="BI23" i="29"/>
  <c r="BE17" i="28"/>
  <c r="CQ19" i="16"/>
  <c r="CQ44" i="1"/>
  <c r="BX14" i="32"/>
  <c r="BD15" i="31"/>
  <c r="CC17" i="27"/>
  <c r="CJ17" i="27" s="1"/>
  <c r="AX12" i="28" l="1"/>
  <c r="CQ23" i="23"/>
  <c r="CX23" i="23" s="1"/>
  <c r="CT15" i="22" l="1"/>
  <c r="BB11" i="29"/>
  <c r="CJ11" i="16" l="1"/>
  <c r="CM14" i="35"/>
  <c r="DA28" i="22"/>
  <c r="BE12" i="28"/>
  <c r="CQ24" i="1" l="1"/>
  <c r="CQ28" i="1"/>
  <c r="CU30" i="25"/>
  <c r="CF11" i="17"/>
  <c r="CF19" i="17"/>
  <c r="CF39" i="17"/>
  <c r="CM12" i="18"/>
  <c r="CM17" i="18"/>
  <c r="DA15" i="22"/>
  <c r="CJ24" i="27"/>
  <c r="DA46" i="22"/>
  <c r="DA25" i="22"/>
  <c r="BE21" i="28"/>
  <c r="CQ27" i="16"/>
  <c r="CQ15" i="19"/>
  <c r="CQ18" i="19"/>
  <c r="BI12" i="29"/>
  <c r="BI29" i="29"/>
  <c r="CQ32" i="16"/>
  <c r="CQ38" i="1"/>
  <c r="BE28" i="28"/>
  <c r="BE18" i="28"/>
  <c r="CX22" i="23"/>
  <c r="CX15" i="23"/>
  <c r="CJ44" i="27"/>
  <c r="CJ14" i="27"/>
  <c r="CQ22" i="16"/>
  <c r="BX12" i="32"/>
  <c r="CF20" i="17"/>
  <c r="CF29" i="17"/>
  <c r="CQ14" i="16"/>
  <c r="CQ17" i="16"/>
  <c r="CQ14" i="1"/>
  <c r="CQ17" i="1"/>
  <c r="CQ30" i="1"/>
  <c r="CQ42" i="1"/>
  <c r="CX14" i="23"/>
  <c r="CX20" i="23"/>
  <c r="CJ38" i="27"/>
  <c r="CJ40" i="27"/>
  <c r="CJ21" i="27"/>
  <c r="CJ30" i="27"/>
  <c r="CC26" i="30"/>
  <c r="CC36" i="30"/>
  <c r="BI11" i="29"/>
  <c r="BI33" i="29"/>
  <c r="BE19" i="28"/>
  <c r="BE16" i="28"/>
  <c r="CM14" i="34"/>
  <c r="CM12" i="34"/>
  <c r="CM16" i="34"/>
  <c r="CM13" i="34"/>
  <c r="CM15" i="34"/>
  <c r="CM17" i="34"/>
  <c r="CM18" i="34"/>
  <c r="CM19" i="34"/>
  <c r="CM20" i="34"/>
  <c r="CT18" i="24"/>
  <c r="CC11" i="30"/>
  <c r="CM16" i="18"/>
  <c r="CM11" i="34"/>
  <c r="CQ57" i="16"/>
  <c r="CF25" i="17"/>
  <c r="CF32" i="17"/>
  <c r="CF24" i="17"/>
  <c r="DA17" i="22"/>
  <c r="DA21" i="22"/>
  <c r="BI27" i="29"/>
  <c r="BI24" i="29"/>
  <c r="CQ28" i="23"/>
  <c r="CF11" i="18"/>
  <c r="CX28" i="23" l="1"/>
  <c r="BE20" i="28"/>
  <c r="BE23" i="28"/>
  <c r="BE26" i="28"/>
  <c r="CC31" i="30"/>
  <c r="CC24" i="30"/>
  <c r="CT11" i="35"/>
  <c r="CU13" i="25"/>
  <c r="CQ17" i="19"/>
  <c r="CM11" i="18"/>
  <c r="CF30" i="17"/>
  <c r="CQ56" i="16"/>
  <c r="CQ31" i="16"/>
  <c r="AA13" i="33"/>
  <c r="BX20" i="32"/>
  <c r="CE18" i="18" l="1"/>
  <c r="CF18" i="18" s="1"/>
  <c r="CM18" i="18" s="1"/>
  <c r="CQ11" i="16"/>
  <c r="CI51" i="16"/>
  <c r="CJ51" i="16" s="1"/>
  <c r="CQ51" i="16" s="1"/>
  <c r="CI28" i="16"/>
  <c r="CJ28" i="16" s="1"/>
  <c r="CQ28" i="16" s="1"/>
  <c r="CS22" i="22"/>
  <c r="CT22" i="22" s="1"/>
  <c r="DA22" i="22" s="1"/>
  <c r="CS40" i="22"/>
  <c r="CT40" i="22" s="1"/>
  <c r="DA40" i="22" s="1"/>
  <c r="CC19" i="27"/>
  <c r="CJ19" i="27" s="1"/>
  <c r="CL23" i="24"/>
  <c r="CM23" i="24" s="1"/>
  <c r="CT23" i="24" s="1"/>
  <c r="BP23" i="32"/>
  <c r="BQ23" i="32" s="1"/>
  <c r="BX23" i="32" s="1"/>
  <c r="BA19" i="29" l="1"/>
  <c r="BB19" i="29" s="1"/>
  <c r="BI19" i="29" s="1"/>
  <c r="AV16" i="31"/>
  <c r="AW16" i="31" s="1"/>
  <c r="BD16" i="31" s="1"/>
  <c r="BX38" i="17"/>
  <c r="BY38" i="17" s="1"/>
  <c r="CF38" i="17" s="1"/>
  <c r="BP25" i="32"/>
  <c r="BQ25" i="32" s="1"/>
  <c r="BX25" i="32" s="1"/>
  <c r="CP12" i="23"/>
  <c r="CQ12" i="23" s="1"/>
  <c r="CX12" i="23" s="1"/>
  <c r="CP30" i="23"/>
  <c r="CQ30" i="23" s="1"/>
  <c r="CX30" i="23" s="1"/>
  <c r="CS20" i="22"/>
  <c r="CT20" i="22" s="1"/>
  <c r="DA20" i="22" s="1"/>
  <c r="CB32" i="27"/>
  <c r="CC32" i="27" s="1"/>
  <c r="CJ32" i="27" s="1"/>
  <c r="CB28" i="27"/>
  <c r="CC28" i="27" s="1"/>
  <c r="CJ28" i="27" s="1"/>
  <c r="BU39" i="30"/>
  <c r="BV39" i="30" s="1"/>
  <c r="CC39" i="30" s="1"/>
  <c r="BA21" i="29"/>
  <c r="BB21" i="29" s="1"/>
  <c r="BI21" i="29" s="1"/>
  <c r="AW11" i="28"/>
  <c r="AX11" i="28" s="1"/>
  <c r="BE11" i="28" s="1"/>
  <c r="AW14" i="28"/>
  <c r="AX14" i="28" s="1"/>
  <c r="BE14" i="28" s="1"/>
  <c r="AW15" i="28"/>
  <c r="AX15" i="28" s="1"/>
  <c r="BE15" i="28" s="1"/>
  <c r="BU35" i="30"/>
  <c r="BV35" i="30" s="1"/>
  <c r="CC35" i="30" s="1"/>
  <c r="CI25" i="19"/>
  <c r="CJ25" i="19" s="1"/>
  <c r="CQ25" i="19" s="1"/>
  <c r="BX23" i="17"/>
  <c r="BY23" i="17" s="1"/>
  <c r="CF23" i="17" s="1"/>
  <c r="CI47" i="1"/>
  <c r="CJ47" i="1" s="1"/>
  <c r="CQ47" i="1" s="1"/>
  <c r="CS34" i="22"/>
  <c r="CT34" i="22" s="1"/>
  <c r="DA34" i="22" s="1"/>
  <c r="CB45" i="27"/>
  <c r="CC45" i="27" s="1"/>
  <c r="CJ45" i="27" s="1"/>
  <c r="CI16" i="1"/>
  <c r="CJ16" i="1" s="1"/>
  <c r="CQ16" i="1" s="1"/>
  <c r="CI13" i="1"/>
  <c r="CJ13" i="1" s="1"/>
  <c r="CQ13" i="1" s="1"/>
  <c r="CI12" i="1"/>
  <c r="CJ12" i="1" s="1"/>
  <c r="CQ12" i="1" s="1"/>
  <c r="CI22" i="1"/>
  <c r="CJ22" i="1" s="1"/>
  <c r="CQ22" i="1" s="1"/>
  <c r="CI33" i="1"/>
  <c r="CJ33" i="1" s="1"/>
  <c r="CQ33" i="1" s="1"/>
  <c r="CI34" i="1"/>
  <c r="CJ34" i="1" s="1"/>
  <c r="CQ34" i="1" s="1"/>
  <c r="CI18" i="1"/>
  <c r="CJ18" i="1" s="1"/>
  <c r="CQ18" i="1" s="1"/>
  <c r="CI36" i="1"/>
  <c r="CJ36" i="1" s="1"/>
  <c r="CQ36" i="1" s="1"/>
  <c r="CI37" i="1"/>
  <c r="CJ37" i="1" s="1"/>
  <c r="CQ37" i="1" s="1"/>
  <c r="CI20" i="1"/>
  <c r="CJ20" i="1" s="1"/>
  <c r="CQ20" i="1" s="1"/>
  <c r="CI39" i="1"/>
  <c r="CJ39" i="1" s="1"/>
  <c r="CQ39" i="1" s="1"/>
  <c r="CI40" i="1"/>
  <c r="CJ40" i="1" s="1"/>
  <c r="CQ40" i="1" s="1"/>
  <c r="CI48" i="1"/>
  <c r="CJ48" i="1" s="1"/>
  <c r="CQ48" i="1" s="1"/>
  <c r="CI35" i="1"/>
  <c r="CJ35" i="1" s="1"/>
  <c r="CQ35" i="1" s="1"/>
  <c r="CI32" i="1"/>
  <c r="CJ32" i="1" s="1"/>
  <c r="CQ32" i="1" s="1"/>
  <c r="BP18" i="32"/>
  <c r="BQ18" i="32" s="1"/>
  <c r="BX18" i="32" s="1"/>
  <c r="CL27" i="24"/>
  <c r="CM27" i="24" s="1"/>
  <c r="CT27" i="24" s="1"/>
  <c r="CS33" i="22"/>
  <c r="CT33" i="22" s="1"/>
  <c r="DA33" i="22" s="1"/>
  <c r="DA12" i="22"/>
  <c r="BA13" i="29"/>
  <c r="BB13" i="29" s="1"/>
  <c r="BI13" i="29" s="1"/>
  <c r="CM32" i="25"/>
  <c r="CN32" i="25" s="1"/>
  <c r="CU32" i="25" s="1"/>
  <c r="CP34" i="23" l="1"/>
  <c r="CQ34" i="23" s="1"/>
  <c r="CX34" i="23" s="1"/>
  <c r="CL32" i="24"/>
  <c r="CM32" i="24" s="1"/>
  <c r="CT32" i="24" s="1"/>
  <c r="CE27" i="18" l="1"/>
  <c r="CF27" i="18" s="1"/>
  <c r="CM27" i="18" s="1"/>
  <c r="CP37" i="23"/>
  <c r="CQ37" i="23" s="1"/>
  <c r="CX37" i="23" s="1"/>
  <c r="CS49" i="22"/>
  <c r="CT49" i="22" s="1"/>
  <c r="DA49" i="22" s="1"/>
  <c r="CB22" i="27"/>
  <c r="CC22" i="27" s="1"/>
  <c r="CJ22" i="27" s="1"/>
  <c r="CL17" i="24"/>
  <c r="CM17" i="24" s="1"/>
  <c r="CT17" i="24" s="1"/>
  <c r="CL26" i="24" l="1"/>
  <c r="CM26" i="24" s="1"/>
  <c r="CT26" i="24" s="1"/>
  <c r="CM25" i="25"/>
  <c r="CN25" i="25" s="1"/>
  <c r="CU25" i="25" s="1"/>
  <c r="CE25" i="18"/>
  <c r="CF25" i="18" s="1"/>
  <c r="CM25" i="18" s="1"/>
  <c r="BX35" i="17"/>
  <c r="BY35" i="17" s="1"/>
  <c r="CF35" i="17" s="1"/>
  <c r="BX37" i="17"/>
  <c r="BY37" i="17" s="1"/>
  <c r="CF37" i="17" s="1"/>
  <c r="CL14" i="24"/>
  <c r="CM14" i="24" s="1"/>
  <c r="CT14" i="24" s="1"/>
  <c r="CB20" i="27"/>
  <c r="CC20" i="27" s="1"/>
  <c r="CJ20" i="27" s="1"/>
  <c r="CL11" i="22"/>
  <c r="CF18" i="25"/>
  <c r="BP21" i="32" l="1"/>
  <c r="BQ21" i="32" s="1"/>
  <c r="BX21" i="32" s="1"/>
  <c r="CI20" i="19"/>
  <c r="CJ20" i="19" s="1"/>
  <c r="CQ20" i="19" s="1"/>
  <c r="CE15" i="18"/>
  <c r="CF15" i="18" s="1"/>
  <c r="CM15" i="18" s="1"/>
  <c r="CB23" i="1"/>
  <c r="CI23" i="1" s="1"/>
  <c r="CJ23" i="1" s="1"/>
  <c r="CQ23" i="1" s="1"/>
  <c r="AP13" i="28" l="1"/>
  <c r="AW13" i="28" s="1"/>
  <c r="AX13" i="28" s="1"/>
  <c r="BE13" i="28" s="1"/>
  <c r="AP25" i="28" l="1"/>
  <c r="AW25" i="28" s="1"/>
  <c r="AX25" i="28" s="1"/>
  <c r="BE25" i="28" s="1"/>
  <c r="BN16" i="30"/>
  <c r="CB38" i="16" l="1"/>
  <c r="CB12" i="16" l="1"/>
  <c r="CB11" i="1"/>
  <c r="CI11" i="1" s="1"/>
  <c r="CJ11" i="1" s="1"/>
  <c r="CQ11" i="1" s="1"/>
  <c r="BX20" i="18"/>
  <c r="CI36" i="16"/>
  <c r="CJ36" i="16" s="1"/>
  <c r="CQ36" i="16" s="1"/>
  <c r="BP11" i="32"/>
  <c r="BQ11" i="32" s="1"/>
  <c r="BX11" i="32" s="1"/>
  <c r="CB33" i="27"/>
  <c r="CC33" i="27" s="1"/>
  <c r="CJ33" i="27" s="1"/>
  <c r="BN19" i="30"/>
  <c r="CE23" i="18"/>
  <c r="CF23" i="18" s="1"/>
  <c r="CM23" i="18" s="1"/>
  <c r="AV14" i="31"/>
  <c r="AW14" i="31" s="1"/>
  <c r="BD14" i="31" s="1"/>
  <c r="CS36" i="22"/>
  <c r="CT36" i="22" s="1"/>
  <c r="DA36" i="22" s="1"/>
  <c r="BA32" i="29"/>
  <c r="BB32" i="29" s="1"/>
  <c r="BI32" i="29" s="1"/>
  <c r="BX18" i="17"/>
  <c r="BY18" i="17" s="1"/>
  <c r="CF18" i="17" s="1"/>
  <c r="BP17" i="32"/>
  <c r="BQ17" i="32" s="1"/>
  <c r="BX17" i="32" s="1"/>
  <c r="CM29" i="25"/>
  <c r="CN29" i="25" s="1"/>
  <c r="CU29" i="25" s="1"/>
  <c r="CM20" i="25"/>
  <c r="CN20" i="25" s="1"/>
  <c r="CU20" i="25" s="1"/>
  <c r="CM26" i="25"/>
  <c r="CN26" i="25" s="1"/>
  <c r="CU26" i="25" s="1"/>
  <c r="CL24" i="24"/>
  <c r="CM24" i="24" s="1"/>
  <c r="CT24" i="24" s="1"/>
  <c r="CL30" i="24"/>
  <c r="CM30" i="24" s="1"/>
  <c r="CT30" i="24" s="1"/>
  <c r="CL28" i="24"/>
  <c r="CM28" i="24" s="1"/>
  <c r="CT28" i="24" s="1"/>
  <c r="CP16" i="23"/>
  <c r="CQ16" i="23" s="1"/>
  <c r="CX16" i="23" s="1"/>
  <c r="CP36" i="23"/>
  <c r="CQ36" i="23" s="1"/>
  <c r="CX36" i="23" s="1"/>
  <c r="BN14" i="30"/>
  <c r="CL14" i="22"/>
  <c r="BQ34" i="17"/>
  <c r="CB21" i="1"/>
  <c r="CI21" i="1" s="1"/>
  <c r="CJ21" i="1" s="1"/>
  <c r="CQ21" i="1" s="1"/>
  <c r="L11" i="33"/>
  <c r="CB14" i="19" l="1"/>
  <c r="CI23" i="16" l="1"/>
  <c r="CJ23" i="16" s="1"/>
  <c r="CQ23" i="16" s="1"/>
  <c r="CI39" i="16"/>
  <c r="CJ39" i="16" s="1"/>
  <c r="CQ39" i="16" s="1"/>
  <c r="AV13" i="31"/>
  <c r="AW13" i="31" s="1"/>
  <c r="BD13" i="31" s="1"/>
  <c r="CP18" i="23"/>
  <c r="CQ18" i="23" s="1"/>
  <c r="CX18" i="23" s="1"/>
  <c r="CP17" i="23"/>
  <c r="CQ17" i="23" s="1"/>
  <c r="CX17" i="23" s="1"/>
  <c r="CP32" i="23"/>
  <c r="CQ32" i="23" s="1"/>
  <c r="CX32" i="23" s="1"/>
  <c r="CS44" i="22"/>
  <c r="CT44" i="22" s="1"/>
  <c r="DA44" i="22" s="1"/>
  <c r="CS45" i="22"/>
  <c r="CT45" i="22" s="1"/>
  <c r="DA45" i="22" s="1"/>
  <c r="CB29" i="27"/>
  <c r="CC29" i="27" s="1"/>
  <c r="CJ29" i="27" s="1"/>
  <c r="CC16" i="27"/>
  <c r="CJ16" i="27" s="1"/>
  <c r="BU22" i="30"/>
  <c r="BV22" i="30" s="1"/>
  <c r="CC22" i="30" s="1"/>
  <c r="BI17" i="29"/>
  <c r="CE14" i="18" l="1"/>
  <c r="CF14" i="18" s="1"/>
  <c r="CM14" i="18" s="1"/>
  <c r="CE20" i="18"/>
  <c r="CF20" i="18" s="1"/>
  <c r="CM20" i="18" s="1"/>
  <c r="BX34" i="17"/>
  <c r="BY34" i="17" s="1"/>
  <c r="CF34" i="17" s="1"/>
  <c r="CI40" i="16"/>
  <c r="CJ40" i="16" s="1"/>
  <c r="CQ40" i="16" s="1"/>
  <c r="CI46" i="16"/>
  <c r="CJ46" i="16" s="1"/>
  <c r="CQ46" i="16" s="1"/>
  <c r="CM12" i="25"/>
  <c r="CN12" i="25" s="1"/>
  <c r="CU12" i="25" s="1"/>
  <c r="CM18" i="25"/>
  <c r="CN18" i="25" s="1"/>
  <c r="CU18" i="25" s="1"/>
  <c r="CM19" i="25"/>
  <c r="CN19" i="25" s="1"/>
  <c r="CU19" i="25" s="1"/>
  <c r="CM27" i="25"/>
  <c r="CN27" i="25" s="1"/>
  <c r="CU27" i="25" s="1"/>
  <c r="CM28" i="25"/>
  <c r="CN28" i="25" s="1"/>
  <c r="CU28" i="25" s="1"/>
  <c r="CL22" i="24"/>
  <c r="CM22" i="24" s="1"/>
  <c r="CT22" i="24" s="1"/>
  <c r="CP21" i="23"/>
  <c r="CQ21" i="23" s="1"/>
  <c r="CX21" i="23" s="1"/>
  <c r="CP13" i="23"/>
  <c r="CQ13" i="23" s="1"/>
  <c r="CX13" i="23" s="1"/>
  <c r="CP35" i="23"/>
  <c r="CQ35" i="23" s="1"/>
  <c r="CX35" i="23" s="1"/>
  <c r="CS23" i="22"/>
  <c r="CT23" i="22" s="1"/>
  <c r="DA23" i="22" s="1"/>
  <c r="CS14" i="22"/>
  <c r="CT14" i="22" s="1"/>
  <c r="DA14" i="22" s="1"/>
  <c r="BU14" i="30"/>
  <c r="BV14" i="30" s="1"/>
  <c r="CC14" i="30" s="1"/>
  <c r="BU25" i="30"/>
  <c r="BV25" i="30" s="1"/>
  <c r="CC25" i="30" s="1"/>
  <c r="CB21" i="16"/>
  <c r="CI12" i="19" l="1"/>
  <c r="CJ12" i="19" s="1"/>
  <c r="CQ12" i="19" s="1"/>
  <c r="CI60" i="16"/>
  <c r="CJ60" i="16" s="1"/>
  <c r="CQ60" i="16" s="1"/>
  <c r="CS16" i="22" l="1"/>
  <c r="CT16" i="22" s="1"/>
  <c r="DA16" i="22" s="1"/>
  <c r="CS27" i="22"/>
  <c r="CT27" i="22" s="1"/>
  <c r="DA27" i="22" s="1"/>
  <c r="CS31" i="22"/>
  <c r="CT31" i="22" s="1"/>
  <c r="DA31" i="22" s="1"/>
  <c r="CI11" i="23"/>
  <c r="CP29" i="23"/>
  <c r="CQ29" i="23" s="1"/>
  <c r="CX29" i="23" s="1"/>
  <c r="CP24" i="23"/>
  <c r="CQ24" i="23" s="1"/>
  <c r="CX24" i="23" s="1"/>
  <c r="CP26" i="23"/>
  <c r="CQ26" i="23" s="1"/>
  <c r="CX26" i="23" s="1"/>
  <c r="BU17" i="30" l="1"/>
  <c r="BV17" i="30" s="1"/>
  <c r="CC17" i="30" s="1"/>
  <c r="AV18" i="31"/>
  <c r="AW18" i="31" s="1"/>
  <c r="BD18" i="31" s="1"/>
  <c r="BP16" i="32"/>
  <c r="BQ16" i="32" s="1"/>
  <c r="BX16" i="32" s="1"/>
  <c r="CI24" i="19"/>
  <c r="CJ24" i="19" s="1"/>
  <c r="CQ24" i="19" s="1"/>
  <c r="BU15" i="30"/>
  <c r="BV15" i="30" s="1"/>
  <c r="CC15" i="30" s="1"/>
  <c r="BA14" i="29"/>
  <c r="BB14" i="29" s="1"/>
  <c r="BI14" i="29" s="1"/>
  <c r="CM24" i="25"/>
  <c r="CN24" i="25" s="1"/>
  <c r="CU24" i="25" s="1"/>
  <c r="CS11" i="22"/>
  <c r="CT11" i="22" s="1"/>
  <c r="DA11" i="22" s="1"/>
  <c r="CS32" i="22"/>
  <c r="CT32" i="22" s="1"/>
  <c r="DA32" i="22" s="1"/>
  <c r="CP31" i="23"/>
  <c r="CQ31" i="23" s="1"/>
  <c r="CX31" i="23" s="1"/>
  <c r="AT16" i="29"/>
  <c r="BA16" i="29" s="1"/>
  <c r="BB16" i="29" s="1"/>
  <c r="BI16" i="29" s="1"/>
  <c r="BX27" i="17"/>
  <c r="BY27" i="17" s="1"/>
  <c r="CF27" i="17" s="1"/>
  <c r="CI43" i="16"/>
  <c r="CJ43" i="16" s="1"/>
  <c r="CQ43" i="16" s="1"/>
  <c r="CB31" i="27" l="1"/>
  <c r="CC31" i="27" s="1"/>
  <c r="CJ31" i="27" s="1"/>
  <c r="CI23" i="19" l="1"/>
  <c r="CJ23" i="19" s="1"/>
  <c r="CQ23" i="19" s="1"/>
  <c r="BU18" i="30"/>
  <c r="BV18" i="30" s="1"/>
  <c r="CC18" i="30" s="1"/>
  <c r="BU33" i="30"/>
  <c r="BV33" i="30" s="1"/>
  <c r="CC33" i="30" s="1"/>
  <c r="BU21" i="30"/>
  <c r="BV21" i="30" s="1"/>
  <c r="CC21" i="30" s="1"/>
  <c r="CI21" i="16"/>
  <c r="CJ21" i="16" s="1"/>
  <c r="CQ21" i="16" s="1"/>
  <c r="CI12" i="16"/>
  <c r="CJ12" i="16" s="1"/>
  <c r="CQ12" i="16" s="1"/>
  <c r="CI45" i="16"/>
  <c r="CJ45" i="16" s="1"/>
  <c r="CQ45" i="16" s="1"/>
  <c r="BP13" i="32"/>
  <c r="BQ13" i="32" s="1"/>
  <c r="BX13" i="32" s="1"/>
  <c r="CP33" i="23"/>
  <c r="CQ33" i="23" s="1"/>
  <c r="CX33" i="23" s="1"/>
  <c r="S12" i="33"/>
  <c r="T12" i="33" s="1"/>
  <c r="AA12" i="33" s="1"/>
  <c r="CM11" i="25"/>
  <c r="CN11" i="25" s="1"/>
  <c r="CU11" i="25" s="1"/>
  <c r="CM21" i="25"/>
  <c r="CN21" i="25" s="1"/>
  <c r="CU21" i="25" s="1"/>
  <c r="CI41" i="16"/>
  <c r="CJ41" i="16" s="1"/>
  <c r="CQ41" i="16" s="1"/>
  <c r="CI25" i="16"/>
  <c r="CJ25" i="16" s="1"/>
  <c r="CQ25" i="16" s="1"/>
  <c r="CM14" i="25"/>
  <c r="CN14" i="25" s="1"/>
  <c r="CU14" i="25" s="1"/>
  <c r="CS39" i="22"/>
  <c r="CT39" i="22" s="1"/>
  <c r="DA39" i="22" s="1"/>
  <c r="CB12" i="27"/>
  <c r="CC12" i="27" s="1"/>
  <c r="CJ12" i="27" s="1"/>
  <c r="AV12" i="31"/>
  <c r="AW12" i="31" s="1"/>
  <c r="BD12" i="31" s="1"/>
  <c r="BX17" i="17"/>
  <c r="BY17" i="17" s="1"/>
  <c r="CF17" i="17" s="1"/>
  <c r="CM23" i="25"/>
  <c r="CN23" i="25" s="1"/>
  <c r="CU23" i="25" s="1"/>
  <c r="CM16" i="25"/>
  <c r="CN16" i="25" s="1"/>
  <c r="CU16" i="25" s="1"/>
  <c r="CM22" i="25"/>
  <c r="CN22" i="25" s="1"/>
  <c r="CU22" i="25" s="1"/>
  <c r="CM33" i="25"/>
  <c r="CN33" i="25" s="1"/>
  <c r="CU33" i="25" s="1"/>
  <c r="CM17" i="25"/>
  <c r="CN17" i="25" s="1"/>
  <c r="CU17" i="25" s="1"/>
  <c r="CM31" i="25"/>
  <c r="CN31" i="25" s="1"/>
  <c r="CU31" i="25" s="1"/>
  <c r="CL31" i="24"/>
  <c r="CM31" i="24" s="1"/>
  <c r="CT31" i="24" s="1"/>
  <c r="BX16" i="17"/>
  <c r="BY16" i="17" s="1"/>
  <c r="CF16" i="17" s="1"/>
  <c r="BX15" i="17"/>
  <c r="BY15" i="17" s="1"/>
  <c r="CF15" i="17" s="1"/>
  <c r="CS48" i="22"/>
  <c r="CT48" i="22" s="1"/>
  <c r="DA48" i="22" s="1"/>
  <c r="CI38" i="16"/>
  <c r="CJ38" i="16" s="1"/>
  <c r="CQ38" i="16" s="1"/>
  <c r="CI59" i="16"/>
  <c r="CJ59" i="16" s="1"/>
  <c r="CQ59" i="16" s="1"/>
  <c r="CI16" i="16"/>
  <c r="CJ16" i="16" s="1"/>
  <c r="CQ16" i="16" s="1"/>
  <c r="CC16" i="30"/>
  <c r="BU42" i="30"/>
  <c r="BV42" i="30" s="1"/>
  <c r="CC42" i="30" s="1"/>
  <c r="CB13" i="27"/>
  <c r="CC13" i="27" s="1"/>
  <c r="CJ13" i="27" s="1"/>
  <c r="BP28" i="32"/>
  <c r="BQ28" i="32" s="1"/>
  <c r="BX28" i="32" s="1"/>
  <c r="CI30" i="16" l="1"/>
  <c r="CJ30" i="16" s="1"/>
  <c r="CQ30" i="16" s="1"/>
  <c r="CI42" i="16"/>
  <c r="CJ42" i="16" s="1"/>
  <c r="CQ42" i="16" s="1"/>
  <c r="BA22" i="29"/>
  <c r="BB22" i="29" s="1"/>
  <c r="BI22" i="29" s="1"/>
  <c r="CI18" i="16"/>
  <c r="CJ18" i="16" s="1"/>
  <c r="CQ18" i="16" s="1"/>
  <c r="BU12" i="30"/>
  <c r="BV12" i="30" s="1"/>
  <c r="CC12" i="30" s="1"/>
  <c r="BA31" i="29"/>
  <c r="BB31" i="29" s="1"/>
  <c r="BI31" i="29" s="1"/>
  <c r="CI14" i="19"/>
  <c r="CJ14" i="19" s="1"/>
  <c r="CQ14" i="19" s="1"/>
  <c r="CI11" i="19"/>
  <c r="CJ11" i="19" s="1"/>
  <c r="CQ11" i="19" s="1"/>
  <c r="BX12" i="17"/>
  <c r="BY12" i="17" s="1"/>
  <c r="CF12" i="17" s="1"/>
  <c r="BP24" i="32"/>
  <c r="BQ24" i="32" s="1"/>
  <c r="BX24" i="32" s="1"/>
  <c r="BP27" i="32"/>
  <c r="BQ27" i="32" s="1"/>
  <c r="BX27" i="32" s="1"/>
  <c r="S14" i="33"/>
  <c r="T14" i="33" s="1"/>
  <c r="AA14" i="33" s="1"/>
  <c r="S11" i="33"/>
  <c r="T11" i="33" s="1"/>
  <c r="AA11" i="33" s="1"/>
  <c r="CS13" i="22"/>
  <c r="DA13" i="22" s="1"/>
  <c r="CS42" i="22"/>
  <c r="CT42" i="22" s="1"/>
  <c r="DA42" i="22" s="1"/>
  <c r="BU19" i="30"/>
  <c r="BV19" i="30" s="1"/>
  <c r="CC19" i="30" s="1"/>
  <c r="BU29" i="30"/>
  <c r="BV29" i="30" s="1"/>
  <c r="CC29" i="30" s="1"/>
  <c r="CI13" i="19" l="1"/>
  <c r="CJ13" i="19" s="1"/>
  <c r="CQ13" i="19" s="1"/>
  <c r="CI13" i="16"/>
  <c r="CJ13" i="16" s="1"/>
  <c r="CQ13" i="16" s="1"/>
  <c r="CA16" i="19" l="1"/>
  <c r="CB16" i="19" s="1"/>
  <c r="CI16" i="19" s="1"/>
  <c r="CJ16" i="19" s="1"/>
  <c r="CQ16" i="19" s="1"/>
  <c r="BW13" i="18"/>
  <c r="BX13" i="18" s="1"/>
  <c r="CE13" i="18" s="1"/>
  <c r="CF13" i="18" s="1"/>
  <c r="CM13" i="18" s="1"/>
  <c r="BW22" i="18"/>
  <c r="BX22" i="18" s="1"/>
  <c r="CE22" i="18" s="1"/>
  <c r="CF22" i="18" s="1"/>
  <c r="CM22" i="18" s="1"/>
  <c r="BW19" i="18"/>
  <c r="BX19" i="18" s="1"/>
  <c r="CE19" i="18" s="1"/>
  <c r="CF19" i="18" s="1"/>
  <c r="CM19" i="18" s="1"/>
  <c r="BP28" i="17"/>
  <c r="BQ28" i="17" s="1"/>
  <c r="BX28" i="17" s="1"/>
  <c r="BY28" i="17" s="1"/>
  <c r="CF28" i="17" s="1"/>
  <c r="BP13" i="17"/>
  <c r="BQ13" i="17" s="1"/>
  <c r="BX13" i="17" s="1"/>
  <c r="BY13" i="17" s="1"/>
  <c r="CF13" i="17" s="1"/>
  <c r="BP14" i="17"/>
  <c r="BQ14" i="17" s="1"/>
  <c r="BX14" i="17" s="1"/>
  <c r="BY14" i="17" s="1"/>
  <c r="CF14" i="17" s="1"/>
  <c r="CA29" i="16"/>
  <c r="CB29" i="16" s="1"/>
  <c r="CI29" i="16" s="1"/>
  <c r="CJ29" i="16" s="1"/>
  <c r="CQ29" i="16" s="1"/>
  <c r="CA15" i="16"/>
  <c r="CB15" i="16" s="1"/>
  <c r="CI15" i="16" s="1"/>
  <c r="CJ15" i="16" s="1"/>
  <c r="CQ15" i="16" s="1"/>
  <c r="CA47" i="16"/>
  <c r="CB47" i="16" s="1"/>
  <c r="CI47" i="16" s="1"/>
  <c r="CJ47" i="16" s="1"/>
  <c r="CQ47" i="16" s="1"/>
  <c r="CA44" i="16"/>
  <c r="CB44" i="16" s="1"/>
  <c r="CI44" i="16" s="1"/>
  <c r="CJ44" i="16" s="1"/>
  <c r="CQ44" i="16" s="1"/>
  <c r="CA20" i="16"/>
  <c r="CB20" i="16" s="1"/>
  <c r="CI20" i="16" s="1"/>
  <c r="CJ20" i="16" s="1"/>
  <c r="CQ20" i="16" s="1"/>
  <c r="CA48" i="16"/>
  <c r="CB48" i="16" s="1"/>
  <c r="CI48" i="16" s="1"/>
  <c r="CJ48" i="16" s="1"/>
  <c r="CQ48" i="16" s="1"/>
  <c r="CA37" i="16"/>
  <c r="CB37" i="16" s="1"/>
  <c r="CI37" i="16" s="1"/>
  <c r="CJ37" i="16" s="1"/>
  <c r="CQ37" i="16" s="1"/>
  <c r="CA49" i="16"/>
  <c r="CB49" i="16" s="1"/>
  <c r="CI49" i="16" s="1"/>
  <c r="CJ49" i="16" s="1"/>
  <c r="CQ49" i="16" s="1"/>
  <c r="CA54" i="16"/>
  <c r="CB54" i="16" s="1"/>
  <c r="CI54" i="16" s="1"/>
  <c r="CJ54" i="16" s="1"/>
  <c r="CQ54" i="16" s="1"/>
  <c r="CA25" i="1"/>
  <c r="CB25" i="1" s="1"/>
  <c r="CI25" i="1" s="1"/>
  <c r="CJ25" i="1" s="1"/>
  <c r="CQ25" i="1" s="1"/>
  <c r="CA26" i="1"/>
  <c r="CB26" i="1" s="1"/>
  <c r="CI26" i="1" s="1"/>
  <c r="CJ26" i="1" s="1"/>
  <c r="CQ26" i="1" s="1"/>
  <c r="CA43" i="1"/>
  <c r="CB43" i="1" s="1"/>
  <c r="CI43" i="1" s="1"/>
  <c r="CJ43" i="1" s="1"/>
  <c r="CQ43" i="1" s="1"/>
  <c r="BH22" i="32"/>
  <c r="BI22" i="32" s="1"/>
  <c r="BP22" i="32" s="1"/>
  <c r="BQ22" i="32" s="1"/>
  <c r="BX22" i="32" s="1"/>
  <c r="CE23" i="25"/>
  <c r="CE16" i="25"/>
  <c r="CE17" i="25"/>
  <c r="CE22" i="25"/>
  <c r="CD25" i="24"/>
  <c r="CE25" i="24" s="1"/>
  <c r="CL25" i="24" s="1"/>
  <c r="CM25" i="24" s="1"/>
  <c r="CT25" i="24" s="1"/>
  <c r="CH25" i="23"/>
  <c r="CI25" i="23" s="1"/>
  <c r="CP25" i="23" s="1"/>
  <c r="CQ25" i="23" s="1"/>
  <c r="CX25" i="23" s="1"/>
  <c r="CP11" i="23"/>
  <c r="CQ11" i="23" s="1"/>
  <c r="CX11" i="23" s="1"/>
  <c r="CK35" i="22"/>
  <c r="CL35" i="22" s="1"/>
  <c r="CS35" i="22" s="1"/>
  <c r="CT35" i="22" s="1"/>
  <c r="DA35" i="22" s="1"/>
  <c r="CK26" i="22"/>
  <c r="CL26" i="22" s="1"/>
  <c r="CS26" i="22" s="1"/>
  <c r="CT26" i="22" s="1"/>
  <c r="DA26" i="22" s="1"/>
  <c r="BT23" i="27"/>
  <c r="BU23" i="27" s="1"/>
  <c r="CB23" i="27" s="1"/>
  <c r="CC23" i="27" s="1"/>
  <c r="CJ23" i="27" s="1"/>
  <c r="BT46" i="27"/>
  <c r="BU46" i="27" s="1"/>
  <c r="CB46" i="27" s="1"/>
  <c r="CC46" i="27" s="1"/>
  <c r="CJ46" i="27" s="1"/>
  <c r="BT37" i="27"/>
  <c r="BU37" i="27" s="1"/>
  <c r="CB37" i="27" s="1"/>
  <c r="CC37" i="27" s="1"/>
  <c r="CJ37" i="27" s="1"/>
  <c r="BT26" i="27"/>
  <c r="BU26" i="27" s="1"/>
  <c r="CB26" i="27" s="1"/>
  <c r="CC26" i="27" s="1"/>
  <c r="CJ26" i="27" s="1"/>
  <c r="BM43" i="30"/>
  <c r="BN43" i="30" s="1"/>
  <c r="BU43" i="30" s="1"/>
  <c r="BV43" i="30" s="1"/>
  <c r="CC43" i="30" s="1"/>
  <c r="BM44" i="30"/>
  <c r="BN44" i="30" s="1"/>
  <c r="BU44" i="30" s="1"/>
  <c r="BV44" i="30" s="1"/>
  <c r="CC44" i="30" s="1"/>
</calcChain>
</file>

<file path=xl/sharedStrings.xml><?xml version="1.0" encoding="utf-8"?>
<sst xmlns="http://schemas.openxmlformats.org/spreadsheetml/2006/main" count="4444" uniqueCount="667">
  <si>
    <t>CATEG.</t>
  </si>
  <si>
    <t>SEXO</t>
  </si>
  <si>
    <t>PESO</t>
  </si>
  <si>
    <t>FEDERACION DE JUDO DE CHILE</t>
  </si>
  <si>
    <t>NOMBRE</t>
  </si>
  <si>
    <t>CLUB</t>
  </si>
  <si>
    <t>TOTAL</t>
  </si>
  <si>
    <t>F</t>
  </si>
  <si>
    <t>YAMA HARASHI</t>
  </si>
  <si>
    <t>APELLIDOS</t>
  </si>
  <si>
    <t>RE</t>
  </si>
  <si>
    <t>XII</t>
  </si>
  <si>
    <t>M</t>
  </si>
  <si>
    <t>PUDETO</t>
  </si>
  <si>
    <t>SUB 15</t>
  </si>
  <si>
    <t>VICENTE</t>
  </si>
  <si>
    <t>IAN</t>
  </si>
  <si>
    <t>EMILIO</t>
  </si>
  <si>
    <t>GONZALEZ</t>
  </si>
  <si>
    <t>XV</t>
  </si>
  <si>
    <t>ORTIZ</t>
  </si>
  <si>
    <t>CATALINA</t>
  </si>
  <si>
    <t>BUDOKAN</t>
  </si>
  <si>
    <t>CARAB ARICA</t>
  </si>
  <si>
    <t>MARTINA</t>
  </si>
  <si>
    <t>MUÑOZ</t>
  </si>
  <si>
    <t>FLORES</t>
  </si>
  <si>
    <t>AGUIRRE</t>
  </si>
  <si>
    <t>JOAQUIN</t>
  </si>
  <si>
    <t>CACERES</t>
  </si>
  <si>
    <t>BENJAMIN</t>
  </si>
  <si>
    <t>NAC</t>
  </si>
  <si>
    <t>I</t>
  </si>
  <si>
    <t>NAGASAKI</t>
  </si>
  <si>
    <t>MAHO</t>
  </si>
  <si>
    <t>HIROSHIMA</t>
  </si>
  <si>
    <t>SHIHAN</t>
  </si>
  <si>
    <t>RODRIGUEZ</t>
  </si>
  <si>
    <t>DRAGON</t>
  </si>
  <si>
    <t>TORRES</t>
  </si>
  <si>
    <t>SAN MARTIN</t>
  </si>
  <si>
    <t>ROJAS</t>
  </si>
  <si>
    <t>MATIAS</t>
  </si>
  <si>
    <t>IX</t>
  </si>
  <si>
    <t>GABRIELA</t>
  </si>
  <si>
    <t>DIAZ</t>
  </si>
  <si>
    <t>SANDOVAL</t>
  </si>
  <si>
    <t>VARGAS</t>
  </si>
  <si>
    <t>JUAN</t>
  </si>
  <si>
    <t>AGUSTIN</t>
  </si>
  <si>
    <t>ORTEGA</t>
  </si>
  <si>
    <t>SILVA</t>
  </si>
  <si>
    <t>MY GARDEN</t>
  </si>
  <si>
    <t>NA CC</t>
  </si>
  <si>
    <t>STGO</t>
  </si>
  <si>
    <t>ARAYA</t>
  </si>
  <si>
    <t>ZENRYOKU</t>
  </si>
  <si>
    <t>DIEGO</t>
  </si>
  <si>
    <t>PUDAHUEL</t>
  </si>
  <si>
    <t>KODOKAN CHILE</t>
  </si>
  <si>
    <t>CARVAJAL</t>
  </si>
  <si>
    <t>SAMURAI</t>
  </si>
  <si>
    <t>MARTINEZ</t>
  </si>
  <si>
    <t>SHIRU</t>
  </si>
  <si>
    <t>PANGUI</t>
  </si>
  <si>
    <t>HERNANDEZ</t>
  </si>
  <si>
    <t>NA ZS</t>
  </si>
  <si>
    <t>PAN</t>
  </si>
  <si>
    <t>SAMUEL</t>
  </si>
  <si>
    <t>RIO CRUCES</t>
  </si>
  <si>
    <t>MARTIN</t>
  </si>
  <si>
    <t>SEISHIN</t>
  </si>
  <si>
    <t>TOMAS</t>
  </si>
  <si>
    <t>V</t>
  </si>
  <si>
    <t>BANZAI</t>
  </si>
  <si>
    <t>AGUILERA</t>
  </si>
  <si>
    <t>III-IV</t>
  </si>
  <si>
    <t>FUJIYAMA</t>
  </si>
  <si>
    <t>ALFARO</t>
  </si>
  <si>
    <t>RISEI SAKURA</t>
  </si>
  <si>
    <t>VILLALOBOS</t>
  </si>
  <si>
    <t>II</t>
  </si>
  <si>
    <t>ESCONDIDA</t>
  </si>
  <si>
    <t>VIÑA</t>
  </si>
  <si>
    <t>COLCHAGUA</t>
  </si>
  <si>
    <t>ZC</t>
  </si>
  <si>
    <t>ZS</t>
  </si>
  <si>
    <t>SJM</t>
  </si>
  <si>
    <t>FABIAN</t>
  </si>
  <si>
    <t>ARUKI KATA</t>
  </si>
  <si>
    <t>VASQUEZ</t>
  </si>
  <si>
    <t>KOSAI</t>
  </si>
  <si>
    <t>ZN</t>
  </si>
  <si>
    <t>IQQ</t>
  </si>
  <si>
    <t>FELIPE</t>
  </si>
  <si>
    <t>VICTOR SAITO</t>
  </si>
  <si>
    <t>VIDAL</t>
  </si>
  <si>
    <t>NA ZC</t>
  </si>
  <si>
    <t>EASTMAN</t>
  </si>
  <si>
    <t>XIV</t>
  </si>
  <si>
    <t>CASTILLO</t>
  </si>
  <si>
    <t>VI</t>
  </si>
  <si>
    <t>XIII</t>
  </si>
  <si>
    <t>PARRA</t>
  </si>
  <si>
    <t>ALONSO</t>
  </si>
  <si>
    <t>CRISTOBAL</t>
  </si>
  <si>
    <t>VIII</t>
  </si>
  <si>
    <t>NA ZN</t>
  </si>
  <si>
    <t>AH</t>
  </si>
  <si>
    <t>MONSERRAT</t>
  </si>
  <si>
    <t>ALBORNOZ</t>
  </si>
  <si>
    <t>GUTIERREZ</t>
  </si>
  <si>
    <t>SU</t>
  </si>
  <si>
    <t>ARG</t>
  </si>
  <si>
    <t>PE</t>
  </si>
  <si>
    <t>NA</t>
  </si>
  <si>
    <t>FN</t>
  </si>
  <si>
    <t>KODOMOTACHI</t>
  </si>
  <si>
    <t>02.04</t>
  </si>
  <si>
    <t>AGUILAR</t>
  </si>
  <si>
    <t>01.04</t>
  </si>
  <si>
    <t>GUILLERMO</t>
  </si>
  <si>
    <t>LIZAMA</t>
  </si>
  <si>
    <t>VIDELA</t>
  </si>
  <si>
    <t>08.04</t>
  </si>
  <si>
    <t>SHOUJIKI</t>
  </si>
  <si>
    <t>TOMODACHI</t>
  </si>
  <si>
    <t>15.04</t>
  </si>
  <si>
    <t>VICTORIA</t>
  </si>
  <si>
    <t>29.04</t>
  </si>
  <si>
    <t>TRUJILLO</t>
  </si>
  <si>
    <t>KOBAYASHI</t>
  </si>
  <si>
    <t>GELVES</t>
  </si>
  <si>
    <t>HINODE</t>
  </si>
  <si>
    <t>SOTO</t>
  </si>
  <si>
    <t>MAXIMILIANO</t>
  </si>
  <si>
    <t>FUKUOKA</t>
  </si>
  <si>
    <t>ALGARROBO</t>
  </si>
  <si>
    <t>HERRERA</t>
  </si>
  <si>
    <t>SHOGAI ÑUÑOA</t>
  </si>
  <si>
    <t>IGNACIO</t>
  </si>
  <si>
    <t>SAIGO KIDS</t>
  </si>
  <si>
    <t>RENATA</t>
  </si>
  <si>
    <t>VALENTINA</t>
  </si>
  <si>
    <t>MONTSERRAT</t>
  </si>
  <si>
    <t>27.05</t>
  </si>
  <si>
    <t>20.05</t>
  </si>
  <si>
    <t>CAES DE RUA</t>
  </si>
  <si>
    <t>10.06</t>
  </si>
  <si>
    <t>SENSEI TEMUCO</t>
  </si>
  <si>
    <t>BRICEÑO</t>
  </si>
  <si>
    <t>ZO</t>
  </si>
  <si>
    <t>17.06</t>
  </si>
  <si>
    <t>ESPINOZA</t>
  </si>
  <si>
    <t>DANIELA</t>
  </si>
  <si>
    <t>MORENO</t>
  </si>
  <si>
    <t>24.06</t>
  </si>
  <si>
    <t>JIMENEZ</t>
  </si>
  <si>
    <t>01.07</t>
  </si>
  <si>
    <t>PERU</t>
  </si>
  <si>
    <t>15.07</t>
  </si>
  <si>
    <t>VIOLETA</t>
  </si>
  <si>
    <t>JAVIERA</t>
  </si>
  <si>
    <t>ZEPEDA</t>
  </si>
  <si>
    <t>29.07</t>
  </si>
  <si>
    <t>PACHECO</t>
  </si>
  <si>
    <t>MATEO</t>
  </si>
  <si>
    <t>V-VI</t>
  </si>
  <si>
    <t>05.08</t>
  </si>
  <si>
    <t>12.08</t>
  </si>
  <si>
    <t>PAR</t>
  </si>
  <si>
    <t>17.08</t>
  </si>
  <si>
    <t>19.08</t>
  </si>
  <si>
    <t>ACAD ROMO</t>
  </si>
  <si>
    <t>CARABINEROS</t>
  </si>
  <si>
    <t>26.08</t>
  </si>
  <si>
    <t>09.09</t>
  </si>
  <si>
    <t>VII-VIII-XVI</t>
  </si>
  <si>
    <t>KINTSUGI</t>
  </si>
  <si>
    <t>MELLA</t>
  </si>
  <si>
    <t>ARIAS</t>
  </si>
  <si>
    <t>30.09</t>
  </si>
  <si>
    <t>OLIVARES</t>
  </si>
  <si>
    <t>SAEZ</t>
  </si>
  <si>
    <t>UTA</t>
  </si>
  <si>
    <t>ESC I CORDOVA</t>
  </si>
  <si>
    <t>SUAREZ</t>
  </si>
  <si>
    <t>07.10</t>
  </si>
  <si>
    <t>X</t>
  </si>
  <si>
    <t>08.10</t>
  </si>
  <si>
    <t>14.10</t>
  </si>
  <si>
    <t>VILLEGAS</t>
  </si>
  <si>
    <t>XI</t>
  </si>
  <si>
    <t>11.11</t>
  </si>
  <si>
    <t>10.12</t>
  </si>
  <si>
    <t>RM</t>
  </si>
  <si>
    <t>06.04</t>
  </si>
  <si>
    <t>ORTUBIA</t>
  </si>
  <si>
    <t>VILLACURA</t>
  </si>
  <si>
    <t>ARTURO</t>
  </si>
  <si>
    <t>URTUBIA</t>
  </si>
  <si>
    <t>ARISPE</t>
  </si>
  <si>
    <t>ORELLANA</t>
  </si>
  <si>
    <t>CORTEZ</t>
  </si>
  <si>
    <t>FLORENCIA</t>
  </si>
  <si>
    <t>MAMANI</t>
  </si>
  <si>
    <t>ARELY</t>
  </si>
  <si>
    <t>CHEUQUEPIL</t>
  </si>
  <si>
    <t>AKEMI</t>
  </si>
  <si>
    <t>CORTES</t>
  </si>
  <si>
    <t>AINARA</t>
  </si>
  <si>
    <t>CABELLO</t>
  </si>
  <si>
    <t>AMANDA</t>
  </si>
  <si>
    <t>CONSUELO</t>
  </si>
  <si>
    <t>CID</t>
  </si>
  <si>
    <t>ISABELLA</t>
  </si>
  <si>
    <t>MARCOS</t>
  </si>
  <si>
    <t>SEGOVIA</t>
  </si>
  <si>
    <t>EYDAN</t>
  </si>
  <si>
    <t>NUÑEZ</t>
  </si>
  <si>
    <t>GALVEZ</t>
  </si>
  <si>
    <t>HUAIQUIPAN</t>
  </si>
  <si>
    <t>ALVEZ</t>
  </si>
  <si>
    <t>GAJARDO</t>
  </si>
  <si>
    <t>ALEMAN</t>
  </si>
  <si>
    <t>CALVO</t>
  </si>
  <si>
    <t>LAZO</t>
  </si>
  <si>
    <t>RUTH</t>
  </si>
  <si>
    <t>NAZARETH</t>
  </si>
  <si>
    <t>FIORELLA</t>
  </si>
  <si>
    <t>GUZMAN</t>
  </si>
  <si>
    <t>RIFFO</t>
  </si>
  <si>
    <t>AMELIA</t>
  </si>
  <si>
    <t>20.04</t>
  </si>
  <si>
    <t>ALEXANDER</t>
  </si>
  <si>
    <t>ASHLEY</t>
  </si>
  <si>
    <t>LYA</t>
  </si>
  <si>
    <t>LILITH</t>
  </si>
  <si>
    <t>ORDOÑEZ</t>
  </si>
  <si>
    <t>PAOLA</t>
  </si>
  <si>
    <t>GERMAN</t>
  </si>
  <si>
    <t>LIAM</t>
  </si>
  <si>
    <t>ELIAS</t>
  </si>
  <si>
    <t>BERRIOS</t>
  </si>
  <si>
    <t>YAHIR</t>
  </si>
  <si>
    <t>RUIZ</t>
  </si>
  <si>
    <t>27.04</t>
  </si>
  <si>
    <t>DALTRAZZO</t>
  </si>
  <si>
    <t>JULIAN</t>
  </si>
  <si>
    <t>MANKE PUCON</t>
  </si>
  <si>
    <t>LEONOR</t>
  </si>
  <si>
    <t>ISAAC</t>
  </si>
  <si>
    <t>BASTIAN</t>
  </si>
  <si>
    <t>LEONES TARAPACA</t>
  </si>
  <si>
    <t>JEYDHEN</t>
  </si>
  <si>
    <t>LOPEZ</t>
  </si>
  <si>
    <t>CAMPOS</t>
  </si>
  <si>
    <t>FRANCO</t>
  </si>
  <si>
    <t>AYALA</t>
  </si>
  <si>
    <t>NEHYMAR</t>
  </si>
  <si>
    <t>CALDERON</t>
  </si>
  <si>
    <t>GARAY</t>
  </si>
  <si>
    <t>VILLALBA</t>
  </si>
  <si>
    <t>ETCHEGOYEN</t>
  </si>
  <si>
    <t>19.05</t>
  </si>
  <si>
    <t>MARJORIE</t>
  </si>
  <si>
    <t>CABRERA</t>
  </si>
  <si>
    <t>CC</t>
  </si>
  <si>
    <t>01.06</t>
  </si>
  <si>
    <t>15.06</t>
  </si>
  <si>
    <t>JOSE</t>
  </si>
  <si>
    <t>AMAYA</t>
  </si>
  <si>
    <t>PAZ</t>
  </si>
  <si>
    <t>22.06</t>
  </si>
  <si>
    <t>CAMPUSANO</t>
  </si>
  <si>
    <t>SHAHID</t>
  </si>
  <si>
    <t>BEATRIZ</t>
  </si>
  <si>
    <t>14.07</t>
  </si>
  <si>
    <t>ISMAEL</t>
  </si>
  <si>
    <t>MORALES</t>
  </si>
  <si>
    <t>XPRO</t>
  </si>
  <si>
    <t>MARIA</t>
  </si>
  <si>
    <t>31.08</t>
  </si>
  <si>
    <t>24.08</t>
  </si>
  <si>
    <t>07.06</t>
  </si>
  <si>
    <t>TOME</t>
  </si>
  <si>
    <t>BADILLA</t>
  </si>
  <si>
    <t>07.09</t>
  </si>
  <si>
    <t>QUINTANA</t>
  </si>
  <si>
    <t>08.09</t>
  </si>
  <si>
    <t>14.09</t>
  </si>
  <si>
    <t>MAILY</t>
  </si>
  <si>
    <t>ANGELA</t>
  </si>
  <si>
    <t>ZAMBRANO</t>
  </si>
  <si>
    <t>X-XIV</t>
  </si>
  <si>
    <t>28.09</t>
  </si>
  <si>
    <t>13.10</t>
  </si>
  <si>
    <t>COL</t>
  </si>
  <si>
    <t>12.10</t>
  </si>
  <si>
    <t>CF</t>
  </si>
  <si>
    <t>02.11</t>
  </si>
  <si>
    <t>CUB</t>
  </si>
  <si>
    <t>29.11</t>
  </si>
  <si>
    <t>CONCE</t>
  </si>
  <si>
    <t>14.12</t>
  </si>
  <si>
    <t>RE / ZO / NA</t>
  </si>
  <si>
    <t>RANKING NACIONAL 2025</t>
  </si>
  <si>
    <t>SUB15</t>
  </si>
  <si>
    <t>MORA</t>
  </si>
  <si>
    <t>DOMINIQUE</t>
  </si>
  <si>
    <t>EMA</t>
  </si>
  <si>
    <t>JUDO ORIENTE</t>
  </si>
  <si>
    <t>BETANSO</t>
  </si>
  <si>
    <t>SAN IGNACIO</t>
  </si>
  <si>
    <t>THOMAS</t>
  </si>
  <si>
    <t>MEZA</t>
  </si>
  <si>
    <t>CULIPRAN</t>
  </si>
  <si>
    <t>TOMILOV</t>
  </si>
  <si>
    <t>IGNAT</t>
  </si>
  <si>
    <t>MIRANDA</t>
  </si>
  <si>
    <t>JORGE</t>
  </si>
  <si>
    <t>MENA</t>
  </si>
  <si>
    <t>RAFAEL</t>
  </si>
  <si>
    <t>KIDO CURACAVI</t>
  </si>
  <si>
    <t>GRACE</t>
  </si>
  <si>
    <t>INES</t>
  </si>
  <si>
    <t>DAINE</t>
  </si>
  <si>
    <t>ANAHIS</t>
  </si>
  <si>
    <t>NAZARET</t>
  </si>
  <si>
    <t>SUAZO</t>
  </si>
  <si>
    <t>CONTRERAS</t>
  </si>
  <si>
    <t>OROMAICA</t>
  </si>
  <si>
    <t>NAVARRO</t>
  </si>
  <si>
    <t>EMILIA</t>
  </si>
  <si>
    <t>ANTONIA</t>
  </si>
  <si>
    <t>LEYTON</t>
  </si>
  <si>
    <t>SARA</t>
  </si>
  <si>
    <t>BAHAMONDES</t>
  </si>
  <si>
    <t>AMPARO</t>
  </si>
  <si>
    <t>ALEJANDRO</t>
  </si>
  <si>
    <t>KIDOC CURACAVI</t>
  </si>
  <si>
    <t>RAMOS</t>
  </si>
  <si>
    <t>GONZALO</t>
  </si>
  <si>
    <t>TAPIA</t>
  </si>
  <si>
    <t>JUAN PEDRO</t>
  </si>
  <si>
    <t>HUENCHUMAN</t>
  </si>
  <si>
    <t>JOSEFFA</t>
  </si>
  <si>
    <t>AUGUSTINA</t>
  </si>
  <si>
    <t>RAMIREZ</t>
  </si>
  <si>
    <t>MAITE</t>
  </si>
  <si>
    <t>MALDONADO</t>
  </si>
  <si>
    <t>MIA</t>
  </si>
  <si>
    <t>BALTHAZAR</t>
  </si>
  <si>
    <t>VALENCIA</t>
  </si>
  <si>
    <t>ALEXANDRA</t>
  </si>
  <si>
    <t>JEAN PAUL</t>
  </si>
  <si>
    <t>ARDILES</t>
  </si>
  <si>
    <t>MANUEL</t>
  </si>
  <si>
    <t>SAMIT</t>
  </si>
  <si>
    <t>SADYA</t>
  </si>
  <si>
    <t>AUGUSTO</t>
  </si>
  <si>
    <t>KARIM</t>
  </si>
  <si>
    <t>SAID</t>
  </si>
  <si>
    <t>JARAMILLO</t>
  </si>
  <si>
    <t>MATHIAS</t>
  </si>
  <si>
    <t>MAURICIO</t>
  </si>
  <si>
    <t>JENNYFER</t>
  </si>
  <si>
    <t>AYAVIRI</t>
  </si>
  <si>
    <t>NERIEL</t>
  </si>
  <si>
    <t>PIETROBONI</t>
  </si>
  <si>
    <t>AYAT</t>
  </si>
  <si>
    <t>AMIN</t>
  </si>
  <si>
    <t>URBINA</t>
  </si>
  <si>
    <t>SEPULVEDA</t>
  </si>
  <si>
    <t>SALVATIERRA</t>
  </si>
  <si>
    <t>KLINGENBERG</t>
  </si>
  <si>
    <t>EVAN</t>
  </si>
  <si>
    <t>IKIKATA</t>
  </si>
  <si>
    <t>MORAGA</t>
  </si>
  <si>
    <t>ALEX</t>
  </si>
  <si>
    <t>GALLARDO</t>
  </si>
  <si>
    <t>LEONARDO</t>
  </si>
  <si>
    <t>FRANCISCA</t>
  </si>
  <si>
    <t>LARA</t>
  </si>
  <si>
    <t>MANCILLA</t>
  </si>
  <si>
    <t>VILLABLANCA</t>
  </si>
  <si>
    <t>FERNANDA</t>
  </si>
  <si>
    <t>PAINECURA</t>
  </si>
  <si>
    <t>LUNA</t>
  </si>
  <si>
    <t>VERA</t>
  </si>
  <si>
    <t>BROCKWAY</t>
  </si>
  <si>
    <t xml:space="preserve">DIEGO </t>
  </si>
  <si>
    <t>DOLLY</t>
  </si>
  <si>
    <t>CCRSH</t>
  </si>
  <si>
    <t>MILLING</t>
  </si>
  <si>
    <t>MADELEINE</t>
  </si>
  <si>
    <t>LAZARO</t>
  </si>
  <si>
    <t>DANAE</t>
  </si>
  <si>
    <t>SEBASTIAN</t>
  </si>
  <si>
    <t>JHANMARCOS</t>
  </si>
  <si>
    <t>ALFONSO</t>
  </si>
  <si>
    <t>EL CARBON</t>
  </si>
  <si>
    <t>DANTE</t>
  </si>
  <si>
    <t>ARAVENA</t>
  </si>
  <si>
    <t>JUDO GUZMAN</t>
  </si>
  <si>
    <t>VALDIVIESO</t>
  </si>
  <si>
    <t>SAN SEI PTO VARAS</t>
  </si>
  <si>
    <t>IGNACIA</t>
  </si>
  <si>
    <t>YAMA ARASHI ANCUD</t>
  </si>
  <si>
    <t>PULQUILLANCA</t>
  </si>
  <si>
    <t>MONTAÑO</t>
  </si>
  <si>
    <t>PROY G NAVIA</t>
  </si>
  <si>
    <t>YAMASHITA</t>
  </si>
  <si>
    <t>ABBY</t>
  </si>
  <si>
    <t>CHRISTOPHER</t>
  </si>
  <si>
    <t>PORCEL</t>
  </si>
  <si>
    <t>JHOSSYMAR</t>
  </si>
  <si>
    <t>ANTONELLA</t>
  </si>
  <si>
    <t>ADRIANA</t>
  </si>
  <si>
    <t>AEDO</t>
  </si>
  <si>
    <t>SHIN YU</t>
  </si>
  <si>
    <t>URRA</t>
  </si>
  <si>
    <t>EMILY</t>
  </si>
  <si>
    <t>DYLAN</t>
  </si>
  <si>
    <t>ABARZUA</t>
  </si>
  <si>
    <t>HUALPEN</t>
  </si>
  <si>
    <t>DIP</t>
  </si>
  <si>
    <t>BETANZO</t>
  </si>
  <si>
    <t>VENEGAS</t>
  </si>
  <si>
    <t>GABRIEL</t>
  </si>
  <si>
    <t>JAIME CHARLES</t>
  </si>
  <si>
    <t>COLLAO</t>
  </si>
  <si>
    <t>DANILLA</t>
  </si>
  <si>
    <t>MANQUEL</t>
  </si>
  <si>
    <t>KYOUDAI</t>
  </si>
  <si>
    <t>SAKINCO</t>
  </si>
  <si>
    <t>KITSUGI</t>
  </si>
  <si>
    <t>CRISTIAN</t>
  </si>
  <si>
    <t>ISIDORA</t>
  </si>
  <si>
    <t>REBOLLEDO</t>
  </si>
  <si>
    <t>LUCIA</t>
  </si>
  <si>
    <t>MURIEL</t>
  </si>
  <si>
    <t>GIULIANO</t>
  </si>
  <si>
    <t>RAFAELLA</t>
  </si>
  <si>
    <t>CRISTOPHER</t>
  </si>
  <si>
    <t>HEVIA</t>
  </si>
  <si>
    <t>LAGOS</t>
  </si>
  <si>
    <t>HORMAZABAL</t>
  </si>
  <si>
    <t>TALCA</t>
  </si>
  <si>
    <t>JOSEPH</t>
  </si>
  <si>
    <t>CIFUENTES</t>
  </si>
  <si>
    <t>ABIGAIL</t>
  </si>
  <si>
    <t>GUERRERO</t>
  </si>
  <si>
    <t>PEZOA</t>
  </si>
  <si>
    <t>YAMARICO</t>
  </si>
  <si>
    <t>BYRON</t>
  </si>
  <si>
    <t>ESCALONA</t>
  </si>
  <si>
    <t>OJEDA</t>
  </si>
  <si>
    <t>JOSE MIGUEL</t>
  </si>
  <si>
    <t>LIEMPI</t>
  </si>
  <si>
    <t>LIZZIE</t>
  </si>
  <si>
    <t>CAZOR</t>
  </si>
  <si>
    <t>AMARA</t>
  </si>
  <si>
    <t>ANDRADE</t>
  </si>
  <si>
    <t>CERNA</t>
  </si>
  <si>
    <t>GERMAIN</t>
  </si>
  <si>
    <t>ANYELINA</t>
  </si>
  <si>
    <t>BAEZA</t>
  </si>
  <si>
    <t>LA MERCED</t>
  </si>
  <si>
    <t>JIN KAN</t>
  </si>
  <si>
    <t>YAMARASHI</t>
  </si>
  <si>
    <t>BECKER</t>
  </si>
  <si>
    <t>YAVAR</t>
  </si>
  <si>
    <t>MAGOTACHI</t>
  </si>
  <si>
    <t>NOELIA</t>
  </si>
  <si>
    <t>OSSANDON</t>
  </si>
  <si>
    <t>PINTANA</t>
  </si>
  <si>
    <t>SHINSEI</t>
  </si>
  <si>
    <t>ARAOS</t>
  </si>
  <si>
    <t>GOMEZ</t>
  </si>
  <si>
    <t>KAZOKU LS</t>
  </si>
  <si>
    <t>RIOS</t>
  </si>
  <si>
    <t>EDUAR</t>
  </si>
  <si>
    <t>SERON</t>
  </si>
  <si>
    <t>PGN</t>
  </si>
  <si>
    <t>BELEN</t>
  </si>
  <si>
    <t>EDUARDO</t>
  </si>
  <si>
    <t>MAMANY</t>
  </si>
  <si>
    <t>IRIGOYEN</t>
  </si>
  <si>
    <t>DAVID</t>
  </si>
  <si>
    <t>TRUENO</t>
  </si>
  <si>
    <t>CDUSS</t>
  </si>
  <si>
    <t>RANKING NACIONAL 2026</t>
  </si>
  <si>
    <t>M70</t>
  </si>
  <si>
    <t>M81</t>
  </si>
  <si>
    <t>VEGA</t>
  </si>
  <si>
    <t>TRIAS</t>
  </si>
  <si>
    <t>NICOL</t>
  </si>
  <si>
    <t>ALANIS</t>
  </si>
  <si>
    <t>NATHALY</t>
  </si>
  <si>
    <t>CRISTEL</t>
  </si>
  <si>
    <t>JITA KYOEI</t>
  </si>
  <si>
    <t>CONSTANZA</t>
  </si>
  <si>
    <t>OSORIO</t>
  </si>
  <si>
    <t>RODRIGO</t>
  </si>
  <si>
    <t>AYARDE</t>
  </si>
  <si>
    <t>KEVIN</t>
  </si>
  <si>
    <t>OROPEZA</t>
  </si>
  <si>
    <t>PINDEA</t>
  </si>
  <si>
    <t>REINALDO</t>
  </si>
  <si>
    <t>CORREA</t>
  </si>
  <si>
    <t>VICTOR</t>
  </si>
  <si>
    <t>ADOLFO</t>
  </si>
  <si>
    <t>HUILLITRUL</t>
  </si>
  <si>
    <t>KUMIKATA</t>
  </si>
  <si>
    <t>MONTECINOS</t>
  </si>
  <si>
    <t>MORIS</t>
  </si>
  <si>
    <t>SHIJOUKI</t>
  </si>
  <si>
    <t>GATICA</t>
  </si>
  <si>
    <t>MARQUEZ</t>
  </si>
  <si>
    <t>RAMIRO</t>
  </si>
  <si>
    <t>CABERO</t>
  </si>
  <si>
    <t>SOPHIA</t>
  </si>
  <si>
    <t>ISC SAN BERNARDO</t>
  </si>
  <si>
    <t>FERNANDO</t>
  </si>
  <si>
    <t>RAUL</t>
  </si>
  <si>
    <t xml:space="preserve">SAN SEI </t>
  </si>
  <si>
    <t>HENRIQUEZ</t>
  </si>
  <si>
    <t>PATRICIO</t>
  </si>
  <si>
    <t>CHUSEIKAN</t>
  </si>
  <si>
    <t>MATERAN</t>
  </si>
  <si>
    <t>ANTHONY</t>
  </si>
  <si>
    <t>OLIVOS</t>
  </si>
  <si>
    <t>OSSES</t>
  </si>
  <si>
    <t>ALLENDES</t>
  </si>
  <si>
    <t>RUBEN</t>
  </si>
  <si>
    <t>JUDO QUILICURA</t>
  </si>
  <si>
    <t>JARA</t>
  </si>
  <si>
    <t>ARIEL</t>
  </si>
  <si>
    <t>OLYMPIC DREAMS</t>
  </si>
  <si>
    <t>STEFANO</t>
  </si>
  <si>
    <t>DURAN</t>
  </si>
  <si>
    <t>PONTIGO</t>
  </si>
  <si>
    <t>COLOMBA</t>
  </si>
  <si>
    <t>GALDAMES</t>
  </si>
  <si>
    <t>HOLE</t>
  </si>
  <si>
    <t>SARAH</t>
  </si>
  <si>
    <t>RAFAELA</t>
  </si>
  <si>
    <t>CRISOSTOMO</t>
  </si>
  <si>
    <t>LINARES</t>
  </si>
  <si>
    <t>ROSSY</t>
  </si>
  <si>
    <t>SHIRO SAIGO KIDS</t>
  </si>
  <si>
    <t>PASCAL</t>
  </si>
  <si>
    <t>FULEHO</t>
  </si>
  <si>
    <t>RIVERA</t>
  </si>
  <si>
    <t>PALACIOS</t>
  </si>
  <si>
    <t>ANGELO</t>
  </si>
  <si>
    <t>SALAZAR</t>
  </si>
  <si>
    <t>SUPANTA</t>
  </si>
  <si>
    <t>JUAN PABLO</t>
  </si>
  <si>
    <t>ROBLEDO</t>
  </si>
  <si>
    <t>BORDA</t>
  </si>
  <si>
    <t>SEGUEL</t>
  </si>
  <si>
    <t>CHOL CHOL</t>
  </si>
  <si>
    <t>HUENCHULAF</t>
  </si>
  <si>
    <t>WENUTRAY</t>
  </si>
  <si>
    <t>LOBOS</t>
  </si>
  <si>
    <t>SULZ</t>
  </si>
  <si>
    <t>TALCAHUANO</t>
  </si>
  <si>
    <t>DOMINGA</t>
  </si>
  <si>
    <t>CARDENAS</t>
  </si>
  <si>
    <t>MATILDA</t>
  </si>
  <si>
    <t>JUDO TRUENO</t>
  </si>
  <si>
    <t>VILLANUEVA</t>
  </si>
  <si>
    <t>ALVEAL</t>
  </si>
  <si>
    <t>ELIEZER</t>
  </si>
  <si>
    <t>KIREI</t>
  </si>
  <si>
    <t>PORRAS</t>
  </si>
  <si>
    <t>LANDON</t>
  </si>
  <si>
    <t>PIZARRO</t>
  </si>
  <si>
    <t>VALDERRAMA</t>
  </si>
  <si>
    <t>DAFNE</t>
  </si>
  <si>
    <t>SAMANTHA</t>
  </si>
  <si>
    <t>PALMA</t>
  </si>
  <si>
    <t>DAYRON</t>
  </si>
  <si>
    <t>ENRIQUE</t>
  </si>
  <si>
    <t>PENA</t>
  </si>
  <si>
    <t>ESLABON</t>
  </si>
  <si>
    <t>DOBSON</t>
  </si>
  <si>
    <t>ILLESCA</t>
  </si>
  <si>
    <t>TRYNIDAD</t>
  </si>
  <si>
    <t>ESTRELLA</t>
  </si>
  <si>
    <t>FERNANDEZ</t>
  </si>
  <si>
    <t>TRINIDAD</t>
  </si>
  <si>
    <t>VALERYN</t>
  </si>
  <si>
    <t>LUCIANO</t>
  </si>
  <si>
    <t>FALCON</t>
  </si>
  <si>
    <t>CUELLAR</t>
  </si>
  <si>
    <t>LUIS</t>
  </si>
  <si>
    <t>CHAVEZ</t>
  </si>
  <si>
    <t>GIANCARLO</t>
  </si>
  <si>
    <t>URQUIZA</t>
  </si>
  <si>
    <t>MEDINA</t>
  </si>
  <si>
    <t>COLLADO</t>
  </si>
  <si>
    <t>ARACENA</t>
  </si>
  <si>
    <t>CISTERNAS</t>
  </si>
  <si>
    <t>OSCAR</t>
  </si>
  <si>
    <t>ROCA</t>
  </si>
  <si>
    <t>PEREZ</t>
  </si>
  <si>
    <t>EVOLET</t>
  </si>
  <si>
    <t>IVANKA</t>
  </si>
  <si>
    <t>ISAEL</t>
  </si>
  <si>
    <t>ESCOBAR</t>
  </si>
  <si>
    <t>SUZAKU</t>
  </si>
  <si>
    <t>VALDES</t>
  </si>
  <si>
    <t>SALCEDO</t>
  </si>
  <si>
    <t>SOFIA</t>
  </si>
  <si>
    <t>SAMN SEI</t>
  </si>
  <si>
    <t>CABEZAS</t>
  </si>
  <si>
    <t>AURORA</t>
  </si>
  <si>
    <t>VELASCO</t>
  </si>
  <si>
    <t xml:space="preserve">ESLABON </t>
  </si>
  <si>
    <t>BALTAZAR</t>
  </si>
  <si>
    <t>KOSEN CURACAVI</t>
  </si>
  <si>
    <t>NAOUR</t>
  </si>
  <si>
    <t>ISADORA</t>
  </si>
  <si>
    <t>LIRA</t>
  </si>
  <si>
    <t>JULIETA</t>
  </si>
  <si>
    <t>DOJO FRANCES RENGO</t>
  </si>
  <si>
    <t>PAREDES</t>
  </si>
  <si>
    <t>ANGULO</t>
  </si>
  <si>
    <t>STEFANY</t>
  </si>
  <si>
    <t>ALICE</t>
  </si>
  <si>
    <t>JUDO ÑUBLE</t>
  </si>
  <si>
    <t>REINA</t>
  </si>
  <si>
    <t>JOHANN</t>
  </si>
  <si>
    <t>CALLIZAYA</t>
  </si>
  <si>
    <t>MOLINA</t>
  </si>
  <si>
    <t>HECTOR</t>
  </si>
  <si>
    <t>VALENZUELA</t>
  </si>
  <si>
    <t>E I CORDOVA</t>
  </si>
  <si>
    <t>MOPNSERRAT</t>
  </si>
  <si>
    <t>HUANACO</t>
  </si>
  <si>
    <t>MERCY</t>
  </si>
  <si>
    <t>SANCHEZ</t>
  </si>
  <si>
    <t>GAEL</t>
  </si>
  <si>
    <t>MONTESINOS</t>
  </si>
  <si>
    <t>ALANNIS</t>
  </si>
  <si>
    <t>KAZOKU LA SERENA</t>
  </si>
  <si>
    <t>CUELLO</t>
  </si>
  <si>
    <t>GAVILAN</t>
  </si>
  <si>
    <t>EMMA</t>
  </si>
  <si>
    <t>DINASTIA</t>
  </si>
  <si>
    <t>SALVADOR</t>
  </si>
  <si>
    <t>PANTOJA</t>
  </si>
  <si>
    <t>MICAELA</t>
  </si>
  <si>
    <t>WILLIAMS</t>
  </si>
  <si>
    <t>FUNDACION AEDAR</t>
  </si>
  <si>
    <t>OYARZUN</t>
  </si>
  <si>
    <t>FERREIRA</t>
  </si>
  <si>
    <t>LUCAS</t>
  </si>
  <si>
    <t>QUILICURA</t>
  </si>
  <si>
    <t>CASAKANO</t>
  </si>
  <si>
    <t>RASSE</t>
  </si>
  <si>
    <t>MARYJOSE</t>
  </si>
  <si>
    <t>VALPARAISO</t>
  </si>
  <si>
    <t>MARIA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</si>
</sst>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2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/>
    <xf numFmtId="0" fontId="0" fillId="0" borderId="0" xfId="0" applyAlignment="1">
      <alignment horizontal="center"/>
    </xf>
    <xf numFmtId="17" fontId="0" fillId="0" borderId="2" xfId="0" applyNumberFormat="1" applyBorder="1" applyAlignment="1">
      <alignment horizontal="center"/>
    </xf>
    <xf numFmtId="16" fontId="0" fillId="0" borderId="2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7" fontId="0" fillId="0" borderId="1" xfId="0" applyNumberFormat="1" applyBorder="1"/>
    <xf numFmtId="17" fontId="0" fillId="0" borderId="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/>
    </xf>
    <xf numFmtId="17" fontId="0" fillId="0" borderId="8" xfId="0" applyNumberFormat="1" applyBorder="1" applyAlignment="1">
      <alignment horizontal="center"/>
    </xf>
    <xf numFmtId="17" fontId="0" fillId="0" borderId="12" xfId="0" applyNumberFormat="1" applyBorder="1" applyAlignment="1">
      <alignment horizontal="center"/>
    </xf>
    <xf numFmtId="17" fontId="0" fillId="0" borderId="6" xfId="0" applyNumberFormat="1" applyBorder="1" applyAlignment="1">
      <alignment horizontal="center"/>
    </xf>
    <xf numFmtId="17" fontId="0" fillId="0" borderId="12" xfId="0" applyNumberFormat="1" applyBorder="1"/>
    <xf numFmtId="17" fontId="0" fillId="0" borderId="6" xfId="0" applyNumberFormat="1" applyBorder="1"/>
    <xf numFmtId="0" fontId="0" fillId="2" borderId="0" xfId="0" applyFill="1"/>
    <xf numFmtId="0" fontId="0" fillId="0" borderId="13" xfId="0" applyBorder="1" applyAlignment="1">
      <alignment horizontal="center"/>
    </xf>
    <xf numFmtId="0" fontId="0" fillId="0" borderId="13" xfId="0" applyBorder="1"/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17" fontId="0" fillId="0" borderId="4" xfId="0" applyNumberFormat="1" applyBorder="1" applyAlignment="1">
      <alignment horizontal="center"/>
    </xf>
    <xf numFmtId="17" fontId="0" fillId="0" borderId="0" xfId="0" applyNumberFormat="1" applyAlignment="1">
      <alignment horizontal="center"/>
    </xf>
    <xf numFmtId="17" fontId="0" fillId="0" borderId="7" xfId="0" applyNumberForma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microsoft.com/office/2017/10/relationships/person" Target="persons/person5.xml"/><Relationship Id="rId21" Type="http://schemas.openxmlformats.org/officeDocument/2006/relationships/sharedStrings" Target="sharedStrings.xml"/><Relationship Id="rId42" Type="http://schemas.microsoft.com/office/2017/10/relationships/person" Target="persons/person19.xml"/><Relationship Id="rId47" Type="http://schemas.microsoft.com/office/2017/10/relationships/person" Target="persons/person25.xml"/><Relationship Id="rId63" Type="http://schemas.microsoft.com/office/2017/10/relationships/person" Target="persons/person40.xml"/><Relationship Id="rId68" Type="http://schemas.microsoft.com/office/2017/10/relationships/person" Target="persons/person46.xml"/><Relationship Id="rId84" Type="http://schemas.microsoft.com/office/2017/10/relationships/person" Target="persons/person61.xml"/><Relationship Id="rId89" Type="http://schemas.microsoft.com/office/2017/10/relationships/person" Target="persons/person66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microsoft.com/office/2017/10/relationships/person" Target="persons/person9.xml"/><Relationship Id="rId37" Type="http://schemas.microsoft.com/office/2017/10/relationships/person" Target="persons/person14.xml"/><Relationship Id="rId53" Type="http://schemas.microsoft.com/office/2017/10/relationships/person" Target="persons/person31.xml"/><Relationship Id="rId58" Type="http://schemas.microsoft.com/office/2017/10/relationships/person" Target="persons/person35.xml"/><Relationship Id="rId74" Type="http://schemas.microsoft.com/office/2017/10/relationships/person" Target="persons/person51.xml"/><Relationship Id="rId79" Type="http://schemas.microsoft.com/office/2017/10/relationships/person" Target="persons/person56.xml"/><Relationship Id="rId5" Type="http://schemas.openxmlformats.org/officeDocument/2006/relationships/worksheet" Target="worksheets/sheet5.xml"/><Relationship Id="rId90" Type="http://schemas.microsoft.com/office/2017/10/relationships/person" Target="persons/person68.xml"/><Relationship Id="rId22" Type="http://schemas.openxmlformats.org/officeDocument/2006/relationships/calcChain" Target="calcChain.xml"/><Relationship Id="rId43" Type="http://schemas.microsoft.com/office/2017/10/relationships/person" Target="persons/person23.xml"/><Relationship Id="rId27" Type="http://schemas.microsoft.com/office/2017/10/relationships/person" Target="persons/person11.xml"/><Relationship Id="rId48" Type="http://schemas.microsoft.com/office/2017/10/relationships/person" Target="persons/person26.xml"/><Relationship Id="rId64" Type="http://schemas.microsoft.com/office/2017/10/relationships/person" Target="persons/person42.xml"/><Relationship Id="rId69" Type="http://schemas.microsoft.com/office/2017/10/relationships/person" Target="persons/person47.xml"/><Relationship Id="rId8" Type="http://schemas.openxmlformats.org/officeDocument/2006/relationships/worksheet" Target="worksheets/sheet8.xml"/><Relationship Id="rId51" Type="http://schemas.microsoft.com/office/2017/10/relationships/person" Target="persons/person29.xml"/><Relationship Id="rId72" Type="http://schemas.microsoft.com/office/2017/10/relationships/person" Target="persons/person50.xml"/><Relationship Id="rId80" Type="http://schemas.microsoft.com/office/2017/10/relationships/person" Target="persons/person58.xml"/><Relationship Id="rId85" Type="http://schemas.microsoft.com/office/2017/10/relationships/person" Target="persons/person63.xml"/><Relationship Id="rId93" Type="http://schemas.microsoft.com/office/2017/10/relationships/person" Target="persons/person6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4.xml"/><Relationship Id="rId33" Type="http://schemas.microsoft.com/office/2017/10/relationships/person" Target="persons/person10.xml"/><Relationship Id="rId38" Type="http://schemas.microsoft.com/office/2017/10/relationships/person" Target="persons/person15.xml"/><Relationship Id="rId46" Type="http://schemas.microsoft.com/office/2017/10/relationships/person" Target="persons/person24.xml"/><Relationship Id="rId59" Type="http://schemas.microsoft.com/office/2017/10/relationships/person" Target="persons/person37.xml"/><Relationship Id="rId67" Type="http://schemas.microsoft.com/office/2017/10/relationships/person" Target="persons/person45.xml"/><Relationship Id="rId20" Type="http://schemas.openxmlformats.org/officeDocument/2006/relationships/styles" Target="styles.xml"/><Relationship Id="rId91" Type="http://schemas.microsoft.com/office/2017/10/relationships/person" Target="persons/person2.xml"/><Relationship Id="rId83" Type="http://schemas.microsoft.com/office/2017/10/relationships/person" Target="persons/person62.xml"/><Relationship Id="rId75" Type="http://schemas.microsoft.com/office/2017/10/relationships/person" Target="persons/person55.xml"/><Relationship Id="rId70" Type="http://schemas.microsoft.com/office/2017/10/relationships/person" Target="persons/person49.xml"/><Relationship Id="rId62" Type="http://schemas.microsoft.com/office/2017/10/relationships/person" Target="persons/person41.xml"/><Relationship Id="rId54" Type="http://schemas.microsoft.com/office/2017/10/relationships/person" Target="persons/person33.xml"/><Relationship Id="rId41" Type="http://schemas.microsoft.com/office/2017/10/relationships/person" Target="persons/person18.xml"/><Relationship Id="rId88" Type="http://schemas.microsoft.com/office/2017/10/relationships/person" Target="persons/person6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57" Type="http://schemas.microsoft.com/office/2017/10/relationships/person" Target="persons/person36.xml"/><Relationship Id="rId23" Type="http://schemas.microsoft.com/office/2017/10/relationships/person" Target="persons/person1.xml"/><Relationship Id="rId28" Type="http://schemas.microsoft.com/office/2017/10/relationships/person" Target="persons/person6.xml"/><Relationship Id="rId36" Type="http://schemas.microsoft.com/office/2017/10/relationships/person" Target="persons/person13.xml"/><Relationship Id="rId49" Type="http://schemas.microsoft.com/office/2017/10/relationships/person" Target="persons/person27.xml"/><Relationship Id="rId10" Type="http://schemas.openxmlformats.org/officeDocument/2006/relationships/worksheet" Target="worksheets/sheet10.xml"/><Relationship Id="rId86" Type="http://schemas.microsoft.com/office/2017/10/relationships/person" Target="persons/person67.xml"/><Relationship Id="rId81" Type="http://schemas.microsoft.com/office/2017/10/relationships/person" Target="persons/person60.xml"/><Relationship Id="rId78" Type="http://schemas.microsoft.com/office/2017/10/relationships/person" Target="persons/person57.xml"/><Relationship Id="rId73" Type="http://schemas.microsoft.com/office/2017/10/relationships/person" Target="persons/person52.xml"/><Relationship Id="rId65" Type="http://schemas.microsoft.com/office/2017/10/relationships/person" Target="persons/person44.xml"/><Relationship Id="rId60" Type="http://schemas.microsoft.com/office/2017/10/relationships/person" Target="persons/person39.xml"/><Relationship Id="rId31" Type="http://schemas.microsoft.com/office/2017/10/relationships/person" Target="persons/person7.xml"/><Relationship Id="rId44" Type="http://schemas.microsoft.com/office/2017/10/relationships/person" Target="persons/person21.xml"/><Relationship Id="rId52" Type="http://schemas.microsoft.com/office/2017/10/relationships/person" Target="persons/person3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microsoft.com/office/2017/10/relationships/person" Target="persons/person17.xml"/><Relationship Id="rId76" Type="http://schemas.microsoft.com/office/2017/10/relationships/person" Target="persons/person54.xml"/><Relationship Id="rId34" Type="http://schemas.microsoft.com/office/2017/10/relationships/person" Target="persons/person12.xml"/><Relationship Id="rId50" Type="http://schemas.microsoft.com/office/2017/10/relationships/person" Target="persons/person28.xml"/><Relationship Id="rId55" Type="http://schemas.microsoft.com/office/2017/10/relationships/person" Target="persons/person32.xml"/><Relationship Id="rId7" Type="http://schemas.openxmlformats.org/officeDocument/2006/relationships/worksheet" Target="worksheets/sheet7.xml"/><Relationship Id="rId92" Type="http://schemas.microsoft.com/office/2017/10/relationships/person" Target="persons/person.xml"/><Relationship Id="rId71" Type="http://schemas.microsoft.com/office/2017/10/relationships/person" Target="persons/person48.xml"/><Relationship Id="rId2" Type="http://schemas.openxmlformats.org/officeDocument/2006/relationships/worksheet" Target="worksheets/sheet2.xml"/><Relationship Id="rId29" Type="http://schemas.microsoft.com/office/2017/10/relationships/person" Target="persons/person0.xml"/><Relationship Id="rId87" Type="http://schemas.microsoft.com/office/2017/10/relationships/person" Target="persons/person65.xml"/><Relationship Id="rId40" Type="http://schemas.microsoft.com/office/2017/10/relationships/person" Target="persons/person20.xml"/><Relationship Id="rId24" Type="http://schemas.microsoft.com/office/2017/10/relationships/person" Target="persons/person3.xml"/><Relationship Id="rId45" Type="http://schemas.microsoft.com/office/2017/10/relationships/person" Target="persons/person22.xml"/><Relationship Id="rId66" Type="http://schemas.microsoft.com/office/2017/10/relationships/person" Target="persons/person43.xml"/><Relationship Id="rId61" Type="http://schemas.microsoft.com/office/2017/10/relationships/person" Target="persons/person38.xml"/><Relationship Id="rId82" Type="http://schemas.microsoft.com/office/2017/10/relationships/person" Target="persons/person59.xml"/><Relationship Id="rId19" Type="http://schemas.openxmlformats.org/officeDocument/2006/relationships/theme" Target="theme/theme1.xml"/><Relationship Id="rId14" Type="http://schemas.openxmlformats.org/officeDocument/2006/relationships/worksheet" Target="worksheets/sheet14.xml"/><Relationship Id="rId35" Type="http://schemas.microsoft.com/office/2017/10/relationships/person" Target="persons/person16.xml"/><Relationship Id="rId30" Type="http://schemas.microsoft.com/office/2017/10/relationships/person" Target="persons/person8.xml"/><Relationship Id="rId56" Type="http://schemas.microsoft.com/office/2017/10/relationships/person" Target="persons/person34.xml"/><Relationship Id="rId77" Type="http://schemas.microsoft.com/office/2017/10/relationships/person" Target="persons/person5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18</xdr:col>
      <xdr:colOff>304800</xdr:colOff>
      <xdr:row>5</xdr:row>
      <xdr:rowOff>2540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79745BCB-6E97-4682-8510-D9D58F6734BB}"/>
            </a:ext>
          </a:extLst>
        </xdr:cNvPr>
        <xdr:cNvSpPr>
          <a:spLocks noChangeAspect="1" noChangeArrowheads="1"/>
        </xdr:cNvSpPr>
      </xdr:nvSpPr>
      <xdr:spPr bwMode="auto">
        <a:xfrm>
          <a:off x="4572000" y="0"/>
          <a:ext cx="304800" cy="916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38594</xdr:colOff>
      <xdr:row>0</xdr:row>
      <xdr:rowOff>0</xdr:rowOff>
    </xdr:from>
    <xdr:to>
      <xdr:col>28</xdr:col>
      <xdr:colOff>152400</xdr:colOff>
      <xdr:row>5</xdr:row>
      <xdr:rowOff>176890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912F37-7DCB-49D3-9232-44F085CCF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5563" y="0"/>
          <a:ext cx="875806" cy="1284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52</xdr:col>
      <xdr:colOff>631032</xdr:colOff>
      <xdr:row>0</xdr:row>
      <xdr:rowOff>142875</xdr:rowOff>
    </xdr:from>
    <xdr:to>
      <xdr:col>53</xdr:col>
      <xdr:colOff>173832</xdr:colOff>
      <xdr:row>2</xdr:row>
      <xdr:rowOff>59214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215313" y="142875"/>
          <a:ext cx="304800" cy="452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55</xdr:col>
      <xdr:colOff>746240</xdr:colOff>
      <xdr:row>0</xdr:row>
      <xdr:rowOff>29482</xdr:rowOff>
    </xdr:from>
    <xdr:to>
      <xdr:col>56</xdr:col>
      <xdr:colOff>602189</xdr:colOff>
      <xdr:row>4</xdr:row>
      <xdr:rowOff>182880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16521" y="29482"/>
          <a:ext cx="617949" cy="10701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0</xdr:row>
      <xdr:rowOff>0</xdr:rowOff>
    </xdr:from>
    <xdr:to>
      <xdr:col>67</xdr:col>
      <xdr:colOff>304800</xdr:colOff>
      <xdr:row>2</xdr:row>
      <xdr:rowOff>80645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5911850" y="0"/>
          <a:ext cx="30480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76</xdr:col>
      <xdr:colOff>31637</xdr:colOff>
      <xdr:row>0</xdr:row>
      <xdr:rowOff>0</xdr:rowOff>
    </xdr:from>
    <xdr:to>
      <xdr:col>76</xdr:col>
      <xdr:colOff>636251</xdr:colOff>
      <xdr:row>5</xdr:row>
      <xdr:rowOff>130175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30606" y="0"/>
          <a:ext cx="604614" cy="12374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95</xdr:col>
      <xdr:colOff>35038</xdr:colOff>
      <xdr:row>0</xdr:row>
      <xdr:rowOff>8843</xdr:rowOff>
    </xdr:from>
    <xdr:to>
      <xdr:col>95</xdr:col>
      <xdr:colOff>655981</xdr:colOff>
      <xdr:row>4</xdr:row>
      <xdr:rowOff>24446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53069" y="8843"/>
          <a:ext cx="620943" cy="93238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95</xdr:col>
      <xdr:colOff>31636</xdr:colOff>
      <xdr:row>0</xdr:row>
      <xdr:rowOff>9865</xdr:rowOff>
    </xdr:from>
    <xdr:to>
      <xdr:col>95</xdr:col>
      <xdr:colOff>708546</xdr:colOff>
      <xdr:row>4</xdr:row>
      <xdr:rowOff>61425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40167" y="9865"/>
          <a:ext cx="676910" cy="96834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0</xdr:row>
      <xdr:rowOff>0</xdr:rowOff>
    </xdr:from>
    <xdr:to>
      <xdr:col>75</xdr:col>
      <xdr:colOff>304800</xdr:colOff>
      <xdr:row>2</xdr:row>
      <xdr:rowOff>80645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9537700" y="0"/>
          <a:ext cx="30480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84</xdr:col>
      <xdr:colOff>40481</xdr:colOff>
      <xdr:row>0</xdr:row>
      <xdr:rowOff>0</xdr:rowOff>
    </xdr:from>
    <xdr:to>
      <xdr:col>84</xdr:col>
      <xdr:colOff>663416</xdr:colOff>
      <xdr:row>4</xdr:row>
      <xdr:rowOff>19529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8012" y="0"/>
          <a:ext cx="622935" cy="93631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0</xdr:colOff>
      <xdr:row>0</xdr:row>
      <xdr:rowOff>0</xdr:rowOff>
    </xdr:from>
    <xdr:to>
      <xdr:col>82</xdr:col>
      <xdr:colOff>304800</xdr:colOff>
      <xdr:row>3</xdr:row>
      <xdr:rowOff>41275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9474200" y="0"/>
          <a:ext cx="304800" cy="60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90</xdr:col>
      <xdr:colOff>750773</xdr:colOff>
      <xdr:row>0</xdr:row>
      <xdr:rowOff>0</xdr:rowOff>
    </xdr:from>
    <xdr:to>
      <xdr:col>91</xdr:col>
      <xdr:colOff>538048</xdr:colOff>
      <xdr:row>4</xdr:row>
      <xdr:rowOff>37464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40117" y="0"/>
          <a:ext cx="549275" cy="95424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0</xdr:colOff>
      <xdr:row>0</xdr:row>
      <xdr:rowOff>0</xdr:rowOff>
    </xdr:from>
    <xdr:to>
      <xdr:col>82</xdr:col>
      <xdr:colOff>304800</xdr:colOff>
      <xdr:row>4</xdr:row>
      <xdr:rowOff>12700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6373264A-7039-4708-9EF7-3447A8D1A4D4}"/>
            </a:ext>
          </a:extLst>
        </xdr:cNvPr>
        <xdr:cNvSpPr>
          <a:spLocks noChangeAspect="1" noChangeArrowheads="1"/>
        </xdr:cNvSpPr>
      </xdr:nvSpPr>
      <xdr:spPr bwMode="auto">
        <a:xfrm>
          <a:off x="3886200" y="0"/>
          <a:ext cx="304800" cy="77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91</xdr:col>
      <xdr:colOff>41081</xdr:colOff>
      <xdr:row>0</xdr:row>
      <xdr:rowOff>0</xdr:rowOff>
    </xdr:from>
    <xdr:to>
      <xdr:col>91</xdr:col>
      <xdr:colOff>619125</xdr:colOff>
      <xdr:row>4</xdr:row>
      <xdr:rowOff>83343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15AB07-4A34-4C38-A177-4B8EC4B26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28081" y="0"/>
          <a:ext cx="578044" cy="101203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0</xdr:row>
      <xdr:rowOff>0</xdr:rowOff>
    </xdr:from>
    <xdr:to>
      <xdr:col>86</xdr:col>
      <xdr:colOff>304800</xdr:colOff>
      <xdr:row>1</xdr:row>
      <xdr:rowOff>118745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39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95</xdr:col>
      <xdr:colOff>9866</xdr:colOff>
      <xdr:row>0</xdr:row>
      <xdr:rowOff>0</xdr:rowOff>
    </xdr:from>
    <xdr:to>
      <xdr:col>95</xdr:col>
      <xdr:colOff>640516</xdr:colOff>
      <xdr:row>4</xdr:row>
      <xdr:rowOff>147955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4085" y="0"/>
          <a:ext cx="630650" cy="106473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57</xdr:col>
      <xdr:colOff>40481</xdr:colOff>
      <xdr:row>0</xdr:row>
      <xdr:rowOff>0</xdr:rowOff>
    </xdr:from>
    <xdr:to>
      <xdr:col>57</xdr:col>
      <xdr:colOff>730726</xdr:colOff>
      <xdr:row>5</xdr:row>
      <xdr:rowOff>24130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58512" y="0"/>
          <a:ext cx="690245" cy="113141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51</xdr:col>
      <xdr:colOff>438149</xdr:colOff>
      <xdr:row>0</xdr:row>
      <xdr:rowOff>0</xdr:rowOff>
    </xdr:from>
    <xdr:to>
      <xdr:col>52</xdr:col>
      <xdr:colOff>308474</xdr:colOff>
      <xdr:row>5</xdr:row>
      <xdr:rowOff>0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9331778" y="0"/>
          <a:ext cx="320040" cy="1099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61</xdr:col>
      <xdr:colOff>36089</xdr:colOff>
      <xdr:row>0</xdr:row>
      <xdr:rowOff>0</xdr:rowOff>
    </xdr:from>
    <xdr:to>
      <xdr:col>61</xdr:col>
      <xdr:colOff>605745</xdr:colOff>
      <xdr:row>5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08902" y="0"/>
          <a:ext cx="569656" cy="114538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80</xdr:col>
      <xdr:colOff>718457</xdr:colOff>
      <xdr:row>0</xdr:row>
      <xdr:rowOff>0</xdr:rowOff>
    </xdr:from>
    <xdr:to>
      <xdr:col>81</xdr:col>
      <xdr:colOff>619124</xdr:colOff>
      <xdr:row>5</xdr:row>
      <xdr:rowOff>186417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22113" y="0"/>
          <a:ext cx="662667" cy="129369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88</xdr:col>
      <xdr:colOff>21770</xdr:colOff>
      <xdr:row>0</xdr:row>
      <xdr:rowOff>9865</xdr:rowOff>
    </xdr:from>
    <xdr:to>
      <xdr:col>88</xdr:col>
      <xdr:colOff>683441</xdr:colOff>
      <xdr:row>4</xdr:row>
      <xdr:rowOff>68920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51708" y="9865"/>
          <a:ext cx="661671" cy="97583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104</xdr:col>
      <xdr:colOff>757915</xdr:colOff>
      <xdr:row>0</xdr:row>
      <xdr:rowOff>0</xdr:rowOff>
    </xdr:from>
    <xdr:to>
      <xdr:col>105</xdr:col>
      <xdr:colOff>636628</xdr:colOff>
      <xdr:row>4</xdr:row>
      <xdr:rowOff>10160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40165" y="0"/>
          <a:ext cx="640713" cy="92694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102</xdr:col>
      <xdr:colOff>30617</xdr:colOff>
      <xdr:row>0</xdr:row>
      <xdr:rowOff>0</xdr:rowOff>
    </xdr:from>
    <xdr:to>
      <xdr:col>102</xdr:col>
      <xdr:colOff>589417</xdr:colOff>
      <xdr:row>4</xdr:row>
      <xdr:rowOff>50799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6805" y="0"/>
          <a:ext cx="558800" cy="96758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98</xdr:col>
      <xdr:colOff>18711</xdr:colOff>
      <xdr:row>0</xdr:row>
      <xdr:rowOff>11906</xdr:rowOff>
    </xdr:from>
    <xdr:to>
      <xdr:col>98</xdr:col>
      <xdr:colOff>587036</xdr:colOff>
      <xdr:row>4</xdr:row>
      <xdr:rowOff>45560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03430" y="11906"/>
          <a:ext cx="568325" cy="95043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98</xdr:col>
      <xdr:colOff>18711</xdr:colOff>
      <xdr:row>0</xdr:row>
      <xdr:rowOff>11906</xdr:rowOff>
    </xdr:from>
    <xdr:to>
      <xdr:col>98</xdr:col>
      <xdr:colOff>587036</xdr:colOff>
      <xdr:row>5</xdr:row>
      <xdr:rowOff>7460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9BF01E4-72F3-4C2C-A90D-5EA783E23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96286" y="11906"/>
          <a:ext cx="568325" cy="94805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99</xdr:col>
      <xdr:colOff>19729</xdr:colOff>
      <xdr:row>0</xdr:row>
      <xdr:rowOff>0</xdr:rowOff>
    </xdr:from>
    <xdr:to>
      <xdr:col>99</xdr:col>
      <xdr:colOff>696639</xdr:colOff>
      <xdr:row>4</xdr:row>
      <xdr:rowOff>78105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1604" y="0"/>
          <a:ext cx="676910" cy="99488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persons/person14.xml><?xml version="1.0" encoding="utf-8"?>
<personList xmlns="http://schemas.microsoft.com/office/spreadsheetml/2018/threadedcomments" xmlns:x="http://schemas.openxmlformats.org/spreadsheetml/2006/main"/>
</file>

<file path=xl/persons/person15.xml><?xml version="1.0" encoding="utf-8"?>
<personList xmlns="http://schemas.microsoft.com/office/spreadsheetml/2018/threadedcomments" xmlns:x="http://schemas.openxmlformats.org/spreadsheetml/2006/main"/>
</file>

<file path=xl/persons/person16.xml><?xml version="1.0" encoding="utf-8"?>
<personList xmlns="http://schemas.microsoft.com/office/spreadsheetml/2018/threadedcomments" xmlns:x="http://schemas.openxmlformats.org/spreadsheetml/2006/main"/>
</file>

<file path=xl/persons/person17.xml><?xml version="1.0" encoding="utf-8"?>
<personList xmlns="http://schemas.microsoft.com/office/spreadsheetml/2018/threadedcomments" xmlns:x="http://schemas.openxmlformats.org/spreadsheetml/2006/main"/>
</file>

<file path=xl/persons/person18.xml><?xml version="1.0" encoding="utf-8"?>
<personList xmlns="http://schemas.microsoft.com/office/spreadsheetml/2018/threadedcomments" xmlns:x="http://schemas.openxmlformats.org/spreadsheetml/2006/main"/>
</file>

<file path=xl/persons/person19.xml><?xml version="1.0" encoding="utf-8"?>
<personList xmlns="http://schemas.microsoft.com/office/spreadsheetml/2018/threadedcomments" xmlns:x="http://schemas.openxmlformats.org/spreadsheetml/2006/main"/>
</file>

<file path=xl/persons/person20.xml><?xml version="1.0" encoding="utf-8"?>
<personList xmlns="http://schemas.microsoft.com/office/spreadsheetml/2018/threadedcomments" xmlns:x="http://schemas.openxmlformats.org/spreadsheetml/2006/main"/>
</file>

<file path=xl/persons/person21.xml><?xml version="1.0" encoding="utf-8"?>
<personList xmlns="http://schemas.microsoft.com/office/spreadsheetml/2018/threadedcomments" xmlns:x="http://schemas.openxmlformats.org/spreadsheetml/2006/main"/>
</file>

<file path=xl/persons/person22.xml><?xml version="1.0" encoding="utf-8"?>
<personList xmlns="http://schemas.microsoft.com/office/spreadsheetml/2018/threadedcomments" xmlns:x="http://schemas.openxmlformats.org/spreadsheetml/2006/main"/>
</file>

<file path=xl/persons/person23.xml><?xml version="1.0" encoding="utf-8"?>
<personList xmlns="http://schemas.microsoft.com/office/spreadsheetml/2018/threadedcomments" xmlns:x="http://schemas.openxmlformats.org/spreadsheetml/2006/main"/>
</file>

<file path=xl/persons/person24.xml><?xml version="1.0" encoding="utf-8"?>
<personList xmlns="http://schemas.microsoft.com/office/spreadsheetml/2018/threadedcomments" xmlns:x="http://schemas.openxmlformats.org/spreadsheetml/2006/main"/>
</file>

<file path=xl/persons/person25.xml><?xml version="1.0" encoding="utf-8"?>
<personList xmlns="http://schemas.microsoft.com/office/spreadsheetml/2018/threadedcomments" xmlns:x="http://schemas.openxmlformats.org/spreadsheetml/2006/main"/>
</file>

<file path=xl/persons/person26.xml><?xml version="1.0" encoding="utf-8"?>
<personList xmlns="http://schemas.microsoft.com/office/spreadsheetml/2018/threadedcomments" xmlns:x="http://schemas.openxmlformats.org/spreadsheetml/2006/main"/>
</file>

<file path=xl/persons/person27.xml><?xml version="1.0" encoding="utf-8"?>
<personList xmlns="http://schemas.microsoft.com/office/spreadsheetml/2018/threadedcomments" xmlns:x="http://schemas.openxmlformats.org/spreadsheetml/2006/main"/>
</file>

<file path=xl/persons/person28.xml><?xml version="1.0" encoding="utf-8"?>
<personList xmlns="http://schemas.microsoft.com/office/spreadsheetml/2018/threadedcomments" xmlns:x="http://schemas.openxmlformats.org/spreadsheetml/2006/main"/>
</file>

<file path=xl/persons/person29.xml><?xml version="1.0" encoding="utf-8"?>
<personList xmlns="http://schemas.microsoft.com/office/spreadsheetml/2018/threadedcomments" xmlns:x="http://schemas.openxmlformats.org/spreadsheetml/2006/main"/>
</file>

<file path=xl/persons/person30.xml><?xml version="1.0" encoding="utf-8"?>
<personList xmlns="http://schemas.microsoft.com/office/spreadsheetml/2018/threadedcomments" xmlns:x="http://schemas.openxmlformats.org/spreadsheetml/2006/main"/>
</file>

<file path=xl/persons/person31.xml><?xml version="1.0" encoding="utf-8"?>
<personList xmlns="http://schemas.microsoft.com/office/spreadsheetml/2018/threadedcomments" xmlns:x="http://schemas.openxmlformats.org/spreadsheetml/2006/main"/>
</file>

<file path=xl/persons/person32.xml><?xml version="1.0" encoding="utf-8"?>
<personList xmlns="http://schemas.microsoft.com/office/spreadsheetml/2018/threadedcomments" xmlns:x="http://schemas.openxmlformats.org/spreadsheetml/2006/main"/>
</file>

<file path=xl/persons/person33.xml><?xml version="1.0" encoding="utf-8"?>
<personList xmlns="http://schemas.microsoft.com/office/spreadsheetml/2018/threadedcomments" xmlns:x="http://schemas.openxmlformats.org/spreadsheetml/2006/main"/>
</file>

<file path=xl/persons/person34.xml><?xml version="1.0" encoding="utf-8"?>
<personList xmlns="http://schemas.microsoft.com/office/spreadsheetml/2018/threadedcomments" xmlns:x="http://schemas.openxmlformats.org/spreadsheetml/2006/main"/>
</file>

<file path=xl/persons/person35.xml><?xml version="1.0" encoding="utf-8"?>
<personList xmlns="http://schemas.microsoft.com/office/spreadsheetml/2018/threadedcomments" xmlns:x="http://schemas.openxmlformats.org/spreadsheetml/2006/main"/>
</file>

<file path=xl/persons/person36.xml><?xml version="1.0" encoding="utf-8"?>
<personList xmlns="http://schemas.microsoft.com/office/spreadsheetml/2018/threadedcomments" xmlns:x="http://schemas.openxmlformats.org/spreadsheetml/2006/main"/>
</file>

<file path=xl/persons/person37.xml><?xml version="1.0" encoding="utf-8"?>
<personList xmlns="http://schemas.microsoft.com/office/spreadsheetml/2018/threadedcomments" xmlns:x="http://schemas.openxmlformats.org/spreadsheetml/2006/main"/>
</file>

<file path=xl/persons/person38.xml><?xml version="1.0" encoding="utf-8"?>
<personList xmlns="http://schemas.microsoft.com/office/spreadsheetml/2018/threadedcomments" xmlns:x="http://schemas.openxmlformats.org/spreadsheetml/2006/main"/>
</file>

<file path=xl/persons/person39.xml><?xml version="1.0" encoding="utf-8"?>
<personList xmlns="http://schemas.microsoft.com/office/spreadsheetml/2018/threadedcomments" xmlns:x="http://schemas.openxmlformats.org/spreadsheetml/2006/main"/>
</file>

<file path=xl/persons/person40.xml><?xml version="1.0" encoding="utf-8"?>
<personList xmlns="http://schemas.microsoft.com/office/spreadsheetml/2018/threadedcomments" xmlns:x="http://schemas.openxmlformats.org/spreadsheetml/2006/main"/>
</file>

<file path=xl/persons/person41.xml><?xml version="1.0" encoding="utf-8"?>
<personList xmlns="http://schemas.microsoft.com/office/spreadsheetml/2018/threadedcomments" xmlns:x="http://schemas.openxmlformats.org/spreadsheetml/2006/main"/>
</file>

<file path=xl/persons/person42.xml><?xml version="1.0" encoding="utf-8"?>
<personList xmlns="http://schemas.microsoft.com/office/spreadsheetml/2018/threadedcomments" xmlns:x="http://schemas.openxmlformats.org/spreadsheetml/2006/main"/>
</file>

<file path=xl/persons/person43.xml><?xml version="1.0" encoding="utf-8"?>
<personList xmlns="http://schemas.microsoft.com/office/spreadsheetml/2018/threadedcomments" xmlns:x="http://schemas.openxmlformats.org/spreadsheetml/2006/main"/>
</file>

<file path=xl/persons/person44.xml><?xml version="1.0" encoding="utf-8"?>
<personList xmlns="http://schemas.microsoft.com/office/spreadsheetml/2018/threadedcomments" xmlns:x="http://schemas.openxmlformats.org/spreadsheetml/2006/main"/>
</file>

<file path=xl/persons/person45.xml><?xml version="1.0" encoding="utf-8"?>
<personList xmlns="http://schemas.microsoft.com/office/spreadsheetml/2018/threadedcomments" xmlns:x="http://schemas.openxmlformats.org/spreadsheetml/2006/main"/>
</file>

<file path=xl/persons/person46.xml><?xml version="1.0" encoding="utf-8"?>
<personList xmlns="http://schemas.microsoft.com/office/spreadsheetml/2018/threadedcomments" xmlns:x="http://schemas.openxmlformats.org/spreadsheetml/2006/main"/>
</file>

<file path=xl/persons/person47.xml><?xml version="1.0" encoding="utf-8"?>
<personList xmlns="http://schemas.microsoft.com/office/spreadsheetml/2018/threadedcomments" xmlns:x="http://schemas.openxmlformats.org/spreadsheetml/2006/main"/>
</file>

<file path=xl/persons/person48.xml><?xml version="1.0" encoding="utf-8"?>
<personList xmlns="http://schemas.microsoft.com/office/spreadsheetml/2018/threadedcomments" xmlns:x="http://schemas.openxmlformats.org/spreadsheetml/2006/main"/>
</file>

<file path=xl/persons/person49.xml><?xml version="1.0" encoding="utf-8"?>
<personList xmlns="http://schemas.microsoft.com/office/spreadsheetml/2018/threadedcomments" xmlns:x="http://schemas.openxmlformats.org/spreadsheetml/2006/main"/>
</file>

<file path=xl/persons/person50.xml><?xml version="1.0" encoding="utf-8"?>
<personList xmlns="http://schemas.microsoft.com/office/spreadsheetml/2018/threadedcomments" xmlns:x="http://schemas.openxmlformats.org/spreadsheetml/2006/main"/>
</file>

<file path=xl/persons/person51.xml><?xml version="1.0" encoding="utf-8"?>
<personList xmlns="http://schemas.microsoft.com/office/spreadsheetml/2018/threadedcomments" xmlns:x="http://schemas.openxmlformats.org/spreadsheetml/2006/main"/>
</file>

<file path=xl/persons/person52.xml><?xml version="1.0" encoding="utf-8"?>
<personList xmlns="http://schemas.microsoft.com/office/spreadsheetml/2018/threadedcomments" xmlns:x="http://schemas.openxmlformats.org/spreadsheetml/2006/main"/>
</file>

<file path=xl/persons/person53.xml><?xml version="1.0" encoding="utf-8"?>
<personList xmlns="http://schemas.microsoft.com/office/spreadsheetml/2018/threadedcomments" xmlns:x="http://schemas.openxmlformats.org/spreadsheetml/2006/main"/>
</file>

<file path=xl/persons/person54.xml><?xml version="1.0" encoding="utf-8"?>
<personList xmlns="http://schemas.microsoft.com/office/spreadsheetml/2018/threadedcomments" xmlns:x="http://schemas.openxmlformats.org/spreadsheetml/2006/main"/>
</file>

<file path=xl/persons/person55.xml><?xml version="1.0" encoding="utf-8"?>
<personList xmlns="http://schemas.microsoft.com/office/spreadsheetml/2018/threadedcomments" xmlns:x="http://schemas.openxmlformats.org/spreadsheetml/2006/main"/>
</file>

<file path=xl/persons/person56.xml><?xml version="1.0" encoding="utf-8"?>
<personList xmlns="http://schemas.microsoft.com/office/spreadsheetml/2018/threadedcomments" xmlns:x="http://schemas.openxmlformats.org/spreadsheetml/2006/main"/>
</file>

<file path=xl/persons/person57.xml><?xml version="1.0" encoding="utf-8"?>
<personList xmlns="http://schemas.microsoft.com/office/spreadsheetml/2018/threadedcomments" xmlns:x="http://schemas.openxmlformats.org/spreadsheetml/2006/main"/>
</file>

<file path=xl/persons/person58.xml><?xml version="1.0" encoding="utf-8"?>
<personList xmlns="http://schemas.microsoft.com/office/spreadsheetml/2018/threadedcomments" xmlns:x="http://schemas.openxmlformats.org/spreadsheetml/2006/main"/>
</file>

<file path=xl/persons/person59.xml><?xml version="1.0" encoding="utf-8"?>
<personList xmlns="http://schemas.microsoft.com/office/spreadsheetml/2018/threadedcomments" xmlns:x="http://schemas.openxmlformats.org/spreadsheetml/2006/main"/>
</file>

<file path=xl/persons/person60.xml><?xml version="1.0" encoding="utf-8"?>
<personList xmlns="http://schemas.microsoft.com/office/spreadsheetml/2018/threadedcomments" xmlns:x="http://schemas.openxmlformats.org/spreadsheetml/2006/main"/>
</file>

<file path=xl/persons/person61.xml><?xml version="1.0" encoding="utf-8"?>
<personList xmlns="http://schemas.microsoft.com/office/spreadsheetml/2018/threadedcomments" xmlns:x="http://schemas.openxmlformats.org/spreadsheetml/2006/main"/>
</file>

<file path=xl/persons/person62.xml><?xml version="1.0" encoding="utf-8"?>
<personList xmlns="http://schemas.microsoft.com/office/spreadsheetml/2018/threadedcomments" xmlns:x="http://schemas.openxmlformats.org/spreadsheetml/2006/main"/>
</file>

<file path=xl/persons/person63.xml><?xml version="1.0" encoding="utf-8"?>
<personList xmlns="http://schemas.microsoft.com/office/spreadsheetml/2018/threadedcomments" xmlns:x="http://schemas.openxmlformats.org/spreadsheetml/2006/main"/>
</file>

<file path=xl/persons/person64.xml><?xml version="1.0" encoding="utf-8"?>
<personList xmlns="http://schemas.microsoft.com/office/spreadsheetml/2018/threadedcomments" xmlns:x="http://schemas.openxmlformats.org/spreadsheetml/2006/main"/>
</file>

<file path=xl/persons/person65.xml><?xml version="1.0" encoding="utf-8"?>
<personList xmlns="http://schemas.microsoft.com/office/spreadsheetml/2018/threadedcomments" xmlns:x="http://schemas.openxmlformats.org/spreadsheetml/2006/main"/>
</file>

<file path=xl/persons/person66.xml><?xml version="1.0" encoding="utf-8"?>
<personList xmlns="http://schemas.microsoft.com/office/spreadsheetml/2018/threadedcomments" xmlns:x="http://schemas.openxmlformats.org/spreadsheetml/2006/main"/>
</file>

<file path=xl/persons/person67.xml><?xml version="1.0" encoding="utf-8"?>
<personList xmlns="http://schemas.microsoft.com/office/spreadsheetml/2018/threadedcomments" xmlns:x="http://schemas.openxmlformats.org/spreadsheetml/2006/main"/>
</file>

<file path=xl/persons/person68.xml><?xml version="1.0" encoding="utf-8"?>
<personList xmlns="http://schemas.microsoft.com/office/spreadsheetml/2018/threadedcomments" xmlns:x="http://schemas.openxmlformats.org/spreadsheetml/2006/main"/>
</file>

<file path=xl/persons/person69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676D4-43C3-4B3E-AE3D-1A07A16A91FB}">
  <dimension ref="A1:AA14"/>
  <sheetViews>
    <sheetView zoomScale="80" zoomScaleNormal="80" workbookViewId="0">
      <selection activeCell="A14" sqref="A14"/>
    </sheetView>
  </sheetViews>
  <sheetFormatPr baseColWidth="10" defaultRowHeight="15" x14ac:dyDescent="0.25"/>
  <cols>
    <col min="1" max="1" width="2" bestFit="1" customWidth="1"/>
    <col min="4" max="4" width="12.85546875" bestFit="1" customWidth="1"/>
    <col min="6" max="6" width="0" hidden="1" customWidth="1"/>
    <col min="7" max="7" width="6" hidden="1" customWidth="1"/>
    <col min="8" max="8" width="0" hidden="1" customWidth="1"/>
    <col min="9" max="9" width="6.85546875" hidden="1" customWidth="1"/>
    <col min="10" max="10" width="6" hidden="1" customWidth="1"/>
    <col min="11" max="12" width="7.85546875" style="7" hidden="1" customWidth="1"/>
    <col min="13" max="13" width="5.7109375" style="7" hidden="1" customWidth="1"/>
    <col min="14" max="14" width="7.85546875" style="7" hidden="1" customWidth="1"/>
    <col min="15" max="15" width="7.5703125" style="7" hidden="1" customWidth="1"/>
    <col min="16" max="16" width="7.85546875" style="7" hidden="1" customWidth="1"/>
    <col min="17" max="18" width="0" style="7" hidden="1" customWidth="1"/>
    <col min="21" max="21" width="11.42578125" style="7"/>
    <col min="23" max="23" width="8.140625" style="7" customWidth="1"/>
  </cols>
  <sheetData>
    <row r="1" spans="1:27" ht="26.25" x14ac:dyDescent="0.4">
      <c r="B1" s="34" t="s">
        <v>3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spans="1:27" ht="15.75" thickBot="1" x14ac:dyDescent="0.3">
      <c r="C2" s="7"/>
      <c r="D2" s="7"/>
      <c r="E2" s="7"/>
      <c r="F2" s="7"/>
    </row>
    <row r="3" spans="1:27" ht="15.75" thickTop="1" x14ac:dyDescent="0.25">
      <c r="B3" s="1" t="s">
        <v>0</v>
      </c>
      <c r="C3" s="4" t="s">
        <v>14</v>
      </c>
      <c r="F3" s="7"/>
    </row>
    <row r="4" spans="1:27" ht="14.45" customHeight="1" x14ac:dyDescent="0.25">
      <c r="B4" s="2" t="s">
        <v>1</v>
      </c>
      <c r="C4" s="5" t="s">
        <v>7</v>
      </c>
      <c r="D4" s="32" t="s">
        <v>492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 spans="1:27" ht="15" customHeight="1" thickBot="1" x14ac:dyDescent="0.3">
      <c r="B5" s="3" t="s">
        <v>2</v>
      </c>
      <c r="C5" s="15">
        <v>-36</v>
      </c>
      <c r="D5" s="32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 spans="1:27" ht="15.75" thickTop="1" x14ac:dyDescent="0.25">
      <c r="F6" s="7"/>
    </row>
    <row r="7" spans="1:27" ht="15.75" thickBot="1" x14ac:dyDescent="0.3">
      <c r="F7" s="7"/>
    </row>
    <row r="8" spans="1:27" ht="15.75" thickTop="1" x14ac:dyDescent="0.25">
      <c r="B8" s="25" t="s">
        <v>9</v>
      </c>
      <c r="C8" s="26"/>
      <c r="D8" s="1"/>
      <c r="E8" s="1"/>
      <c r="F8" s="12">
        <v>44927</v>
      </c>
      <c r="G8" s="4" t="s">
        <v>10</v>
      </c>
      <c r="H8" s="4" t="s">
        <v>6</v>
      </c>
      <c r="I8" s="12">
        <v>45292</v>
      </c>
      <c r="J8" s="12" t="s">
        <v>10</v>
      </c>
      <c r="K8" s="12" t="s">
        <v>6</v>
      </c>
      <c r="L8" s="12">
        <v>45658</v>
      </c>
      <c r="M8" s="12"/>
      <c r="N8" s="12"/>
      <c r="O8" s="17"/>
      <c r="P8" s="18"/>
      <c r="Q8" s="18"/>
      <c r="R8" s="19"/>
      <c r="S8" s="12" t="s">
        <v>6</v>
      </c>
      <c r="T8" s="12">
        <v>46023</v>
      </c>
      <c r="U8" s="12"/>
      <c r="V8" s="12"/>
      <c r="W8" s="17"/>
      <c r="X8" s="20"/>
      <c r="Y8" s="20"/>
      <c r="Z8" s="21"/>
      <c r="AA8" s="12" t="s">
        <v>6</v>
      </c>
    </row>
    <row r="9" spans="1:27" x14ac:dyDescent="0.25">
      <c r="B9" s="27"/>
      <c r="C9" s="28"/>
      <c r="D9" s="2"/>
      <c r="E9" s="2"/>
      <c r="F9" s="5"/>
      <c r="G9" s="8" t="s">
        <v>167</v>
      </c>
      <c r="H9" s="2"/>
      <c r="I9" s="5"/>
      <c r="J9" s="5" t="s">
        <v>76</v>
      </c>
      <c r="K9" s="5"/>
      <c r="L9" s="5"/>
      <c r="M9" s="8" t="s">
        <v>10</v>
      </c>
      <c r="N9" s="8" t="s">
        <v>151</v>
      </c>
      <c r="O9" s="29" t="s">
        <v>305</v>
      </c>
      <c r="P9" s="30"/>
      <c r="Q9" s="30"/>
      <c r="R9" s="31"/>
      <c r="S9" s="5"/>
      <c r="T9" s="5"/>
      <c r="U9" s="8" t="s">
        <v>10</v>
      </c>
      <c r="V9" s="8" t="s">
        <v>151</v>
      </c>
      <c r="W9" s="29" t="s">
        <v>305</v>
      </c>
      <c r="X9" s="30"/>
      <c r="Y9" s="30"/>
      <c r="Z9" s="31"/>
      <c r="AA9" s="5"/>
    </row>
    <row r="10" spans="1:27" x14ac:dyDescent="0.25">
      <c r="B10" s="27"/>
      <c r="C10" s="28"/>
      <c r="D10" s="2" t="s">
        <v>4</v>
      </c>
      <c r="E10" s="2" t="s">
        <v>5</v>
      </c>
      <c r="F10" s="5"/>
      <c r="G10" s="2" t="s">
        <v>168</v>
      </c>
      <c r="H10" s="2">
        <v>2023</v>
      </c>
      <c r="I10" s="13"/>
      <c r="J10" s="13" t="s">
        <v>290</v>
      </c>
      <c r="K10" s="13">
        <v>2024</v>
      </c>
      <c r="L10" s="5"/>
      <c r="M10" s="5"/>
      <c r="N10" s="5"/>
      <c r="O10" s="5">
        <v>1</v>
      </c>
      <c r="P10" s="5">
        <v>2</v>
      </c>
      <c r="Q10" s="5">
        <v>3</v>
      </c>
      <c r="R10" s="5">
        <v>4</v>
      </c>
      <c r="S10" s="5">
        <v>2025</v>
      </c>
      <c r="T10" s="5"/>
      <c r="U10" s="5"/>
      <c r="V10" s="5"/>
      <c r="W10" s="5">
        <v>1</v>
      </c>
      <c r="X10" s="5">
        <v>2</v>
      </c>
      <c r="Y10" s="5">
        <v>3</v>
      </c>
      <c r="Z10" s="5">
        <v>4</v>
      </c>
      <c r="AA10" s="5">
        <v>2026</v>
      </c>
    </row>
    <row r="11" spans="1:27" x14ac:dyDescent="0.25">
      <c r="A11">
        <v>1</v>
      </c>
      <c r="B11" s="6" t="s">
        <v>110</v>
      </c>
      <c r="C11" s="6"/>
      <c r="D11" s="6" t="s">
        <v>324</v>
      </c>
      <c r="E11" s="6" t="s">
        <v>56</v>
      </c>
      <c r="F11" s="6"/>
      <c r="G11" s="6"/>
      <c r="H11" s="6"/>
      <c r="I11" s="6"/>
      <c r="J11" s="6"/>
      <c r="K11" s="10"/>
      <c r="L11" s="10">
        <f>230/2</f>
        <v>115</v>
      </c>
      <c r="M11" s="10">
        <v>2.4</v>
      </c>
      <c r="N11" s="10">
        <v>48</v>
      </c>
      <c r="O11" s="10">
        <v>60</v>
      </c>
      <c r="P11" s="10">
        <v>80</v>
      </c>
      <c r="Q11" s="10">
        <v>120</v>
      </c>
      <c r="R11" s="10"/>
      <c r="S11" s="6">
        <f>SUM(L11:R11)</f>
        <v>425.4</v>
      </c>
      <c r="T11" s="6">
        <f>(S11-L11)/2</f>
        <v>155.19999999999999</v>
      </c>
      <c r="U11" s="10">
        <v>36</v>
      </c>
      <c r="V11" s="6"/>
      <c r="W11" s="10">
        <v>120</v>
      </c>
      <c r="X11" s="6"/>
      <c r="Y11" s="6"/>
      <c r="Z11" s="6"/>
      <c r="AA11" s="6">
        <f>SUM(T11:Z11)</f>
        <v>311.2</v>
      </c>
    </row>
    <row r="12" spans="1:27" x14ac:dyDescent="0.25">
      <c r="A12">
        <v>2</v>
      </c>
      <c r="B12" s="6" t="s">
        <v>389</v>
      </c>
      <c r="C12" s="6"/>
      <c r="D12" s="6" t="s">
        <v>388</v>
      </c>
      <c r="E12" s="6" t="s">
        <v>31</v>
      </c>
      <c r="F12" s="6"/>
      <c r="G12" s="6"/>
      <c r="H12" s="6"/>
      <c r="I12" s="6"/>
      <c r="J12" s="6"/>
      <c r="K12" s="10"/>
      <c r="L12" s="10"/>
      <c r="M12" s="10">
        <v>36</v>
      </c>
      <c r="N12" s="10">
        <v>48</v>
      </c>
      <c r="O12" s="10">
        <v>36</v>
      </c>
      <c r="P12" s="10"/>
      <c r="Q12" s="10"/>
      <c r="R12" s="10"/>
      <c r="S12" s="6">
        <f>SUM(L12:R12)</f>
        <v>120</v>
      </c>
      <c r="T12" s="6">
        <f>(S12-L12)/2</f>
        <v>60</v>
      </c>
      <c r="U12" s="10"/>
      <c r="V12" s="6"/>
      <c r="W12" s="10"/>
      <c r="X12" s="6"/>
      <c r="Y12" s="6"/>
      <c r="Z12" s="6"/>
      <c r="AA12" s="6">
        <f>SUM(T12:Z12)</f>
        <v>60</v>
      </c>
    </row>
    <row r="13" spans="1:27" x14ac:dyDescent="0.25">
      <c r="A13">
        <v>3</v>
      </c>
      <c r="B13" s="6" t="s">
        <v>78</v>
      </c>
      <c r="C13" s="6"/>
      <c r="D13" s="6" t="s">
        <v>109</v>
      </c>
      <c r="E13" s="6" t="s">
        <v>136</v>
      </c>
      <c r="F13" s="6"/>
      <c r="G13" s="6"/>
      <c r="H13" s="6"/>
      <c r="I13" s="6"/>
      <c r="J13" s="6"/>
      <c r="K13" s="10"/>
      <c r="L13" s="10"/>
      <c r="M13" s="10"/>
      <c r="N13" s="10"/>
      <c r="O13" s="10"/>
      <c r="P13" s="10"/>
      <c r="Q13" s="10"/>
      <c r="R13" s="10"/>
      <c r="S13" s="6"/>
      <c r="T13" s="6"/>
      <c r="U13" s="10">
        <v>36</v>
      </c>
      <c r="V13" s="6"/>
      <c r="W13" s="10">
        <v>6</v>
      </c>
      <c r="X13" s="6"/>
      <c r="Y13" s="6"/>
      <c r="Z13" s="6"/>
      <c r="AA13" s="6">
        <f>SUM(T13:Z13)</f>
        <v>42</v>
      </c>
    </row>
    <row r="14" spans="1:27" x14ac:dyDescent="0.25">
      <c r="A14" s="22">
        <v>4</v>
      </c>
      <c r="B14" s="6" t="s">
        <v>223</v>
      </c>
      <c r="C14" s="6"/>
      <c r="D14" s="6" t="s">
        <v>325</v>
      </c>
      <c r="E14" s="6" t="s">
        <v>224</v>
      </c>
      <c r="F14" s="6"/>
      <c r="G14" s="6"/>
      <c r="H14" s="6"/>
      <c r="I14" s="6"/>
      <c r="J14" s="6"/>
      <c r="K14" s="10"/>
      <c r="L14" s="10"/>
      <c r="M14" s="10">
        <v>48</v>
      </c>
      <c r="N14" s="10"/>
      <c r="O14" s="10"/>
      <c r="P14" s="10"/>
      <c r="Q14" s="10"/>
      <c r="R14" s="10"/>
      <c r="S14" s="6">
        <f>SUM(L14:R14)</f>
        <v>48</v>
      </c>
      <c r="T14" s="6">
        <f>(S14-L14)/2</f>
        <v>24</v>
      </c>
      <c r="U14" s="10"/>
      <c r="V14" s="6"/>
      <c r="W14" s="10"/>
      <c r="X14" s="6"/>
      <c r="Y14" s="6"/>
      <c r="Z14" s="6"/>
      <c r="AA14" s="6">
        <f>SUM(T14:Z14)</f>
        <v>24</v>
      </c>
    </row>
  </sheetData>
  <sortState xmlns:xlrd2="http://schemas.microsoft.com/office/spreadsheetml/2017/richdata2" ref="B11:AA14">
    <sortCondition descending="1" ref="AA11:AA14"/>
  </sortState>
  <mergeCells count="5">
    <mergeCell ref="B8:C10"/>
    <mergeCell ref="O9:R9"/>
    <mergeCell ref="W9:Z9"/>
    <mergeCell ref="D4:AA5"/>
    <mergeCell ref="B1:AA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9"/>
  <sheetViews>
    <sheetView zoomScale="80" zoomScaleNormal="80" workbookViewId="0">
      <selection activeCell="AZ25" sqref="AZ25"/>
    </sheetView>
  </sheetViews>
  <sheetFormatPr baseColWidth="10" defaultRowHeight="15" x14ac:dyDescent="0.25"/>
  <cols>
    <col min="1" max="1" width="3" bestFit="1" customWidth="1"/>
    <col min="2" max="2" width="13.5703125" bestFit="1" customWidth="1"/>
    <col min="4" max="4" width="13.85546875" bestFit="1" customWidth="1"/>
    <col min="5" max="5" width="14.5703125" bestFit="1" customWidth="1"/>
    <col min="6" max="6" width="6.42578125" hidden="1" customWidth="1"/>
    <col min="7" max="7" width="0" hidden="1" customWidth="1"/>
    <col min="8" max="8" width="7.140625" style="7" hidden="1" customWidth="1"/>
    <col min="9" max="9" width="6.7109375" style="7" hidden="1" customWidth="1"/>
    <col min="10" max="10" width="5.5703125" hidden="1" customWidth="1"/>
    <col min="11" max="28" width="5.5703125" style="7" hidden="1" customWidth="1"/>
    <col min="29" max="29" width="6.28515625" style="7" hidden="1" customWidth="1"/>
    <col min="30" max="30" width="6.85546875" hidden="1" customWidth="1"/>
    <col min="31" max="38" width="5.5703125" style="7" hidden="1" customWidth="1"/>
    <col min="39" max="39" width="6.85546875" style="7" hidden="1" customWidth="1"/>
    <col min="40" max="41" width="0" hidden="1" customWidth="1"/>
    <col min="42" max="43" width="5.28515625" style="7" hidden="1" customWidth="1"/>
    <col min="44" max="44" width="7" style="7" hidden="1" customWidth="1"/>
    <col min="45" max="45" width="6.5703125" style="7" hidden="1" customWidth="1"/>
    <col min="46" max="46" width="8.28515625" style="7" hidden="1" customWidth="1"/>
    <col min="47" max="47" width="6.42578125" style="7" hidden="1" customWidth="1"/>
    <col min="50" max="55" width="11.42578125" style="7"/>
  </cols>
  <sheetData>
    <row r="1" spans="1:56" ht="26.25" x14ac:dyDescent="0.4">
      <c r="B1" s="34" t="s">
        <v>3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</row>
    <row r="2" spans="1:56" ht="15.75" thickBot="1" x14ac:dyDescent="0.3">
      <c r="C2" s="7"/>
      <c r="D2" s="7"/>
      <c r="E2" s="7"/>
    </row>
    <row r="3" spans="1:56" ht="15.75" thickTop="1" x14ac:dyDescent="0.25">
      <c r="B3" s="1" t="s">
        <v>0</v>
      </c>
      <c r="C3" s="4" t="s">
        <v>14</v>
      </c>
    </row>
    <row r="4" spans="1:56" ht="14.65" customHeight="1" x14ac:dyDescent="0.25">
      <c r="B4" s="2" t="s">
        <v>1</v>
      </c>
      <c r="C4" s="5" t="s">
        <v>7</v>
      </c>
      <c r="D4" s="32" t="s">
        <v>306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</row>
    <row r="5" spans="1:56" ht="15" customHeight="1" thickBot="1" x14ac:dyDescent="0.3">
      <c r="B5" s="3" t="s">
        <v>2</v>
      </c>
      <c r="C5" s="15">
        <v>-40</v>
      </c>
      <c r="D5" s="32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</row>
    <row r="6" spans="1:56" ht="15.75" thickTop="1" x14ac:dyDescent="0.25"/>
    <row r="7" spans="1:56" ht="15.75" thickBot="1" x14ac:dyDescent="0.3"/>
    <row r="8" spans="1:56" ht="15.75" thickTop="1" x14ac:dyDescent="0.25">
      <c r="B8" s="25" t="s">
        <v>9</v>
      </c>
      <c r="C8" s="26"/>
      <c r="D8" s="1"/>
      <c r="E8" s="1"/>
      <c r="F8" s="4" t="s">
        <v>10</v>
      </c>
      <c r="G8" s="1"/>
      <c r="H8" s="12">
        <v>44927</v>
      </c>
      <c r="I8" s="12" t="s">
        <v>10</v>
      </c>
      <c r="J8" s="4" t="s">
        <v>10</v>
      </c>
      <c r="K8" s="4" t="s">
        <v>10</v>
      </c>
      <c r="L8" s="4" t="s">
        <v>10</v>
      </c>
      <c r="M8" s="4" t="s">
        <v>115</v>
      </c>
      <c r="N8" s="4" t="s">
        <v>10</v>
      </c>
      <c r="O8" s="4" t="s">
        <v>151</v>
      </c>
      <c r="P8" s="4" t="s">
        <v>151</v>
      </c>
      <c r="Q8" s="4" t="s">
        <v>151</v>
      </c>
      <c r="R8" s="4" t="s">
        <v>114</v>
      </c>
      <c r="S8" s="4" t="s">
        <v>10</v>
      </c>
      <c r="T8" s="4" t="s">
        <v>115</v>
      </c>
      <c r="U8" s="4" t="s">
        <v>10</v>
      </c>
      <c r="V8" s="4" t="s">
        <v>112</v>
      </c>
      <c r="W8" s="4" t="s">
        <v>10</v>
      </c>
      <c r="X8" s="4" t="s">
        <v>10</v>
      </c>
      <c r="Y8" s="4" t="s">
        <v>115</v>
      </c>
      <c r="Z8" s="4" t="s">
        <v>10</v>
      </c>
      <c r="AA8" s="4" t="s">
        <v>10</v>
      </c>
      <c r="AB8" s="4" t="s">
        <v>116</v>
      </c>
      <c r="AC8" s="4" t="s">
        <v>6</v>
      </c>
      <c r="AD8" s="12">
        <v>45292</v>
      </c>
      <c r="AE8" s="12" t="s">
        <v>10</v>
      </c>
      <c r="AF8" s="12" t="s">
        <v>10</v>
      </c>
      <c r="AG8" s="12" t="s">
        <v>115</v>
      </c>
      <c r="AH8" s="12" t="s">
        <v>151</v>
      </c>
      <c r="AI8" s="12" t="s">
        <v>115</v>
      </c>
      <c r="AJ8" s="12" t="s">
        <v>10</v>
      </c>
      <c r="AK8" s="12" t="s">
        <v>10</v>
      </c>
      <c r="AL8" s="12" t="s">
        <v>115</v>
      </c>
      <c r="AM8" s="12" t="s">
        <v>116</v>
      </c>
      <c r="AN8" s="12" t="s">
        <v>6</v>
      </c>
      <c r="AO8" s="12">
        <v>45658</v>
      </c>
      <c r="AP8" s="12"/>
      <c r="AQ8" s="12"/>
      <c r="AR8" s="17"/>
      <c r="AS8" s="18"/>
      <c r="AT8" s="18"/>
      <c r="AU8" s="19"/>
      <c r="AV8" s="12" t="s">
        <v>6</v>
      </c>
      <c r="AW8" s="12">
        <v>46023</v>
      </c>
      <c r="AX8" s="12"/>
      <c r="AY8" s="12"/>
      <c r="AZ8" s="17"/>
      <c r="BA8" s="18"/>
      <c r="BB8" s="18"/>
      <c r="BC8" s="19"/>
      <c r="BD8" s="12" t="s">
        <v>6</v>
      </c>
    </row>
    <row r="9" spans="1:56" x14ac:dyDescent="0.25">
      <c r="B9" s="27"/>
      <c r="C9" s="28"/>
      <c r="D9" s="2"/>
      <c r="E9" s="2"/>
      <c r="F9" s="8" t="s">
        <v>32</v>
      </c>
      <c r="G9" s="2" t="s">
        <v>6</v>
      </c>
      <c r="H9" s="5"/>
      <c r="I9" s="5" t="s">
        <v>32</v>
      </c>
      <c r="J9" s="8" t="s">
        <v>11</v>
      </c>
      <c r="K9" s="5" t="s">
        <v>99</v>
      </c>
      <c r="L9" s="8" t="s">
        <v>19</v>
      </c>
      <c r="M9" s="8" t="s">
        <v>85</v>
      </c>
      <c r="N9" s="8" t="s">
        <v>81</v>
      </c>
      <c r="O9" s="8" t="s">
        <v>86</v>
      </c>
      <c r="P9" s="8" t="s">
        <v>92</v>
      </c>
      <c r="Q9" s="8" t="s">
        <v>85</v>
      </c>
      <c r="R9" s="8" t="s">
        <v>159</v>
      </c>
      <c r="S9" s="8" t="s">
        <v>76</v>
      </c>
      <c r="T9" s="8" t="s">
        <v>86</v>
      </c>
      <c r="U9" s="8" t="s">
        <v>32</v>
      </c>
      <c r="V9" s="8" t="s">
        <v>170</v>
      </c>
      <c r="W9" s="8" t="s">
        <v>19</v>
      </c>
      <c r="X9" s="8" t="s">
        <v>99</v>
      </c>
      <c r="Y9" s="8" t="s">
        <v>92</v>
      </c>
      <c r="Z9" s="8" t="s">
        <v>76</v>
      </c>
      <c r="AA9" s="8" t="s">
        <v>11</v>
      </c>
      <c r="AB9" s="8"/>
      <c r="AC9" s="5"/>
      <c r="AD9" s="5"/>
      <c r="AE9" s="5" t="s">
        <v>81</v>
      </c>
      <c r="AF9" s="5" t="s">
        <v>32</v>
      </c>
      <c r="AG9" s="5" t="s">
        <v>86</v>
      </c>
      <c r="AH9" s="5" t="s">
        <v>92</v>
      </c>
      <c r="AI9" s="5" t="s">
        <v>85</v>
      </c>
      <c r="AJ9" s="5" t="s">
        <v>81</v>
      </c>
      <c r="AK9" s="5" t="s">
        <v>11</v>
      </c>
      <c r="AL9" s="5" t="s">
        <v>92</v>
      </c>
      <c r="AM9" s="5" t="s">
        <v>303</v>
      </c>
      <c r="AN9" s="5"/>
      <c r="AO9" s="5"/>
      <c r="AP9" s="8" t="s">
        <v>10</v>
      </c>
      <c r="AQ9" s="8" t="s">
        <v>151</v>
      </c>
      <c r="AR9" s="29" t="s">
        <v>305</v>
      </c>
      <c r="AS9" s="30"/>
      <c r="AT9" s="30"/>
      <c r="AU9" s="31"/>
      <c r="AV9" s="5"/>
      <c r="AW9" s="5"/>
      <c r="AX9" s="8" t="s">
        <v>10</v>
      </c>
      <c r="AY9" s="8" t="s">
        <v>151</v>
      </c>
      <c r="AZ9" s="29" t="s">
        <v>305</v>
      </c>
      <c r="BA9" s="30"/>
      <c r="BB9" s="30"/>
      <c r="BC9" s="31"/>
      <c r="BD9" s="5"/>
    </row>
    <row r="10" spans="1:56" x14ac:dyDescent="0.25">
      <c r="B10" s="35"/>
      <c r="C10" s="36"/>
      <c r="D10" s="2" t="s">
        <v>4</v>
      </c>
      <c r="E10" s="2" t="s">
        <v>5</v>
      </c>
      <c r="F10" s="9">
        <v>44653</v>
      </c>
      <c r="G10" s="2">
        <v>2022</v>
      </c>
      <c r="H10" s="5"/>
      <c r="I10" s="5" t="s">
        <v>120</v>
      </c>
      <c r="J10" s="14" t="s">
        <v>118</v>
      </c>
      <c r="K10" s="5" t="s">
        <v>124</v>
      </c>
      <c r="L10" s="2" t="s">
        <v>127</v>
      </c>
      <c r="M10" s="2" t="s">
        <v>129</v>
      </c>
      <c r="N10" s="2" t="s">
        <v>146</v>
      </c>
      <c r="O10" s="2" t="s">
        <v>152</v>
      </c>
      <c r="P10" s="2" t="s">
        <v>156</v>
      </c>
      <c r="Q10" s="2" t="s">
        <v>158</v>
      </c>
      <c r="R10" s="2" t="s">
        <v>160</v>
      </c>
      <c r="S10" s="2" t="s">
        <v>160</v>
      </c>
      <c r="T10" s="2" t="s">
        <v>164</v>
      </c>
      <c r="U10" s="2" t="s">
        <v>169</v>
      </c>
      <c r="V10" s="2" t="s">
        <v>171</v>
      </c>
      <c r="W10" s="2" t="s">
        <v>175</v>
      </c>
      <c r="X10" s="2" t="s">
        <v>176</v>
      </c>
      <c r="Y10" s="2" t="s">
        <v>181</v>
      </c>
      <c r="Z10" s="2" t="s">
        <v>187</v>
      </c>
      <c r="AA10" s="5" t="s">
        <v>190</v>
      </c>
      <c r="AB10" s="2" t="s">
        <v>194</v>
      </c>
      <c r="AC10" s="13">
        <v>2023</v>
      </c>
      <c r="AD10" s="13"/>
      <c r="AE10" s="13" t="s">
        <v>196</v>
      </c>
      <c r="AF10" s="13" t="s">
        <v>246</v>
      </c>
      <c r="AG10" s="13" t="s">
        <v>264</v>
      </c>
      <c r="AH10" s="13" t="s">
        <v>273</v>
      </c>
      <c r="AI10" s="13" t="s">
        <v>277</v>
      </c>
      <c r="AJ10" s="13" t="s">
        <v>171</v>
      </c>
      <c r="AK10" s="13" t="s">
        <v>289</v>
      </c>
      <c r="AL10" s="13" t="s">
        <v>296</v>
      </c>
      <c r="AM10" s="13" t="s">
        <v>304</v>
      </c>
      <c r="AN10" s="13">
        <v>2024</v>
      </c>
      <c r="AO10" s="5"/>
      <c r="AP10" s="5"/>
      <c r="AQ10" s="5"/>
      <c r="AR10" s="5">
        <v>1</v>
      </c>
      <c r="AS10" s="5">
        <v>2</v>
      </c>
      <c r="AT10" s="5">
        <v>3</v>
      </c>
      <c r="AU10" s="5">
        <v>4</v>
      </c>
      <c r="AV10" s="5">
        <v>2025</v>
      </c>
      <c r="AW10" s="5"/>
      <c r="AX10" s="5"/>
      <c r="AY10" s="5"/>
      <c r="AZ10" s="5">
        <v>1</v>
      </c>
      <c r="BA10" s="5">
        <v>2</v>
      </c>
      <c r="BB10" s="5">
        <v>3</v>
      </c>
      <c r="BC10" s="5">
        <v>4</v>
      </c>
      <c r="BD10" s="5">
        <v>2026</v>
      </c>
    </row>
    <row r="11" spans="1:56" x14ac:dyDescent="0.25">
      <c r="A11">
        <v>1</v>
      </c>
      <c r="B11" s="6" t="s">
        <v>110</v>
      </c>
      <c r="C11" s="6"/>
      <c r="D11" s="6" t="s">
        <v>324</v>
      </c>
      <c r="E11" s="6" t="s">
        <v>56</v>
      </c>
      <c r="F11" s="6"/>
      <c r="G11" s="6"/>
      <c r="H11" s="10"/>
      <c r="I11" s="10"/>
      <c r="J11" s="6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6"/>
      <c r="AE11" s="10"/>
      <c r="AF11" s="10"/>
      <c r="AG11" s="10"/>
      <c r="AH11" s="10"/>
      <c r="AI11" s="10"/>
      <c r="AJ11" s="10"/>
      <c r="AK11" s="10"/>
      <c r="AL11" s="10"/>
      <c r="AM11" s="10"/>
      <c r="AN11" s="6"/>
      <c r="AO11" s="6"/>
      <c r="AP11" s="10"/>
      <c r="AQ11" s="10"/>
      <c r="AR11" s="10"/>
      <c r="AS11" s="10"/>
      <c r="AT11" s="10"/>
      <c r="AU11" s="10"/>
      <c r="AV11" s="6"/>
      <c r="AW11" s="6"/>
      <c r="AX11" s="10"/>
      <c r="AY11" s="10">
        <v>64</v>
      </c>
      <c r="AZ11" s="10">
        <v>60</v>
      </c>
      <c r="BA11" s="10"/>
      <c r="BB11" s="10"/>
      <c r="BC11" s="10"/>
      <c r="BD11" s="6">
        <f t="shared" ref="BD11:BD19" si="0">SUM(AW11:BC11)</f>
        <v>124</v>
      </c>
    </row>
    <row r="12" spans="1:56" x14ac:dyDescent="0.25">
      <c r="A12">
        <v>2</v>
      </c>
      <c r="B12" s="6" t="s">
        <v>374</v>
      </c>
      <c r="C12" s="6"/>
      <c r="D12" s="6" t="s">
        <v>250</v>
      </c>
      <c r="E12" s="6" t="s">
        <v>69</v>
      </c>
      <c r="F12" s="6"/>
      <c r="G12" s="6"/>
      <c r="H12" s="10"/>
      <c r="I12" s="10"/>
      <c r="J12" s="6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6"/>
      <c r="AE12" s="10"/>
      <c r="AF12" s="10"/>
      <c r="AG12" s="10"/>
      <c r="AH12" s="10"/>
      <c r="AI12" s="10"/>
      <c r="AJ12" s="10"/>
      <c r="AK12" s="10"/>
      <c r="AL12" s="10"/>
      <c r="AM12" s="10"/>
      <c r="AN12" s="6"/>
      <c r="AO12" s="6">
        <v>94.3</v>
      </c>
      <c r="AP12" s="10">
        <v>36</v>
      </c>
      <c r="AQ12" s="10"/>
      <c r="AR12" s="10">
        <v>90</v>
      </c>
      <c r="AS12" s="10">
        <v>120</v>
      </c>
      <c r="AT12" s="10"/>
      <c r="AU12" s="10"/>
      <c r="AV12" s="6">
        <f>SUM(AO12:AU12)</f>
        <v>340.3</v>
      </c>
      <c r="AW12" s="6">
        <f>(AV12-AO12)/2</f>
        <v>123</v>
      </c>
      <c r="AX12" s="10"/>
      <c r="AY12" s="10"/>
      <c r="AZ12" s="10"/>
      <c r="BA12" s="10"/>
      <c r="BB12" s="10"/>
      <c r="BC12" s="10"/>
      <c r="BD12" s="6">
        <f t="shared" si="0"/>
        <v>123</v>
      </c>
    </row>
    <row r="13" spans="1:56" x14ac:dyDescent="0.25">
      <c r="A13">
        <v>3</v>
      </c>
      <c r="B13" s="6" t="s">
        <v>75</v>
      </c>
      <c r="C13" s="6"/>
      <c r="D13" s="6" t="s">
        <v>291</v>
      </c>
      <c r="E13" s="6" t="s">
        <v>77</v>
      </c>
      <c r="F13" s="6"/>
      <c r="G13" s="6"/>
      <c r="H13" s="10"/>
      <c r="I13" s="10"/>
      <c r="J13" s="6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6"/>
      <c r="AE13" s="10"/>
      <c r="AF13" s="10"/>
      <c r="AG13" s="10"/>
      <c r="AH13" s="10"/>
      <c r="AI13" s="10"/>
      <c r="AJ13" s="10"/>
      <c r="AK13" s="10"/>
      <c r="AL13" s="10"/>
      <c r="AM13" s="10"/>
      <c r="AN13" s="6"/>
      <c r="AO13" s="6"/>
      <c r="AP13" s="10">
        <v>36</v>
      </c>
      <c r="AQ13" s="10"/>
      <c r="AR13" s="10">
        <v>4</v>
      </c>
      <c r="AS13" s="10">
        <v>80</v>
      </c>
      <c r="AT13" s="10">
        <v>60</v>
      </c>
      <c r="AU13" s="10">
        <v>36</v>
      </c>
      <c r="AV13" s="6">
        <f>SUM(AO13:AU13)</f>
        <v>216</v>
      </c>
      <c r="AW13" s="6">
        <f>(AV13-AO13)/2</f>
        <v>108</v>
      </c>
      <c r="AX13" s="10"/>
      <c r="AY13" s="10"/>
      <c r="AZ13" s="10"/>
      <c r="BA13" s="10"/>
      <c r="BB13" s="10"/>
      <c r="BC13" s="10"/>
      <c r="BD13" s="6">
        <f t="shared" si="0"/>
        <v>108</v>
      </c>
    </row>
    <row r="14" spans="1:56" x14ac:dyDescent="0.25">
      <c r="A14" s="22">
        <v>4</v>
      </c>
      <c r="B14" s="6" t="s">
        <v>459</v>
      </c>
      <c r="C14" s="6"/>
      <c r="D14" s="6" t="s">
        <v>460</v>
      </c>
      <c r="E14" s="6" t="s">
        <v>98</v>
      </c>
      <c r="F14" s="6"/>
      <c r="G14" s="6"/>
      <c r="H14" s="10"/>
      <c r="I14" s="10"/>
      <c r="J14" s="6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6"/>
      <c r="AE14" s="10"/>
      <c r="AF14" s="10"/>
      <c r="AG14" s="10"/>
      <c r="AH14" s="10"/>
      <c r="AI14" s="10"/>
      <c r="AJ14" s="10"/>
      <c r="AK14" s="10"/>
      <c r="AL14" s="10"/>
      <c r="AM14" s="10"/>
      <c r="AN14" s="6"/>
      <c r="AO14" s="6"/>
      <c r="AP14" s="10">
        <v>36</v>
      </c>
      <c r="AQ14" s="10"/>
      <c r="AR14" s="10"/>
      <c r="AS14" s="10"/>
      <c r="AT14" s="10"/>
      <c r="AU14" s="10"/>
      <c r="AV14" s="6">
        <f>SUM(AO14:AU14)</f>
        <v>36</v>
      </c>
      <c r="AW14" s="6">
        <f>(AV14-AO14)/2</f>
        <v>18</v>
      </c>
      <c r="AX14" s="10">
        <v>36</v>
      </c>
      <c r="AY14" s="10">
        <v>48</v>
      </c>
      <c r="AZ14" s="10"/>
      <c r="BA14" s="10"/>
      <c r="BB14" s="10"/>
      <c r="BC14" s="10"/>
      <c r="BD14" s="6">
        <f t="shared" si="0"/>
        <v>102</v>
      </c>
    </row>
    <row r="15" spans="1:56" x14ac:dyDescent="0.25">
      <c r="A15">
        <v>5</v>
      </c>
      <c r="B15" s="6" t="s">
        <v>589</v>
      </c>
      <c r="C15" s="6"/>
      <c r="D15" s="6" t="s">
        <v>590</v>
      </c>
      <c r="E15" s="6" t="s">
        <v>35</v>
      </c>
      <c r="F15" s="6"/>
      <c r="G15" s="6"/>
      <c r="H15" s="10"/>
      <c r="I15" s="10"/>
      <c r="J15" s="6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6"/>
      <c r="AE15" s="10"/>
      <c r="AF15" s="10"/>
      <c r="AG15" s="10"/>
      <c r="AH15" s="10"/>
      <c r="AI15" s="10"/>
      <c r="AJ15" s="10"/>
      <c r="AK15" s="10"/>
      <c r="AL15" s="10"/>
      <c r="AM15" s="10"/>
      <c r="AN15" s="6"/>
      <c r="AO15" s="6"/>
      <c r="AP15" s="10"/>
      <c r="AQ15" s="10"/>
      <c r="AR15" s="10"/>
      <c r="AS15" s="10"/>
      <c r="AT15" s="10"/>
      <c r="AU15" s="10"/>
      <c r="AV15" s="6"/>
      <c r="AW15" s="6"/>
      <c r="AX15" s="10">
        <v>36</v>
      </c>
      <c r="AY15" s="10">
        <v>48</v>
      </c>
      <c r="AZ15" s="10"/>
      <c r="BA15" s="10"/>
      <c r="BB15" s="10"/>
      <c r="BC15" s="10"/>
      <c r="BD15" s="6">
        <f t="shared" si="0"/>
        <v>84</v>
      </c>
    </row>
    <row r="16" spans="1:56" x14ac:dyDescent="0.25">
      <c r="A16">
        <v>6</v>
      </c>
      <c r="B16" s="6" t="s">
        <v>389</v>
      </c>
      <c r="C16" s="6"/>
      <c r="D16" s="6" t="s">
        <v>388</v>
      </c>
      <c r="E16" s="6" t="s">
        <v>31</v>
      </c>
      <c r="F16" s="6"/>
      <c r="G16" s="6"/>
      <c r="H16" s="10"/>
      <c r="I16" s="10"/>
      <c r="J16" s="6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6"/>
      <c r="AE16" s="10"/>
      <c r="AF16" s="10"/>
      <c r="AG16" s="10"/>
      <c r="AH16" s="10"/>
      <c r="AI16" s="10"/>
      <c r="AJ16" s="10"/>
      <c r="AK16" s="10"/>
      <c r="AL16" s="10"/>
      <c r="AM16" s="10"/>
      <c r="AN16" s="6"/>
      <c r="AO16" s="6"/>
      <c r="AP16" s="10"/>
      <c r="AQ16" s="10"/>
      <c r="AR16" s="10">
        <v>90</v>
      </c>
      <c r="AS16" s="10"/>
      <c r="AT16" s="10"/>
      <c r="AU16" s="10"/>
      <c r="AV16" s="6">
        <f>SUM(AO16:AU16)</f>
        <v>90</v>
      </c>
      <c r="AW16" s="6">
        <f>(AV16-AO16)/2</f>
        <v>45</v>
      </c>
      <c r="AX16" s="10">
        <v>36</v>
      </c>
      <c r="AY16" s="10"/>
      <c r="AZ16" s="10"/>
      <c r="BA16" s="10"/>
      <c r="BB16" s="10"/>
      <c r="BC16" s="10"/>
      <c r="BD16" s="6">
        <f t="shared" si="0"/>
        <v>81</v>
      </c>
    </row>
    <row r="17" spans="1:56" x14ac:dyDescent="0.25">
      <c r="A17">
        <v>7</v>
      </c>
      <c r="B17" s="10" t="s">
        <v>608</v>
      </c>
      <c r="C17" s="6"/>
      <c r="D17" s="6" t="s">
        <v>609</v>
      </c>
      <c r="E17" s="6" t="s">
        <v>230</v>
      </c>
      <c r="F17" s="6"/>
      <c r="G17" s="6"/>
      <c r="H17" s="10"/>
      <c r="I17" s="10"/>
      <c r="J17" s="6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6"/>
      <c r="AE17" s="10"/>
      <c r="AF17" s="10"/>
      <c r="AG17" s="10"/>
      <c r="AH17" s="10"/>
      <c r="AI17" s="10"/>
      <c r="AJ17" s="10"/>
      <c r="AK17" s="10"/>
      <c r="AL17" s="10"/>
      <c r="AM17" s="10"/>
      <c r="AN17" s="6"/>
      <c r="AO17" s="6"/>
      <c r="AP17" s="10"/>
      <c r="AQ17" s="10"/>
      <c r="AR17" s="10"/>
      <c r="AS17" s="10"/>
      <c r="AT17" s="10"/>
      <c r="AU17" s="10"/>
      <c r="AV17" s="6"/>
      <c r="AW17" s="6">
        <f>113.6/2</f>
        <v>56.8</v>
      </c>
      <c r="AX17" s="10"/>
      <c r="AY17" s="10"/>
      <c r="AZ17" s="10"/>
      <c r="BA17" s="10"/>
      <c r="BB17" s="10"/>
      <c r="BC17" s="10"/>
      <c r="BD17" s="6">
        <f t="shared" si="0"/>
        <v>56.8</v>
      </c>
    </row>
    <row r="18" spans="1:56" x14ac:dyDescent="0.25">
      <c r="A18">
        <v>8</v>
      </c>
      <c r="B18" s="6" t="s">
        <v>260</v>
      </c>
      <c r="C18" s="6"/>
      <c r="D18" s="6" t="s">
        <v>386</v>
      </c>
      <c r="E18" s="6" t="s">
        <v>420</v>
      </c>
      <c r="F18" s="6"/>
      <c r="G18" s="6"/>
      <c r="H18" s="10"/>
      <c r="I18" s="10"/>
      <c r="J18" s="6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6"/>
      <c r="AE18" s="10"/>
      <c r="AF18" s="10"/>
      <c r="AG18" s="10"/>
      <c r="AH18" s="10"/>
      <c r="AI18" s="10"/>
      <c r="AJ18" s="10"/>
      <c r="AK18" s="10"/>
      <c r="AL18" s="10"/>
      <c r="AM18" s="10"/>
      <c r="AN18" s="6"/>
      <c r="AO18" s="6"/>
      <c r="AP18" s="10">
        <v>36</v>
      </c>
      <c r="AQ18" s="10">
        <v>48</v>
      </c>
      <c r="AR18" s="10"/>
      <c r="AS18" s="10"/>
      <c r="AT18" s="10"/>
      <c r="AU18" s="10"/>
      <c r="AV18" s="6">
        <f>SUM(AO18:AU18)</f>
        <v>84</v>
      </c>
      <c r="AW18" s="6">
        <f>(AV18-AO18)/2</f>
        <v>42</v>
      </c>
      <c r="AX18" s="10"/>
      <c r="AY18" s="10"/>
      <c r="AZ18" s="10"/>
      <c r="BA18" s="10"/>
      <c r="BB18" s="10"/>
      <c r="BC18" s="10"/>
      <c r="BD18" s="6">
        <f t="shared" si="0"/>
        <v>42</v>
      </c>
    </row>
    <row r="19" spans="1:56" x14ac:dyDescent="0.25">
      <c r="A19">
        <v>9</v>
      </c>
      <c r="B19" s="6" t="s">
        <v>78</v>
      </c>
      <c r="C19" s="6"/>
      <c r="D19" s="6" t="s">
        <v>109</v>
      </c>
      <c r="E19" s="6" t="s">
        <v>136</v>
      </c>
      <c r="F19" s="6"/>
      <c r="G19" s="6"/>
      <c r="H19" s="10"/>
      <c r="I19" s="10"/>
      <c r="J19" s="6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6"/>
      <c r="AE19" s="10"/>
      <c r="AF19" s="10"/>
      <c r="AG19" s="10"/>
      <c r="AH19" s="10"/>
      <c r="AI19" s="10"/>
      <c r="AJ19" s="10"/>
      <c r="AK19" s="10"/>
      <c r="AL19" s="10"/>
      <c r="AM19" s="10"/>
      <c r="AN19" s="6"/>
      <c r="AO19" s="6"/>
      <c r="AP19" s="10"/>
      <c r="AQ19" s="10"/>
      <c r="AR19" s="10"/>
      <c r="AS19" s="10"/>
      <c r="AT19" s="10"/>
      <c r="AU19" s="10"/>
      <c r="AV19" s="6"/>
      <c r="AW19" s="6"/>
      <c r="AX19" s="10">
        <v>36</v>
      </c>
      <c r="AY19" s="10">
        <v>3.2</v>
      </c>
      <c r="AZ19" s="10"/>
      <c r="BA19" s="10"/>
      <c r="BB19" s="10"/>
      <c r="BC19" s="10"/>
      <c r="BD19" s="6">
        <f t="shared" si="0"/>
        <v>39.200000000000003</v>
      </c>
    </row>
  </sheetData>
  <sortState xmlns:xlrd2="http://schemas.microsoft.com/office/spreadsheetml/2017/richdata2" ref="B11:BD19">
    <sortCondition descending="1" ref="BD11:BD19"/>
  </sortState>
  <mergeCells count="5">
    <mergeCell ref="B8:C10"/>
    <mergeCell ref="AR9:AU9"/>
    <mergeCell ref="AZ9:BC9"/>
    <mergeCell ref="D4:BD5"/>
    <mergeCell ref="B1:BD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28"/>
  <sheetViews>
    <sheetView zoomScale="80" zoomScaleNormal="80" workbookViewId="0">
      <selection activeCell="BP45" sqref="BP45"/>
    </sheetView>
  </sheetViews>
  <sheetFormatPr baseColWidth="10" defaultRowHeight="15" x14ac:dyDescent="0.25"/>
  <cols>
    <col min="1" max="1" width="3.42578125" bestFit="1" customWidth="1"/>
    <col min="2" max="2" width="13.85546875" bestFit="1" customWidth="1"/>
    <col min="3" max="3" width="11.7109375" bestFit="1" customWidth="1"/>
    <col min="4" max="4" width="13.85546875" bestFit="1" customWidth="1"/>
    <col min="5" max="5" width="18.5703125" bestFit="1" customWidth="1"/>
    <col min="6" max="7" width="6.42578125" hidden="1" customWidth="1"/>
    <col min="8" max="9" width="7.28515625" hidden="1" customWidth="1"/>
    <col min="10" max="11" width="7.28515625" style="7" hidden="1" customWidth="1"/>
    <col min="12" max="14" width="6.7109375" style="7" hidden="1" customWidth="1"/>
    <col min="15" max="17" width="7.28515625" style="7" hidden="1" customWidth="1"/>
    <col min="18" max="18" width="0" hidden="1" customWidth="1"/>
    <col min="19" max="19" width="0" style="7" hidden="1" customWidth="1"/>
    <col min="20" max="20" width="5.5703125" style="7" hidden="1" customWidth="1"/>
    <col min="21" max="33" width="5.5703125" hidden="1" customWidth="1"/>
    <col min="34" max="34" width="10.5703125" style="7" hidden="1" customWidth="1"/>
    <col min="35" max="40" width="5.5703125" hidden="1" customWidth="1"/>
    <col min="41" max="41" width="6.28515625" hidden="1" customWidth="1"/>
    <col min="42" max="42" width="0" hidden="1" customWidth="1"/>
    <col min="43" max="55" width="5.5703125" hidden="1" customWidth="1"/>
    <col min="56" max="56" width="6" hidden="1" customWidth="1"/>
    <col min="57" max="58" width="5.5703125" hidden="1" customWidth="1"/>
    <col min="59" max="59" width="6.85546875" hidden="1" customWidth="1"/>
    <col min="60" max="60" width="6.7109375" hidden="1" customWidth="1"/>
    <col min="61" max="61" width="7.85546875" hidden="1" customWidth="1"/>
    <col min="62" max="62" width="8.28515625" style="7" hidden="1" customWidth="1"/>
    <col min="63" max="67" width="7.5703125" style="7" hidden="1" customWidth="1"/>
    <col min="70" max="70" width="8.5703125" style="7" customWidth="1"/>
    <col min="71" max="71" width="8.7109375" style="7" customWidth="1"/>
    <col min="72" max="72" width="6.5703125" style="7" customWidth="1"/>
  </cols>
  <sheetData>
    <row r="1" spans="1:76" ht="26.25" x14ac:dyDescent="0.4">
      <c r="B1" s="34" t="s">
        <v>3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</row>
    <row r="2" spans="1:76" ht="15.75" thickBot="1" x14ac:dyDescent="0.3">
      <c r="C2" s="7"/>
      <c r="D2" s="7"/>
      <c r="E2" s="7"/>
    </row>
    <row r="3" spans="1:76" ht="15.75" thickTop="1" x14ac:dyDescent="0.25">
      <c r="B3" s="1" t="s">
        <v>0</v>
      </c>
      <c r="C3" s="4" t="s">
        <v>14</v>
      </c>
    </row>
    <row r="4" spans="1:76" ht="14.65" customHeight="1" x14ac:dyDescent="0.25">
      <c r="B4" s="2" t="s">
        <v>1</v>
      </c>
      <c r="C4" s="5" t="s">
        <v>7</v>
      </c>
      <c r="D4" s="32" t="s">
        <v>492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</row>
    <row r="5" spans="1:76" ht="15" customHeight="1" thickBot="1" x14ac:dyDescent="0.3">
      <c r="B5" s="3" t="s">
        <v>2</v>
      </c>
      <c r="C5" s="15">
        <v>-44</v>
      </c>
      <c r="D5" s="32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</row>
    <row r="6" spans="1:76" ht="15.75" thickTop="1" x14ac:dyDescent="0.25"/>
    <row r="7" spans="1:76" ht="15.75" thickBot="1" x14ac:dyDescent="0.3"/>
    <row r="8" spans="1:76" ht="15.75" thickTop="1" x14ac:dyDescent="0.25">
      <c r="B8" s="25" t="s">
        <v>9</v>
      </c>
      <c r="C8" s="26"/>
      <c r="D8" s="1"/>
      <c r="E8" s="1"/>
      <c r="F8" s="4" t="s">
        <v>10</v>
      </c>
      <c r="G8" s="4" t="s">
        <v>53</v>
      </c>
      <c r="H8" s="4" t="s">
        <v>66</v>
      </c>
      <c r="I8" s="4" t="s">
        <v>85</v>
      </c>
      <c r="J8" s="4" t="s">
        <v>92</v>
      </c>
      <c r="K8" s="4" t="s">
        <v>97</v>
      </c>
      <c r="L8" s="4" t="s">
        <v>10</v>
      </c>
      <c r="M8" s="4" t="s">
        <v>10</v>
      </c>
      <c r="N8" s="4" t="s">
        <v>10</v>
      </c>
      <c r="O8" s="4" t="s">
        <v>107</v>
      </c>
      <c r="P8" s="4" t="s">
        <v>112</v>
      </c>
      <c r="Q8" s="4" t="s">
        <v>115</v>
      </c>
      <c r="R8" s="1"/>
      <c r="S8" s="12">
        <v>44927</v>
      </c>
      <c r="T8" s="12" t="s">
        <v>10</v>
      </c>
      <c r="U8" s="4" t="s">
        <v>10</v>
      </c>
      <c r="V8" s="4" t="s">
        <v>10</v>
      </c>
      <c r="W8" s="4" t="s">
        <v>115</v>
      </c>
      <c r="X8" s="4" t="s">
        <v>10</v>
      </c>
      <c r="Y8" s="4" t="s">
        <v>10</v>
      </c>
      <c r="Z8" s="4" t="s">
        <v>151</v>
      </c>
      <c r="AA8" s="4" t="s">
        <v>151</v>
      </c>
      <c r="AB8" s="4" t="s">
        <v>10</v>
      </c>
      <c r="AC8" s="4" t="s">
        <v>115</v>
      </c>
      <c r="AD8" s="4" t="s">
        <v>10</v>
      </c>
      <c r="AE8" s="4" t="s">
        <v>10</v>
      </c>
      <c r="AF8" s="4" t="s">
        <v>10</v>
      </c>
      <c r="AG8" s="4" t="s">
        <v>10</v>
      </c>
      <c r="AH8" s="4" t="s">
        <v>10</v>
      </c>
      <c r="AI8" s="4" t="s">
        <v>10</v>
      </c>
      <c r="AJ8" s="4" t="s">
        <v>115</v>
      </c>
      <c r="AK8" s="4" t="s">
        <v>10</v>
      </c>
      <c r="AL8" s="4" t="s">
        <v>10</v>
      </c>
      <c r="AM8" s="4" t="s">
        <v>10</v>
      </c>
      <c r="AN8" s="4" t="s">
        <v>116</v>
      </c>
      <c r="AO8" s="4" t="s">
        <v>6</v>
      </c>
      <c r="AP8" s="12">
        <v>45292</v>
      </c>
      <c r="AQ8" s="12" t="s">
        <v>10</v>
      </c>
      <c r="AR8" s="12" t="s">
        <v>10</v>
      </c>
      <c r="AS8" s="12" t="s">
        <v>10</v>
      </c>
      <c r="AT8" s="12" t="s">
        <v>10</v>
      </c>
      <c r="AU8" s="12" t="s">
        <v>115</v>
      </c>
      <c r="AV8" s="12" t="s">
        <v>115</v>
      </c>
      <c r="AW8" s="12" t="s">
        <v>151</v>
      </c>
      <c r="AX8" s="12" t="s">
        <v>151</v>
      </c>
      <c r="AY8" s="12" t="s">
        <v>115</v>
      </c>
      <c r="AZ8" s="12" t="s">
        <v>10</v>
      </c>
      <c r="BA8" s="12" t="s">
        <v>10</v>
      </c>
      <c r="BB8" s="12" t="s">
        <v>10</v>
      </c>
      <c r="BC8" s="12" t="s">
        <v>10</v>
      </c>
      <c r="BD8" s="12" t="s">
        <v>115</v>
      </c>
      <c r="BE8" s="12" t="s">
        <v>299</v>
      </c>
      <c r="BF8" s="12" t="s">
        <v>114</v>
      </c>
      <c r="BG8" s="12" t="s">
        <v>116</v>
      </c>
      <c r="BH8" s="12" t="s">
        <v>6</v>
      </c>
      <c r="BI8" s="12">
        <v>45658</v>
      </c>
      <c r="BJ8" s="12"/>
      <c r="BK8" s="12"/>
      <c r="BL8" s="17"/>
      <c r="BM8" s="18"/>
      <c r="BN8" s="18"/>
      <c r="BO8" s="19"/>
      <c r="BP8" s="12" t="s">
        <v>6</v>
      </c>
      <c r="BQ8" s="12">
        <v>46023</v>
      </c>
      <c r="BR8" s="12"/>
      <c r="BS8" s="12"/>
      <c r="BT8" s="17"/>
      <c r="BU8" s="20"/>
      <c r="BV8" s="20"/>
      <c r="BW8" s="21"/>
      <c r="BX8" s="12" t="s">
        <v>6</v>
      </c>
    </row>
    <row r="9" spans="1:76" x14ac:dyDescent="0.25">
      <c r="B9" s="27"/>
      <c r="C9" s="28"/>
      <c r="D9" s="2"/>
      <c r="E9" s="2"/>
      <c r="F9" s="8" t="s">
        <v>32</v>
      </c>
      <c r="G9" s="8" t="s">
        <v>54</v>
      </c>
      <c r="H9" s="8" t="s">
        <v>67</v>
      </c>
      <c r="I9" s="8" t="s">
        <v>83</v>
      </c>
      <c r="J9" s="8" t="s">
        <v>93</v>
      </c>
      <c r="K9" s="8" t="s">
        <v>54</v>
      </c>
      <c r="L9" s="8" t="s">
        <v>32</v>
      </c>
      <c r="M9" s="8" t="s">
        <v>101</v>
      </c>
      <c r="N9" s="8" t="s">
        <v>19</v>
      </c>
      <c r="O9" s="8" t="s">
        <v>108</v>
      </c>
      <c r="P9" s="8" t="s">
        <v>113</v>
      </c>
      <c r="Q9" s="8" t="s">
        <v>116</v>
      </c>
      <c r="R9" s="2" t="s">
        <v>6</v>
      </c>
      <c r="S9" s="5"/>
      <c r="T9" s="5" t="s">
        <v>32</v>
      </c>
      <c r="U9" s="8" t="s">
        <v>11</v>
      </c>
      <c r="V9" s="8" t="s">
        <v>19</v>
      </c>
      <c r="W9" s="8" t="s">
        <v>85</v>
      </c>
      <c r="X9" s="8" t="s">
        <v>81</v>
      </c>
      <c r="Y9" s="8" t="s">
        <v>102</v>
      </c>
      <c r="Z9" s="8" t="s">
        <v>86</v>
      </c>
      <c r="AA9" s="8" t="s">
        <v>92</v>
      </c>
      <c r="AB9" s="8" t="s">
        <v>76</v>
      </c>
      <c r="AC9" s="8" t="s">
        <v>86</v>
      </c>
      <c r="AD9" s="8" t="s">
        <v>167</v>
      </c>
      <c r="AE9" s="8" t="s">
        <v>32</v>
      </c>
      <c r="AF9" s="8" t="s">
        <v>102</v>
      </c>
      <c r="AG9" s="8" t="s">
        <v>19</v>
      </c>
      <c r="AH9" s="8" t="s">
        <v>177</v>
      </c>
      <c r="AI9" s="8" t="s">
        <v>99</v>
      </c>
      <c r="AJ9" s="8" t="s">
        <v>92</v>
      </c>
      <c r="AK9" s="8" t="s">
        <v>76</v>
      </c>
      <c r="AL9" s="8" t="s">
        <v>192</v>
      </c>
      <c r="AM9" s="8" t="s">
        <v>167</v>
      </c>
      <c r="AN9" s="8"/>
      <c r="AO9" s="2"/>
      <c r="AP9" s="5"/>
      <c r="AQ9" s="5" t="s">
        <v>99</v>
      </c>
      <c r="AR9" s="5" t="s">
        <v>11</v>
      </c>
      <c r="AS9" s="5" t="s">
        <v>76</v>
      </c>
      <c r="AT9" s="5" t="s">
        <v>19</v>
      </c>
      <c r="AU9" s="5" t="s">
        <v>86</v>
      </c>
      <c r="AV9" s="5" t="s">
        <v>267</v>
      </c>
      <c r="AW9" s="5" t="s">
        <v>85</v>
      </c>
      <c r="AX9" s="5" t="s">
        <v>92</v>
      </c>
      <c r="AY9" s="5" t="s">
        <v>85</v>
      </c>
      <c r="AZ9" s="5" t="s">
        <v>167</v>
      </c>
      <c r="BA9" s="5" t="s">
        <v>32</v>
      </c>
      <c r="BB9" s="5" t="s">
        <v>76</v>
      </c>
      <c r="BC9" s="5" t="s">
        <v>294</v>
      </c>
      <c r="BD9" s="5" t="s">
        <v>92</v>
      </c>
      <c r="BE9" s="5" t="s">
        <v>195</v>
      </c>
      <c r="BF9" s="5" t="s">
        <v>301</v>
      </c>
      <c r="BG9" s="5" t="s">
        <v>303</v>
      </c>
      <c r="BH9" s="5"/>
      <c r="BI9" s="5"/>
      <c r="BJ9" s="8" t="s">
        <v>10</v>
      </c>
      <c r="BK9" s="8" t="s">
        <v>151</v>
      </c>
      <c r="BL9" s="29" t="s">
        <v>305</v>
      </c>
      <c r="BM9" s="30"/>
      <c r="BN9" s="30"/>
      <c r="BO9" s="31"/>
      <c r="BP9" s="5"/>
      <c r="BQ9" s="5"/>
      <c r="BR9" s="8" t="s">
        <v>10</v>
      </c>
      <c r="BS9" s="8" t="s">
        <v>151</v>
      </c>
      <c r="BT9" s="29" t="s">
        <v>305</v>
      </c>
      <c r="BU9" s="30"/>
      <c r="BV9" s="30"/>
      <c r="BW9" s="31"/>
      <c r="BX9" s="5"/>
    </row>
    <row r="10" spans="1:76" x14ac:dyDescent="0.25">
      <c r="B10" s="35"/>
      <c r="C10" s="36"/>
      <c r="D10" s="2" t="s">
        <v>4</v>
      </c>
      <c r="E10" s="2" t="s">
        <v>5</v>
      </c>
      <c r="F10" s="9">
        <v>44653</v>
      </c>
      <c r="G10" s="9">
        <v>44681</v>
      </c>
      <c r="H10" s="9">
        <v>44696</v>
      </c>
      <c r="I10" s="9">
        <v>44730</v>
      </c>
      <c r="J10" s="9">
        <v>44737</v>
      </c>
      <c r="K10" s="9">
        <v>44759</v>
      </c>
      <c r="L10" s="9">
        <v>44779</v>
      </c>
      <c r="M10" s="9">
        <v>44793</v>
      </c>
      <c r="N10" s="9">
        <v>44793</v>
      </c>
      <c r="O10" s="9">
        <v>44828</v>
      </c>
      <c r="P10" s="9">
        <v>44869</v>
      </c>
      <c r="Q10" s="9">
        <v>44905</v>
      </c>
      <c r="R10" s="2">
        <v>2022</v>
      </c>
      <c r="S10" s="5"/>
      <c r="T10" s="5" t="s">
        <v>120</v>
      </c>
      <c r="U10" s="14" t="s">
        <v>118</v>
      </c>
      <c r="V10" s="2" t="s">
        <v>127</v>
      </c>
      <c r="W10" s="2" t="s">
        <v>129</v>
      </c>
      <c r="X10" s="2" t="s">
        <v>146</v>
      </c>
      <c r="Y10" s="2" t="s">
        <v>145</v>
      </c>
      <c r="Z10" s="2" t="s">
        <v>152</v>
      </c>
      <c r="AA10" s="2" t="s">
        <v>156</v>
      </c>
      <c r="AB10" s="2" t="s">
        <v>160</v>
      </c>
      <c r="AC10" s="2" t="s">
        <v>164</v>
      </c>
      <c r="AD10" s="2" t="s">
        <v>168</v>
      </c>
      <c r="AE10" s="2" t="s">
        <v>169</v>
      </c>
      <c r="AF10" s="2" t="s">
        <v>172</v>
      </c>
      <c r="AG10" s="2" t="s">
        <v>175</v>
      </c>
      <c r="AH10" s="5" t="s">
        <v>176</v>
      </c>
      <c r="AI10" s="2" t="s">
        <v>176</v>
      </c>
      <c r="AJ10" s="2" t="s">
        <v>181</v>
      </c>
      <c r="AK10" s="2" t="s">
        <v>187</v>
      </c>
      <c r="AL10" s="2" t="s">
        <v>190</v>
      </c>
      <c r="AM10" s="2" t="s">
        <v>193</v>
      </c>
      <c r="AN10" s="2" t="s">
        <v>194</v>
      </c>
      <c r="AO10" s="14">
        <v>2023</v>
      </c>
      <c r="AP10" s="13"/>
      <c r="AQ10" s="13" t="s">
        <v>196</v>
      </c>
      <c r="AR10" s="13" t="s">
        <v>196</v>
      </c>
      <c r="AS10" s="13" t="s">
        <v>196</v>
      </c>
      <c r="AT10" s="13" t="s">
        <v>233</v>
      </c>
      <c r="AU10" s="13" t="s">
        <v>264</v>
      </c>
      <c r="AV10" s="13" t="s">
        <v>268</v>
      </c>
      <c r="AW10" s="13" t="s">
        <v>269</v>
      </c>
      <c r="AX10" s="13" t="s">
        <v>273</v>
      </c>
      <c r="AY10" s="13" t="s">
        <v>277</v>
      </c>
      <c r="AZ10" s="13" t="s">
        <v>282</v>
      </c>
      <c r="BA10" s="13" t="s">
        <v>287</v>
      </c>
      <c r="BB10" s="13" t="s">
        <v>290</v>
      </c>
      <c r="BC10" s="13" t="s">
        <v>295</v>
      </c>
      <c r="BD10" s="13" t="s">
        <v>296</v>
      </c>
      <c r="BE10" s="13" t="s">
        <v>300</v>
      </c>
      <c r="BF10" s="13" t="s">
        <v>302</v>
      </c>
      <c r="BG10" s="13" t="s">
        <v>304</v>
      </c>
      <c r="BH10" s="13">
        <v>2024</v>
      </c>
      <c r="BI10" s="5"/>
      <c r="BJ10" s="5"/>
      <c r="BK10" s="5"/>
      <c r="BL10" s="5">
        <v>1</v>
      </c>
      <c r="BM10" s="5">
        <v>2</v>
      </c>
      <c r="BN10" s="5">
        <v>3</v>
      </c>
      <c r="BO10" s="5">
        <v>4</v>
      </c>
      <c r="BP10" s="5">
        <v>2025</v>
      </c>
      <c r="BQ10" s="5"/>
      <c r="BR10" s="5"/>
      <c r="BS10" s="5"/>
      <c r="BT10" s="5">
        <v>1</v>
      </c>
      <c r="BU10" s="5">
        <v>2</v>
      </c>
      <c r="BV10" s="5">
        <v>3</v>
      </c>
      <c r="BW10" s="5">
        <v>4</v>
      </c>
      <c r="BX10" s="5">
        <v>2026</v>
      </c>
    </row>
    <row r="11" spans="1:76" x14ac:dyDescent="0.25">
      <c r="A11">
        <v>1</v>
      </c>
      <c r="B11" s="6" t="s">
        <v>374</v>
      </c>
      <c r="C11" s="6"/>
      <c r="D11" s="6" t="s">
        <v>250</v>
      </c>
      <c r="E11" s="6" t="s">
        <v>69</v>
      </c>
      <c r="F11" s="6"/>
      <c r="G11" s="6"/>
      <c r="H11" s="6"/>
      <c r="I11" s="6"/>
      <c r="J11" s="10"/>
      <c r="K11" s="10"/>
      <c r="L11" s="10"/>
      <c r="M11" s="10"/>
      <c r="N11" s="10"/>
      <c r="O11" s="10"/>
      <c r="P11" s="10"/>
      <c r="Q11" s="10"/>
      <c r="R11" s="6"/>
      <c r="S11" s="10"/>
      <c r="T11" s="10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10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10">
        <v>36</v>
      </c>
      <c r="BK11" s="10">
        <v>80</v>
      </c>
      <c r="BL11" s="10">
        <v>120</v>
      </c>
      <c r="BM11" s="10"/>
      <c r="BN11" s="10"/>
      <c r="BO11" s="10"/>
      <c r="BP11" s="6">
        <f>SUM(BI11:BO11)</f>
        <v>236</v>
      </c>
      <c r="BQ11" s="6">
        <f>(BP11-BI11)/2</f>
        <v>118</v>
      </c>
      <c r="BR11" s="10">
        <v>36</v>
      </c>
      <c r="BS11" s="10">
        <v>48</v>
      </c>
      <c r="BT11" s="10"/>
      <c r="BU11" s="6"/>
      <c r="BV11" s="6"/>
      <c r="BW11" s="6"/>
      <c r="BX11" s="6">
        <f t="shared" ref="BX11:BX28" si="0">SUM(BQ11:BW11)</f>
        <v>202</v>
      </c>
    </row>
    <row r="12" spans="1:76" x14ac:dyDescent="0.25">
      <c r="A12">
        <v>2</v>
      </c>
      <c r="B12" s="6" t="s">
        <v>29</v>
      </c>
      <c r="C12" s="6"/>
      <c r="D12" s="6" t="s">
        <v>550</v>
      </c>
      <c r="E12" s="6" t="s">
        <v>551</v>
      </c>
      <c r="F12" s="6"/>
      <c r="G12" s="6"/>
      <c r="H12" s="6"/>
      <c r="I12" s="6"/>
      <c r="J12" s="10"/>
      <c r="K12" s="10"/>
      <c r="L12" s="10"/>
      <c r="M12" s="10"/>
      <c r="N12" s="10"/>
      <c r="O12" s="10"/>
      <c r="P12" s="10"/>
      <c r="Q12" s="10"/>
      <c r="R12" s="6"/>
      <c r="S12" s="10"/>
      <c r="T12" s="10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10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10"/>
      <c r="BK12" s="10"/>
      <c r="BL12" s="10"/>
      <c r="BM12" s="10"/>
      <c r="BN12" s="10"/>
      <c r="BO12" s="10"/>
      <c r="BP12" s="6"/>
      <c r="BQ12" s="6"/>
      <c r="BR12" s="10">
        <v>36</v>
      </c>
      <c r="BS12" s="10">
        <v>44.8</v>
      </c>
      <c r="BT12" s="10">
        <v>90</v>
      </c>
      <c r="BU12" s="6"/>
      <c r="BV12" s="6"/>
      <c r="BW12" s="6"/>
      <c r="BX12" s="6">
        <f t="shared" si="0"/>
        <v>170.8</v>
      </c>
    </row>
    <row r="13" spans="1:76" x14ac:dyDescent="0.25">
      <c r="A13">
        <v>3</v>
      </c>
      <c r="B13" s="6" t="s">
        <v>26</v>
      </c>
      <c r="C13" s="6"/>
      <c r="D13" s="6" t="s">
        <v>237</v>
      </c>
      <c r="E13" s="6" t="s">
        <v>31</v>
      </c>
      <c r="F13" s="6"/>
      <c r="G13" s="6"/>
      <c r="H13" s="6"/>
      <c r="I13" s="6"/>
      <c r="J13" s="10"/>
      <c r="K13" s="10"/>
      <c r="L13" s="10"/>
      <c r="M13" s="10"/>
      <c r="N13" s="10"/>
      <c r="O13" s="10"/>
      <c r="P13" s="10"/>
      <c r="Q13" s="10"/>
      <c r="R13" s="6"/>
      <c r="S13" s="10"/>
      <c r="T13" s="10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10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10">
        <v>36</v>
      </c>
      <c r="BK13" s="10">
        <v>48</v>
      </c>
      <c r="BL13" s="10">
        <v>150</v>
      </c>
      <c r="BM13" s="10"/>
      <c r="BN13" s="10"/>
      <c r="BO13" s="10"/>
      <c r="BP13" s="6">
        <f>SUM(BI13:BO13)</f>
        <v>234</v>
      </c>
      <c r="BQ13" s="6">
        <f>(BP13-BI13)/2</f>
        <v>117</v>
      </c>
      <c r="BR13" s="10"/>
      <c r="BS13" s="10"/>
      <c r="BT13" s="10"/>
      <c r="BU13" s="6"/>
      <c r="BV13" s="6"/>
      <c r="BW13" s="6"/>
      <c r="BX13" s="6">
        <f t="shared" si="0"/>
        <v>117</v>
      </c>
    </row>
    <row r="14" spans="1:76" x14ac:dyDescent="0.25">
      <c r="A14" s="22">
        <v>4</v>
      </c>
      <c r="B14" s="6" t="s">
        <v>205</v>
      </c>
      <c r="C14" s="6"/>
      <c r="D14" s="6" t="s">
        <v>591</v>
      </c>
      <c r="E14" s="6" t="s">
        <v>33</v>
      </c>
      <c r="F14" s="6"/>
      <c r="G14" s="6"/>
      <c r="H14" s="6"/>
      <c r="I14" s="6"/>
      <c r="J14" s="10"/>
      <c r="K14" s="10"/>
      <c r="L14" s="10"/>
      <c r="M14" s="10"/>
      <c r="N14" s="10"/>
      <c r="O14" s="10"/>
      <c r="P14" s="10"/>
      <c r="Q14" s="10"/>
      <c r="R14" s="6"/>
      <c r="S14" s="10"/>
      <c r="T14" s="10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10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10"/>
      <c r="BK14" s="10"/>
      <c r="BL14" s="10"/>
      <c r="BM14" s="10"/>
      <c r="BN14" s="10"/>
      <c r="BO14" s="10"/>
      <c r="BP14" s="6"/>
      <c r="BQ14" s="6"/>
      <c r="BR14" s="10">
        <v>36</v>
      </c>
      <c r="BS14" s="10">
        <v>64</v>
      </c>
      <c r="BT14" s="10"/>
      <c r="BU14" s="6"/>
      <c r="BV14" s="6"/>
      <c r="BW14" s="6"/>
      <c r="BX14" s="6">
        <f t="shared" si="0"/>
        <v>100</v>
      </c>
    </row>
    <row r="15" spans="1:76" x14ac:dyDescent="0.25">
      <c r="A15">
        <v>5</v>
      </c>
      <c r="B15" s="6" t="s">
        <v>618</v>
      </c>
      <c r="C15" s="6"/>
      <c r="D15" s="6" t="s">
        <v>619</v>
      </c>
      <c r="E15" s="6" t="s">
        <v>59</v>
      </c>
      <c r="F15" s="6"/>
      <c r="G15" s="6"/>
      <c r="H15" s="6"/>
      <c r="I15" s="6"/>
      <c r="J15" s="10"/>
      <c r="K15" s="10"/>
      <c r="L15" s="10"/>
      <c r="M15" s="10"/>
      <c r="N15" s="10"/>
      <c r="O15" s="10"/>
      <c r="P15" s="10"/>
      <c r="Q15" s="10"/>
      <c r="R15" s="6"/>
      <c r="S15" s="10"/>
      <c r="T15" s="10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10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10"/>
      <c r="BK15" s="10"/>
      <c r="BL15" s="10"/>
      <c r="BM15" s="10"/>
      <c r="BN15" s="10"/>
      <c r="BO15" s="10"/>
      <c r="BP15" s="6"/>
      <c r="BQ15" s="6"/>
      <c r="BR15" s="10">
        <v>48</v>
      </c>
      <c r="BS15" s="10">
        <v>48</v>
      </c>
      <c r="BT15" s="10"/>
      <c r="BU15" s="6"/>
      <c r="BV15" s="6"/>
      <c r="BW15" s="6"/>
      <c r="BX15" s="6">
        <f t="shared" si="0"/>
        <v>96</v>
      </c>
    </row>
    <row r="16" spans="1:76" x14ac:dyDescent="0.25">
      <c r="A16">
        <v>6</v>
      </c>
      <c r="B16" s="6" t="s">
        <v>421</v>
      </c>
      <c r="C16" s="6"/>
      <c r="D16" s="6" t="s">
        <v>422</v>
      </c>
      <c r="E16" s="6" t="s">
        <v>420</v>
      </c>
      <c r="F16" s="6"/>
      <c r="G16" s="6"/>
      <c r="H16" s="6"/>
      <c r="I16" s="6"/>
      <c r="J16" s="10"/>
      <c r="K16" s="10"/>
      <c r="L16" s="10"/>
      <c r="M16" s="10"/>
      <c r="N16" s="10"/>
      <c r="O16" s="10"/>
      <c r="P16" s="10"/>
      <c r="Q16" s="10"/>
      <c r="R16" s="6"/>
      <c r="S16" s="10"/>
      <c r="T16" s="10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10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10">
        <v>36</v>
      </c>
      <c r="BK16" s="10">
        <v>56</v>
      </c>
      <c r="BL16" s="10">
        <v>75</v>
      </c>
      <c r="BM16" s="10">
        <v>10</v>
      </c>
      <c r="BN16" s="10"/>
      <c r="BO16" s="10"/>
      <c r="BP16" s="6">
        <f>SUM(BI16:BO16)</f>
        <v>177</v>
      </c>
      <c r="BQ16" s="6">
        <f>(BP16-BI16)/2</f>
        <v>88.5</v>
      </c>
      <c r="BR16" s="10"/>
      <c r="BS16" s="10"/>
      <c r="BT16" s="10"/>
      <c r="BU16" s="6"/>
      <c r="BV16" s="6"/>
      <c r="BW16" s="6"/>
      <c r="BX16" s="6">
        <f t="shared" si="0"/>
        <v>88.5</v>
      </c>
    </row>
    <row r="17" spans="1:76" x14ac:dyDescent="0.25">
      <c r="A17">
        <v>7</v>
      </c>
      <c r="B17" s="6" t="s">
        <v>27</v>
      </c>
      <c r="C17" s="6" t="s">
        <v>203</v>
      </c>
      <c r="D17" s="6" t="s">
        <v>144</v>
      </c>
      <c r="E17" s="6" t="s">
        <v>411</v>
      </c>
      <c r="F17" s="6"/>
      <c r="G17" s="6"/>
      <c r="H17" s="6"/>
      <c r="I17" s="6"/>
      <c r="J17" s="10"/>
      <c r="K17" s="10"/>
      <c r="L17" s="10"/>
      <c r="M17" s="10"/>
      <c r="N17" s="10"/>
      <c r="O17" s="10"/>
      <c r="P17" s="10"/>
      <c r="Q17" s="10"/>
      <c r="R17" s="6"/>
      <c r="S17" s="10"/>
      <c r="T17" s="10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10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10"/>
      <c r="BK17" s="10">
        <v>64</v>
      </c>
      <c r="BL17" s="10">
        <v>105</v>
      </c>
      <c r="BM17" s="10"/>
      <c r="BN17" s="10"/>
      <c r="BO17" s="10"/>
      <c r="BP17" s="6">
        <f>SUM(BI17:BO17)</f>
        <v>169</v>
      </c>
      <c r="BQ17" s="6">
        <f>(BP17-BI17)/2</f>
        <v>84.5</v>
      </c>
      <c r="BR17" s="10"/>
      <c r="BS17" s="10"/>
      <c r="BT17" s="10"/>
      <c r="BU17" s="6"/>
      <c r="BV17" s="6"/>
      <c r="BW17" s="6"/>
      <c r="BX17" s="6">
        <f t="shared" si="0"/>
        <v>84.5</v>
      </c>
    </row>
    <row r="18" spans="1:76" x14ac:dyDescent="0.25">
      <c r="A18">
        <v>8</v>
      </c>
      <c r="B18" s="6" t="s">
        <v>223</v>
      </c>
      <c r="C18" s="6"/>
      <c r="D18" s="6" t="s">
        <v>325</v>
      </c>
      <c r="E18" s="6" t="s">
        <v>491</v>
      </c>
      <c r="F18" s="6"/>
      <c r="G18" s="6"/>
      <c r="H18" s="6"/>
      <c r="I18" s="6"/>
      <c r="J18" s="10"/>
      <c r="K18" s="10"/>
      <c r="L18" s="10"/>
      <c r="M18" s="10"/>
      <c r="N18" s="10"/>
      <c r="O18" s="10"/>
      <c r="P18" s="10"/>
      <c r="Q18" s="10"/>
      <c r="R18" s="6"/>
      <c r="S18" s="10"/>
      <c r="T18" s="10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10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10"/>
      <c r="BK18" s="10">
        <v>48</v>
      </c>
      <c r="BL18" s="10">
        <v>100</v>
      </c>
      <c r="BM18" s="10"/>
      <c r="BN18" s="10"/>
      <c r="BO18" s="10"/>
      <c r="BP18" s="6">
        <f>SUM(BI18:BO18)</f>
        <v>148</v>
      </c>
      <c r="BQ18" s="6">
        <f>(BP18-BI18)/2</f>
        <v>74</v>
      </c>
      <c r="BR18" s="10"/>
      <c r="BS18" s="10"/>
      <c r="BT18" s="10"/>
      <c r="BU18" s="6"/>
      <c r="BV18" s="6"/>
      <c r="BW18" s="6"/>
      <c r="BX18" s="6">
        <f t="shared" si="0"/>
        <v>74</v>
      </c>
    </row>
    <row r="19" spans="1:76" x14ac:dyDescent="0.25">
      <c r="A19">
        <v>9</v>
      </c>
      <c r="B19" s="10" t="s">
        <v>586</v>
      </c>
      <c r="C19" s="6"/>
      <c r="D19" s="6" t="s">
        <v>142</v>
      </c>
      <c r="E19" s="6" t="s">
        <v>587</v>
      </c>
      <c r="F19" s="6"/>
      <c r="G19" s="6"/>
      <c r="H19" s="6"/>
      <c r="I19" s="6"/>
      <c r="J19" s="10"/>
      <c r="K19" s="10"/>
      <c r="L19" s="10"/>
      <c r="M19" s="10"/>
      <c r="N19" s="10"/>
      <c r="O19" s="10"/>
      <c r="P19" s="10"/>
      <c r="Q19" s="10"/>
      <c r="R19" s="6"/>
      <c r="S19" s="10"/>
      <c r="T19" s="10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10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10"/>
      <c r="BK19" s="10"/>
      <c r="BL19" s="10"/>
      <c r="BM19" s="10"/>
      <c r="BN19" s="10"/>
      <c r="BO19" s="10"/>
      <c r="BP19" s="6"/>
      <c r="BQ19" s="6">
        <v>52.5</v>
      </c>
      <c r="BR19" s="10">
        <v>2.4</v>
      </c>
      <c r="BS19" s="10"/>
      <c r="BT19" s="10"/>
      <c r="BU19" s="6"/>
      <c r="BV19" s="6"/>
      <c r="BW19" s="6"/>
      <c r="BX19" s="6">
        <f t="shared" si="0"/>
        <v>54.9</v>
      </c>
    </row>
    <row r="20" spans="1:76" x14ac:dyDescent="0.25">
      <c r="A20">
        <v>10</v>
      </c>
      <c r="B20" s="6" t="s">
        <v>495</v>
      </c>
      <c r="C20" s="6"/>
      <c r="D20" s="6" t="s">
        <v>485</v>
      </c>
      <c r="E20" s="6" t="s">
        <v>84</v>
      </c>
      <c r="F20" s="6"/>
      <c r="G20" s="6"/>
      <c r="H20" s="6"/>
      <c r="I20" s="6"/>
      <c r="J20" s="10"/>
      <c r="K20" s="10"/>
      <c r="L20" s="10"/>
      <c r="M20" s="10"/>
      <c r="N20" s="10"/>
      <c r="O20" s="10"/>
      <c r="P20" s="10"/>
      <c r="Q20" s="10"/>
      <c r="R20" s="6"/>
      <c r="S20" s="10"/>
      <c r="T20" s="10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10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10"/>
      <c r="BK20" s="10"/>
      <c r="BL20" s="10"/>
      <c r="BM20" s="10"/>
      <c r="BN20" s="10"/>
      <c r="BO20" s="10"/>
      <c r="BP20" s="6"/>
      <c r="BQ20" s="6"/>
      <c r="BR20" s="10">
        <v>36</v>
      </c>
      <c r="BS20" s="10"/>
      <c r="BT20" s="10"/>
      <c r="BU20" s="6"/>
      <c r="BV20" s="6"/>
      <c r="BW20" s="6"/>
      <c r="BX20" s="6">
        <f t="shared" si="0"/>
        <v>36</v>
      </c>
    </row>
    <row r="21" spans="1:76" x14ac:dyDescent="0.25">
      <c r="A21">
        <v>11</v>
      </c>
      <c r="B21" s="6" t="s">
        <v>191</v>
      </c>
      <c r="C21" s="6"/>
      <c r="D21" s="6" t="s">
        <v>351</v>
      </c>
      <c r="E21" s="6" t="s">
        <v>469</v>
      </c>
      <c r="F21" s="6"/>
      <c r="G21" s="6"/>
      <c r="H21" s="6"/>
      <c r="I21" s="6"/>
      <c r="J21" s="10"/>
      <c r="K21" s="10"/>
      <c r="L21" s="10"/>
      <c r="M21" s="10"/>
      <c r="N21" s="10"/>
      <c r="O21" s="10"/>
      <c r="P21" s="10"/>
      <c r="Q21" s="10"/>
      <c r="R21" s="6"/>
      <c r="S21" s="10"/>
      <c r="T21" s="10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10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10"/>
      <c r="BK21" s="10">
        <v>40</v>
      </c>
      <c r="BL21" s="10">
        <v>10</v>
      </c>
      <c r="BM21" s="10"/>
      <c r="BN21" s="10"/>
      <c r="BO21" s="10"/>
      <c r="BP21" s="6">
        <f>SUM(BI21:BO21)</f>
        <v>50</v>
      </c>
      <c r="BQ21" s="6">
        <f>(BP21-BI21)/2</f>
        <v>25</v>
      </c>
      <c r="BR21" s="10"/>
      <c r="BS21" s="10"/>
      <c r="BT21" s="10"/>
      <c r="BU21" s="6"/>
      <c r="BV21" s="6"/>
      <c r="BW21" s="6"/>
      <c r="BX21" s="6">
        <f t="shared" si="0"/>
        <v>25</v>
      </c>
    </row>
    <row r="22" spans="1:76" x14ac:dyDescent="0.25">
      <c r="A22">
        <v>12</v>
      </c>
      <c r="B22" s="6" t="s">
        <v>18</v>
      </c>
      <c r="C22" s="6"/>
      <c r="D22" s="6" t="s">
        <v>347</v>
      </c>
      <c r="E22" s="6" t="s">
        <v>137</v>
      </c>
      <c r="F22" s="6"/>
      <c r="G22" s="6"/>
      <c r="H22" s="6"/>
      <c r="I22" s="6"/>
      <c r="J22" s="10"/>
      <c r="K22" s="10"/>
      <c r="L22" s="10"/>
      <c r="M22" s="10"/>
      <c r="N22" s="10"/>
      <c r="O22" s="10"/>
      <c r="P22" s="10"/>
      <c r="Q22" s="10"/>
      <c r="R22" s="6"/>
      <c r="S22" s="10"/>
      <c r="T22" s="10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10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4</v>
      </c>
      <c r="AW22" s="6">
        <v>3.2</v>
      </c>
      <c r="AX22" s="6"/>
      <c r="AY22" s="6">
        <v>105</v>
      </c>
      <c r="AZ22" s="6">
        <v>36</v>
      </c>
      <c r="BA22" s="6"/>
      <c r="BB22" s="6"/>
      <c r="BC22" s="6"/>
      <c r="BD22" s="6">
        <v>75</v>
      </c>
      <c r="BE22" s="6">
        <v>56</v>
      </c>
      <c r="BF22" s="6"/>
      <c r="BG22" s="6">
        <v>8</v>
      </c>
      <c r="BH22" s="6">
        <f>SUM(AP22:BG22)</f>
        <v>287.2</v>
      </c>
      <c r="BI22" s="6">
        <f>(BH22-AP22)/2</f>
        <v>143.6</v>
      </c>
      <c r="BJ22" s="10">
        <v>36</v>
      </c>
      <c r="BK22" s="10"/>
      <c r="BL22" s="10"/>
      <c r="BM22" s="10"/>
      <c r="BN22" s="10"/>
      <c r="BO22" s="10"/>
      <c r="BP22" s="6">
        <f>SUM(BI22:BO22)</f>
        <v>179.6</v>
      </c>
      <c r="BQ22" s="6">
        <f>(BP22-BI22)/2</f>
        <v>18</v>
      </c>
      <c r="BR22" s="10"/>
      <c r="BS22" s="10"/>
      <c r="BT22" s="10"/>
      <c r="BU22" s="6"/>
      <c r="BV22" s="6"/>
      <c r="BW22" s="6"/>
      <c r="BX22" s="6">
        <f t="shared" si="0"/>
        <v>18</v>
      </c>
    </row>
    <row r="23" spans="1:76" x14ac:dyDescent="0.25">
      <c r="A23">
        <v>13</v>
      </c>
      <c r="B23" s="6" t="s">
        <v>450</v>
      </c>
      <c r="C23" s="6"/>
      <c r="D23" s="6" t="s">
        <v>21</v>
      </c>
      <c r="E23" s="6" t="s">
        <v>488</v>
      </c>
      <c r="F23" s="6"/>
      <c r="G23" s="6"/>
      <c r="H23" s="6"/>
      <c r="I23" s="6"/>
      <c r="J23" s="10"/>
      <c r="K23" s="10"/>
      <c r="L23" s="10"/>
      <c r="M23" s="10"/>
      <c r="N23" s="10"/>
      <c r="O23" s="10"/>
      <c r="P23" s="10"/>
      <c r="Q23" s="10"/>
      <c r="R23" s="6"/>
      <c r="S23" s="10"/>
      <c r="T23" s="10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10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10">
        <v>36</v>
      </c>
      <c r="BK23" s="10"/>
      <c r="BL23" s="10"/>
      <c r="BM23" s="10"/>
      <c r="BN23" s="10"/>
      <c r="BO23" s="10"/>
      <c r="BP23" s="6">
        <f>SUM(BI23:BO23)</f>
        <v>36</v>
      </c>
      <c r="BQ23" s="6">
        <f>(BP23-BI23)/2</f>
        <v>18</v>
      </c>
      <c r="BR23" s="10"/>
      <c r="BS23" s="10"/>
      <c r="BT23" s="10"/>
      <c r="BU23" s="6"/>
      <c r="BV23" s="6"/>
      <c r="BW23" s="6"/>
      <c r="BX23" s="6">
        <f t="shared" si="0"/>
        <v>18</v>
      </c>
    </row>
    <row r="24" spans="1:76" x14ac:dyDescent="0.25">
      <c r="A24">
        <v>14</v>
      </c>
      <c r="B24" s="6" t="s">
        <v>25</v>
      </c>
      <c r="C24" s="6"/>
      <c r="D24" s="6" t="s">
        <v>328</v>
      </c>
      <c r="E24" s="6" t="s">
        <v>52</v>
      </c>
      <c r="F24" s="6"/>
      <c r="G24" s="6"/>
      <c r="H24" s="6"/>
      <c r="I24" s="6"/>
      <c r="J24" s="10"/>
      <c r="K24" s="10"/>
      <c r="L24" s="10"/>
      <c r="M24" s="10"/>
      <c r="N24" s="10"/>
      <c r="O24" s="10"/>
      <c r="P24" s="10"/>
      <c r="Q24" s="10"/>
      <c r="R24" s="6"/>
      <c r="S24" s="10"/>
      <c r="T24" s="10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10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10">
        <v>33.6</v>
      </c>
      <c r="BK24" s="10"/>
      <c r="BL24" s="10"/>
      <c r="BM24" s="10"/>
      <c r="BN24" s="10"/>
      <c r="BO24" s="10"/>
      <c r="BP24" s="6">
        <f>SUM(BI24:BO24)</f>
        <v>33.6</v>
      </c>
      <c r="BQ24" s="6">
        <f>(BP24-BI24)/2</f>
        <v>16.8</v>
      </c>
      <c r="BR24" s="10"/>
      <c r="BS24" s="10"/>
      <c r="BT24" s="10"/>
      <c r="BU24" s="6"/>
      <c r="BV24" s="6"/>
      <c r="BW24" s="6"/>
      <c r="BX24" s="6">
        <f t="shared" si="0"/>
        <v>16.8</v>
      </c>
    </row>
    <row r="25" spans="1:76" x14ac:dyDescent="0.25">
      <c r="A25">
        <v>15</v>
      </c>
      <c r="B25" s="6" t="s">
        <v>202</v>
      </c>
      <c r="C25" s="6"/>
      <c r="D25" s="6" t="s">
        <v>407</v>
      </c>
      <c r="E25" s="6" t="s">
        <v>34</v>
      </c>
      <c r="F25" s="6"/>
      <c r="G25" s="6"/>
      <c r="H25" s="6"/>
      <c r="I25" s="6"/>
      <c r="J25" s="10"/>
      <c r="K25" s="10"/>
      <c r="L25" s="10"/>
      <c r="M25" s="10"/>
      <c r="N25" s="10"/>
      <c r="O25" s="10"/>
      <c r="P25" s="10"/>
      <c r="Q25" s="10"/>
      <c r="R25" s="6"/>
      <c r="S25" s="10"/>
      <c r="T25" s="10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10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10"/>
      <c r="BK25" s="10"/>
      <c r="BL25" s="10">
        <v>7.5</v>
      </c>
      <c r="BM25" s="10"/>
      <c r="BN25" s="10"/>
      <c r="BO25" s="10"/>
      <c r="BP25" s="6">
        <f>SUM(BI25:BO25)</f>
        <v>7.5</v>
      </c>
      <c r="BQ25" s="6">
        <f>(BP25-BI25)/2</f>
        <v>3.75</v>
      </c>
      <c r="BR25" s="10"/>
      <c r="BS25" s="10"/>
      <c r="BT25" s="10"/>
      <c r="BU25" s="6"/>
      <c r="BV25" s="6"/>
      <c r="BW25" s="6"/>
      <c r="BX25" s="6">
        <f t="shared" si="0"/>
        <v>3.75</v>
      </c>
    </row>
    <row r="26" spans="1:76" x14ac:dyDescent="0.25">
      <c r="A26">
        <v>16</v>
      </c>
      <c r="B26" s="6" t="s">
        <v>580</v>
      </c>
      <c r="C26" s="6"/>
      <c r="D26" s="6" t="s">
        <v>581</v>
      </c>
      <c r="E26" s="6" t="s">
        <v>23</v>
      </c>
      <c r="F26" s="6"/>
      <c r="G26" s="6"/>
      <c r="H26" s="6"/>
      <c r="I26" s="6"/>
      <c r="J26" s="10"/>
      <c r="K26" s="10"/>
      <c r="L26" s="10"/>
      <c r="M26" s="10"/>
      <c r="N26" s="10"/>
      <c r="O26" s="10"/>
      <c r="P26" s="10"/>
      <c r="Q26" s="10"/>
      <c r="R26" s="6"/>
      <c r="S26" s="10"/>
      <c r="T26" s="10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10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10"/>
      <c r="BK26" s="10"/>
      <c r="BL26" s="10"/>
      <c r="BM26" s="10"/>
      <c r="BN26" s="10"/>
      <c r="BO26" s="10"/>
      <c r="BP26" s="6"/>
      <c r="BQ26" s="6"/>
      <c r="BR26" s="10"/>
      <c r="BS26" s="10">
        <v>3.2</v>
      </c>
      <c r="BT26" s="10"/>
      <c r="BU26" s="6"/>
      <c r="BV26" s="6"/>
      <c r="BW26" s="6"/>
      <c r="BX26" s="6">
        <f t="shared" si="0"/>
        <v>3.2</v>
      </c>
    </row>
    <row r="27" spans="1:76" x14ac:dyDescent="0.25">
      <c r="A27">
        <v>17</v>
      </c>
      <c r="B27" s="6" t="s">
        <v>329</v>
      </c>
      <c r="C27" s="6"/>
      <c r="D27" s="6" t="s">
        <v>21</v>
      </c>
      <c r="E27" s="6" t="s">
        <v>59</v>
      </c>
      <c r="F27" s="6"/>
      <c r="G27" s="6"/>
      <c r="H27" s="6"/>
      <c r="I27" s="6"/>
      <c r="J27" s="10"/>
      <c r="K27" s="10"/>
      <c r="L27" s="10"/>
      <c r="M27" s="10"/>
      <c r="N27" s="10"/>
      <c r="O27" s="10"/>
      <c r="P27" s="10"/>
      <c r="Q27" s="10"/>
      <c r="R27" s="6"/>
      <c r="S27" s="10"/>
      <c r="T27" s="10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10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10">
        <v>2.4</v>
      </c>
      <c r="BK27" s="10"/>
      <c r="BL27" s="10"/>
      <c r="BM27" s="10"/>
      <c r="BN27" s="10"/>
      <c r="BO27" s="10"/>
      <c r="BP27" s="6">
        <f>SUM(BI27:BO27)</f>
        <v>2.4</v>
      </c>
      <c r="BQ27" s="6">
        <f>(BP27-BI27)/2</f>
        <v>1.2</v>
      </c>
      <c r="BR27" s="10"/>
      <c r="BS27" s="10"/>
      <c r="BT27" s="10"/>
      <c r="BU27" s="6"/>
      <c r="BV27" s="6"/>
      <c r="BW27" s="6"/>
      <c r="BX27" s="6">
        <f t="shared" si="0"/>
        <v>1.2</v>
      </c>
    </row>
    <row r="28" spans="1:76" x14ac:dyDescent="0.25">
      <c r="A28">
        <v>18</v>
      </c>
      <c r="B28" s="6" t="s">
        <v>353</v>
      </c>
      <c r="C28" s="6"/>
      <c r="D28" s="6" t="s">
        <v>354</v>
      </c>
      <c r="E28" s="6" t="s">
        <v>35</v>
      </c>
      <c r="BJ28" s="7">
        <v>2.4</v>
      </c>
      <c r="BP28" s="6">
        <f>SUM(BI28:BO28)</f>
        <v>2.4</v>
      </c>
      <c r="BQ28" s="6">
        <f>(BP28-BI28)/2</f>
        <v>1.2</v>
      </c>
      <c r="BR28" s="10"/>
      <c r="BS28" s="10"/>
      <c r="BT28" s="10"/>
      <c r="BU28" s="6"/>
      <c r="BV28" s="6"/>
      <c r="BW28" s="6"/>
      <c r="BX28" s="6">
        <f t="shared" si="0"/>
        <v>1.2</v>
      </c>
    </row>
  </sheetData>
  <sortState xmlns:xlrd2="http://schemas.microsoft.com/office/spreadsheetml/2017/richdata2" ref="B11:BX28">
    <sortCondition descending="1" ref="BX11:BX28"/>
  </sortState>
  <mergeCells count="5">
    <mergeCell ref="B8:C10"/>
    <mergeCell ref="BL9:BO9"/>
    <mergeCell ref="BT9:BW9"/>
    <mergeCell ref="D4:BX5"/>
    <mergeCell ref="B1:BX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Q48"/>
  <sheetViews>
    <sheetView topLeftCell="A4" zoomScale="80" zoomScaleNormal="80" workbookViewId="0">
      <selection activeCell="B11" sqref="B11:CQ48"/>
    </sheetView>
  </sheetViews>
  <sheetFormatPr baseColWidth="10" defaultRowHeight="15" x14ac:dyDescent="0.25"/>
  <cols>
    <col min="1" max="1" width="3.42578125" bestFit="1" customWidth="1"/>
    <col min="2" max="2" width="13.42578125" bestFit="1" customWidth="1"/>
    <col min="3" max="3" width="13.5703125" bestFit="1" customWidth="1"/>
    <col min="4" max="4" width="12.85546875" bestFit="1" customWidth="1"/>
    <col min="5" max="5" width="18.7109375" bestFit="1" customWidth="1"/>
    <col min="6" max="7" width="6.5703125" hidden="1" customWidth="1"/>
    <col min="8" max="9" width="6.42578125" hidden="1" customWidth="1"/>
    <col min="10" max="10" width="7.28515625" style="7" hidden="1" customWidth="1"/>
    <col min="11" max="13" width="6.28515625" style="7" hidden="1" customWidth="1"/>
    <col min="14" max="16" width="6.7109375" style="7" hidden="1" customWidth="1"/>
    <col min="17" max="23" width="7.28515625" style="7" hidden="1" customWidth="1"/>
    <col min="24" max="24" width="9" hidden="1" customWidth="1"/>
    <col min="25" max="25" width="0" style="7" hidden="1" customWidth="1"/>
    <col min="26" max="49" width="5.5703125" hidden="1" customWidth="1"/>
    <col min="50" max="50" width="6.28515625" hidden="1" customWidth="1"/>
    <col min="51" max="51" width="0" hidden="1" customWidth="1"/>
    <col min="52" max="61" width="6" hidden="1" customWidth="1"/>
    <col min="62" max="77" width="6" style="7" hidden="1" customWidth="1"/>
    <col min="78" max="78" width="6.85546875" style="7" hidden="1" customWidth="1"/>
    <col min="79" max="79" width="6.7109375" hidden="1" customWidth="1"/>
    <col min="80" max="80" width="7.7109375" hidden="1" customWidth="1"/>
    <col min="81" max="81" width="5.5703125" style="7" hidden="1" customWidth="1"/>
    <col min="82" max="82" width="7" style="7" hidden="1" customWidth="1"/>
    <col min="83" max="83" width="7.5703125" style="7" hidden="1" customWidth="1"/>
    <col min="84" max="84" width="7.85546875" style="7" hidden="1" customWidth="1"/>
    <col min="85" max="85" width="8.28515625" style="7" hidden="1" customWidth="1"/>
    <col min="86" max="86" width="6.28515625" style="7" hidden="1" customWidth="1"/>
    <col min="89" max="89" width="7.28515625" style="7" customWidth="1"/>
    <col min="90" max="90" width="7" style="7" customWidth="1"/>
    <col min="91" max="91" width="6" style="7" customWidth="1"/>
    <col min="92" max="94" width="11.42578125" style="7"/>
  </cols>
  <sheetData>
    <row r="1" spans="1:95" ht="26.25" x14ac:dyDescent="0.4">
      <c r="B1" s="34" t="s">
        <v>3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</row>
    <row r="2" spans="1:95" ht="15.75" thickBot="1" x14ac:dyDescent="0.3">
      <c r="C2" s="7"/>
      <c r="D2" s="7"/>
      <c r="E2" s="7"/>
    </row>
    <row r="3" spans="1:95" ht="15.75" thickTop="1" x14ac:dyDescent="0.25">
      <c r="B3" s="1" t="s">
        <v>0</v>
      </c>
      <c r="C3" s="4" t="s">
        <v>307</v>
      </c>
    </row>
    <row r="4" spans="1:95" ht="14.65" customHeight="1" x14ac:dyDescent="0.25">
      <c r="B4" s="2" t="s">
        <v>1</v>
      </c>
      <c r="C4" s="5" t="s">
        <v>7</v>
      </c>
      <c r="D4" s="32" t="s">
        <v>492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</row>
    <row r="5" spans="1:95" ht="15" customHeight="1" thickBot="1" x14ac:dyDescent="0.3">
      <c r="B5" s="3" t="s">
        <v>2</v>
      </c>
      <c r="C5" s="15">
        <v>-48</v>
      </c>
      <c r="D5" s="32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</row>
    <row r="6" spans="1:95" ht="15.75" thickTop="1" x14ac:dyDescent="0.25"/>
    <row r="7" spans="1:95" ht="15.75" thickBot="1" x14ac:dyDescent="0.3"/>
    <row r="8" spans="1:95" ht="15.75" thickTop="1" x14ac:dyDescent="0.25">
      <c r="B8" s="25" t="s">
        <v>9</v>
      </c>
      <c r="C8" s="26"/>
      <c r="D8" s="1"/>
      <c r="E8" s="1"/>
      <c r="F8" s="4" t="s">
        <v>10</v>
      </c>
      <c r="G8" s="4" t="s">
        <v>10</v>
      </c>
      <c r="H8" s="4" t="s">
        <v>10</v>
      </c>
      <c r="I8" s="4" t="s">
        <v>53</v>
      </c>
      <c r="J8" s="4" t="s">
        <v>66</v>
      </c>
      <c r="K8" s="4" t="s">
        <v>86</v>
      </c>
      <c r="L8" s="4" t="s">
        <v>92</v>
      </c>
      <c r="M8" s="4" t="s">
        <v>97</v>
      </c>
      <c r="N8" s="4" t="s">
        <v>10</v>
      </c>
      <c r="O8" s="4" t="s">
        <v>10</v>
      </c>
      <c r="P8" s="4" t="s">
        <v>10</v>
      </c>
      <c r="Q8" s="4" t="s">
        <v>10</v>
      </c>
      <c r="R8" s="4" t="s">
        <v>107</v>
      </c>
      <c r="S8" s="4" t="s">
        <v>10</v>
      </c>
      <c r="T8" s="4" t="s">
        <v>10</v>
      </c>
      <c r="U8" s="4" t="s">
        <v>112</v>
      </c>
      <c r="V8" s="4" t="s">
        <v>114</v>
      </c>
      <c r="W8" s="4" t="s">
        <v>115</v>
      </c>
      <c r="X8" s="1"/>
      <c r="Y8" s="12">
        <v>44927</v>
      </c>
      <c r="Z8" s="4" t="s">
        <v>10</v>
      </c>
      <c r="AA8" s="4" t="s">
        <v>10</v>
      </c>
      <c r="AB8" s="4" t="s">
        <v>10</v>
      </c>
      <c r="AC8" s="4" t="s">
        <v>115</v>
      </c>
      <c r="AD8" s="4" t="s">
        <v>10</v>
      </c>
      <c r="AE8" s="4" t="s">
        <v>10</v>
      </c>
      <c r="AF8" s="4" t="s">
        <v>151</v>
      </c>
      <c r="AG8" s="4" t="s">
        <v>151</v>
      </c>
      <c r="AH8" s="4" t="s">
        <v>151</v>
      </c>
      <c r="AI8" s="4" t="s">
        <v>114</v>
      </c>
      <c r="AJ8" s="4" t="s">
        <v>10</v>
      </c>
      <c r="AK8" s="4" t="s">
        <v>115</v>
      </c>
      <c r="AL8" s="4" t="s">
        <v>10</v>
      </c>
      <c r="AM8" s="4" t="s">
        <v>10</v>
      </c>
      <c r="AN8" s="4" t="s">
        <v>112</v>
      </c>
      <c r="AO8" s="4" t="s">
        <v>10</v>
      </c>
      <c r="AP8" s="4" t="s">
        <v>10</v>
      </c>
      <c r="AQ8" s="4" t="s">
        <v>10</v>
      </c>
      <c r="AR8" s="4" t="s">
        <v>115</v>
      </c>
      <c r="AS8" s="4" t="s">
        <v>10</v>
      </c>
      <c r="AT8" s="4" t="s">
        <v>10</v>
      </c>
      <c r="AU8" s="4" t="s">
        <v>10</v>
      </c>
      <c r="AV8" s="4" t="s">
        <v>10</v>
      </c>
      <c r="AW8" s="4" t="s">
        <v>116</v>
      </c>
      <c r="AX8" s="4" t="s">
        <v>6</v>
      </c>
      <c r="AY8" s="12">
        <v>45292</v>
      </c>
      <c r="AZ8" s="12" t="s">
        <v>10</v>
      </c>
      <c r="BA8" s="12" t="s">
        <v>10</v>
      </c>
      <c r="BB8" s="12" t="s">
        <v>10</v>
      </c>
      <c r="BC8" s="12" t="s">
        <v>10</v>
      </c>
      <c r="BD8" s="12" t="s">
        <v>10</v>
      </c>
      <c r="BE8" s="12" t="s">
        <v>10</v>
      </c>
      <c r="BF8" s="12" t="s">
        <v>10</v>
      </c>
      <c r="BG8" s="12" t="s">
        <v>10</v>
      </c>
      <c r="BH8" s="12" t="s">
        <v>10</v>
      </c>
      <c r="BI8" s="12" t="s">
        <v>115</v>
      </c>
      <c r="BJ8" s="12" t="s">
        <v>115</v>
      </c>
      <c r="BK8" s="12" t="s">
        <v>151</v>
      </c>
      <c r="BL8" s="12" t="s">
        <v>151</v>
      </c>
      <c r="BM8" s="12" t="s">
        <v>151</v>
      </c>
      <c r="BN8" s="12" t="s">
        <v>115</v>
      </c>
      <c r="BO8" s="12" t="s">
        <v>10</v>
      </c>
      <c r="BP8" s="12" t="s">
        <v>10</v>
      </c>
      <c r="BQ8" s="12" t="s">
        <v>10</v>
      </c>
      <c r="BR8" s="12" t="s">
        <v>10</v>
      </c>
      <c r="BS8" s="12" t="s">
        <v>10</v>
      </c>
      <c r="BT8" s="12" t="s">
        <v>10</v>
      </c>
      <c r="BU8" s="12" t="s">
        <v>10</v>
      </c>
      <c r="BV8" s="12" t="s">
        <v>10</v>
      </c>
      <c r="BW8" s="12" t="s">
        <v>115</v>
      </c>
      <c r="BX8" s="12" t="s">
        <v>112</v>
      </c>
      <c r="BY8" s="12" t="s">
        <v>299</v>
      </c>
      <c r="BZ8" s="12" t="s">
        <v>116</v>
      </c>
      <c r="CA8" s="12" t="s">
        <v>6</v>
      </c>
      <c r="CB8" s="12">
        <v>45658</v>
      </c>
      <c r="CC8" s="12"/>
      <c r="CD8" s="12"/>
      <c r="CE8" s="17"/>
      <c r="CF8" s="18"/>
      <c r="CG8" s="18"/>
      <c r="CH8" s="19"/>
      <c r="CI8" s="12" t="s">
        <v>6</v>
      </c>
      <c r="CJ8" s="12">
        <v>46023</v>
      </c>
      <c r="CK8" s="12"/>
      <c r="CL8" s="12"/>
      <c r="CM8" s="17"/>
      <c r="CN8" s="18"/>
      <c r="CO8" s="18"/>
      <c r="CP8" s="19"/>
      <c r="CQ8" s="12" t="s">
        <v>6</v>
      </c>
    </row>
    <row r="9" spans="1:95" x14ac:dyDescent="0.25">
      <c r="B9" s="27"/>
      <c r="C9" s="28"/>
      <c r="D9" s="2"/>
      <c r="E9" s="2"/>
      <c r="F9" s="8" t="s">
        <v>11</v>
      </c>
      <c r="G9" s="8" t="s">
        <v>32</v>
      </c>
      <c r="H9" s="8" t="s">
        <v>19</v>
      </c>
      <c r="I9" s="8" t="s">
        <v>54</v>
      </c>
      <c r="J9" s="8" t="s">
        <v>67</v>
      </c>
      <c r="K9" s="8" t="s">
        <v>87</v>
      </c>
      <c r="L9" s="8" t="s">
        <v>93</v>
      </c>
      <c r="M9" s="8" t="s">
        <v>54</v>
      </c>
      <c r="N9" s="8" t="s">
        <v>32</v>
      </c>
      <c r="O9" s="8" t="s">
        <v>101</v>
      </c>
      <c r="P9" s="8" t="s">
        <v>19</v>
      </c>
      <c r="Q9" s="8" t="s">
        <v>102</v>
      </c>
      <c r="R9" s="8" t="s">
        <v>108</v>
      </c>
      <c r="S9" s="8" t="s">
        <v>102</v>
      </c>
      <c r="T9" s="8" t="s">
        <v>43</v>
      </c>
      <c r="U9" s="8" t="s">
        <v>113</v>
      </c>
      <c r="V9" s="8" t="s">
        <v>67</v>
      </c>
      <c r="W9" s="8" t="s">
        <v>116</v>
      </c>
      <c r="X9" s="2" t="s">
        <v>6</v>
      </c>
      <c r="Y9" s="5"/>
      <c r="Z9" s="8" t="s">
        <v>32</v>
      </c>
      <c r="AA9" s="5" t="s">
        <v>99</v>
      </c>
      <c r="AB9" s="8" t="s">
        <v>19</v>
      </c>
      <c r="AC9" s="8" t="s">
        <v>85</v>
      </c>
      <c r="AD9" s="8" t="s">
        <v>81</v>
      </c>
      <c r="AE9" s="8" t="s">
        <v>102</v>
      </c>
      <c r="AF9" s="8" t="s">
        <v>86</v>
      </c>
      <c r="AG9" s="8" t="s">
        <v>92</v>
      </c>
      <c r="AH9" s="8" t="s">
        <v>85</v>
      </c>
      <c r="AI9" s="8" t="s">
        <v>159</v>
      </c>
      <c r="AJ9" s="8" t="s">
        <v>76</v>
      </c>
      <c r="AK9" s="8" t="s">
        <v>86</v>
      </c>
      <c r="AL9" s="8" t="s">
        <v>167</v>
      </c>
      <c r="AM9" s="8" t="s">
        <v>32</v>
      </c>
      <c r="AN9" s="8" t="s">
        <v>170</v>
      </c>
      <c r="AO9" s="8" t="s">
        <v>102</v>
      </c>
      <c r="AP9" s="8" t="s">
        <v>19</v>
      </c>
      <c r="AQ9" s="8" t="s">
        <v>99</v>
      </c>
      <c r="AR9" s="8" t="s">
        <v>92</v>
      </c>
      <c r="AS9" s="8" t="s">
        <v>76</v>
      </c>
      <c r="AT9" s="8" t="s">
        <v>188</v>
      </c>
      <c r="AU9" s="8" t="s">
        <v>11</v>
      </c>
      <c r="AV9" s="8" t="s">
        <v>192</v>
      </c>
      <c r="AW9" s="8"/>
      <c r="AX9" s="2"/>
      <c r="AY9" s="5"/>
      <c r="AZ9" s="5" t="s">
        <v>81</v>
      </c>
      <c r="BA9" s="5" t="s">
        <v>99</v>
      </c>
      <c r="BB9" s="5" t="s">
        <v>195</v>
      </c>
      <c r="BC9" s="5" t="s">
        <v>167</v>
      </c>
      <c r="BD9" s="5" t="s">
        <v>76</v>
      </c>
      <c r="BE9" s="5" t="s">
        <v>192</v>
      </c>
      <c r="BF9" s="5" t="s">
        <v>19</v>
      </c>
      <c r="BG9" s="5" t="s">
        <v>32</v>
      </c>
      <c r="BH9" s="5" t="s">
        <v>43</v>
      </c>
      <c r="BI9" s="5" t="s">
        <v>86</v>
      </c>
      <c r="BJ9" s="5" t="s">
        <v>267</v>
      </c>
      <c r="BK9" s="5" t="s">
        <v>86</v>
      </c>
      <c r="BL9" s="5" t="s">
        <v>85</v>
      </c>
      <c r="BM9" s="5" t="s">
        <v>92</v>
      </c>
      <c r="BN9" s="5" t="s">
        <v>85</v>
      </c>
      <c r="BO9" s="5" t="s">
        <v>81</v>
      </c>
      <c r="BP9" s="5" t="s">
        <v>195</v>
      </c>
      <c r="BQ9" s="5" t="s">
        <v>19</v>
      </c>
      <c r="BR9" s="5" t="s">
        <v>167</v>
      </c>
      <c r="BS9" s="5" t="s">
        <v>32</v>
      </c>
      <c r="BT9" s="5" t="s">
        <v>192</v>
      </c>
      <c r="BU9" s="5" t="s">
        <v>76</v>
      </c>
      <c r="BV9" s="5" t="s">
        <v>294</v>
      </c>
      <c r="BW9" s="5" t="s">
        <v>92</v>
      </c>
      <c r="BX9" s="5" t="s">
        <v>297</v>
      </c>
      <c r="BY9" s="5" t="s">
        <v>195</v>
      </c>
      <c r="BZ9" s="5" t="s">
        <v>303</v>
      </c>
      <c r="CA9" s="5"/>
      <c r="CB9" s="5"/>
      <c r="CC9" s="8" t="s">
        <v>10</v>
      </c>
      <c r="CD9" s="8" t="s">
        <v>151</v>
      </c>
      <c r="CE9" s="29" t="s">
        <v>305</v>
      </c>
      <c r="CF9" s="30"/>
      <c r="CG9" s="30"/>
      <c r="CH9" s="31"/>
      <c r="CI9" s="5"/>
      <c r="CJ9" s="5"/>
      <c r="CK9" s="8" t="s">
        <v>10</v>
      </c>
      <c r="CL9" s="8" t="s">
        <v>151</v>
      </c>
      <c r="CM9" s="29" t="s">
        <v>305</v>
      </c>
      <c r="CN9" s="30"/>
      <c r="CO9" s="30"/>
      <c r="CP9" s="31"/>
      <c r="CQ9" s="5"/>
    </row>
    <row r="10" spans="1:95" x14ac:dyDescent="0.25">
      <c r="B10" s="27"/>
      <c r="C10" s="28"/>
      <c r="D10" s="2" t="s">
        <v>4</v>
      </c>
      <c r="E10" s="2" t="s">
        <v>5</v>
      </c>
      <c r="F10" s="9">
        <v>44653</v>
      </c>
      <c r="G10" s="9">
        <v>44653</v>
      </c>
      <c r="H10" s="9">
        <v>44660</v>
      </c>
      <c r="I10" s="9">
        <v>44681</v>
      </c>
      <c r="J10" s="9">
        <v>44696</v>
      </c>
      <c r="K10" s="9">
        <v>44730</v>
      </c>
      <c r="L10" s="9">
        <v>44737</v>
      </c>
      <c r="M10" s="9">
        <v>44759</v>
      </c>
      <c r="N10" s="9">
        <v>44779</v>
      </c>
      <c r="O10" s="9">
        <v>44793</v>
      </c>
      <c r="P10" s="9">
        <v>44793</v>
      </c>
      <c r="Q10" s="9">
        <v>44814</v>
      </c>
      <c r="R10" s="9">
        <v>44828</v>
      </c>
      <c r="S10" s="9">
        <v>44856</v>
      </c>
      <c r="T10" s="9">
        <v>44863</v>
      </c>
      <c r="U10" s="9">
        <v>44869</v>
      </c>
      <c r="V10" s="9">
        <v>44890</v>
      </c>
      <c r="W10" s="9">
        <v>44905</v>
      </c>
      <c r="X10" s="2">
        <v>2022</v>
      </c>
      <c r="Y10" s="5"/>
      <c r="Z10" s="2" t="s">
        <v>120</v>
      </c>
      <c r="AA10" s="5" t="s">
        <v>124</v>
      </c>
      <c r="AB10" s="2" t="s">
        <v>127</v>
      </c>
      <c r="AC10" s="2" t="s">
        <v>129</v>
      </c>
      <c r="AD10" s="2" t="s">
        <v>146</v>
      </c>
      <c r="AE10" s="2" t="s">
        <v>145</v>
      </c>
      <c r="AF10" s="2" t="s">
        <v>152</v>
      </c>
      <c r="AG10" s="2" t="s">
        <v>156</v>
      </c>
      <c r="AH10" s="2" t="s">
        <v>158</v>
      </c>
      <c r="AI10" s="2" t="s">
        <v>160</v>
      </c>
      <c r="AJ10" s="2" t="s">
        <v>160</v>
      </c>
      <c r="AK10" s="2" t="s">
        <v>164</v>
      </c>
      <c r="AL10" s="2" t="s">
        <v>168</v>
      </c>
      <c r="AM10" s="2" t="s">
        <v>169</v>
      </c>
      <c r="AN10" s="2" t="s">
        <v>171</v>
      </c>
      <c r="AO10" s="2" t="s">
        <v>172</v>
      </c>
      <c r="AP10" s="2" t="s">
        <v>175</v>
      </c>
      <c r="AQ10" s="2" t="s">
        <v>176</v>
      </c>
      <c r="AR10" s="2" t="s">
        <v>181</v>
      </c>
      <c r="AS10" s="2" t="s">
        <v>187</v>
      </c>
      <c r="AT10" s="2" t="s">
        <v>189</v>
      </c>
      <c r="AU10" s="5" t="s">
        <v>190</v>
      </c>
      <c r="AV10" s="2" t="s">
        <v>190</v>
      </c>
      <c r="AW10" s="2" t="s">
        <v>194</v>
      </c>
      <c r="AX10" s="2">
        <v>2023</v>
      </c>
      <c r="AY10" s="5"/>
      <c r="AZ10" s="5" t="s">
        <v>196</v>
      </c>
      <c r="BA10" s="5" t="s">
        <v>196</v>
      </c>
      <c r="BB10" s="5" t="s">
        <v>196</v>
      </c>
      <c r="BC10" s="5" t="s">
        <v>196</v>
      </c>
      <c r="BD10" s="5" t="s">
        <v>196</v>
      </c>
      <c r="BE10" s="5" t="s">
        <v>196</v>
      </c>
      <c r="BF10" s="5" t="s">
        <v>233</v>
      </c>
      <c r="BG10" s="5" t="s">
        <v>246</v>
      </c>
      <c r="BH10" s="5" t="s">
        <v>246</v>
      </c>
      <c r="BI10" s="5" t="s">
        <v>264</v>
      </c>
      <c r="BJ10" s="5" t="s">
        <v>268</v>
      </c>
      <c r="BK10" s="5" t="s">
        <v>269</v>
      </c>
      <c r="BL10" s="5" t="s">
        <v>269</v>
      </c>
      <c r="BM10" s="5" t="s">
        <v>273</v>
      </c>
      <c r="BN10" s="5" t="s">
        <v>277</v>
      </c>
      <c r="BO10" s="5" t="s">
        <v>171</v>
      </c>
      <c r="BP10" s="5" t="s">
        <v>283</v>
      </c>
      <c r="BQ10" s="5" t="s">
        <v>283</v>
      </c>
      <c r="BR10" s="5" t="s">
        <v>282</v>
      </c>
      <c r="BS10" s="5" t="s">
        <v>287</v>
      </c>
      <c r="BT10" s="5" t="s">
        <v>287</v>
      </c>
      <c r="BU10" s="5" t="s">
        <v>290</v>
      </c>
      <c r="BV10" s="5" t="s">
        <v>295</v>
      </c>
      <c r="BW10" s="5" t="s">
        <v>296</v>
      </c>
      <c r="BX10" s="5" t="s">
        <v>298</v>
      </c>
      <c r="BY10" s="5" t="s">
        <v>300</v>
      </c>
      <c r="BZ10" s="5" t="s">
        <v>304</v>
      </c>
      <c r="CA10" s="5">
        <v>2024</v>
      </c>
      <c r="CB10" s="5"/>
      <c r="CC10" s="5"/>
      <c r="CD10" s="5"/>
      <c r="CE10" s="5">
        <v>1</v>
      </c>
      <c r="CF10" s="5">
        <v>2</v>
      </c>
      <c r="CG10" s="5">
        <v>3</v>
      </c>
      <c r="CH10" s="5">
        <v>4</v>
      </c>
      <c r="CI10" s="5">
        <v>2025</v>
      </c>
      <c r="CJ10" s="5"/>
      <c r="CK10" s="5"/>
      <c r="CL10" s="5"/>
      <c r="CM10" s="5">
        <v>1</v>
      </c>
      <c r="CN10" s="5">
        <v>2</v>
      </c>
      <c r="CO10" s="5">
        <v>3</v>
      </c>
      <c r="CP10" s="5">
        <v>4</v>
      </c>
      <c r="CQ10" s="5">
        <v>2026</v>
      </c>
    </row>
    <row r="11" spans="1:95" x14ac:dyDescent="0.25">
      <c r="A11">
        <v>1</v>
      </c>
      <c r="B11" s="6" t="s">
        <v>390</v>
      </c>
      <c r="C11" s="6"/>
      <c r="D11" s="6" t="s">
        <v>349</v>
      </c>
      <c r="E11" s="6" t="s">
        <v>31</v>
      </c>
      <c r="F11" s="6"/>
      <c r="G11" s="6"/>
      <c r="H11" s="6"/>
      <c r="I11" s="6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6"/>
      <c r="Y11" s="10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6"/>
      <c r="CB11" s="6">
        <f>201.5/2</f>
        <v>100.75</v>
      </c>
      <c r="CC11" s="10">
        <v>36</v>
      </c>
      <c r="CD11" s="10">
        <v>56</v>
      </c>
      <c r="CE11" s="10">
        <v>75</v>
      </c>
      <c r="CF11" s="10">
        <v>50</v>
      </c>
      <c r="CG11" s="10">
        <v>75</v>
      </c>
      <c r="CH11" s="10">
        <v>100</v>
      </c>
      <c r="CI11" s="6">
        <f>SUM(CB11:CH11)</f>
        <v>492.75</v>
      </c>
      <c r="CJ11" s="6">
        <f>(CI11-CB11)/2</f>
        <v>196</v>
      </c>
      <c r="CK11" s="10">
        <v>48</v>
      </c>
      <c r="CL11" s="10">
        <v>40</v>
      </c>
      <c r="CM11" s="10">
        <v>105</v>
      </c>
      <c r="CN11" s="10">
        <v>4</v>
      </c>
      <c r="CO11" s="10">
        <v>48</v>
      </c>
      <c r="CP11" s="10">
        <v>70</v>
      </c>
      <c r="CQ11" s="6">
        <f t="shared" ref="CQ11:CQ48" si="0">SUM(CJ11:CP11)</f>
        <v>511</v>
      </c>
    </row>
    <row r="12" spans="1:95" x14ac:dyDescent="0.25">
      <c r="A12">
        <v>2</v>
      </c>
      <c r="B12" s="6" t="s">
        <v>37</v>
      </c>
      <c r="C12" s="6"/>
      <c r="D12" s="6" t="s">
        <v>281</v>
      </c>
      <c r="E12" s="6" t="s">
        <v>468</v>
      </c>
      <c r="F12" s="6"/>
      <c r="G12" s="6"/>
      <c r="H12" s="6"/>
      <c r="I12" s="6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6"/>
      <c r="Y12" s="10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6"/>
      <c r="CB12" s="6"/>
      <c r="CC12" s="10">
        <v>48</v>
      </c>
      <c r="CD12" s="10">
        <v>40</v>
      </c>
      <c r="CE12" s="10">
        <v>7.5</v>
      </c>
      <c r="CF12" s="10">
        <v>48</v>
      </c>
      <c r="CG12" s="10">
        <v>75</v>
      </c>
      <c r="CH12" s="10">
        <v>72</v>
      </c>
      <c r="CI12" s="6">
        <f>SUM(CB12:CH12)</f>
        <v>290.5</v>
      </c>
      <c r="CJ12" s="6">
        <f>(CI12-CB12)/2</f>
        <v>145.25</v>
      </c>
      <c r="CK12" s="10">
        <v>48</v>
      </c>
      <c r="CL12" s="10">
        <v>80</v>
      </c>
      <c r="CM12" s="10">
        <v>75</v>
      </c>
      <c r="CN12" s="10">
        <v>80</v>
      </c>
      <c r="CO12" s="10">
        <v>48</v>
      </c>
      <c r="CP12" s="10"/>
      <c r="CQ12" s="6">
        <f t="shared" si="0"/>
        <v>476.25</v>
      </c>
    </row>
    <row r="13" spans="1:95" x14ac:dyDescent="0.25">
      <c r="A13">
        <v>3</v>
      </c>
      <c r="B13" s="6" t="s">
        <v>358</v>
      </c>
      <c r="C13" s="6"/>
      <c r="D13" s="6" t="s">
        <v>359</v>
      </c>
      <c r="E13" s="6" t="s">
        <v>35</v>
      </c>
      <c r="F13" s="6"/>
      <c r="G13" s="6"/>
      <c r="H13" s="6"/>
      <c r="I13" s="6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6"/>
      <c r="Y13" s="10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6"/>
      <c r="CB13" s="6">
        <v>149.5</v>
      </c>
      <c r="CC13" s="10">
        <v>36</v>
      </c>
      <c r="CD13" s="10">
        <v>56</v>
      </c>
      <c r="CE13" s="10">
        <v>54</v>
      </c>
      <c r="CF13" s="10">
        <v>40</v>
      </c>
      <c r="CG13" s="10">
        <v>100</v>
      </c>
      <c r="CH13" s="10">
        <v>54</v>
      </c>
      <c r="CI13" s="6">
        <f>SUM(CB13:CH13)</f>
        <v>489.5</v>
      </c>
      <c r="CJ13" s="6">
        <f>(CI13-CB13)/2</f>
        <v>170</v>
      </c>
      <c r="CK13" s="10">
        <v>48</v>
      </c>
      <c r="CL13" s="10">
        <v>56</v>
      </c>
      <c r="CM13" s="10">
        <v>75</v>
      </c>
      <c r="CN13" s="10"/>
      <c r="CO13" s="10"/>
      <c r="CP13" s="10">
        <v>50</v>
      </c>
      <c r="CQ13" s="6">
        <f t="shared" si="0"/>
        <v>399</v>
      </c>
    </row>
    <row r="14" spans="1:95" x14ac:dyDescent="0.25">
      <c r="A14">
        <v>4</v>
      </c>
      <c r="B14" s="6" t="s">
        <v>542</v>
      </c>
      <c r="C14" s="6"/>
      <c r="D14" s="6" t="s">
        <v>543</v>
      </c>
      <c r="E14" s="6" t="s">
        <v>52</v>
      </c>
      <c r="F14" s="6"/>
      <c r="G14" s="6"/>
      <c r="H14" s="6"/>
      <c r="I14" s="6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6"/>
      <c r="Y14" s="10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6"/>
      <c r="CB14" s="6"/>
      <c r="CC14" s="10"/>
      <c r="CD14" s="10"/>
      <c r="CE14" s="10"/>
      <c r="CF14" s="10"/>
      <c r="CG14" s="10"/>
      <c r="CH14" s="10"/>
      <c r="CI14" s="6"/>
      <c r="CJ14" s="6"/>
      <c r="CK14" s="10">
        <v>60</v>
      </c>
      <c r="CL14" s="10">
        <v>80</v>
      </c>
      <c r="CM14" s="10">
        <v>150</v>
      </c>
      <c r="CN14" s="10"/>
      <c r="CO14" s="10"/>
      <c r="CP14" s="10"/>
      <c r="CQ14" s="6">
        <f t="shared" si="0"/>
        <v>290</v>
      </c>
    </row>
    <row r="15" spans="1:95" x14ac:dyDescent="0.25">
      <c r="A15">
        <v>5</v>
      </c>
      <c r="B15" s="6" t="s">
        <v>96</v>
      </c>
      <c r="C15" s="6"/>
      <c r="D15" s="6" t="s">
        <v>407</v>
      </c>
      <c r="E15" s="6" t="s">
        <v>89</v>
      </c>
      <c r="F15" s="6"/>
      <c r="G15" s="6"/>
      <c r="H15" s="6"/>
      <c r="I15" s="6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6"/>
      <c r="Y15" s="10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6"/>
      <c r="CB15" s="6"/>
      <c r="CC15" s="10"/>
      <c r="CD15" s="10"/>
      <c r="CE15" s="10"/>
      <c r="CF15" s="10"/>
      <c r="CG15" s="10"/>
      <c r="CH15" s="10"/>
      <c r="CI15" s="6"/>
      <c r="CJ15" s="6">
        <v>190.5</v>
      </c>
      <c r="CK15" s="10">
        <v>36</v>
      </c>
      <c r="CL15" s="10"/>
      <c r="CM15" s="10">
        <v>36</v>
      </c>
      <c r="CN15" s="10"/>
      <c r="CO15" s="10"/>
      <c r="CP15" s="10"/>
      <c r="CQ15" s="6">
        <f t="shared" si="0"/>
        <v>262.5</v>
      </c>
    </row>
    <row r="16" spans="1:95" x14ac:dyDescent="0.25">
      <c r="A16">
        <v>6</v>
      </c>
      <c r="B16" s="6" t="s">
        <v>119</v>
      </c>
      <c r="C16" s="6"/>
      <c r="D16" s="6" t="s">
        <v>382</v>
      </c>
      <c r="E16" s="6" t="s">
        <v>69</v>
      </c>
      <c r="F16" s="6"/>
      <c r="G16" s="6"/>
      <c r="H16" s="6"/>
      <c r="I16" s="6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6"/>
      <c r="Y16" s="10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6"/>
      <c r="CB16" s="6">
        <v>185.5</v>
      </c>
      <c r="CC16" s="10">
        <v>48</v>
      </c>
      <c r="CD16" s="10">
        <v>80</v>
      </c>
      <c r="CE16" s="10">
        <v>150</v>
      </c>
      <c r="CF16" s="10">
        <v>50</v>
      </c>
      <c r="CG16" s="10">
        <v>105</v>
      </c>
      <c r="CH16" s="10">
        <v>80</v>
      </c>
      <c r="CI16" s="6">
        <f>SUM(CB16:CH16)</f>
        <v>698.5</v>
      </c>
      <c r="CJ16" s="6">
        <f>(CI16-CB16)/2</f>
        <v>256.5</v>
      </c>
      <c r="CK16" s="10"/>
      <c r="CL16" s="10"/>
      <c r="CM16" s="10"/>
      <c r="CN16" s="10"/>
      <c r="CO16" s="10"/>
      <c r="CP16" s="10"/>
      <c r="CQ16" s="6">
        <f t="shared" si="0"/>
        <v>256.5</v>
      </c>
    </row>
    <row r="17" spans="1:95" x14ac:dyDescent="0.25">
      <c r="A17">
        <v>7</v>
      </c>
      <c r="B17" s="6" t="s">
        <v>544</v>
      </c>
      <c r="C17" s="6"/>
      <c r="D17" s="6" t="s">
        <v>310</v>
      </c>
      <c r="E17" s="6" t="s">
        <v>63</v>
      </c>
      <c r="F17" s="6"/>
      <c r="G17" s="6"/>
      <c r="H17" s="6"/>
      <c r="I17" s="6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6"/>
      <c r="Y17" s="10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6"/>
      <c r="CB17" s="6"/>
      <c r="CC17" s="10"/>
      <c r="CD17" s="10"/>
      <c r="CE17" s="10"/>
      <c r="CF17" s="10"/>
      <c r="CG17" s="10"/>
      <c r="CH17" s="10"/>
      <c r="CI17" s="6"/>
      <c r="CJ17" s="6"/>
      <c r="CK17" s="10">
        <v>48</v>
      </c>
      <c r="CL17" s="10">
        <v>56</v>
      </c>
      <c r="CM17" s="10">
        <v>54</v>
      </c>
      <c r="CN17" s="10">
        <v>56</v>
      </c>
      <c r="CO17" s="10">
        <v>42</v>
      </c>
      <c r="CP17" s="10"/>
      <c r="CQ17" s="6">
        <f t="shared" si="0"/>
        <v>256</v>
      </c>
    </row>
    <row r="18" spans="1:95" x14ac:dyDescent="0.25">
      <c r="A18" s="22">
        <v>8</v>
      </c>
      <c r="B18" s="6" t="s">
        <v>348</v>
      </c>
      <c r="C18" s="6"/>
      <c r="D18" s="6" t="s">
        <v>212</v>
      </c>
      <c r="E18" s="6" t="s">
        <v>263</v>
      </c>
      <c r="F18" s="6"/>
      <c r="G18" s="6"/>
      <c r="H18" s="6"/>
      <c r="I18" s="6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6"/>
      <c r="Y18" s="10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6"/>
      <c r="CB18" s="6"/>
      <c r="CC18" s="10">
        <v>36</v>
      </c>
      <c r="CD18" s="10">
        <v>40</v>
      </c>
      <c r="CE18" s="10">
        <v>48</v>
      </c>
      <c r="CF18" s="10">
        <v>10</v>
      </c>
      <c r="CG18" s="10"/>
      <c r="CH18" s="10"/>
      <c r="CI18" s="6">
        <f>SUM(CB18:CH18)</f>
        <v>134</v>
      </c>
      <c r="CJ18" s="6">
        <f>(CI18-CB18)/2</f>
        <v>67</v>
      </c>
      <c r="CK18" s="10">
        <v>36</v>
      </c>
      <c r="CL18" s="10"/>
      <c r="CM18" s="10">
        <v>54</v>
      </c>
      <c r="CN18" s="10"/>
      <c r="CO18" s="10"/>
      <c r="CP18" s="10"/>
      <c r="CQ18" s="6">
        <f t="shared" si="0"/>
        <v>157</v>
      </c>
    </row>
    <row r="19" spans="1:95" x14ac:dyDescent="0.25">
      <c r="A19">
        <v>9</v>
      </c>
      <c r="B19" s="6" t="s">
        <v>341</v>
      </c>
      <c r="C19" s="6"/>
      <c r="D19" s="6" t="s">
        <v>610</v>
      </c>
      <c r="E19" s="6" t="s">
        <v>125</v>
      </c>
      <c r="F19" s="6"/>
      <c r="G19" s="6"/>
      <c r="H19" s="6"/>
      <c r="I19" s="6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6"/>
      <c r="Y19" s="10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6"/>
      <c r="CB19" s="6"/>
      <c r="CC19" s="10"/>
      <c r="CD19" s="10"/>
      <c r="CE19" s="10"/>
      <c r="CF19" s="10"/>
      <c r="CG19" s="10"/>
      <c r="CH19" s="10"/>
      <c r="CI19" s="6"/>
      <c r="CJ19" s="6"/>
      <c r="CK19" s="10">
        <v>48</v>
      </c>
      <c r="CL19" s="10">
        <v>48.8</v>
      </c>
      <c r="CM19" s="10">
        <v>36</v>
      </c>
      <c r="CN19" s="10"/>
      <c r="CO19" s="10"/>
      <c r="CP19" s="10"/>
      <c r="CQ19" s="6">
        <f t="shared" si="0"/>
        <v>132.80000000000001</v>
      </c>
    </row>
    <row r="20" spans="1:95" x14ac:dyDescent="0.25">
      <c r="A20">
        <v>10</v>
      </c>
      <c r="B20" s="6" t="s">
        <v>419</v>
      </c>
      <c r="C20" s="6"/>
      <c r="D20" s="6" t="s">
        <v>382</v>
      </c>
      <c r="E20" s="6" t="s">
        <v>420</v>
      </c>
      <c r="F20" s="6"/>
      <c r="G20" s="6"/>
      <c r="H20" s="6"/>
      <c r="I20" s="6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6"/>
      <c r="Y20" s="10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6"/>
      <c r="CB20" s="6"/>
      <c r="CC20" s="10">
        <v>2.4</v>
      </c>
      <c r="CD20" s="10">
        <v>40</v>
      </c>
      <c r="CE20" s="10">
        <v>7.5</v>
      </c>
      <c r="CF20" s="10">
        <v>2.4</v>
      </c>
      <c r="CG20" s="10">
        <v>4</v>
      </c>
      <c r="CH20" s="10"/>
      <c r="CI20" s="6">
        <f>SUM(CB20:CH20)</f>
        <v>56.3</v>
      </c>
      <c r="CJ20" s="6">
        <f>(CI20-CB20)/2</f>
        <v>28.15</v>
      </c>
      <c r="CK20" s="10">
        <v>36</v>
      </c>
      <c r="CL20" s="10">
        <v>64</v>
      </c>
      <c r="CM20" s="10"/>
      <c r="CN20" s="10"/>
      <c r="CO20" s="10"/>
      <c r="CP20" s="10"/>
      <c r="CQ20" s="6">
        <f t="shared" si="0"/>
        <v>128.15</v>
      </c>
    </row>
    <row r="21" spans="1:95" x14ac:dyDescent="0.25">
      <c r="A21">
        <v>11</v>
      </c>
      <c r="B21" s="6" t="s">
        <v>41</v>
      </c>
      <c r="C21" s="6"/>
      <c r="D21" s="6" t="s">
        <v>438</v>
      </c>
      <c r="E21" s="6" t="s">
        <v>117</v>
      </c>
      <c r="F21" s="6"/>
      <c r="G21" s="6"/>
      <c r="H21" s="6"/>
      <c r="I21" s="6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6"/>
      <c r="Y21" s="10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6">
        <v>186.5</v>
      </c>
      <c r="CB21" s="6">
        <f>CA21/2</f>
        <v>93.25</v>
      </c>
      <c r="CC21" s="10">
        <v>2.4</v>
      </c>
      <c r="CD21" s="10">
        <v>56</v>
      </c>
      <c r="CE21" s="10">
        <v>7.5</v>
      </c>
      <c r="CF21" s="10">
        <v>36</v>
      </c>
      <c r="CG21" s="10">
        <v>39</v>
      </c>
      <c r="CH21" s="10">
        <v>10</v>
      </c>
      <c r="CI21" s="6">
        <f>SUM(CB21:CH21)</f>
        <v>244.15</v>
      </c>
      <c r="CJ21" s="6">
        <f>(CI21-CB21)/2</f>
        <v>75.45</v>
      </c>
      <c r="CK21" s="10">
        <v>33.6</v>
      </c>
      <c r="CL21" s="10"/>
      <c r="CM21" s="10"/>
      <c r="CN21" s="10"/>
      <c r="CO21" s="10"/>
      <c r="CP21" s="10"/>
      <c r="CQ21" s="6">
        <f t="shared" si="0"/>
        <v>109.05000000000001</v>
      </c>
    </row>
    <row r="22" spans="1:95" x14ac:dyDescent="0.25">
      <c r="A22">
        <v>12</v>
      </c>
      <c r="B22" s="6" t="s">
        <v>245</v>
      </c>
      <c r="C22" s="6"/>
      <c r="D22" s="6" t="s">
        <v>466</v>
      </c>
      <c r="E22" s="6" t="s">
        <v>64</v>
      </c>
      <c r="F22" s="6"/>
      <c r="G22" s="6"/>
      <c r="H22" s="6"/>
      <c r="I22" s="6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6"/>
      <c r="Y22" s="10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6"/>
      <c r="CB22" s="6"/>
      <c r="CC22" s="10">
        <v>2.4</v>
      </c>
      <c r="CD22" s="10">
        <v>56</v>
      </c>
      <c r="CE22" s="10">
        <v>54</v>
      </c>
      <c r="CF22" s="10">
        <v>40</v>
      </c>
      <c r="CG22" s="10">
        <v>54</v>
      </c>
      <c r="CH22" s="10"/>
      <c r="CI22" s="6">
        <f>SUM(CB22:CH22)</f>
        <v>206.4</v>
      </c>
      <c r="CJ22" s="6">
        <f>(CI22-CB22)/2</f>
        <v>103.2</v>
      </c>
      <c r="CK22" s="10"/>
      <c r="CL22" s="10"/>
      <c r="CM22" s="10"/>
      <c r="CN22" s="10"/>
      <c r="CO22" s="10"/>
      <c r="CP22" s="10"/>
      <c r="CQ22" s="6">
        <f t="shared" si="0"/>
        <v>103.2</v>
      </c>
    </row>
    <row r="23" spans="1:95" x14ac:dyDescent="0.25">
      <c r="A23">
        <v>13</v>
      </c>
      <c r="B23" s="6" t="s">
        <v>100</v>
      </c>
      <c r="C23" s="6"/>
      <c r="D23" s="6" t="s">
        <v>349</v>
      </c>
      <c r="E23" s="6" t="s">
        <v>8</v>
      </c>
      <c r="F23" s="6"/>
      <c r="G23" s="6"/>
      <c r="H23" s="6"/>
      <c r="I23" s="6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6"/>
      <c r="Y23" s="10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6"/>
      <c r="CB23" s="6">
        <f>20.5/2</f>
        <v>10.25</v>
      </c>
      <c r="CC23" s="10">
        <v>36</v>
      </c>
      <c r="CD23" s="10"/>
      <c r="CE23" s="10">
        <v>54</v>
      </c>
      <c r="CF23" s="10">
        <v>7.5</v>
      </c>
      <c r="CG23" s="10"/>
      <c r="CH23" s="10"/>
      <c r="CI23" s="6">
        <f>SUM(CB23:CH23)</f>
        <v>107.75</v>
      </c>
      <c r="CJ23" s="6">
        <f>(CI23-CB23)/2</f>
        <v>48.75</v>
      </c>
      <c r="CK23" s="10">
        <v>36</v>
      </c>
      <c r="CL23" s="10"/>
      <c r="CM23" s="10">
        <v>7.5</v>
      </c>
      <c r="CN23" s="10"/>
      <c r="CO23" s="10"/>
      <c r="CP23" s="10"/>
      <c r="CQ23" s="6">
        <f t="shared" si="0"/>
        <v>92.25</v>
      </c>
    </row>
    <row r="24" spans="1:95" x14ac:dyDescent="0.25">
      <c r="A24">
        <v>14</v>
      </c>
      <c r="B24" s="6" t="s">
        <v>614</v>
      </c>
      <c r="C24" s="6"/>
      <c r="D24" s="6" t="s">
        <v>582</v>
      </c>
      <c r="E24" s="6" t="s">
        <v>184</v>
      </c>
      <c r="F24" s="6"/>
      <c r="G24" s="6"/>
      <c r="H24" s="6"/>
      <c r="I24" s="6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6"/>
      <c r="Y24" s="10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6"/>
      <c r="CB24" s="6"/>
      <c r="CC24" s="10"/>
      <c r="CD24" s="10"/>
      <c r="CE24" s="10"/>
      <c r="CF24" s="10"/>
      <c r="CG24" s="10"/>
      <c r="CH24" s="10"/>
      <c r="CI24" s="6"/>
      <c r="CJ24" s="6"/>
      <c r="CK24" s="10">
        <v>33.6</v>
      </c>
      <c r="CL24" s="10">
        <v>4</v>
      </c>
      <c r="CM24" s="10">
        <v>39</v>
      </c>
      <c r="CN24" s="10">
        <v>2.4</v>
      </c>
      <c r="CO24" s="10"/>
      <c r="CP24" s="10"/>
      <c r="CQ24" s="6">
        <f t="shared" si="0"/>
        <v>79</v>
      </c>
    </row>
    <row r="25" spans="1:95" x14ac:dyDescent="0.25">
      <c r="A25">
        <v>15</v>
      </c>
      <c r="B25" s="6" t="s">
        <v>26</v>
      </c>
      <c r="C25" s="6"/>
      <c r="D25" s="6" t="s">
        <v>237</v>
      </c>
      <c r="E25" s="6" t="s">
        <v>31</v>
      </c>
      <c r="F25" s="6"/>
      <c r="G25" s="6"/>
      <c r="H25" s="6"/>
      <c r="I25" s="6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6"/>
      <c r="Y25" s="10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>
        <v>48.1</v>
      </c>
      <c r="AZ25" s="6"/>
      <c r="BA25" s="6"/>
      <c r="BB25" s="6"/>
      <c r="BC25" s="6"/>
      <c r="BD25" s="6"/>
      <c r="BE25" s="6"/>
      <c r="BF25" s="6">
        <v>33.6</v>
      </c>
      <c r="BG25" s="6"/>
      <c r="BH25" s="6"/>
      <c r="BI25" s="6"/>
      <c r="BJ25" s="10"/>
      <c r="BK25" s="10"/>
      <c r="BL25" s="10"/>
      <c r="BM25" s="10">
        <v>4</v>
      </c>
      <c r="BN25" s="10"/>
      <c r="BO25" s="10"/>
      <c r="BP25" s="10"/>
      <c r="BQ25" s="10">
        <v>2.4</v>
      </c>
      <c r="BR25" s="10"/>
      <c r="BS25" s="10"/>
      <c r="BT25" s="10"/>
      <c r="BU25" s="10"/>
      <c r="BV25" s="10"/>
      <c r="BW25" s="10"/>
      <c r="BX25" s="10"/>
      <c r="BY25" s="10">
        <v>5</v>
      </c>
      <c r="BZ25" s="10"/>
      <c r="CA25" s="6">
        <f>SUM(AY25:BZ25)</f>
        <v>93.100000000000009</v>
      </c>
      <c r="CB25" s="6">
        <f>(CA25-AY25)/2</f>
        <v>22.500000000000004</v>
      </c>
      <c r="CC25" s="10">
        <v>48</v>
      </c>
      <c r="CD25" s="10"/>
      <c r="CE25" s="10">
        <v>72</v>
      </c>
      <c r="CF25" s="10"/>
      <c r="CG25" s="10"/>
      <c r="CH25" s="10"/>
      <c r="CI25" s="6">
        <f>SUM(CB25:CH25)</f>
        <v>142.5</v>
      </c>
      <c r="CJ25" s="6">
        <f>(CI25-CB25)/2</f>
        <v>60</v>
      </c>
      <c r="CK25" s="10"/>
      <c r="CL25" s="10"/>
      <c r="CM25" s="10"/>
      <c r="CN25" s="10"/>
      <c r="CO25" s="10"/>
      <c r="CP25" s="10"/>
      <c r="CQ25" s="6">
        <f t="shared" si="0"/>
        <v>60</v>
      </c>
    </row>
    <row r="26" spans="1:95" x14ac:dyDescent="0.25">
      <c r="A26">
        <v>16</v>
      </c>
      <c r="B26" s="6" t="s">
        <v>220</v>
      </c>
      <c r="C26" s="6"/>
      <c r="D26" s="6" t="s">
        <v>161</v>
      </c>
      <c r="E26" s="6" t="s">
        <v>249</v>
      </c>
      <c r="F26" s="6"/>
      <c r="G26" s="6"/>
      <c r="H26" s="6"/>
      <c r="I26" s="6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6"/>
      <c r="Y26" s="10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>
        <v>36</v>
      </c>
      <c r="BI26" s="6"/>
      <c r="BJ26" s="10"/>
      <c r="BK26" s="10">
        <v>56</v>
      </c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6">
        <f>SUM(AY26:BZ26)</f>
        <v>92</v>
      </c>
      <c r="CB26" s="6">
        <f>(CA26-AY26)/2</f>
        <v>46</v>
      </c>
      <c r="CC26" s="10">
        <v>48</v>
      </c>
      <c r="CD26" s="10"/>
      <c r="CE26" s="10">
        <v>7.5</v>
      </c>
      <c r="CF26" s="10">
        <v>48</v>
      </c>
      <c r="CG26" s="10"/>
      <c r="CH26" s="10"/>
      <c r="CI26" s="6">
        <f>SUM(CB26:CH26)</f>
        <v>149.5</v>
      </c>
      <c r="CJ26" s="6">
        <f>(CI26-CB26)/2</f>
        <v>51.75</v>
      </c>
      <c r="CK26" s="10"/>
      <c r="CL26" s="10"/>
      <c r="CM26" s="10"/>
      <c r="CN26" s="10"/>
      <c r="CO26" s="10"/>
      <c r="CP26" s="10"/>
      <c r="CQ26" s="6">
        <f t="shared" si="0"/>
        <v>51.75</v>
      </c>
    </row>
    <row r="27" spans="1:95" x14ac:dyDescent="0.25">
      <c r="A27">
        <v>17</v>
      </c>
      <c r="B27" s="6" t="s">
        <v>650</v>
      </c>
      <c r="C27" s="6"/>
      <c r="D27" s="6" t="s">
        <v>651</v>
      </c>
      <c r="E27" s="6" t="s">
        <v>249</v>
      </c>
      <c r="F27" s="6"/>
      <c r="G27" s="6"/>
      <c r="H27" s="6"/>
      <c r="I27" s="6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6"/>
      <c r="Y27" s="10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6"/>
      <c r="CB27" s="6"/>
      <c r="CC27" s="10"/>
      <c r="CD27" s="10"/>
      <c r="CE27" s="10"/>
      <c r="CF27" s="10"/>
      <c r="CG27" s="10"/>
      <c r="CH27" s="10"/>
      <c r="CI27" s="6"/>
      <c r="CJ27" s="6"/>
      <c r="CK27" s="10">
        <v>48</v>
      </c>
      <c r="CL27" s="10"/>
      <c r="CM27" s="10"/>
      <c r="CN27" s="10"/>
      <c r="CO27" s="10"/>
      <c r="CP27" s="10"/>
      <c r="CQ27" s="6">
        <f t="shared" si="0"/>
        <v>48</v>
      </c>
    </row>
    <row r="28" spans="1:95" x14ac:dyDescent="0.25">
      <c r="A28">
        <v>18</v>
      </c>
      <c r="B28" s="6" t="s">
        <v>580</v>
      </c>
      <c r="C28" s="6"/>
      <c r="D28" s="6" t="s">
        <v>581</v>
      </c>
      <c r="E28" s="6" t="s">
        <v>23</v>
      </c>
      <c r="F28" s="6"/>
      <c r="G28" s="6"/>
      <c r="H28" s="6"/>
      <c r="I28" s="6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6"/>
      <c r="Y28" s="10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6"/>
      <c r="CB28" s="6"/>
      <c r="CC28" s="10"/>
      <c r="CD28" s="10"/>
      <c r="CE28" s="10"/>
      <c r="CF28" s="10"/>
      <c r="CG28" s="10"/>
      <c r="CH28" s="10"/>
      <c r="CI28" s="6"/>
      <c r="CJ28" s="6"/>
      <c r="CK28" s="10">
        <v>33.6</v>
      </c>
      <c r="CL28" s="10"/>
      <c r="CM28" s="10">
        <v>7.5</v>
      </c>
      <c r="CN28" s="10"/>
      <c r="CO28" s="10"/>
      <c r="CP28" s="10"/>
      <c r="CQ28" s="6">
        <f t="shared" si="0"/>
        <v>41.1</v>
      </c>
    </row>
    <row r="29" spans="1:95" x14ac:dyDescent="0.25">
      <c r="A29">
        <v>19</v>
      </c>
      <c r="B29" s="6" t="s">
        <v>570</v>
      </c>
      <c r="C29" s="6"/>
      <c r="D29" s="6" t="s">
        <v>571</v>
      </c>
      <c r="E29" s="6" t="s">
        <v>572</v>
      </c>
      <c r="F29" s="6"/>
      <c r="G29" s="6"/>
      <c r="H29" s="6"/>
      <c r="I29" s="6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6"/>
      <c r="Y29" s="10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6"/>
      <c r="CB29" s="6"/>
      <c r="CC29" s="10"/>
      <c r="CD29" s="10"/>
      <c r="CE29" s="10"/>
      <c r="CF29" s="10"/>
      <c r="CG29" s="10"/>
      <c r="CH29" s="10"/>
      <c r="CI29" s="6"/>
      <c r="CJ29" s="6"/>
      <c r="CK29" s="10"/>
      <c r="CL29" s="10">
        <v>40</v>
      </c>
      <c r="CM29" s="10"/>
      <c r="CN29" s="10"/>
      <c r="CO29" s="10"/>
      <c r="CP29" s="10"/>
      <c r="CQ29" s="6">
        <f t="shared" si="0"/>
        <v>40</v>
      </c>
    </row>
    <row r="30" spans="1:95" x14ac:dyDescent="0.25">
      <c r="A30">
        <v>20</v>
      </c>
      <c r="B30" s="6" t="s">
        <v>134</v>
      </c>
      <c r="C30" s="6"/>
      <c r="D30" s="6" t="s">
        <v>128</v>
      </c>
      <c r="E30" s="6" t="s">
        <v>58</v>
      </c>
      <c r="F30" s="6"/>
      <c r="G30" s="6"/>
      <c r="H30" s="6"/>
      <c r="I30" s="6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6"/>
      <c r="Y30" s="10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6"/>
      <c r="CB30" s="6"/>
      <c r="CC30" s="10"/>
      <c r="CD30" s="10"/>
      <c r="CE30" s="10"/>
      <c r="CF30" s="10"/>
      <c r="CG30" s="10"/>
      <c r="CH30" s="10"/>
      <c r="CI30" s="6"/>
      <c r="CJ30" s="6"/>
      <c r="CK30" s="10">
        <v>30</v>
      </c>
      <c r="CL30" s="10"/>
      <c r="CM30" s="10">
        <v>7.5</v>
      </c>
      <c r="CN30" s="10"/>
      <c r="CO30" s="10"/>
      <c r="CP30" s="10"/>
      <c r="CQ30" s="6">
        <f t="shared" si="0"/>
        <v>37.5</v>
      </c>
    </row>
    <row r="31" spans="1:95" x14ac:dyDescent="0.25">
      <c r="A31">
        <v>21</v>
      </c>
      <c r="B31" s="6" t="s">
        <v>421</v>
      </c>
      <c r="C31" s="6"/>
      <c r="D31" s="6" t="s">
        <v>422</v>
      </c>
      <c r="E31" s="6" t="s">
        <v>420</v>
      </c>
      <c r="F31" s="6"/>
      <c r="G31" s="6"/>
      <c r="H31" s="6"/>
      <c r="I31" s="6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6"/>
      <c r="Y31" s="10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6"/>
      <c r="CB31" s="6"/>
      <c r="CC31" s="10"/>
      <c r="CD31" s="10"/>
      <c r="CE31" s="10"/>
      <c r="CF31" s="10"/>
      <c r="CG31" s="10"/>
      <c r="CH31" s="10"/>
      <c r="CI31" s="6"/>
      <c r="CJ31" s="6"/>
      <c r="CK31" s="10">
        <v>33.6</v>
      </c>
      <c r="CL31" s="10"/>
      <c r="CM31" s="10"/>
      <c r="CN31" s="10"/>
      <c r="CO31" s="10"/>
      <c r="CP31" s="10"/>
      <c r="CQ31" s="6">
        <f t="shared" si="0"/>
        <v>33.6</v>
      </c>
    </row>
    <row r="32" spans="1:95" x14ac:dyDescent="0.25">
      <c r="A32">
        <v>22</v>
      </c>
      <c r="B32" s="6" t="s">
        <v>183</v>
      </c>
      <c r="C32" s="6"/>
      <c r="D32" s="6" t="s">
        <v>349</v>
      </c>
      <c r="E32" s="6" t="s">
        <v>404</v>
      </c>
      <c r="F32" s="6"/>
      <c r="G32" s="6"/>
      <c r="H32" s="6"/>
      <c r="I32" s="6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6"/>
      <c r="Y32" s="10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6"/>
      <c r="CB32" s="6"/>
      <c r="CC32" s="10">
        <v>33.6</v>
      </c>
      <c r="CD32" s="10">
        <v>4</v>
      </c>
      <c r="CE32" s="10"/>
      <c r="CF32" s="10"/>
      <c r="CG32" s="10"/>
      <c r="CH32" s="10"/>
      <c r="CI32" s="6">
        <f t="shared" ref="CI32:CI37" si="1">SUM(CB32:CH32)</f>
        <v>37.6</v>
      </c>
      <c r="CJ32" s="6">
        <f t="shared" ref="CJ32:CJ37" si="2">(CI32-CB32)/2</f>
        <v>18.8</v>
      </c>
      <c r="CK32" s="10"/>
      <c r="CL32" s="10"/>
      <c r="CM32" s="10">
        <v>7.5</v>
      </c>
      <c r="CN32" s="10"/>
      <c r="CO32" s="10"/>
      <c r="CP32" s="10"/>
      <c r="CQ32" s="6">
        <f t="shared" si="0"/>
        <v>26.3</v>
      </c>
    </row>
    <row r="33" spans="1:95" x14ac:dyDescent="0.25">
      <c r="A33">
        <v>23</v>
      </c>
      <c r="B33" s="6" t="s">
        <v>18</v>
      </c>
      <c r="C33" s="6"/>
      <c r="D33" s="6" t="s">
        <v>347</v>
      </c>
      <c r="E33" s="6" t="s">
        <v>137</v>
      </c>
      <c r="F33" s="6"/>
      <c r="G33" s="6"/>
      <c r="H33" s="6"/>
      <c r="I33" s="6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6"/>
      <c r="Y33" s="10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6"/>
      <c r="CB33" s="6"/>
      <c r="CC33" s="10">
        <v>36</v>
      </c>
      <c r="CD33" s="10"/>
      <c r="CE33" s="10">
        <v>7.5</v>
      </c>
      <c r="CF33" s="10">
        <v>5</v>
      </c>
      <c r="CG33" s="10"/>
      <c r="CH33" s="10"/>
      <c r="CI33" s="6">
        <f t="shared" si="1"/>
        <v>48.5</v>
      </c>
      <c r="CJ33" s="6">
        <f t="shared" si="2"/>
        <v>24.25</v>
      </c>
      <c r="CK33" s="10"/>
      <c r="CL33" s="10"/>
      <c r="CM33" s="10"/>
      <c r="CN33" s="10"/>
      <c r="CO33" s="10"/>
      <c r="CP33" s="10"/>
      <c r="CQ33" s="6">
        <f t="shared" si="0"/>
        <v>24.25</v>
      </c>
    </row>
    <row r="34" spans="1:95" x14ac:dyDescent="0.25">
      <c r="A34">
        <v>24</v>
      </c>
      <c r="B34" s="6" t="s">
        <v>130</v>
      </c>
      <c r="C34" s="6"/>
      <c r="D34" s="6" t="s">
        <v>44</v>
      </c>
      <c r="E34" s="6" t="s">
        <v>38</v>
      </c>
      <c r="F34" s="6"/>
      <c r="G34" s="6"/>
      <c r="H34" s="6"/>
      <c r="I34" s="6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6"/>
      <c r="Y34" s="10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6"/>
      <c r="CB34" s="6"/>
      <c r="CC34" s="10"/>
      <c r="CD34" s="10">
        <v>40</v>
      </c>
      <c r="CE34" s="10">
        <v>7.5</v>
      </c>
      <c r="CF34" s="10"/>
      <c r="CG34" s="10"/>
      <c r="CH34" s="10"/>
      <c r="CI34" s="6">
        <f t="shared" si="1"/>
        <v>47.5</v>
      </c>
      <c r="CJ34" s="6">
        <f t="shared" si="2"/>
        <v>23.75</v>
      </c>
      <c r="CK34" s="10"/>
      <c r="CL34" s="10"/>
      <c r="CM34" s="10"/>
      <c r="CN34" s="10"/>
      <c r="CO34" s="10"/>
      <c r="CP34" s="10"/>
      <c r="CQ34" s="6">
        <f t="shared" si="0"/>
        <v>23.75</v>
      </c>
    </row>
    <row r="35" spans="1:95" x14ac:dyDescent="0.25">
      <c r="A35">
        <v>25</v>
      </c>
      <c r="B35" s="6" t="s">
        <v>326</v>
      </c>
      <c r="C35" s="6"/>
      <c r="D35" s="6" t="s">
        <v>327</v>
      </c>
      <c r="E35" s="6" t="s">
        <v>323</v>
      </c>
      <c r="F35" s="6"/>
      <c r="G35" s="6"/>
      <c r="H35" s="6"/>
      <c r="I35" s="6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6"/>
      <c r="Y35" s="10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6"/>
      <c r="CB35" s="6"/>
      <c r="CC35" s="10"/>
      <c r="CD35" s="10">
        <v>40</v>
      </c>
      <c r="CE35" s="10"/>
      <c r="CF35" s="10"/>
      <c r="CG35" s="10"/>
      <c r="CH35" s="10"/>
      <c r="CI35" s="6">
        <f t="shared" si="1"/>
        <v>40</v>
      </c>
      <c r="CJ35" s="6">
        <f t="shared" si="2"/>
        <v>20</v>
      </c>
      <c r="CK35" s="10"/>
      <c r="CL35" s="10"/>
      <c r="CM35" s="10"/>
      <c r="CN35" s="10"/>
      <c r="CO35" s="10"/>
      <c r="CP35" s="10"/>
      <c r="CQ35" s="6">
        <f t="shared" si="0"/>
        <v>20</v>
      </c>
    </row>
    <row r="36" spans="1:95" x14ac:dyDescent="0.25">
      <c r="A36">
        <v>26</v>
      </c>
      <c r="B36" s="6" t="s">
        <v>461</v>
      </c>
      <c r="C36" s="6"/>
      <c r="D36" s="6" t="s">
        <v>462</v>
      </c>
      <c r="E36" s="6" t="s">
        <v>98</v>
      </c>
      <c r="F36" s="6"/>
      <c r="G36" s="6"/>
      <c r="H36" s="6"/>
      <c r="I36" s="6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6"/>
      <c r="Y36" s="10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6"/>
      <c r="CB36" s="6"/>
      <c r="CC36" s="10">
        <v>36</v>
      </c>
      <c r="CD36" s="10"/>
      <c r="CE36" s="10"/>
      <c r="CF36" s="10"/>
      <c r="CG36" s="10"/>
      <c r="CH36" s="10"/>
      <c r="CI36" s="6">
        <f t="shared" si="1"/>
        <v>36</v>
      </c>
      <c r="CJ36" s="6">
        <f t="shared" si="2"/>
        <v>18</v>
      </c>
      <c r="CK36" s="10"/>
      <c r="CL36" s="10"/>
      <c r="CM36" s="10"/>
      <c r="CN36" s="10"/>
      <c r="CO36" s="10"/>
      <c r="CP36" s="10"/>
      <c r="CQ36" s="6">
        <f t="shared" si="0"/>
        <v>18</v>
      </c>
    </row>
    <row r="37" spans="1:95" x14ac:dyDescent="0.25">
      <c r="A37">
        <v>27</v>
      </c>
      <c r="B37" s="6" t="s">
        <v>330</v>
      </c>
      <c r="C37" s="6"/>
      <c r="D37" s="6" t="s">
        <v>331</v>
      </c>
      <c r="E37" s="6" t="s">
        <v>61</v>
      </c>
      <c r="F37" s="6"/>
      <c r="G37" s="6"/>
      <c r="H37" s="6"/>
      <c r="I37" s="6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6"/>
      <c r="Y37" s="10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6"/>
      <c r="CB37" s="6"/>
      <c r="CC37" s="10">
        <v>33.6</v>
      </c>
      <c r="CD37" s="10"/>
      <c r="CE37" s="10"/>
      <c r="CF37" s="10"/>
      <c r="CG37" s="10"/>
      <c r="CH37" s="10"/>
      <c r="CI37" s="6">
        <f t="shared" si="1"/>
        <v>33.6</v>
      </c>
      <c r="CJ37" s="6">
        <f t="shared" si="2"/>
        <v>16.8</v>
      </c>
      <c r="CK37" s="10"/>
      <c r="CL37" s="10"/>
      <c r="CM37" s="10"/>
      <c r="CN37" s="10"/>
      <c r="CO37" s="10"/>
      <c r="CP37" s="10"/>
      <c r="CQ37" s="6">
        <f t="shared" si="0"/>
        <v>16.8</v>
      </c>
    </row>
    <row r="38" spans="1:95" x14ac:dyDescent="0.25">
      <c r="A38">
        <v>28</v>
      </c>
      <c r="B38" s="6" t="s">
        <v>561</v>
      </c>
      <c r="C38" s="6"/>
      <c r="D38" s="6" t="s">
        <v>281</v>
      </c>
      <c r="E38" s="6" t="s">
        <v>480</v>
      </c>
      <c r="F38" s="6"/>
      <c r="G38" s="6"/>
      <c r="H38" s="6"/>
      <c r="I38" s="6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6"/>
      <c r="Y38" s="10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6"/>
      <c r="CB38" s="6"/>
      <c r="CC38" s="10"/>
      <c r="CD38" s="10"/>
      <c r="CE38" s="10"/>
      <c r="CF38" s="10"/>
      <c r="CG38" s="10"/>
      <c r="CH38" s="10"/>
      <c r="CI38" s="6"/>
      <c r="CJ38" s="6"/>
      <c r="CK38" s="10">
        <v>2.4</v>
      </c>
      <c r="CL38" s="10">
        <v>4</v>
      </c>
      <c r="CM38" s="10">
        <v>2.4</v>
      </c>
      <c r="CN38" s="10"/>
      <c r="CO38" s="10"/>
      <c r="CP38" s="10"/>
      <c r="CQ38" s="6">
        <f t="shared" si="0"/>
        <v>8.8000000000000007</v>
      </c>
    </row>
    <row r="39" spans="1:95" x14ac:dyDescent="0.25">
      <c r="A39">
        <v>29</v>
      </c>
      <c r="B39" s="6" t="s">
        <v>332</v>
      </c>
      <c r="C39" s="6"/>
      <c r="D39" s="6" t="s">
        <v>333</v>
      </c>
      <c r="E39" s="6" t="s">
        <v>52</v>
      </c>
      <c r="F39" s="6"/>
      <c r="G39" s="6"/>
      <c r="H39" s="6"/>
      <c r="I39" s="6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6"/>
      <c r="Y39" s="10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6"/>
      <c r="CB39" s="6"/>
      <c r="CC39" s="10">
        <v>2.4</v>
      </c>
      <c r="CD39" s="10">
        <v>4</v>
      </c>
      <c r="CE39" s="10">
        <v>7.5</v>
      </c>
      <c r="CF39" s="10"/>
      <c r="CG39" s="10"/>
      <c r="CH39" s="10"/>
      <c r="CI39" s="6">
        <f>SUM(CB39:CH39)</f>
        <v>13.9</v>
      </c>
      <c r="CJ39" s="6">
        <f>(CI39-CB39)/2</f>
        <v>6.95</v>
      </c>
      <c r="CK39" s="10"/>
      <c r="CL39" s="10"/>
      <c r="CM39" s="10"/>
      <c r="CN39" s="10"/>
      <c r="CO39" s="10"/>
      <c r="CP39" s="10"/>
      <c r="CQ39" s="6">
        <f t="shared" si="0"/>
        <v>6.95</v>
      </c>
    </row>
    <row r="40" spans="1:95" x14ac:dyDescent="0.25">
      <c r="A40">
        <v>30</v>
      </c>
      <c r="B40" s="6" t="s">
        <v>471</v>
      </c>
      <c r="C40" s="6"/>
      <c r="D40" s="6" t="s">
        <v>281</v>
      </c>
      <c r="E40" s="6" t="s">
        <v>224</v>
      </c>
      <c r="F40" s="6"/>
      <c r="G40" s="6"/>
      <c r="H40" s="6"/>
      <c r="I40" s="6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6"/>
      <c r="Y40" s="10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6"/>
      <c r="CB40" s="6"/>
      <c r="CC40" s="10"/>
      <c r="CD40" s="10"/>
      <c r="CE40" s="10">
        <v>7.5</v>
      </c>
      <c r="CF40" s="10"/>
      <c r="CG40" s="10"/>
      <c r="CH40" s="10"/>
      <c r="CI40" s="6">
        <f>SUM(CB40:CH40)</f>
        <v>7.5</v>
      </c>
      <c r="CJ40" s="6">
        <f>(CI40-CB40)/2</f>
        <v>3.75</v>
      </c>
      <c r="CK40" s="10"/>
      <c r="CL40" s="10"/>
      <c r="CM40" s="10"/>
      <c r="CN40" s="10"/>
      <c r="CO40" s="10"/>
      <c r="CP40" s="10"/>
      <c r="CQ40" s="6">
        <f t="shared" si="0"/>
        <v>3.75</v>
      </c>
    </row>
    <row r="41" spans="1:95" x14ac:dyDescent="0.25">
      <c r="A41">
        <v>31</v>
      </c>
      <c r="B41" s="6" t="s">
        <v>630</v>
      </c>
      <c r="C41" s="6"/>
      <c r="D41" s="6" t="s">
        <v>631</v>
      </c>
      <c r="E41" s="6" t="s">
        <v>69</v>
      </c>
      <c r="F41" s="6"/>
      <c r="G41" s="6"/>
      <c r="H41" s="6"/>
      <c r="I41" s="6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6"/>
      <c r="Y41" s="10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6"/>
      <c r="CB41" s="6"/>
      <c r="CC41" s="10"/>
      <c r="CD41" s="10"/>
      <c r="CE41" s="10"/>
      <c r="CF41" s="10"/>
      <c r="CG41" s="10"/>
      <c r="CH41" s="10"/>
      <c r="CI41" s="6"/>
      <c r="CJ41" s="6"/>
      <c r="CK41" s="10"/>
      <c r="CL41" s="10">
        <v>3.2</v>
      </c>
      <c r="CM41" s="10"/>
      <c r="CN41" s="10"/>
      <c r="CO41" s="10"/>
      <c r="CP41" s="10"/>
      <c r="CQ41" s="6">
        <f t="shared" si="0"/>
        <v>3.2</v>
      </c>
    </row>
    <row r="42" spans="1:95" x14ac:dyDescent="0.25">
      <c r="A42">
        <v>32</v>
      </c>
      <c r="B42" s="6" t="s">
        <v>545</v>
      </c>
      <c r="C42" s="6"/>
      <c r="D42" s="6" t="s">
        <v>546</v>
      </c>
      <c r="E42" s="6" t="s">
        <v>58</v>
      </c>
      <c r="F42" s="6"/>
      <c r="G42" s="6"/>
      <c r="H42" s="6"/>
      <c r="I42" s="6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6"/>
      <c r="Y42" s="10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6"/>
      <c r="CB42" s="6"/>
      <c r="CC42" s="10"/>
      <c r="CD42" s="10"/>
      <c r="CE42" s="10"/>
      <c r="CF42" s="10"/>
      <c r="CG42" s="10"/>
      <c r="CH42" s="10"/>
      <c r="CI42" s="6"/>
      <c r="CJ42" s="6"/>
      <c r="CK42" s="10">
        <v>3</v>
      </c>
      <c r="CL42" s="10"/>
      <c r="CM42" s="10"/>
      <c r="CN42" s="10"/>
      <c r="CO42" s="10"/>
      <c r="CP42" s="10"/>
      <c r="CQ42" s="6">
        <f t="shared" si="0"/>
        <v>3</v>
      </c>
    </row>
    <row r="43" spans="1:95" x14ac:dyDescent="0.25">
      <c r="A43">
        <v>33</v>
      </c>
      <c r="B43" s="6" t="s">
        <v>25</v>
      </c>
      <c r="C43" s="6"/>
      <c r="D43" s="6" t="s">
        <v>228</v>
      </c>
      <c r="E43" s="6" t="s">
        <v>52</v>
      </c>
      <c r="F43" s="6"/>
      <c r="G43" s="6"/>
      <c r="H43" s="6"/>
      <c r="I43" s="6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6"/>
      <c r="Y43" s="10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>
        <v>3</v>
      </c>
      <c r="BC43" s="6"/>
      <c r="BD43" s="6"/>
      <c r="BE43" s="6"/>
      <c r="BF43" s="6"/>
      <c r="BG43" s="6"/>
      <c r="BH43" s="6"/>
      <c r="BI43" s="6"/>
      <c r="BJ43" s="10"/>
      <c r="BK43" s="10"/>
      <c r="BL43" s="10">
        <v>4</v>
      </c>
      <c r="BM43" s="10"/>
      <c r="BN43" s="10">
        <v>7.5</v>
      </c>
      <c r="BO43" s="10"/>
      <c r="BP43" s="10">
        <v>2.4</v>
      </c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6">
        <f>SUM(AY43:BZ43)</f>
        <v>16.899999999999999</v>
      </c>
      <c r="CB43" s="6">
        <f>(CA43-AY43)/2</f>
        <v>8.4499999999999993</v>
      </c>
      <c r="CC43" s="10"/>
      <c r="CD43" s="10"/>
      <c r="CE43" s="10"/>
      <c r="CF43" s="10">
        <v>5</v>
      </c>
      <c r="CG43" s="10"/>
      <c r="CH43" s="10"/>
      <c r="CI43" s="6">
        <f>SUM(CB43:CH43)</f>
        <v>13.45</v>
      </c>
      <c r="CJ43" s="6">
        <f>(CI43-CB43)/2</f>
        <v>2.5</v>
      </c>
      <c r="CK43" s="10"/>
      <c r="CL43" s="10"/>
      <c r="CM43" s="10"/>
      <c r="CN43" s="10"/>
      <c r="CO43" s="10"/>
      <c r="CP43" s="10"/>
      <c r="CQ43" s="6">
        <f t="shared" si="0"/>
        <v>2.5</v>
      </c>
    </row>
    <row r="44" spans="1:95" x14ac:dyDescent="0.25">
      <c r="A44">
        <v>34</v>
      </c>
      <c r="B44" s="6" t="s">
        <v>592</v>
      </c>
      <c r="C44" s="6"/>
      <c r="D44" s="6" t="s">
        <v>593</v>
      </c>
      <c r="E44" s="6" t="s">
        <v>36</v>
      </c>
      <c r="F44" s="6"/>
      <c r="G44" s="6"/>
      <c r="H44" s="6"/>
      <c r="I44" s="6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6"/>
      <c r="Y44" s="10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6"/>
      <c r="CB44" s="6"/>
      <c r="CC44" s="10"/>
      <c r="CD44" s="10"/>
      <c r="CE44" s="10"/>
      <c r="CF44" s="10"/>
      <c r="CG44" s="10"/>
      <c r="CH44" s="10"/>
      <c r="CI44" s="6"/>
      <c r="CJ44" s="6"/>
      <c r="CK44" s="10">
        <v>2.4</v>
      </c>
      <c r="CL44" s="10"/>
      <c r="CM44" s="10"/>
      <c r="CN44" s="10"/>
      <c r="CO44" s="10"/>
      <c r="CP44" s="10"/>
      <c r="CQ44" s="6">
        <f t="shared" si="0"/>
        <v>2.4</v>
      </c>
    </row>
    <row r="45" spans="1:95" x14ac:dyDescent="0.25">
      <c r="A45">
        <v>35</v>
      </c>
      <c r="B45" s="6" t="s">
        <v>663</v>
      </c>
      <c r="C45" s="6"/>
      <c r="D45" s="6" t="s">
        <v>204</v>
      </c>
      <c r="E45" s="6" t="s">
        <v>529</v>
      </c>
      <c r="F45" s="6"/>
      <c r="G45" s="6"/>
      <c r="H45" s="6"/>
      <c r="I45" s="6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6"/>
      <c r="Y45" s="10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6"/>
      <c r="CB45" s="6"/>
      <c r="CC45" s="10"/>
      <c r="CD45" s="10"/>
      <c r="CE45" s="10"/>
      <c r="CF45" s="10"/>
      <c r="CG45" s="10"/>
      <c r="CH45" s="10"/>
      <c r="CI45" s="6"/>
      <c r="CJ45" s="6"/>
      <c r="CK45" s="10">
        <v>2.4</v>
      </c>
      <c r="CL45" s="10"/>
      <c r="CM45" s="10"/>
      <c r="CN45" s="10"/>
      <c r="CO45" s="10"/>
      <c r="CP45" s="10"/>
      <c r="CQ45" s="6">
        <f t="shared" si="0"/>
        <v>2.4</v>
      </c>
    </row>
    <row r="46" spans="1:95" x14ac:dyDescent="0.25">
      <c r="A46">
        <v>36</v>
      </c>
      <c r="B46" s="6" t="s">
        <v>216</v>
      </c>
      <c r="C46" s="6"/>
      <c r="D46" s="6" t="s">
        <v>664</v>
      </c>
      <c r="E46" s="6" t="s">
        <v>71</v>
      </c>
      <c r="F46" s="6"/>
      <c r="G46" s="6"/>
      <c r="H46" s="6"/>
      <c r="I46" s="6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6"/>
      <c r="Y46" s="10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6"/>
      <c r="CB46" s="6"/>
      <c r="CC46" s="10"/>
      <c r="CD46" s="10"/>
      <c r="CE46" s="10"/>
      <c r="CF46" s="10"/>
      <c r="CG46" s="10"/>
      <c r="CH46" s="10"/>
      <c r="CI46" s="6"/>
      <c r="CJ46" s="6"/>
      <c r="CK46" s="10">
        <v>2.4</v>
      </c>
      <c r="CL46" s="10"/>
      <c r="CM46" s="10"/>
      <c r="CN46" s="10"/>
      <c r="CO46" s="10"/>
      <c r="CP46" s="10"/>
      <c r="CQ46" s="6">
        <f t="shared" si="0"/>
        <v>2.4</v>
      </c>
    </row>
    <row r="47" spans="1:95" x14ac:dyDescent="0.25">
      <c r="A47">
        <v>37</v>
      </c>
      <c r="B47" s="6" t="s">
        <v>202</v>
      </c>
      <c r="C47" s="6"/>
      <c r="D47" s="6" t="s">
        <v>407</v>
      </c>
      <c r="E47" s="6" t="s">
        <v>34</v>
      </c>
      <c r="F47" s="6"/>
      <c r="G47" s="6"/>
      <c r="H47" s="6"/>
      <c r="I47" s="6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6"/>
      <c r="Y47" s="10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6"/>
      <c r="CB47" s="6"/>
      <c r="CC47" s="10"/>
      <c r="CD47" s="10">
        <v>4</v>
      </c>
      <c r="CE47" s="10"/>
      <c r="CF47" s="10"/>
      <c r="CG47" s="10"/>
      <c r="CH47" s="10"/>
      <c r="CI47" s="6">
        <f>SUM(CB47:CH47)</f>
        <v>4</v>
      </c>
      <c r="CJ47" s="6">
        <f>(CI47-CB47)/2</f>
        <v>2</v>
      </c>
      <c r="CK47" s="10"/>
      <c r="CL47" s="10"/>
      <c r="CM47" s="10"/>
      <c r="CN47" s="10"/>
      <c r="CO47" s="10"/>
      <c r="CP47" s="10"/>
      <c r="CQ47" s="6">
        <f t="shared" si="0"/>
        <v>2</v>
      </c>
    </row>
    <row r="48" spans="1:95" x14ac:dyDescent="0.25">
      <c r="A48">
        <v>38</v>
      </c>
      <c r="B48" s="6" t="s">
        <v>216</v>
      </c>
      <c r="C48" s="6"/>
      <c r="D48" s="6" t="s">
        <v>109</v>
      </c>
      <c r="E48" s="6" t="s">
        <v>71</v>
      </c>
      <c r="F48" s="6"/>
      <c r="G48" s="6"/>
      <c r="H48" s="6"/>
      <c r="I48" s="6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6"/>
      <c r="Y48" s="10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6"/>
      <c r="CB48" s="6"/>
      <c r="CC48" s="10">
        <v>2.4</v>
      </c>
      <c r="CD48" s="10"/>
      <c r="CE48" s="10"/>
      <c r="CF48" s="10"/>
      <c r="CG48" s="10"/>
      <c r="CH48" s="10"/>
      <c r="CI48" s="6">
        <f>SUM(CB48:CH48)</f>
        <v>2.4</v>
      </c>
      <c r="CJ48" s="6">
        <f>(CI48-CB48)/2</f>
        <v>1.2</v>
      </c>
      <c r="CK48" s="10"/>
      <c r="CL48" s="10"/>
      <c r="CM48" s="10"/>
      <c r="CN48" s="10"/>
      <c r="CO48" s="10"/>
      <c r="CP48" s="10"/>
      <c r="CQ48" s="6">
        <f t="shared" si="0"/>
        <v>1.2</v>
      </c>
    </row>
  </sheetData>
  <sortState xmlns:xlrd2="http://schemas.microsoft.com/office/spreadsheetml/2017/richdata2" ref="B11:CQ48">
    <sortCondition descending="1" ref="CQ11:CQ48"/>
  </sortState>
  <mergeCells count="5">
    <mergeCell ref="B8:C10"/>
    <mergeCell ref="CE9:CH9"/>
    <mergeCell ref="CM9:CP9"/>
    <mergeCell ref="D4:CQ5"/>
    <mergeCell ref="B1:CQ1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Q60"/>
  <sheetViews>
    <sheetView zoomScale="80" zoomScaleNormal="80" workbookViewId="0">
      <selection activeCell="CV22" sqref="CV22"/>
    </sheetView>
  </sheetViews>
  <sheetFormatPr baseColWidth="10" defaultRowHeight="15" x14ac:dyDescent="0.25"/>
  <cols>
    <col min="1" max="1" width="3.140625" bestFit="1" customWidth="1"/>
    <col min="2" max="2" width="15" bestFit="1" customWidth="1"/>
    <col min="3" max="3" width="12.28515625" customWidth="1"/>
    <col min="4" max="4" width="13.7109375" bestFit="1" customWidth="1"/>
    <col min="5" max="5" width="19.42578125" bestFit="1" customWidth="1"/>
    <col min="6" max="8" width="6.42578125" hidden="1" customWidth="1"/>
    <col min="9" max="13" width="7.28515625" style="7" hidden="1" customWidth="1"/>
    <col min="14" max="16" width="6.28515625" style="7" hidden="1" customWidth="1"/>
    <col min="17" max="19" width="6.7109375" style="7" hidden="1" customWidth="1"/>
    <col min="20" max="27" width="7.28515625" style="7" hidden="1" customWidth="1"/>
    <col min="28" max="28" width="0" hidden="1" customWidth="1"/>
    <col min="29" max="29" width="0" style="7" hidden="1" customWidth="1"/>
    <col min="30" max="43" width="6" hidden="1" customWidth="1"/>
    <col min="44" max="44" width="10.5703125" hidden="1" customWidth="1"/>
    <col min="45" max="49" width="6" hidden="1" customWidth="1"/>
    <col min="50" max="50" width="6.28515625" hidden="1" customWidth="1"/>
    <col min="51" max="51" width="0" hidden="1" customWidth="1"/>
    <col min="52" max="62" width="6" hidden="1" customWidth="1"/>
    <col min="63" max="77" width="6" style="7" hidden="1" customWidth="1"/>
    <col min="78" max="78" width="6.85546875" style="7" hidden="1" customWidth="1"/>
    <col min="79" max="79" width="0" hidden="1" customWidth="1"/>
    <col min="80" max="80" width="7.7109375" hidden="1" customWidth="1"/>
    <col min="81" max="81" width="7.42578125" style="7" hidden="1" customWidth="1"/>
    <col min="82" max="82" width="8.7109375" style="7" hidden="1" customWidth="1"/>
    <col min="83" max="86" width="7" style="7" hidden="1" customWidth="1"/>
    <col min="89" max="89" width="9.140625" style="7" customWidth="1"/>
    <col min="90" max="90" width="7.85546875" style="7" customWidth="1"/>
    <col min="91" max="91" width="7.28515625" style="7" customWidth="1"/>
    <col min="92" max="92" width="11.42578125" style="7"/>
  </cols>
  <sheetData>
    <row r="1" spans="1:95" ht="26.25" x14ac:dyDescent="0.4">
      <c r="B1" s="34" t="s">
        <v>3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</row>
    <row r="2" spans="1:95" ht="15.75" thickBot="1" x14ac:dyDescent="0.3">
      <c r="C2" s="7"/>
      <c r="D2" s="7"/>
      <c r="E2" s="7"/>
    </row>
    <row r="3" spans="1:95" ht="15.75" thickTop="1" x14ac:dyDescent="0.25">
      <c r="B3" s="1" t="s">
        <v>0</v>
      </c>
      <c r="C3" s="4" t="s">
        <v>14</v>
      </c>
    </row>
    <row r="4" spans="1:95" ht="14.65" customHeight="1" x14ac:dyDescent="0.25">
      <c r="B4" s="2" t="s">
        <v>1</v>
      </c>
      <c r="C4" s="5" t="s">
        <v>7</v>
      </c>
      <c r="D4" s="32" t="s">
        <v>492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</row>
    <row r="5" spans="1:95" ht="15" customHeight="1" thickBot="1" x14ac:dyDescent="0.3">
      <c r="B5" s="3" t="s">
        <v>2</v>
      </c>
      <c r="C5" s="15">
        <v>-52</v>
      </c>
      <c r="D5" s="32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</row>
    <row r="6" spans="1:95" ht="15.75" thickTop="1" x14ac:dyDescent="0.25"/>
    <row r="7" spans="1:95" ht="15.75" thickBot="1" x14ac:dyDescent="0.3"/>
    <row r="8" spans="1:95" ht="15.75" thickTop="1" x14ac:dyDescent="0.25">
      <c r="B8" s="25" t="s">
        <v>9</v>
      </c>
      <c r="C8" s="26"/>
      <c r="D8" s="1"/>
      <c r="E8" s="1"/>
      <c r="F8" s="4" t="s">
        <v>10</v>
      </c>
      <c r="G8" s="4" t="s">
        <v>10</v>
      </c>
      <c r="H8" s="4" t="s">
        <v>53</v>
      </c>
      <c r="I8" s="4" t="s">
        <v>66</v>
      </c>
      <c r="J8" s="4" t="s">
        <v>10</v>
      </c>
      <c r="K8" s="4" t="s">
        <v>10</v>
      </c>
      <c r="L8" s="4" t="s">
        <v>85</v>
      </c>
      <c r="M8" s="4" t="s">
        <v>86</v>
      </c>
      <c r="N8" s="4" t="s">
        <v>92</v>
      </c>
      <c r="O8" s="4" t="s">
        <v>97</v>
      </c>
      <c r="P8" s="4" t="s">
        <v>10</v>
      </c>
      <c r="Q8" s="4" t="s">
        <v>10</v>
      </c>
      <c r="R8" s="4" t="s">
        <v>10</v>
      </c>
      <c r="S8" s="4" t="s">
        <v>10</v>
      </c>
      <c r="T8" s="4" t="s">
        <v>10</v>
      </c>
      <c r="U8" s="4" t="s">
        <v>10</v>
      </c>
      <c r="V8" s="4" t="s">
        <v>10</v>
      </c>
      <c r="W8" s="4" t="s">
        <v>107</v>
      </c>
      <c r="X8" s="4" t="s">
        <v>10</v>
      </c>
      <c r="Y8" s="4" t="s">
        <v>10</v>
      </c>
      <c r="Z8" s="4" t="s">
        <v>112</v>
      </c>
      <c r="AA8" s="4" t="s">
        <v>115</v>
      </c>
      <c r="AB8" s="1"/>
      <c r="AC8" s="12">
        <v>44927</v>
      </c>
      <c r="AD8" s="4" t="s">
        <v>10</v>
      </c>
      <c r="AE8" s="4" t="s">
        <v>10</v>
      </c>
      <c r="AF8" s="4" t="s">
        <v>115</v>
      </c>
      <c r="AG8" s="4" t="s">
        <v>10</v>
      </c>
      <c r="AH8" s="4" t="s">
        <v>10</v>
      </c>
      <c r="AI8" s="4" t="s">
        <v>151</v>
      </c>
      <c r="AJ8" s="4" t="s">
        <v>151</v>
      </c>
      <c r="AK8" s="4" t="s">
        <v>151</v>
      </c>
      <c r="AL8" s="4" t="s">
        <v>10</v>
      </c>
      <c r="AM8" s="4" t="s">
        <v>115</v>
      </c>
      <c r="AN8" s="4" t="s">
        <v>10</v>
      </c>
      <c r="AO8" s="4" t="s">
        <v>112</v>
      </c>
      <c r="AP8" s="4" t="s">
        <v>10</v>
      </c>
      <c r="AQ8" s="4" t="s">
        <v>10</v>
      </c>
      <c r="AR8" s="4" t="s">
        <v>10</v>
      </c>
      <c r="AS8" s="4" t="s">
        <v>10</v>
      </c>
      <c r="AT8" s="4" t="s">
        <v>115</v>
      </c>
      <c r="AU8" s="4" t="s">
        <v>10</v>
      </c>
      <c r="AV8" s="4" t="s">
        <v>10</v>
      </c>
      <c r="AW8" s="4" t="s">
        <v>116</v>
      </c>
      <c r="AX8" s="4" t="s">
        <v>6</v>
      </c>
      <c r="AY8" s="12">
        <v>45292</v>
      </c>
      <c r="AZ8" s="12" t="s">
        <v>10</v>
      </c>
      <c r="BA8" s="12" t="s">
        <v>10</v>
      </c>
      <c r="BB8" s="12" t="s">
        <v>10</v>
      </c>
      <c r="BC8" s="12" t="s">
        <v>10</v>
      </c>
      <c r="BD8" s="12" t="s">
        <v>10</v>
      </c>
      <c r="BE8" s="12" t="s">
        <v>10</v>
      </c>
      <c r="BF8" s="12" t="s">
        <v>10</v>
      </c>
      <c r="BG8" s="12" t="s">
        <v>10</v>
      </c>
      <c r="BH8" s="12" t="s">
        <v>10</v>
      </c>
      <c r="BI8" s="12" t="s">
        <v>115</v>
      </c>
      <c r="BJ8" s="12" t="s">
        <v>10</v>
      </c>
      <c r="BK8" s="12" t="s">
        <v>115</v>
      </c>
      <c r="BL8" s="12" t="s">
        <v>151</v>
      </c>
      <c r="BM8" s="12" t="s">
        <v>151</v>
      </c>
      <c r="BN8" s="12" t="s">
        <v>151</v>
      </c>
      <c r="BO8" s="12" t="s">
        <v>115</v>
      </c>
      <c r="BP8" s="12" t="s">
        <v>10</v>
      </c>
      <c r="BQ8" s="12" t="s">
        <v>10</v>
      </c>
      <c r="BR8" s="12" t="s">
        <v>10</v>
      </c>
      <c r="BS8" s="12" t="s">
        <v>10</v>
      </c>
      <c r="BT8" s="12" t="s">
        <v>10</v>
      </c>
      <c r="BU8" s="12" t="s">
        <v>10</v>
      </c>
      <c r="BV8" s="12" t="s">
        <v>10</v>
      </c>
      <c r="BW8" s="12" t="s">
        <v>10</v>
      </c>
      <c r="BX8" s="12" t="s">
        <v>115</v>
      </c>
      <c r="BY8" s="12" t="s">
        <v>299</v>
      </c>
      <c r="BZ8" s="12" t="s">
        <v>116</v>
      </c>
      <c r="CA8" s="12" t="s">
        <v>6</v>
      </c>
      <c r="CB8" s="12">
        <v>45658</v>
      </c>
      <c r="CC8" s="12"/>
      <c r="CD8" s="12"/>
      <c r="CE8" s="17"/>
      <c r="CF8" s="18"/>
      <c r="CG8" s="18"/>
      <c r="CH8" s="19"/>
      <c r="CI8" s="12" t="s">
        <v>6</v>
      </c>
      <c r="CJ8" s="12">
        <v>46023</v>
      </c>
      <c r="CK8" s="12"/>
      <c r="CL8" s="12"/>
      <c r="CM8" s="17"/>
      <c r="CN8" s="18"/>
      <c r="CO8" s="20"/>
      <c r="CP8" s="21"/>
      <c r="CQ8" s="12" t="s">
        <v>6</v>
      </c>
    </row>
    <row r="9" spans="1:95" x14ac:dyDescent="0.25">
      <c r="B9" s="27"/>
      <c r="C9" s="28"/>
      <c r="D9" s="2"/>
      <c r="E9" s="2"/>
      <c r="F9" s="8" t="s">
        <v>32</v>
      </c>
      <c r="G9" s="5" t="s">
        <v>43</v>
      </c>
      <c r="H9" s="8" t="s">
        <v>54</v>
      </c>
      <c r="I9" s="8" t="s">
        <v>67</v>
      </c>
      <c r="J9" s="8" t="s">
        <v>81</v>
      </c>
      <c r="K9" s="8" t="s">
        <v>76</v>
      </c>
      <c r="L9" s="8" t="s">
        <v>83</v>
      </c>
      <c r="M9" s="8" t="s">
        <v>87</v>
      </c>
      <c r="N9" s="8" t="s">
        <v>93</v>
      </c>
      <c r="O9" s="8" t="s">
        <v>54</v>
      </c>
      <c r="P9" s="8" t="s">
        <v>99</v>
      </c>
      <c r="Q9" s="8" t="s">
        <v>32</v>
      </c>
      <c r="R9" s="8" t="s">
        <v>19</v>
      </c>
      <c r="S9" s="8" t="s">
        <v>81</v>
      </c>
      <c r="T9" s="8" t="s">
        <v>99</v>
      </c>
      <c r="U9" s="8" t="s">
        <v>76</v>
      </c>
      <c r="V9" s="8" t="s">
        <v>102</v>
      </c>
      <c r="W9" s="8" t="s">
        <v>108</v>
      </c>
      <c r="X9" s="8" t="s">
        <v>102</v>
      </c>
      <c r="Y9" s="8" t="s">
        <v>43</v>
      </c>
      <c r="Z9" s="8" t="s">
        <v>113</v>
      </c>
      <c r="AA9" s="8" t="s">
        <v>116</v>
      </c>
      <c r="AB9" s="2" t="s">
        <v>6</v>
      </c>
      <c r="AC9" s="5"/>
      <c r="AD9" s="8" t="s">
        <v>32</v>
      </c>
      <c r="AE9" s="8" t="s">
        <v>19</v>
      </c>
      <c r="AF9" s="8" t="s">
        <v>85</v>
      </c>
      <c r="AG9" s="8" t="s">
        <v>81</v>
      </c>
      <c r="AH9" s="8" t="s">
        <v>102</v>
      </c>
      <c r="AI9" s="8" t="s">
        <v>86</v>
      </c>
      <c r="AJ9" s="8" t="s">
        <v>92</v>
      </c>
      <c r="AK9" s="8" t="s">
        <v>85</v>
      </c>
      <c r="AL9" s="8" t="s">
        <v>76</v>
      </c>
      <c r="AM9" s="8" t="s">
        <v>86</v>
      </c>
      <c r="AN9" s="8" t="s">
        <v>32</v>
      </c>
      <c r="AO9" s="8" t="s">
        <v>170</v>
      </c>
      <c r="AP9" s="8" t="s">
        <v>102</v>
      </c>
      <c r="AQ9" s="8" t="s">
        <v>19</v>
      </c>
      <c r="AR9" s="8" t="s">
        <v>177</v>
      </c>
      <c r="AS9" s="8" t="s">
        <v>99</v>
      </c>
      <c r="AT9" s="8" t="s">
        <v>92</v>
      </c>
      <c r="AU9" s="8" t="s">
        <v>76</v>
      </c>
      <c r="AV9" s="8" t="s">
        <v>188</v>
      </c>
      <c r="AW9" s="8"/>
      <c r="AX9" s="2"/>
      <c r="AY9" s="5"/>
      <c r="AZ9" s="5" t="s">
        <v>81</v>
      </c>
      <c r="BA9" s="5" t="s">
        <v>11</v>
      </c>
      <c r="BB9" s="5" t="s">
        <v>11</v>
      </c>
      <c r="BC9" s="5" t="s">
        <v>99</v>
      </c>
      <c r="BD9" s="5" t="s">
        <v>195</v>
      </c>
      <c r="BE9" s="5" t="s">
        <v>76</v>
      </c>
      <c r="BF9" s="5" t="s">
        <v>167</v>
      </c>
      <c r="BG9" s="5" t="s">
        <v>32</v>
      </c>
      <c r="BH9" s="5" t="s">
        <v>43</v>
      </c>
      <c r="BI9" s="5" t="s">
        <v>86</v>
      </c>
      <c r="BJ9" s="5" t="s">
        <v>188</v>
      </c>
      <c r="BK9" s="5" t="s">
        <v>267</v>
      </c>
      <c r="BL9" s="5" t="s">
        <v>86</v>
      </c>
      <c r="BM9" s="5" t="s">
        <v>85</v>
      </c>
      <c r="BN9" s="5" t="s">
        <v>92</v>
      </c>
      <c r="BO9" s="5" t="s">
        <v>85</v>
      </c>
      <c r="BP9" s="5" t="s">
        <v>81</v>
      </c>
      <c r="BQ9" s="5" t="s">
        <v>195</v>
      </c>
      <c r="BR9" s="5" t="s">
        <v>167</v>
      </c>
      <c r="BS9" s="5" t="s">
        <v>32</v>
      </c>
      <c r="BT9" s="5" t="s">
        <v>11</v>
      </c>
      <c r="BU9" s="5" t="s">
        <v>43</v>
      </c>
      <c r="BV9" s="5" t="s">
        <v>76</v>
      </c>
      <c r="BW9" s="5" t="s">
        <v>294</v>
      </c>
      <c r="BX9" s="5" t="s">
        <v>92</v>
      </c>
      <c r="BY9" s="5" t="s">
        <v>195</v>
      </c>
      <c r="BZ9" s="5" t="s">
        <v>303</v>
      </c>
      <c r="CA9" s="5"/>
      <c r="CB9" s="5"/>
      <c r="CC9" s="8" t="s">
        <v>10</v>
      </c>
      <c r="CD9" s="8" t="s">
        <v>151</v>
      </c>
      <c r="CE9" s="29" t="s">
        <v>305</v>
      </c>
      <c r="CF9" s="30"/>
      <c r="CG9" s="30"/>
      <c r="CH9" s="31"/>
      <c r="CI9" s="5"/>
      <c r="CJ9" s="5"/>
      <c r="CK9" s="8" t="s">
        <v>10</v>
      </c>
      <c r="CL9" s="8" t="s">
        <v>151</v>
      </c>
      <c r="CM9" s="29" t="s">
        <v>305</v>
      </c>
      <c r="CN9" s="30"/>
      <c r="CO9" s="30"/>
      <c r="CP9" s="31"/>
      <c r="CQ9" s="5"/>
    </row>
    <row r="10" spans="1:95" x14ac:dyDescent="0.25">
      <c r="B10" s="27"/>
      <c r="C10" s="28"/>
      <c r="D10" s="2" t="s">
        <v>4</v>
      </c>
      <c r="E10" s="2" t="s">
        <v>5</v>
      </c>
      <c r="F10" s="9">
        <v>44653</v>
      </c>
      <c r="G10" s="9">
        <v>44674</v>
      </c>
      <c r="H10" s="9">
        <v>44681</v>
      </c>
      <c r="I10" s="9">
        <v>44696</v>
      </c>
      <c r="J10" s="9">
        <v>44709</v>
      </c>
      <c r="K10" s="9">
        <v>44709</v>
      </c>
      <c r="L10" s="9">
        <v>44730</v>
      </c>
      <c r="M10" s="9">
        <v>44730</v>
      </c>
      <c r="N10" s="9">
        <v>44737</v>
      </c>
      <c r="O10" s="9">
        <v>44759</v>
      </c>
      <c r="P10" s="9">
        <v>44765</v>
      </c>
      <c r="Q10" s="9">
        <v>44779</v>
      </c>
      <c r="R10" s="9">
        <v>44793</v>
      </c>
      <c r="S10" s="9">
        <v>44800</v>
      </c>
      <c r="T10" s="9">
        <v>44814</v>
      </c>
      <c r="U10" s="9">
        <v>44814</v>
      </c>
      <c r="V10" s="9">
        <v>44814</v>
      </c>
      <c r="W10" s="9">
        <v>44828</v>
      </c>
      <c r="X10" s="9">
        <v>44856</v>
      </c>
      <c r="Y10" s="9">
        <v>44863</v>
      </c>
      <c r="Z10" s="9">
        <v>44869</v>
      </c>
      <c r="AA10" s="9">
        <v>44905</v>
      </c>
      <c r="AB10" s="2">
        <v>2022</v>
      </c>
      <c r="AC10" s="5"/>
      <c r="AD10" s="2" t="s">
        <v>120</v>
      </c>
      <c r="AE10" s="2" t="s">
        <v>127</v>
      </c>
      <c r="AF10" s="2" t="s">
        <v>129</v>
      </c>
      <c r="AG10" s="2" t="s">
        <v>146</v>
      </c>
      <c r="AH10" s="2" t="s">
        <v>145</v>
      </c>
      <c r="AI10" s="2" t="s">
        <v>152</v>
      </c>
      <c r="AJ10" s="2" t="s">
        <v>156</v>
      </c>
      <c r="AK10" s="2" t="s">
        <v>158</v>
      </c>
      <c r="AL10" s="2" t="s">
        <v>160</v>
      </c>
      <c r="AM10" s="2" t="s">
        <v>164</v>
      </c>
      <c r="AN10" s="2" t="s">
        <v>169</v>
      </c>
      <c r="AO10" s="2" t="s">
        <v>171</v>
      </c>
      <c r="AP10" s="2" t="s">
        <v>172</v>
      </c>
      <c r="AQ10" s="2" t="s">
        <v>175</v>
      </c>
      <c r="AR10" s="5" t="s">
        <v>176</v>
      </c>
      <c r="AS10" s="2" t="s">
        <v>176</v>
      </c>
      <c r="AT10" s="2" t="s">
        <v>181</v>
      </c>
      <c r="AU10" s="2" t="s">
        <v>187</v>
      </c>
      <c r="AV10" s="2" t="s">
        <v>189</v>
      </c>
      <c r="AW10" s="2" t="s">
        <v>194</v>
      </c>
      <c r="AX10" s="2">
        <v>2023</v>
      </c>
      <c r="AY10" s="5"/>
      <c r="AZ10" s="5" t="s">
        <v>196</v>
      </c>
      <c r="BA10" s="5" t="s">
        <v>196</v>
      </c>
      <c r="BB10" s="5" t="s">
        <v>196</v>
      </c>
      <c r="BC10" s="5" t="s">
        <v>196</v>
      </c>
      <c r="BD10" s="5" t="s">
        <v>196</v>
      </c>
      <c r="BE10" s="5" t="s">
        <v>196</v>
      </c>
      <c r="BF10" s="5" t="s">
        <v>196</v>
      </c>
      <c r="BG10" s="5" t="s">
        <v>246</v>
      </c>
      <c r="BH10" s="5" t="s">
        <v>246</v>
      </c>
      <c r="BI10" s="5" t="s">
        <v>264</v>
      </c>
      <c r="BJ10" s="5" t="s">
        <v>268</v>
      </c>
      <c r="BK10" s="5" t="s">
        <v>268</v>
      </c>
      <c r="BL10" s="5" t="s">
        <v>269</v>
      </c>
      <c r="BM10" s="5" t="s">
        <v>269</v>
      </c>
      <c r="BN10" s="5" t="s">
        <v>273</v>
      </c>
      <c r="BO10" s="5" t="s">
        <v>277</v>
      </c>
      <c r="BP10" s="5" t="s">
        <v>171</v>
      </c>
      <c r="BQ10" s="5" t="s">
        <v>283</v>
      </c>
      <c r="BR10" s="5" t="s">
        <v>282</v>
      </c>
      <c r="BS10" s="5" t="s">
        <v>287</v>
      </c>
      <c r="BT10" s="5" t="s">
        <v>289</v>
      </c>
      <c r="BU10" s="5" t="s">
        <v>290</v>
      </c>
      <c r="BV10" s="5" t="s">
        <v>290</v>
      </c>
      <c r="BW10" s="5" t="s">
        <v>295</v>
      </c>
      <c r="BX10" s="5" t="s">
        <v>296</v>
      </c>
      <c r="BY10" s="5" t="s">
        <v>300</v>
      </c>
      <c r="BZ10" s="5" t="s">
        <v>304</v>
      </c>
      <c r="CA10" s="5">
        <v>2024</v>
      </c>
      <c r="CB10" s="5"/>
      <c r="CC10" s="5"/>
      <c r="CD10" s="5"/>
      <c r="CE10" s="5">
        <v>1</v>
      </c>
      <c r="CF10" s="5">
        <v>2</v>
      </c>
      <c r="CG10" s="5">
        <v>3</v>
      </c>
      <c r="CH10" s="5">
        <v>4</v>
      </c>
      <c r="CI10" s="5">
        <v>2025</v>
      </c>
      <c r="CJ10" s="5"/>
      <c r="CK10" s="5"/>
      <c r="CL10" s="5"/>
      <c r="CM10" s="5">
        <v>1</v>
      </c>
      <c r="CN10" s="5">
        <v>2</v>
      </c>
      <c r="CO10" s="5">
        <v>3</v>
      </c>
      <c r="CP10" s="5">
        <v>4</v>
      </c>
      <c r="CQ10" s="5">
        <v>2026</v>
      </c>
    </row>
    <row r="11" spans="1:95" x14ac:dyDescent="0.25">
      <c r="A11">
        <v>1</v>
      </c>
      <c r="B11" s="6" t="s">
        <v>119</v>
      </c>
      <c r="C11" s="6"/>
      <c r="D11" s="6" t="s">
        <v>382</v>
      </c>
      <c r="E11" s="6" t="s">
        <v>69</v>
      </c>
      <c r="F11" s="6"/>
      <c r="G11" s="6"/>
      <c r="H11" s="6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6"/>
      <c r="AC11" s="10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6"/>
      <c r="CB11" s="6"/>
      <c r="CC11" s="10"/>
      <c r="CD11" s="10"/>
      <c r="CE11" s="10"/>
      <c r="CF11" s="10"/>
      <c r="CG11" s="10"/>
      <c r="CH11" s="10"/>
      <c r="CI11" s="6"/>
      <c r="CJ11" s="6">
        <f>256.5/2</f>
        <v>128.25</v>
      </c>
      <c r="CK11" s="10">
        <v>48</v>
      </c>
      <c r="CL11" s="10">
        <v>64</v>
      </c>
      <c r="CM11" s="10">
        <v>150</v>
      </c>
      <c r="CN11" s="10">
        <v>36</v>
      </c>
      <c r="CO11" s="6"/>
      <c r="CP11" s="6"/>
      <c r="CQ11" s="6">
        <f t="shared" ref="CQ11:CQ42" si="0">SUM(CJ11:CP11)</f>
        <v>426.25</v>
      </c>
    </row>
    <row r="12" spans="1:95" x14ac:dyDescent="0.25">
      <c r="A12">
        <v>2</v>
      </c>
      <c r="B12" s="10" t="s">
        <v>394</v>
      </c>
      <c r="C12" s="6"/>
      <c r="D12" s="10" t="s">
        <v>395</v>
      </c>
      <c r="E12" s="6" t="s">
        <v>31</v>
      </c>
      <c r="F12" s="6"/>
      <c r="G12" s="6"/>
      <c r="H12" s="6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6"/>
      <c r="AC12" s="10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6"/>
      <c r="CB12" s="6">
        <f>144.2/2</f>
        <v>72.099999999999994</v>
      </c>
      <c r="CC12" s="10">
        <v>33.6</v>
      </c>
      <c r="CD12" s="10">
        <v>40</v>
      </c>
      <c r="CE12" s="10">
        <v>54</v>
      </c>
      <c r="CF12" s="10">
        <v>36</v>
      </c>
      <c r="CG12" s="10">
        <v>39</v>
      </c>
      <c r="CH12" s="10">
        <v>72</v>
      </c>
      <c r="CI12" s="6">
        <f>SUM(CB12:CH12)</f>
        <v>346.7</v>
      </c>
      <c r="CJ12" s="6">
        <f>(CI12-CB12)/2</f>
        <v>137.30000000000001</v>
      </c>
      <c r="CK12" s="10">
        <v>48</v>
      </c>
      <c r="CL12" s="10">
        <v>40</v>
      </c>
      <c r="CM12" s="10">
        <v>54</v>
      </c>
      <c r="CN12" s="10">
        <v>70</v>
      </c>
      <c r="CO12" s="6">
        <v>36</v>
      </c>
      <c r="CP12" s="6">
        <v>36</v>
      </c>
      <c r="CQ12" s="6">
        <f t="shared" si="0"/>
        <v>421.3</v>
      </c>
    </row>
    <row r="13" spans="1:95" x14ac:dyDescent="0.25">
      <c r="A13">
        <v>3</v>
      </c>
      <c r="B13" s="10" t="s">
        <v>123</v>
      </c>
      <c r="C13" s="6"/>
      <c r="D13" s="6" t="s">
        <v>309</v>
      </c>
      <c r="E13" s="6" t="s">
        <v>33</v>
      </c>
      <c r="F13" s="6"/>
      <c r="G13" s="6"/>
      <c r="H13" s="6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6"/>
      <c r="AC13" s="10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6"/>
      <c r="CB13" s="6">
        <v>78.75</v>
      </c>
      <c r="CC13" s="10">
        <v>48</v>
      </c>
      <c r="CD13" s="10">
        <v>40</v>
      </c>
      <c r="CE13" s="10">
        <v>105</v>
      </c>
      <c r="CF13" s="10">
        <v>105</v>
      </c>
      <c r="CG13" s="10">
        <v>48</v>
      </c>
      <c r="CH13" s="10">
        <v>72</v>
      </c>
      <c r="CI13" s="6">
        <f>SUM(CB13:CH13)</f>
        <v>496.75</v>
      </c>
      <c r="CJ13" s="6">
        <f>(CI13-CB13)/2</f>
        <v>209</v>
      </c>
      <c r="CK13" s="10">
        <v>48</v>
      </c>
      <c r="CL13" s="10">
        <v>80</v>
      </c>
      <c r="CM13" s="10">
        <v>75</v>
      </c>
      <c r="CN13" s="10"/>
      <c r="CO13" s="6"/>
      <c r="CP13" s="6"/>
      <c r="CQ13" s="6">
        <f t="shared" si="0"/>
        <v>412</v>
      </c>
    </row>
    <row r="14" spans="1:95" x14ac:dyDescent="0.25">
      <c r="A14">
        <v>4</v>
      </c>
      <c r="B14" s="10" t="s">
        <v>548</v>
      </c>
      <c r="C14" s="6"/>
      <c r="D14" s="10" t="s">
        <v>386</v>
      </c>
      <c r="E14" s="6" t="s">
        <v>59</v>
      </c>
      <c r="F14" s="6"/>
      <c r="G14" s="6"/>
      <c r="H14" s="6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6"/>
      <c r="AC14" s="10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6"/>
      <c r="CB14" s="6"/>
      <c r="CC14" s="10"/>
      <c r="CD14" s="10"/>
      <c r="CE14" s="10"/>
      <c r="CF14" s="10"/>
      <c r="CG14" s="10"/>
      <c r="CH14" s="10"/>
      <c r="CI14" s="6"/>
      <c r="CJ14" s="6">
        <v>113</v>
      </c>
      <c r="CK14" s="10">
        <v>33.6</v>
      </c>
      <c r="CL14" s="10">
        <v>80</v>
      </c>
      <c r="CM14" s="10">
        <v>39</v>
      </c>
      <c r="CN14" s="10">
        <v>100</v>
      </c>
      <c r="CO14" s="6">
        <v>24</v>
      </c>
      <c r="CP14" s="6"/>
      <c r="CQ14" s="6">
        <f t="shared" si="0"/>
        <v>389.6</v>
      </c>
    </row>
    <row r="15" spans="1:95" x14ac:dyDescent="0.25">
      <c r="A15">
        <v>5</v>
      </c>
      <c r="B15" s="10" t="s">
        <v>18</v>
      </c>
      <c r="C15" s="6"/>
      <c r="D15" s="10" t="s">
        <v>229</v>
      </c>
      <c r="E15" s="6" t="s">
        <v>139</v>
      </c>
      <c r="F15" s="6"/>
      <c r="G15" s="6"/>
      <c r="H15" s="6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6"/>
      <c r="AC15" s="10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>
        <v>57.9</v>
      </c>
      <c r="AZ15" s="6"/>
      <c r="BA15" s="6"/>
      <c r="BB15" s="6"/>
      <c r="BC15" s="6"/>
      <c r="BD15" s="6">
        <v>30</v>
      </c>
      <c r="BE15" s="6"/>
      <c r="BF15" s="6"/>
      <c r="BG15" s="6"/>
      <c r="BH15" s="6"/>
      <c r="BI15" s="6"/>
      <c r="BJ15" s="6"/>
      <c r="BK15" s="10">
        <v>50</v>
      </c>
      <c r="BL15" s="10"/>
      <c r="BM15" s="10">
        <v>56</v>
      </c>
      <c r="BN15" s="10"/>
      <c r="BO15" s="10">
        <v>7.5</v>
      </c>
      <c r="BP15" s="10"/>
      <c r="BQ15" s="10">
        <v>42</v>
      </c>
      <c r="BR15" s="10"/>
      <c r="BS15" s="10"/>
      <c r="BT15" s="10"/>
      <c r="BU15" s="10"/>
      <c r="BV15" s="10"/>
      <c r="BW15" s="10"/>
      <c r="BX15" s="10">
        <v>7.5</v>
      </c>
      <c r="BY15" s="10"/>
      <c r="BZ15" s="10">
        <v>72</v>
      </c>
      <c r="CA15" s="6">
        <f>SUM(AY15:BZ15)</f>
        <v>322.89999999999998</v>
      </c>
      <c r="CB15" s="6">
        <f>(CA15-AY15)/2</f>
        <v>132.5</v>
      </c>
      <c r="CC15" s="10">
        <v>60</v>
      </c>
      <c r="CD15" s="10">
        <v>44.8</v>
      </c>
      <c r="CE15" s="10">
        <v>54</v>
      </c>
      <c r="CF15" s="10">
        <v>54</v>
      </c>
      <c r="CG15" s="10">
        <v>48</v>
      </c>
      <c r="CH15" s="10">
        <v>100</v>
      </c>
      <c r="CI15" s="6">
        <f>SUM(CB15:CH15)</f>
        <v>493.3</v>
      </c>
      <c r="CJ15" s="6">
        <f>(CI15-CB15)/2</f>
        <v>180.4</v>
      </c>
      <c r="CK15" s="10">
        <v>48</v>
      </c>
      <c r="CL15" s="10"/>
      <c r="CM15" s="10"/>
      <c r="CN15" s="10"/>
      <c r="CO15" s="6"/>
      <c r="CP15" s="6"/>
      <c r="CQ15" s="6">
        <f t="shared" si="0"/>
        <v>228.4</v>
      </c>
    </row>
    <row r="16" spans="1:95" x14ac:dyDescent="0.25">
      <c r="A16">
        <v>6</v>
      </c>
      <c r="B16" s="10" t="s">
        <v>130</v>
      </c>
      <c r="C16" s="6"/>
      <c r="D16" s="10" t="s">
        <v>44</v>
      </c>
      <c r="E16" s="6" t="s">
        <v>38</v>
      </c>
      <c r="F16" s="6"/>
      <c r="G16" s="6"/>
      <c r="H16" s="6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6"/>
      <c r="AC16" s="10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6"/>
      <c r="CB16" s="6"/>
      <c r="CC16" s="10">
        <v>33.6</v>
      </c>
      <c r="CD16" s="10"/>
      <c r="CE16" s="10">
        <v>33.6</v>
      </c>
      <c r="CF16" s="10">
        <v>54</v>
      </c>
      <c r="CG16" s="10"/>
      <c r="CH16" s="10"/>
      <c r="CI16" s="6">
        <f>SUM(CB16:CH16)</f>
        <v>121.2</v>
      </c>
      <c r="CJ16" s="6">
        <f>(CI16-CB16)/2</f>
        <v>60.6</v>
      </c>
      <c r="CK16" s="10">
        <v>33.6</v>
      </c>
      <c r="CL16" s="10">
        <v>56</v>
      </c>
      <c r="CM16" s="10">
        <v>75</v>
      </c>
      <c r="CN16" s="10"/>
      <c r="CO16" s="6"/>
      <c r="CP16" s="6"/>
      <c r="CQ16" s="6">
        <f t="shared" si="0"/>
        <v>225.2</v>
      </c>
    </row>
    <row r="17" spans="1:95" x14ac:dyDescent="0.25">
      <c r="A17">
        <v>7</v>
      </c>
      <c r="B17" s="10" t="s">
        <v>186</v>
      </c>
      <c r="C17" s="6"/>
      <c r="D17" s="10" t="s">
        <v>547</v>
      </c>
      <c r="E17" s="6" t="s">
        <v>529</v>
      </c>
      <c r="F17" s="6"/>
      <c r="G17" s="6"/>
      <c r="H17" s="6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6"/>
      <c r="AC17" s="10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6"/>
      <c r="CB17" s="6"/>
      <c r="CC17" s="10"/>
      <c r="CD17" s="10"/>
      <c r="CE17" s="10"/>
      <c r="CF17" s="10"/>
      <c r="CG17" s="10"/>
      <c r="CH17" s="10"/>
      <c r="CI17" s="6"/>
      <c r="CJ17" s="6"/>
      <c r="CK17" s="10">
        <v>60</v>
      </c>
      <c r="CL17" s="10">
        <v>40</v>
      </c>
      <c r="CM17" s="10">
        <v>7.5</v>
      </c>
      <c r="CN17" s="10">
        <v>50</v>
      </c>
      <c r="CO17" s="6">
        <v>48</v>
      </c>
      <c r="CP17" s="6"/>
      <c r="CQ17" s="6">
        <f t="shared" si="0"/>
        <v>205.5</v>
      </c>
    </row>
    <row r="18" spans="1:95" x14ac:dyDescent="0.25">
      <c r="A18" s="22">
        <v>8</v>
      </c>
      <c r="B18" s="10" t="s">
        <v>345</v>
      </c>
      <c r="C18" s="6"/>
      <c r="D18" s="6" t="s">
        <v>346</v>
      </c>
      <c r="E18" s="6" t="s">
        <v>23</v>
      </c>
      <c r="F18" s="6"/>
      <c r="G18" s="6"/>
      <c r="H18" s="6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6"/>
      <c r="AC18" s="10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6"/>
      <c r="CB18" s="6">
        <v>89.6</v>
      </c>
      <c r="CC18" s="10">
        <v>48</v>
      </c>
      <c r="CD18" s="10">
        <v>56</v>
      </c>
      <c r="CE18" s="10">
        <v>75</v>
      </c>
      <c r="CF18" s="10">
        <v>75</v>
      </c>
      <c r="CG18" s="10">
        <v>100</v>
      </c>
      <c r="CH18" s="10">
        <v>56</v>
      </c>
      <c r="CI18" s="6">
        <f>SUM(CB18:CH18)</f>
        <v>499.6</v>
      </c>
      <c r="CJ18" s="6">
        <f>(CI18-CB18)/2</f>
        <v>205</v>
      </c>
      <c r="CK18" s="10"/>
      <c r="CL18" s="10"/>
      <c r="CM18" s="10"/>
      <c r="CN18" s="10"/>
      <c r="CO18" s="6"/>
      <c r="CP18" s="6"/>
      <c r="CQ18" s="6">
        <f t="shared" si="0"/>
        <v>205</v>
      </c>
    </row>
    <row r="19" spans="1:95" x14ac:dyDescent="0.25">
      <c r="A19">
        <v>9</v>
      </c>
      <c r="B19" s="10" t="s">
        <v>341</v>
      </c>
      <c r="C19" s="6"/>
      <c r="D19" s="10" t="s">
        <v>594</v>
      </c>
      <c r="E19" s="6" t="s">
        <v>34</v>
      </c>
      <c r="F19" s="6"/>
      <c r="G19" s="6"/>
      <c r="H19" s="6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6"/>
      <c r="AC19" s="10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6"/>
      <c r="CB19" s="6"/>
      <c r="CC19" s="10"/>
      <c r="CD19" s="10"/>
      <c r="CE19" s="10"/>
      <c r="CF19" s="10"/>
      <c r="CG19" s="10"/>
      <c r="CH19" s="10"/>
      <c r="CI19" s="6"/>
      <c r="CJ19" s="6">
        <f>266.5/2</f>
        <v>133.25</v>
      </c>
      <c r="CK19" s="10">
        <v>2.4</v>
      </c>
      <c r="CL19" s="10">
        <v>40</v>
      </c>
      <c r="CM19" s="10">
        <v>7.5</v>
      </c>
      <c r="CN19" s="10"/>
      <c r="CO19" s="6"/>
      <c r="CP19" s="6"/>
      <c r="CQ19" s="6">
        <f t="shared" si="0"/>
        <v>183.15</v>
      </c>
    </row>
    <row r="20" spans="1:95" x14ac:dyDescent="0.25">
      <c r="A20">
        <v>10</v>
      </c>
      <c r="B20" s="10" t="s">
        <v>221</v>
      </c>
      <c r="C20" s="6"/>
      <c r="D20" s="6" t="s">
        <v>265</v>
      </c>
      <c r="E20" s="6" t="s">
        <v>64</v>
      </c>
      <c r="F20" s="6"/>
      <c r="G20" s="6"/>
      <c r="H20" s="6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6"/>
      <c r="AC20" s="10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>
        <v>42</v>
      </c>
      <c r="BX20" s="10">
        <v>54</v>
      </c>
      <c r="BY20" s="10"/>
      <c r="BZ20" s="10">
        <v>10</v>
      </c>
      <c r="CA20" s="6">
        <f>SUM(AY20:BZ20)</f>
        <v>106</v>
      </c>
      <c r="CB20" s="6">
        <f>(CA20-AY20)/2</f>
        <v>53</v>
      </c>
      <c r="CC20" s="10">
        <v>60</v>
      </c>
      <c r="CD20" s="10">
        <v>80</v>
      </c>
      <c r="CE20" s="10">
        <v>56</v>
      </c>
      <c r="CF20" s="10">
        <v>50</v>
      </c>
      <c r="CG20" s="10">
        <v>39</v>
      </c>
      <c r="CH20" s="10">
        <v>75</v>
      </c>
      <c r="CI20" s="6">
        <f>SUM(CB20:CH20)</f>
        <v>413</v>
      </c>
      <c r="CJ20" s="6">
        <f>(CI20-CB20)/2</f>
        <v>180</v>
      </c>
      <c r="CK20" s="10"/>
      <c r="CL20" s="10"/>
      <c r="CM20" s="10"/>
      <c r="CN20" s="10"/>
      <c r="CO20" s="6"/>
      <c r="CP20" s="6"/>
      <c r="CQ20" s="6">
        <f t="shared" si="0"/>
        <v>180</v>
      </c>
    </row>
    <row r="21" spans="1:95" x14ac:dyDescent="0.25">
      <c r="A21">
        <v>11</v>
      </c>
      <c r="B21" s="10" t="s">
        <v>47</v>
      </c>
      <c r="C21" s="6"/>
      <c r="D21" s="10" t="s">
        <v>392</v>
      </c>
      <c r="E21" s="6" t="s">
        <v>393</v>
      </c>
      <c r="F21" s="6"/>
      <c r="G21" s="6"/>
      <c r="H21" s="6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6"/>
      <c r="AC21" s="10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6"/>
      <c r="CB21" s="6">
        <f>189.5/2</f>
        <v>94.75</v>
      </c>
      <c r="CC21" s="10">
        <v>60</v>
      </c>
      <c r="CD21" s="10">
        <v>80</v>
      </c>
      <c r="CE21" s="10">
        <v>150</v>
      </c>
      <c r="CF21" s="10"/>
      <c r="CG21" s="10"/>
      <c r="CH21" s="10"/>
      <c r="CI21" s="6">
        <f>SUM(CB21:CH21)</f>
        <v>384.75</v>
      </c>
      <c r="CJ21" s="6">
        <f>(CI21-CB21)/2</f>
        <v>145</v>
      </c>
      <c r="CK21" s="10"/>
      <c r="CL21" s="10"/>
      <c r="CM21" s="10"/>
      <c r="CN21" s="10"/>
      <c r="CO21" s="6"/>
      <c r="CP21" s="6"/>
      <c r="CQ21" s="6">
        <f t="shared" si="0"/>
        <v>145</v>
      </c>
    </row>
    <row r="22" spans="1:95" x14ac:dyDescent="0.25">
      <c r="A22">
        <v>12</v>
      </c>
      <c r="B22" s="10" t="s">
        <v>41</v>
      </c>
      <c r="C22" s="6"/>
      <c r="D22" s="10" t="s">
        <v>552</v>
      </c>
      <c r="E22" s="6" t="s">
        <v>553</v>
      </c>
      <c r="F22" s="6"/>
      <c r="G22" s="6"/>
      <c r="H22" s="6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6"/>
      <c r="AC22" s="10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6"/>
      <c r="CB22" s="6"/>
      <c r="CC22" s="10"/>
      <c r="CD22" s="10"/>
      <c r="CE22" s="10"/>
      <c r="CF22" s="10"/>
      <c r="CG22" s="10"/>
      <c r="CH22" s="10"/>
      <c r="CI22" s="6"/>
      <c r="CJ22" s="6">
        <v>46.45</v>
      </c>
      <c r="CK22" s="10">
        <v>36</v>
      </c>
      <c r="CL22" s="10"/>
      <c r="CM22" s="10">
        <v>54</v>
      </c>
      <c r="CN22" s="10"/>
      <c r="CO22" s="6"/>
      <c r="CP22" s="6"/>
      <c r="CQ22" s="6">
        <f t="shared" si="0"/>
        <v>136.44999999999999</v>
      </c>
    </row>
    <row r="23" spans="1:95" x14ac:dyDescent="0.25">
      <c r="A23">
        <v>13</v>
      </c>
      <c r="B23" s="10" t="s">
        <v>330</v>
      </c>
      <c r="C23" s="6"/>
      <c r="D23" s="10" t="s">
        <v>331</v>
      </c>
      <c r="E23" s="6" t="s">
        <v>61</v>
      </c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6"/>
      <c r="AC23" s="10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6"/>
      <c r="CB23" s="6"/>
      <c r="CC23" s="10">
        <v>2.4</v>
      </c>
      <c r="CD23" s="10">
        <v>3.2</v>
      </c>
      <c r="CE23" s="10">
        <v>5</v>
      </c>
      <c r="CF23" s="10">
        <v>4</v>
      </c>
      <c r="CG23" s="10"/>
      <c r="CH23" s="10"/>
      <c r="CI23" s="6">
        <f>SUM(CB23:CH23)</f>
        <v>14.6</v>
      </c>
      <c r="CJ23" s="6">
        <f>(CI23-CB23)/2</f>
        <v>7.3</v>
      </c>
      <c r="CK23" s="10">
        <v>42</v>
      </c>
      <c r="CL23" s="10">
        <v>56</v>
      </c>
      <c r="CM23" s="10">
        <v>7.5</v>
      </c>
      <c r="CN23" s="10">
        <v>2.4</v>
      </c>
      <c r="CO23" s="6"/>
      <c r="CP23" s="6"/>
      <c r="CQ23" s="6">
        <f t="shared" si="0"/>
        <v>115.2</v>
      </c>
    </row>
    <row r="24" spans="1:95" x14ac:dyDescent="0.25">
      <c r="A24">
        <v>14</v>
      </c>
      <c r="B24" s="10" t="s">
        <v>615</v>
      </c>
      <c r="C24" s="6"/>
      <c r="D24" s="10" t="s">
        <v>616</v>
      </c>
      <c r="E24" s="6" t="s">
        <v>31</v>
      </c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6"/>
      <c r="AC24" s="10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6"/>
      <c r="CB24" s="6"/>
      <c r="CC24" s="10"/>
      <c r="CD24" s="10"/>
      <c r="CE24" s="10"/>
      <c r="CF24" s="10"/>
      <c r="CG24" s="10"/>
      <c r="CH24" s="10"/>
      <c r="CI24" s="6"/>
      <c r="CJ24" s="6"/>
      <c r="CK24" s="10"/>
      <c r="CL24" s="10"/>
      <c r="CM24" s="10">
        <v>105</v>
      </c>
      <c r="CN24" s="10"/>
      <c r="CO24" s="6"/>
      <c r="CP24" s="6"/>
      <c r="CQ24" s="6">
        <f t="shared" si="0"/>
        <v>105</v>
      </c>
    </row>
    <row r="25" spans="1:95" x14ac:dyDescent="0.25">
      <c r="A25">
        <v>15</v>
      </c>
      <c r="B25" s="10" t="s">
        <v>384</v>
      </c>
      <c r="C25" s="6"/>
      <c r="D25" s="10" t="s">
        <v>162</v>
      </c>
      <c r="E25" s="6" t="s">
        <v>377</v>
      </c>
      <c r="F25" s="6"/>
      <c r="G25" s="6"/>
      <c r="H25" s="6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6"/>
      <c r="AC25" s="10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6"/>
      <c r="CB25" s="6">
        <v>6</v>
      </c>
      <c r="CC25" s="10">
        <v>42</v>
      </c>
      <c r="CD25" s="10">
        <v>40</v>
      </c>
      <c r="CE25" s="10">
        <v>39</v>
      </c>
      <c r="CF25" s="10">
        <v>7.5</v>
      </c>
      <c r="CG25" s="10">
        <v>7.5</v>
      </c>
      <c r="CH25" s="10">
        <v>28.8</v>
      </c>
      <c r="CI25" s="6">
        <f>SUM(CB25:CH25)</f>
        <v>170.8</v>
      </c>
      <c r="CJ25" s="6">
        <f>(CI25-CB25)/2</f>
        <v>82.4</v>
      </c>
      <c r="CK25" s="10"/>
      <c r="CL25" s="10"/>
      <c r="CM25" s="10"/>
      <c r="CN25" s="10"/>
      <c r="CO25" s="6"/>
      <c r="CP25" s="6"/>
      <c r="CQ25" s="6">
        <f t="shared" si="0"/>
        <v>82.4</v>
      </c>
    </row>
    <row r="26" spans="1:95" x14ac:dyDescent="0.25">
      <c r="A26">
        <v>16</v>
      </c>
      <c r="B26" s="10" t="s">
        <v>461</v>
      </c>
      <c r="C26" s="6"/>
      <c r="D26" s="10" t="s">
        <v>462</v>
      </c>
      <c r="E26" s="6" t="s">
        <v>98</v>
      </c>
      <c r="F26" s="6"/>
      <c r="G26" s="6"/>
      <c r="H26" s="6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6"/>
      <c r="AC26" s="10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6"/>
      <c r="CB26" s="6"/>
      <c r="CC26" s="10"/>
      <c r="CD26" s="10"/>
      <c r="CE26" s="10"/>
      <c r="CF26" s="10"/>
      <c r="CG26" s="10"/>
      <c r="CH26" s="10"/>
      <c r="CI26" s="6"/>
      <c r="CJ26" s="6"/>
      <c r="CK26" s="10">
        <v>36</v>
      </c>
      <c r="CL26" s="10">
        <v>44.8</v>
      </c>
      <c r="CM26" s="10"/>
      <c r="CN26" s="10"/>
      <c r="CO26" s="6"/>
      <c r="CP26" s="6"/>
      <c r="CQ26" s="6">
        <f t="shared" si="0"/>
        <v>80.8</v>
      </c>
    </row>
    <row r="27" spans="1:95" x14ac:dyDescent="0.25">
      <c r="A27">
        <v>17</v>
      </c>
      <c r="B27" s="10" t="s">
        <v>570</v>
      </c>
      <c r="C27" s="6"/>
      <c r="D27" s="10" t="s">
        <v>571</v>
      </c>
      <c r="E27" s="6" t="s">
        <v>572</v>
      </c>
      <c r="F27" s="6"/>
      <c r="G27" s="6"/>
      <c r="H27" s="6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6"/>
      <c r="AC27" s="10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6"/>
      <c r="CB27" s="6"/>
      <c r="CC27" s="10"/>
      <c r="CD27" s="10"/>
      <c r="CE27" s="10"/>
      <c r="CF27" s="10"/>
      <c r="CG27" s="10"/>
      <c r="CH27" s="10"/>
      <c r="CI27" s="6"/>
      <c r="CJ27" s="6"/>
      <c r="CK27" s="10">
        <v>36</v>
      </c>
      <c r="CL27" s="10"/>
      <c r="CM27" s="10">
        <v>39</v>
      </c>
      <c r="CN27" s="10"/>
      <c r="CO27" s="6"/>
      <c r="CP27" s="6"/>
      <c r="CQ27" s="6">
        <f t="shared" si="0"/>
        <v>75</v>
      </c>
    </row>
    <row r="28" spans="1:95" x14ac:dyDescent="0.25">
      <c r="A28">
        <v>18</v>
      </c>
      <c r="B28" s="6" t="s">
        <v>18</v>
      </c>
      <c r="C28" s="6"/>
      <c r="D28" s="6" t="s">
        <v>204</v>
      </c>
      <c r="E28" s="6" t="s">
        <v>147</v>
      </c>
      <c r="F28" s="6"/>
      <c r="G28" s="6"/>
      <c r="H28" s="6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6"/>
      <c r="AC28" s="10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6"/>
      <c r="CB28" s="6"/>
      <c r="CC28" s="10"/>
      <c r="CD28" s="10"/>
      <c r="CE28" s="10">
        <v>140</v>
      </c>
      <c r="CF28" s="10"/>
      <c r="CG28" s="10"/>
      <c r="CH28" s="10"/>
      <c r="CI28" s="6">
        <f>SUM(CB28:CH28)</f>
        <v>140</v>
      </c>
      <c r="CJ28" s="6">
        <f>(CI28-CB28)/2</f>
        <v>70</v>
      </c>
      <c r="CK28" s="10"/>
      <c r="CL28" s="10"/>
      <c r="CM28" s="10"/>
      <c r="CN28" s="10"/>
      <c r="CO28" s="6"/>
      <c r="CP28" s="6"/>
      <c r="CQ28" s="6">
        <f t="shared" si="0"/>
        <v>70</v>
      </c>
    </row>
    <row r="29" spans="1:95" x14ac:dyDescent="0.25">
      <c r="A29">
        <v>19</v>
      </c>
      <c r="B29" s="10" t="s">
        <v>266</v>
      </c>
      <c r="C29" s="6" t="s">
        <v>197</v>
      </c>
      <c r="D29" s="10" t="s">
        <v>142</v>
      </c>
      <c r="E29" s="6" t="s">
        <v>430</v>
      </c>
      <c r="F29" s="6"/>
      <c r="G29" s="6"/>
      <c r="H29" s="6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6"/>
      <c r="AC29" s="10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>
        <v>36</v>
      </c>
      <c r="BG29" s="6"/>
      <c r="BH29" s="6"/>
      <c r="BI29" s="6">
        <v>75</v>
      </c>
      <c r="BJ29" s="6"/>
      <c r="BK29" s="10">
        <v>36</v>
      </c>
      <c r="BL29" s="10"/>
      <c r="BM29" s="10">
        <v>80</v>
      </c>
      <c r="BN29" s="10"/>
      <c r="BO29" s="10">
        <v>75</v>
      </c>
      <c r="BP29" s="10"/>
      <c r="BQ29" s="10"/>
      <c r="BR29" s="10">
        <v>36</v>
      </c>
      <c r="BS29" s="10"/>
      <c r="BT29" s="10"/>
      <c r="BU29" s="10"/>
      <c r="BV29" s="10"/>
      <c r="BW29" s="10"/>
      <c r="BX29" s="10">
        <v>75</v>
      </c>
      <c r="BY29" s="10">
        <v>5</v>
      </c>
      <c r="BZ29" s="10">
        <v>72</v>
      </c>
      <c r="CA29" s="6">
        <f>SUM(AY29:BZ29)</f>
        <v>490</v>
      </c>
      <c r="CB29" s="6">
        <f>(CA29-AY29)/2</f>
        <v>245</v>
      </c>
      <c r="CC29" s="10">
        <v>48</v>
      </c>
      <c r="CD29" s="10"/>
      <c r="CE29" s="10">
        <v>75</v>
      </c>
      <c r="CF29" s="10"/>
      <c r="CG29" s="10"/>
      <c r="CH29" s="10"/>
      <c r="CI29" s="6">
        <f>SUM(CB29:CH29)</f>
        <v>368</v>
      </c>
      <c r="CJ29" s="6">
        <f>(CI29-CB29)/2</f>
        <v>61.5</v>
      </c>
      <c r="CK29" s="10"/>
      <c r="CL29" s="10"/>
      <c r="CM29" s="10"/>
      <c r="CN29" s="10"/>
      <c r="CO29" s="6"/>
      <c r="CP29" s="6"/>
      <c r="CQ29" s="6">
        <f t="shared" si="0"/>
        <v>61.5</v>
      </c>
    </row>
    <row r="30" spans="1:95" x14ac:dyDescent="0.25">
      <c r="A30">
        <v>20</v>
      </c>
      <c r="B30" s="10" t="s">
        <v>308</v>
      </c>
      <c r="C30" s="6"/>
      <c r="D30" s="6" t="s">
        <v>212</v>
      </c>
      <c r="E30" s="6" t="s">
        <v>59</v>
      </c>
      <c r="F30" s="6"/>
      <c r="G30" s="6"/>
      <c r="H30" s="6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6"/>
      <c r="AC30" s="10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6"/>
      <c r="CB30" s="6">
        <v>12.5</v>
      </c>
      <c r="CC30" s="10">
        <v>30</v>
      </c>
      <c r="CD30" s="10"/>
      <c r="CE30" s="10">
        <v>39</v>
      </c>
      <c r="CF30" s="10">
        <v>36</v>
      </c>
      <c r="CG30" s="10">
        <v>7.5</v>
      </c>
      <c r="CH30" s="10"/>
      <c r="CI30" s="6">
        <f>SUM(CB30:CH30)</f>
        <v>125</v>
      </c>
      <c r="CJ30" s="6">
        <f>(CI30-CB30)/2</f>
        <v>56.25</v>
      </c>
      <c r="CK30" s="10"/>
      <c r="CL30" s="10"/>
      <c r="CM30" s="10"/>
      <c r="CN30" s="10"/>
      <c r="CO30" s="6"/>
      <c r="CP30" s="6"/>
      <c r="CQ30" s="6">
        <f t="shared" si="0"/>
        <v>56.25</v>
      </c>
    </row>
    <row r="31" spans="1:95" x14ac:dyDescent="0.25">
      <c r="A31">
        <v>21</v>
      </c>
      <c r="B31" s="10" t="s">
        <v>496</v>
      </c>
      <c r="C31" s="6"/>
      <c r="D31" s="10" t="s">
        <v>497</v>
      </c>
      <c r="E31" s="6" t="s">
        <v>84</v>
      </c>
      <c r="F31" s="6"/>
      <c r="G31" s="6"/>
      <c r="H31" s="6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6"/>
      <c r="AC31" s="10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6"/>
      <c r="CB31" s="6"/>
      <c r="CC31" s="10"/>
      <c r="CD31" s="10"/>
      <c r="CE31" s="10"/>
      <c r="CF31" s="10"/>
      <c r="CG31" s="10"/>
      <c r="CH31" s="10"/>
      <c r="CI31" s="6"/>
      <c r="CJ31" s="6"/>
      <c r="CK31" s="10">
        <v>48</v>
      </c>
      <c r="CL31" s="10"/>
      <c r="CM31" s="10">
        <v>7.5</v>
      </c>
      <c r="CN31" s="10"/>
      <c r="CO31" s="6"/>
      <c r="CP31" s="6"/>
      <c r="CQ31" s="6">
        <f t="shared" si="0"/>
        <v>55.5</v>
      </c>
    </row>
    <row r="32" spans="1:95" x14ac:dyDescent="0.25">
      <c r="A32">
        <v>22</v>
      </c>
      <c r="B32" s="10" t="s">
        <v>562</v>
      </c>
      <c r="C32" s="6"/>
      <c r="D32" s="10" t="s">
        <v>215</v>
      </c>
      <c r="E32" s="6" t="s">
        <v>563</v>
      </c>
      <c r="F32" s="6"/>
      <c r="G32" s="6"/>
      <c r="H32" s="6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6"/>
      <c r="AC32" s="10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6"/>
      <c r="CB32" s="6"/>
      <c r="CC32" s="10"/>
      <c r="CD32" s="10"/>
      <c r="CE32" s="10"/>
      <c r="CF32" s="10"/>
      <c r="CG32" s="10"/>
      <c r="CH32" s="10"/>
      <c r="CI32" s="6"/>
      <c r="CJ32" s="6"/>
      <c r="CK32" s="10">
        <v>36</v>
      </c>
      <c r="CL32" s="10">
        <v>3.2</v>
      </c>
      <c r="CM32" s="10">
        <v>7.5</v>
      </c>
      <c r="CN32" s="10"/>
      <c r="CO32" s="6"/>
      <c r="CP32" s="6"/>
      <c r="CQ32" s="6">
        <f t="shared" si="0"/>
        <v>46.7</v>
      </c>
    </row>
    <row r="33" spans="1:95" x14ac:dyDescent="0.25">
      <c r="A33">
        <v>23</v>
      </c>
      <c r="B33" s="10" t="s">
        <v>41</v>
      </c>
      <c r="C33" s="6"/>
      <c r="D33" s="10" t="s">
        <v>438</v>
      </c>
      <c r="E33" s="6" t="s">
        <v>77</v>
      </c>
      <c r="F33" s="6"/>
      <c r="G33" s="6"/>
      <c r="H33" s="6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6"/>
      <c r="AC33" s="10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6"/>
      <c r="CB33" s="6"/>
      <c r="CC33" s="10"/>
      <c r="CD33" s="10"/>
      <c r="CE33" s="10"/>
      <c r="CF33" s="10"/>
      <c r="CG33" s="10"/>
      <c r="CH33" s="10"/>
      <c r="CI33" s="6"/>
      <c r="CJ33" s="6"/>
      <c r="CK33" s="10">
        <v>36</v>
      </c>
      <c r="CL33" s="10"/>
      <c r="CM33" s="10">
        <v>7.5</v>
      </c>
      <c r="CN33" s="10"/>
      <c r="CO33" s="6"/>
      <c r="CP33" s="6"/>
      <c r="CQ33" s="6">
        <f t="shared" si="0"/>
        <v>43.5</v>
      </c>
    </row>
    <row r="34" spans="1:95" x14ac:dyDescent="0.25">
      <c r="A34">
        <v>24</v>
      </c>
      <c r="B34" s="10" t="s">
        <v>624</v>
      </c>
      <c r="C34" s="6"/>
      <c r="D34" s="10" t="s">
        <v>625</v>
      </c>
      <c r="E34" s="6" t="s">
        <v>480</v>
      </c>
      <c r="F34" s="6"/>
      <c r="G34" s="6"/>
      <c r="H34" s="6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6"/>
      <c r="AC34" s="10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6"/>
      <c r="CB34" s="6"/>
      <c r="CC34" s="10"/>
      <c r="CD34" s="10"/>
      <c r="CE34" s="10"/>
      <c r="CF34" s="10"/>
      <c r="CG34" s="10"/>
      <c r="CH34" s="10"/>
      <c r="CI34" s="6"/>
      <c r="CJ34" s="6"/>
      <c r="CK34" s="10"/>
      <c r="CL34" s="10">
        <v>40</v>
      </c>
      <c r="CM34" s="10"/>
      <c r="CN34" s="10"/>
      <c r="CO34" s="6"/>
      <c r="CP34" s="6"/>
      <c r="CQ34" s="6">
        <f t="shared" si="0"/>
        <v>40</v>
      </c>
    </row>
    <row r="35" spans="1:95" x14ac:dyDescent="0.25">
      <c r="A35">
        <v>25</v>
      </c>
      <c r="B35" s="10" t="s">
        <v>626</v>
      </c>
      <c r="C35" s="6"/>
      <c r="D35" s="10" t="s">
        <v>334</v>
      </c>
      <c r="E35" s="6" t="s">
        <v>280</v>
      </c>
      <c r="F35" s="6"/>
      <c r="G35" s="6"/>
      <c r="H35" s="6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6"/>
      <c r="AC35" s="10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6"/>
      <c r="CB35" s="6"/>
      <c r="CC35" s="10"/>
      <c r="CD35" s="10"/>
      <c r="CE35" s="10"/>
      <c r="CF35" s="10"/>
      <c r="CG35" s="10"/>
      <c r="CH35" s="10"/>
      <c r="CI35" s="6"/>
      <c r="CJ35" s="6"/>
      <c r="CK35" s="10">
        <v>30</v>
      </c>
      <c r="CL35" s="10">
        <v>4</v>
      </c>
      <c r="CM35" s="10">
        <v>5</v>
      </c>
      <c r="CN35" s="10"/>
      <c r="CO35" s="6"/>
      <c r="CP35" s="6"/>
      <c r="CQ35" s="6">
        <f t="shared" si="0"/>
        <v>39</v>
      </c>
    </row>
    <row r="36" spans="1:95" x14ac:dyDescent="0.25">
      <c r="A36">
        <v>26</v>
      </c>
      <c r="B36" s="10" t="s">
        <v>467</v>
      </c>
      <c r="C36" s="6"/>
      <c r="D36" s="10" t="s">
        <v>24</v>
      </c>
      <c r="E36" s="6" t="s">
        <v>69</v>
      </c>
      <c r="F36" s="6"/>
      <c r="G36" s="6"/>
      <c r="H36" s="6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6"/>
      <c r="AC36" s="10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6"/>
      <c r="CB36" s="6"/>
      <c r="CC36" s="10">
        <v>30</v>
      </c>
      <c r="CD36" s="10">
        <v>40</v>
      </c>
      <c r="CE36" s="10">
        <v>7.5</v>
      </c>
      <c r="CF36" s="10"/>
      <c r="CG36" s="10"/>
      <c r="CH36" s="10"/>
      <c r="CI36" s="6">
        <f t="shared" ref="CI36:CI49" si="1">SUM(CB36:CH36)</f>
        <v>77.5</v>
      </c>
      <c r="CJ36" s="6">
        <f t="shared" ref="CJ36:CJ49" si="2">(CI36-CB36)/2</f>
        <v>38.75</v>
      </c>
      <c r="CK36" s="10"/>
      <c r="CL36" s="10"/>
      <c r="CM36" s="10"/>
      <c r="CN36" s="10"/>
      <c r="CO36" s="6"/>
      <c r="CP36" s="6"/>
      <c r="CQ36" s="6">
        <f t="shared" si="0"/>
        <v>38.75</v>
      </c>
    </row>
    <row r="37" spans="1:95" x14ac:dyDescent="0.25">
      <c r="A37">
        <v>27</v>
      </c>
      <c r="B37" s="10" t="s">
        <v>50</v>
      </c>
      <c r="C37" s="6"/>
      <c r="D37" s="10" t="s">
        <v>418</v>
      </c>
      <c r="E37" s="6" t="s">
        <v>249</v>
      </c>
      <c r="F37" s="6"/>
      <c r="G37" s="6"/>
      <c r="H37" s="6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6"/>
      <c r="AC37" s="10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>
        <v>2.4</v>
      </c>
      <c r="BI37" s="6"/>
      <c r="BJ37" s="6"/>
      <c r="BK37" s="10"/>
      <c r="BL37" s="10">
        <v>40</v>
      </c>
      <c r="BM37" s="10"/>
      <c r="BN37" s="10"/>
      <c r="BO37" s="10"/>
      <c r="BP37" s="10"/>
      <c r="BQ37" s="10"/>
      <c r="BR37" s="10"/>
      <c r="BS37" s="10"/>
      <c r="BT37" s="10"/>
      <c r="BU37" s="10">
        <v>2.4</v>
      </c>
      <c r="BV37" s="10"/>
      <c r="BW37" s="10"/>
      <c r="BX37" s="10"/>
      <c r="BY37" s="10"/>
      <c r="BZ37" s="10"/>
      <c r="CA37" s="6">
        <f>SUM(AY37:BZ37)</f>
        <v>44.8</v>
      </c>
      <c r="CB37" s="6">
        <f>(CA37-AY37)/2</f>
        <v>22.4</v>
      </c>
      <c r="CC37" s="10">
        <v>36</v>
      </c>
      <c r="CD37" s="10">
        <v>4</v>
      </c>
      <c r="CE37" s="10">
        <v>36</v>
      </c>
      <c r="CF37" s="10"/>
      <c r="CG37" s="10"/>
      <c r="CH37" s="10"/>
      <c r="CI37" s="6">
        <f t="shared" si="1"/>
        <v>98.4</v>
      </c>
      <c r="CJ37" s="6">
        <f t="shared" si="2"/>
        <v>38</v>
      </c>
      <c r="CK37" s="10"/>
      <c r="CL37" s="10"/>
      <c r="CM37" s="10"/>
      <c r="CN37" s="10"/>
      <c r="CO37" s="6"/>
      <c r="CP37" s="6"/>
      <c r="CQ37" s="6">
        <f t="shared" si="0"/>
        <v>38</v>
      </c>
    </row>
    <row r="38" spans="1:95" x14ac:dyDescent="0.25">
      <c r="A38">
        <v>28</v>
      </c>
      <c r="B38" s="10" t="s">
        <v>255</v>
      </c>
      <c r="C38" s="6"/>
      <c r="D38" s="10" t="s">
        <v>366</v>
      </c>
      <c r="E38" s="6" t="s">
        <v>34</v>
      </c>
      <c r="F38" s="6"/>
      <c r="G38" s="6"/>
      <c r="H38" s="6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6"/>
      <c r="AC38" s="10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6"/>
      <c r="CB38" s="6">
        <f>51.5/2</f>
        <v>25.75</v>
      </c>
      <c r="CC38" s="10">
        <v>2.4</v>
      </c>
      <c r="CD38" s="10">
        <v>28.8</v>
      </c>
      <c r="CE38" s="10">
        <v>18</v>
      </c>
      <c r="CF38" s="10">
        <v>7.5</v>
      </c>
      <c r="CG38" s="10">
        <v>7.5</v>
      </c>
      <c r="CH38" s="10">
        <v>4</v>
      </c>
      <c r="CI38" s="6">
        <f t="shared" si="1"/>
        <v>93.95</v>
      </c>
      <c r="CJ38" s="6">
        <f t="shared" si="2"/>
        <v>34.1</v>
      </c>
      <c r="CK38" s="10"/>
      <c r="CL38" s="10"/>
      <c r="CM38" s="10"/>
      <c r="CN38" s="10"/>
      <c r="CO38" s="6"/>
      <c r="CP38" s="6"/>
      <c r="CQ38" s="6">
        <f t="shared" si="0"/>
        <v>34.1</v>
      </c>
    </row>
    <row r="39" spans="1:95" x14ac:dyDescent="0.25">
      <c r="A39">
        <v>29</v>
      </c>
      <c r="B39" s="10" t="s">
        <v>450</v>
      </c>
      <c r="C39" s="6"/>
      <c r="D39" s="10" t="s">
        <v>451</v>
      </c>
      <c r="E39" s="6" t="s">
        <v>64</v>
      </c>
      <c r="F39" s="6"/>
      <c r="G39" s="6"/>
      <c r="H39" s="6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6"/>
      <c r="AC39" s="10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6"/>
      <c r="CB39" s="6"/>
      <c r="CC39" s="10">
        <v>3</v>
      </c>
      <c r="CD39" s="10">
        <v>40</v>
      </c>
      <c r="CE39" s="10">
        <v>5</v>
      </c>
      <c r="CF39" s="10">
        <v>4</v>
      </c>
      <c r="CG39" s="10">
        <v>7.5</v>
      </c>
      <c r="CH39" s="10"/>
      <c r="CI39" s="6">
        <f t="shared" si="1"/>
        <v>59.5</v>
      </c>
      <c r="CJ39" s="6">
        <f t="shared" si="2"/>
        <v>29.75</v>
      </c>
      <c r="CK39" s="10"/>
      <c r="CL39" s="10"/>
      <c r="CM39" s="10"/>
      <c r="CN39" s="10"/>
      <c r="CO39" s="6"/>
      <c r="CP39" s="6"/>
      <c r="CQ39" s="6">
        <f t="shared" si="0"/>
        <v>29.75</v>
      </c>
    </row>
    <row r="40" spans="1:95" x14ac:dyDescent="0.25">
      <c r="A40">
        <v>30</v>
      </c>
      <c r="B40" s="10" t="s">
        <v>439</v>
      </c>
      <c r="C40" s="6"/>
      <c r="D40" s="10" t="s">
        <v>440</v>
      </c>
      <c r="E40" s="6" t="s">
        <v>126</v>
      </c>
      <c r="F40" s="6"/>
      <c r="G40" s="6"/>
      <c r="H40" s="6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6"/>
      <c r="AC40" s="10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6"/>
      <c r="CB40" s="6"/>
      <c r="CC40" s="10"/>
      <c r="CD40" s="10">
        <v>40</v>
      </c>
      <c r="CE40" s="10">
        <v>7.5</v>
      </c>
      <c r="CF40" s="10">
        <v>7.5</v>
      </c>
      <c r="CG40" s="10"/>
      <c r="CH40" s="10"/>
      <c r="CI40" s="6">
        <f t="shared" si="1"/>
        <v>55</v>
      </c>
      <c r="CJ40" s="6">
        <f t="shared" si="2"/>
        <v>27.5</v>
      </c>
      <c r="CK40" s="10"/>
      <c r="CL40" s="10"/>
      <c r="CM40" s="10"/>
      <c r="CN40" s="10"/>
      <c r="CO40" s="6"/>
      <c r="CP40" s="6"/>
      <c r="CQ40" s="6">
        <f t="shared" si="0"/>
        <v>27.5</v>
      </c>
    </row>
    <row r="41" spans="1:95" x14ac:dyDescent="0.25">
      <c r="A41">
        <v>31</v>
      </c>
      <c r="B41" s="10" t="s">
        <v>383</v>
      </c>
      <c r="C41" s="6"/>
      <c r="D41" s="10" t="s">
        <v>24</v>
      </c>
      <c r="E41" s="6" t="s">
        <v>91</v>
      </c>
      <c r="F41" s="6"/>
      <c r="G41" s="6"/>
      <c r="H41" s="6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6"/>
      <c r="AC41" s="10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6"/>
      <c r="CB41" s="6"/>
      <c r="CC41" s="10">
        <v>42</v>
      </c>
      <c r="CD41" s="10"/>
      <c r="CE41" s="10">
        <v>7.5</v>
      </c>
      <c r="CF41" s="10">
        <v>5</v>
      </c>
      <c r="CG41" s="10"/>
      <c r="CH41" s="10"/>
      <c r="CI41" s="6">
        <f t="shared" si="1"/>
        <v>54.5</v>
      </c>
      <c r="CJ41" s="6">
        <f t="shared" si="2"/>
        <v>27.25</v>
      </c>
      <c r="CK41" s="10"/>
      <c r="CL41" s="10"/>
      <c r="CM41" s="10"/>
      <c r="CN41" s="10"/>
      <c r="CO41" s="6"/>
      <c r="CP41" s="6"/>
      <c r="CQ41" s="6">
        <f t="shared" si="0"/>
        <v>27.25</v>
      </c>
    </row>
    <row r="42" spans="1:95" x14ac:dyDescent="0.25">
      <c r="A42">
        <v>32</v>
      </c>
      <c r="B42" s="10" t="s">
        <v>348</v>
      </c>
      <c r="C42" s="6"/>
      <c r="D42" s="10" t="s">
        <v>235</v>
      </c>
      <c r="E42" s="6" t="s">
        <v>13</v>
      </c>
      <c r="F42" s="6"/>
      <c r="G42" s="6"/>
      <c r="H42" s="6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6"/>
      <c r="AC42" s="10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6"/>
      <c r="CB42" s="6"/>
      <c r="CC42" s="10">
        <v>33.6</v>
      </c>
      <c r="CD42" s="10"/>
      <c r="CE42" s="10">
        <v>18</v>
      </c>
      <c r="CF42" s="10">
        <v>2.4</v>
      </c>
      <c r="CG42" s="10"/>
      <c r="CH42" s="10"/>
      <c r="CI42" s="6">
        <f t="shared" si="1"/>
        <v>54</v>
      </c>
      <c r="CJ42" s="6">
        <f t="shared" si="2"/>
        <v>27</v>
      </c>
      <c r="CK42" s="10"/>
      <c r="CL42" s="10"/>
      <c r="CM42" s="10"/>
      <c r="CN42" s="10"/>
      <c r="CO42" s="6"/>
      <c r="CP42" s="6"/>
      <c r="CQ42" s="6">
        <f t="shared" si="0"/>
        <v>27</v>
      </c>
    </row>
    <row r="43" spans="1:95" x14ac:dyDescent="0.25">
      <c r="A43">
        <v>33</v>
      </c>
      <c r="B43" s="10" t="s">
        <v>403</v>
      </c>
      <c r="C43" s="6"/>
      <c r="D43" s="10" t="s">
        <v>334</v>
      </c>
      <c r="E43" s="6" t="s">
        <v>404</v>
      </c>
      <c r="F43" s="6"/>
      <c r="G43" s="6"/>
      <c r="H43" s="6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6"/>
      <c r="AC43" s="10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6"/>
      <c r="CB43" s="6"/>
      <c r="CC43" s="10">
        <v>36</v>
      </c>
      <c r="CD43" s="10"/>
      <c r="CE43" s="10">
        <v>7.5</v>
      </c>
      <c r="CF43" s="10"/>
      <c r="CG43" s="10"/>
      <c r="CH43" s="10"/>
      <c r="CI43" s="6">
        <f t="shared" si="1"/>
        <v>43.5</v>
      </c>
      <c r="CJ43" s="6">
        <f t="shared" si="2"/>
        <v>21.75</v>
      </c>
      <c r="CK43" s="10"/>
      <c r="CL43" s="10"/>
      <c r="CM43" s="10"/>
      <c r="CN43" s="10"/>
      <c r="CO43" s="6"/>
      <c r="CP43" s="6"/>
      <c r="CQ43" s="6">
        <f t="shared" ref="CQ43:CQ74" si="3">SUM(CJ43:CP43)</f>
        <v>21.75</v>
      </c>
    </row>
    <row r="44" spans="1:95" x14ac:dyDescent="0.25">
      <c r="A44">
        <v>34</v>
      </c>
      <c r="B44" s="10" t="s">
        <v>238</v>
      </c>
      <c r="C44" s="6" t="s">
        <v>262</v>
      </c>
      <c r="D44" s="10" t="s">
        <v>239</v>
      </c>
      <c r="E44" s="6" t="s">
        <v>31</v>
      </c>
      <c r="F44" s="6"/>
      <c r="G44" s="6"/>
      <c r="H44" s="6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6"/>
      <c r="AC44" s="10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>
        <v>38.1</v>
      </c>
      <c r="AZ44" s="6"/>
      <c r="BA44" s="6"/>
      <c r="BB44" s="6"/>
      <c r="BC44" s="6"/>
      <c r="BD44" s="6"/>
      <c r="BE44" s="6"/>
      <c r="BF44" s="6"/>
      <c r="BG44" s="6"/>
      <c r="BH44" s="6"/>
      <c r="BI44" s="6">
        <v>54</v>
      </c>
      <c r="BJ44" s="6"/>
      <c r="BK44" s="10"/>
      <c r="BL44" s="10"/>
      <c r="BM44" s="10"/>
      <c r="BN44" s="10">
        <v>20.8</v>
      </c>
      <c r="BO44" s="10">
        <v>7.5</v>
      </c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6">
        <f>SUM(AY44:BZ44)</f>
        <v>120.39999999999999</v>
      </c>
      <c r="CB44" s="6">
        <f>(CA44-AY44)/2</f>
        <v>41.149999999999991</v>
      </c>
      <c r="CC44" s="10">
        <v>24</v>
      </c>
      <c r="CD44" s="10"/>
      <c r="CE44" s="10"/>
      <c r="CF44" s="10"/>
      <c r="CG44" s="10"/>
      <c r="CH44" s="10"/>
      <c r="CI44" s="6">
        <f t="shared" si="1"/>
        <v>65.149999999999991</v>
      </c>
      <c r="CJ44" s="6">
        <f t="shared" si="2"/>
        <v>12</v>
      </c>
      <c r="CK44" s="10"/>
      <c r="CL44" s="10"/>
      <c r="CM44" s="10"/>
      <c r="CN44" s="10"/>
      <c r="CO44" s="6"/>
      <c r="CP44" s="6"/>
      <c r="CQ44" s="6">
        <f t="shared" si="3"/>
        <v>12</v>
      </c>
    </row>
    <row r="45" spans="1:95" x14ac:dyDescent="0.25">
      <c r="A45">
        <v>35</v>
      </c>
      <c r="B45" s="10" t="s">
        <v>396</v>
      </c>
      <c r="C45" s="6"/>
      <c r="D45" s="10" t="s">
        <v>397</v>
      </c>
      <c r="E45" s="6" t="s">
        <v>31</v>
      </c>
      <c r="F45" s="6"/>
      <c r="G45" s="6"/>
      <c r="H45" s="6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6"/>
      <c r="AC45" s="10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6"/>
      <c r="CB45" s="6"/>
      <c r="CC45" s="10">
        <v>3</v>
      </c>
      <c r="CD45" s="10"/>
      <c r="CE45" s="10">
        <v>18</v>
      </c>
      <c r="CF45" s="10">
        <v>2.4</v>
      </c>
      <c r="CG45" s="10"/>
      <c r="CH45" s="10"/>
      <c r="CI45" s="6">
        <f t="shared" si="1"/>
        <v>23.4</v>
      </c>
      <c r="CJ45" s="6">
        <f t="shared" si="2"/>
        <v>11.7</v>
      </c>
      <c r="CK45" s="10"/>
      <c r="CL45" s="10"/>
      <c r="CM45" s="10"/>
      <c r="CN45" s="10"/>
      <c r="CO45" s="6"/>
      <c r="CP45" s="6"/>
      <c r="CQ45" s="6">
        <f t="shared" si="3"/>
        <v>11.7</v>
      </c>
    </row>
    <row r="46" spans="1:95" x14ac:dyDescent="0.25">
      <c r="A46">
        <v>36</v>
      </c>
      <c r="B46" s="10" t="s">
        <v>371</v>
      </c>
      <c r="C46" s="6"/>
      <c r="D46" s="10" t="s">
        <v>370</v>
      </c>
      <c r="E46" s="6" t="s">
        <v>35</v>
      </c>
      <c r="F46" s="6"/>
      <c r="G46" s="6"/>
      <c r="H46" s="6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6"/>
      <c r="AC46" s="10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6"/>
      <c r="CB46" s="6"/>
      <c r="CC46" s="10"/>
      <c r="CD46" s="10">
        <v>4</v>
      </c>
      <c r="CE46" s="10">
        <v>18</v>
      </c>
      <c r="CF46" s="10"/>
      <c r="CG46" s="10"/>
      <c r="CH46" s="10"/>
      <c r="CI46" s="6">
        <f t="shared" si="1"/>
        <v>22</v>
      </c>
      <c r="CJ46" s="6">
        <f t="shared" si="2"/>
        <v>11</v>
      </c>
      <c r="CK46" s="10"/>
      <c r="CL46" s="10"/>
      <c r="CM46" s="10"/>
      <c r="CN46" s="10"/>
      <c r="CO46" s="6"/>
      <c r="CP46" s="6"/>
      <c r="CQ46" s="6">
        <f t="shared" si="3"/>
        <v>11</v>
      </c>
    </row>
    <row r="47" spans="1:95" x14ac:dyDescent="0.25">
      <c r="A47">
        <v>37</v>
      </c>
      <c r="B47" s="10" t="s">
        <v>207</v>
      </c>
      <c r="C47" s="6"/>
      <c r="D47" s="10" t="s">
        <v>208</v>
      </c>
      <c r="E47" s="6" t="s">
        <v>82</v>
      </c>
      <c r="F47" s="6"/>
      <c r="G47" s="6"/>
      <c r="H47" s="6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6"/>
      <c r="AC47" s="10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33.6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10"/>
      <c r="BL47" s="10"/>
      <c r="BM47" s="10"/>
      <c r="BN47" s="10">
        <v>40</v>
      </c>
      <c r="BO47" s="10">
        <v>7.5</v>
      </c>
      <c r="BP47" s="10">
        <v>60</v>
      </c>
      <c r="BQ47" s="10"/>
      <c r="BR47" s="10"/>
      <c r="BS47" s="10"/>
      <c r="BT47" s="10"/>
      <c r="BU47" s="10"/>
      <c r="BV47" s="10"/>
      <c r="BW47" s="10"/>
      <c r="BX47" s="10">
        <v>7.5</v>
      </c>
      <c r="BY47" s="10"/>
      <c r="BZ47" s="10"/>
      <c r="CA47" s="6">
        <f>SUM(AY47:BZ47)</f>
        <v>148.6</v>
      </c>
      <c r="CB47" s="6">
        <f>(CA47-AY47)/2</f>
        <v>74.3</v>
      </c>
      <c r="CC47" s="10"/>
      <c r="CD47" s="10"/>
      <c r="CE47" s="10">
        <v>18</v>
      </c>
      <c r="CF47" s="10"/>
      <c r="CG47" s="10"/>
      <c r="CH47" s="10"/>
      <c r="CI47" s="6">
        <f t="shared" si="1"/>
        <v>92.3</v>
      </c>
      <c r="CJ47" s="6">
        <f t="shared" si="2"/>
        <v>9</v>
      </c>
      <c r="CK47" s="10"/>
      <c r="CL47" s="10"/>
      <c r="CM47" s="10"/>
      <c r="CN47" s="10"/>
      <c r="CO47" s="6"/>
      <c r="CP47" s="6"/>
      <c r="CQ47" s="6">
        <f t="shared" si="3"/>
        <v>9</v>
      </c>
    </row>
    <row r="48" spans="1:95" x14ac:dyDescent="0.25">
      <c r="A48">
        <v>38</v>
      </c>
      <c r="B48" s="10" t="s">
        <v>226</v>
      </c>
      <c r="C48" s="6"/>
      <c r="D48" s="6" t="s">
        <v>227</v>
      </c>
      <c r="E48" s="6" t="s">
        <v>52</v>
      </c>
      <c r="F48" s="6"/>
      <c r="G48" s="6"/>
      <c r="H48" s="6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6"/>
      <c r="AC48" s="10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10"/>
      <c r="BL48" s="10"/>
      <c r="BM48" s="10"/>
      <c r="BN48" s="10"/>
      <c r="BO48" s="10"/>
      <c r="BP48" s="10"/>
      <c r="BQ48" s="10">
        <v>3</v>
      </c>
      <c r="BR48" s="10"/>
      <c r="BS48" s="10"/>
      <c r="BT48" s="10"/>
      <c r="BU48" s="10"/>
      <c r="BV48" s="10"/>
      <c r="BW48" s="10"/>
      <c r="BX48" s="10">
        <v>24</v>
      </c>
      <c r="BY48" s="10">
        <v>36</v>
      </c>
      <c r="BZ48" s="10"/>
      <c r="CA48" s="6">
        <f>SUM(AY48:BZ48)</f>
        <v>63</v>
      </c>
      <c r="CB48" s="6">
        <f>(CA48-AY48)/2</f>
        <v>31.5</v>
      </c>
      <c r="CC48" s="10"/>
      <c r="CD48" s="10"/>
      <c r="CE48" s="10">
        <v>7.5</v>
      </c>
      <c r="CF48" s="10">
        <v>7.5</v>
      </c>
      <c r="CG48" s="10"/>
      <c r="CH48" s="10"/>
      <c r="CI48" s="6">
        <f t="shared" si="1"/>
        <v>46.5</v>
      </c>
      <c r="CJ48" s="6">
        <f t="shared" si="2"/>
        <v>7.5</v>
      </c>
      <c r="CK48" s="10"/>
      <c r="CL48" s="10"/>
      <c r="CM48" s="10"/>
      <c r="CN48" s="10"/>
      <c r="CO48" s="6"/>
      <c r="CP48" s="6"/>
      <c r="CQ48" s="6">
        <f t="shared" si="3"/>
        <v>7.5</v>
      </c>
    </row>
    <row r="49" spans="1:95" x14ac:dyDescent="0.25">
      <c r="A49">
        <v>39</v>
      </c>
      <c r="B49" s="10" t="s">
        <v>182</v>
      </c>
      <c r="C49" s="6"/>
      <c r="D49" s="10" t="s">
        <v>271</v>
      </c>
      <c r="E49" s="6" t="s">
        <v>74</v>
      </c>
      <c r="F49" s="6"/>
      <c r="G49" s="6"/>
      <c r="H49" s="6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6"/>
      <c r="AC49" s="10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10"/>
      <c r="BL49" s="10"/>
      <c r="BM49" s="10">
        <v>4</v>
      </c>
      <c r="BN49" s="10"/>
      <c r="BO49" s="10">
        <v>7.5</v>
      </c>
      <c r="BP49" s="10"/>
      <c r="BQ49" s="10"/>
      <c r="BR49" s="10"/>
      <c r="BS49" s="10"/>
      <c r="BT49" s="10"/>
      <c r="BU49" s="10"/>
      <c r="BV49" s="10"/>
      <c r="BW49" s="10"/>
      <c r="BX49" s="10">
        <v>7.5</v>
      </c>
      <c r="BY49" s="10"/>
      <c r="BZ49" s="10"/>
      <c r="CA49" s="6">
        <f>SUM(AY49:BZ49)</f>
        <v>19</v>
      </c>
      <c r="CB49" s="6">
        <f>(CA49-AY49)/2</f>
        <v>9.5</v>
      </c>
      <c r="CC49" s="10"/>
      <c r="CD49" s="10"/>
      <c r="CE49" s="10">
        <v>7.5</v>
      </c>
      <c r="CF49" s="10">
        <v>7.5</v>
      </c>
      <c r="CG49" s="10"/>
      <c r="CH49" s="10"/>
      <c r="CI49" s="6">
        <f t="shared" si="1"/>
        <v>24.5</v>
      </c>
      <c r="CJ49" s="6">
        <f t="shared" si="2"/>
        <v>7.5</v>
      </c>
      <c r="CK49" s="10"/>
      <c r="CL49" s="10"/>
      <c r="CM49" s="10"/>
      <c r="CN49" s="10"/>
      <c r="CO49" s="6"/>
      <c r="CP49" s="6"/>
      <c r="CQ49" s="6">
        <f t="shared" si="3"/>
        <v>7.5</v>
      </c>
    </row>
    <row r="50" spans="1:95" x14ac:dyDescent="0.25">
      <c r="A50">
        <v>40</v>
      </c>
      <c r="B50" s="10" t="s">
        <v>579</v>
      </c>
      <c r="C50" s="6"/>
      <c r="D50" s="10" t="s">
        <v>641</v>
      </c>
      <c r="E50" s="6" t="s">
        <v>640</v>
      </c>
      <c r="F50" s="6"/>
      <c r="G50" s="6"/>
      <c r="H50" s="6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6"/>
      <c r="AC50" s="10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6"/>
      <c r="CB50" s="6"/>
      <c r="CC50" s="10"/>
      <c r="CD50" s="10"/>
      <c r="CE50" s="10"/>
      <c r="CF50" s="10"/>
      <c r="CG50" s="10"/>
      <c r="CH50" s="10"/>
      <c r="CI50" s="6"/>
      <c r="CJ50" s="6"/>
      <c r="CK50" s="10">
        <v>2.4</v>
      </c>
      <c r="CL50" s="10">
        <v>4</v>
      </c>
      <c r="CM50" s="10"/>
      <c r="CN50" s="10"/>
      <c r="CO50" s="6"/>
      <c r="CP50" s="6"/>
      <c r="CQ50" s="6">
        <f t="shared" si="3"/>
        <v>6.4</v>
      </c>
    </row>
    <row r="51" spans="1:95" x14ac:dyDescent="0.25">
      <c r="A51">
        <v>41</v>
      </c>
      <c r="B51" s="6" t="s">
        <v>18</v>
      </c>
      <c r="C51" s="6"/>
      <c r="D51" s="6" t="s">
        <v>347</v>
      </c>
      <c r="E51" s="6" t="s">
        <v>137</v>
      </c>
      <c r="F51" s="6"/>
      <c r="G51" s="6"/>
      <c r="H51" s="6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6"/>
      <c r="AC51" s="10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6"/>
      <c r="CB51" s="6"/>
      <c r="CC51" s="10"/>
      <c r="CD51" s="10"/>
      <c r="CE51" s="10">
        <v>10</v>
      </c>
      <c r="CF51" s="10"/>
      <c r="CG51" s="10"/>
      <c r="CH51" s="10"/>
      <c r="CI51" s="6">
        <f>SUM(CB51:CH51)</f>
        <v>10</v>
      </c>
      <c r="CJ51" s="6">
        <f>(CI51-CB51)/2</f>
        <v>5</v>
      </c>
      <c r="CK51" s="10"/>
      <c r="CL51" s="10"/>
      <c r="CM51" s="10"/>
      <c r="CN51" s="10"/>
      <c r="CO51" s="6"/>
      <c r="CP51" s="6"/>
      <c r="CQ51" s="6">
        <f t="shared" si="3"/>
        <v>5</v>
      </c>
    </row>
    <row r="52" spans="1:95" x14ac:dyDescent="0.25">
      <c r="A52">
        <v>42</v>
      </c>
      <c r="B52" s="6" t="s">
        <v>545</v>
      </c>
      <c r="C52" s="6"/>
      <c r="D52" s="6" t="s">
        <v>546</v>
      </c>
      <c r="E52" s="6" t="s">
        <v>58</v>
      </c>
      <c r="F52" s="6"/>
      <c r="G52" s="6"/>
      <c r="H52" s="6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6"/>
      <c r="AC52" s="10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6"/>
      <c r="CB52" s="6"/>
      <c r="CC52" s="10"/>
      <c r="CD52" s="10"/>
      <c r="CE52" s="10"/>
      <c r="CF52" s="10"/>
      <c r="CG52" s="10"/>
      <c r="CH52" s="10"/>
      <c r="CI52" s="6"/>
      <c r="CJ52" s="6"/>
      <c r="CK52" s="10"/>
      <c r="CL52" s="10">
        <v>4</v>
      </c>
      <c r="CM52" s="10"/>
      <c r="CN52" s="10"/>
      <c r="CO52" s="6"/>
      <c r="CP52" s="6"/>
      <c r="CQ52" s="6">
        <f t="shared" si="3"/>
        <v>4</v>
      </c>
    </row>
    <row r="53" spans="1:95" x14ac:dyDescent="0.25">
      <c r="A53">
        <v>43</v>
      </c>
      <c r="B53" s="10" t="s">
        <v>642</v>
      </c>
      <c r="C53" s="6"/>
      <c r="D53" s="10" t="s">
        <v>643</v>
      </c>
      <c r="E53" s="6" t="s">
        <v>411</v>
      </c>
      <c r="F53" s="6"/>
      <c r="G53" s="6"/>
      <c r="H53" s="6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6"/>
      <c r="AC53" s="10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6"/>
      <c r="CB53" s="6"/>
      <c r="CC53" s="10"/>
      <c r="CD53" s="10"/>
      <c r="CE53" s="10"/>
      <c r="CF53" s="10"/>
      <c r="CG53" s="10"/>
      <c r="CH53" s="10"/>
      <c r="CI53" s="6"/>
      <c r="CJ53" s="6"/>
      <c r="CK53" s="10"/>
      <c r="CL53" s="10">
        <v>4</v>
      </c>
      <c r="CM53" s="10"/>
      <c r="CN53" s="10"/>
      <c r="CO53" s="6"/>
      <c r="CP53" s="6"/>
      <c r="CQ53" s="6">
        <f t="shared" si="3"/>
        <v>4</v>
      </c>
    </row>
    <row r="54" spans="1:95" x14ac:dyDescent="0.25">
      <c r="A54">
        <v>44</v>
      </c>
      <c r="B54" s="10" t="s">
        <v>50</v>
      </c>
      <c r="C54" s="6"/>
      <c r="D54" s="10" t="s">
        <v>272</v>
      </c>
      <c r="E54" s="6" t="s">
        <v>89</v>
      </c>
      <c r="F54" s="6"/>
      <c r="G54" s="6"/>
      <c r="H54" s="6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6"/>
      <c r="AC54" s="10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10"/>
      <c r="BL54" s="10">
        <v>4</v>
      </c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>
        <v>3</v>
      </c>
      <c r="BX54" s="10"/>
      <c r="BY54" s="10"/>
      <c r="BZ54" s="10"/>
      <c r="CA54" s="6">
        <f>SUM(AY54:BZ54)</f>
        <v>7</v>
      </c>
      <c r="CB54" s="6">
        <f>(CA54-AY54)/2</f>
        <v>3.5</v>
      </c>
      <c r="CC54" s="10"/>
      <c r="CD54" s="10"/>
      <c r="CE54" s="10">
        <v>7.5</v>
      </c>
      <c r="CF54" s="10"/>
      <c r="CG54" s="10"/>
      <c r="CH54" s="10"/>
      <c r="CI54" s="6">
        <f>SUM(CB54:CH54)</f>
        <v>11</v>
      </c>
      <c r="CJ54" s="6">
        <f>(CI54-CB54)/2</f>
        <v>3.75</v>
      </c>
      <c r="CK54" s="10"/>
      <c r="CL54" s="10"/>
      <c r="CM54" s="10"/>
      <c r="CN54" s="10"/>
      <c r="CO54" s="6"/>
      <c r="CP54" s="6"/>
      <c r="CQ54" s="6">
        <f t="shared" si="3"/>
        <v>3.75</v>
      </c>
    </row>
    <row r="55" spans="1:95" x14ac:dyDescent="0.25">
      <c r="A55">
        <v>45</v>
      </c>
      <c r="B55" s="6" t="s">
        <v>542</v>
      </c>
      <c r="C55" s="6"/>
      <c r="D55" s="6" t="s">
        <v>543</v>
      </c>
      <c r="E55" s="6" t="s">
        <v>52</v>
      </c>
      <c r="F55" s="6"/>
      <c r="G55" s="6"/>
      <c r="H55" s="6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6"/>
      <c r="AC55" s="10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6"/>
      <c r="CB55" s="6"/>
      <c r="CC55" s="10"/>
      <c r="CD55" s="10"/>
      <c r="CE55" s="10"/>
      <c r="CF55" s="10"/>
      <c r="CG55" s="10"/>
      <c r="CH55" s="10"/>
      <c r="CI55" s="6"/>
      <c r="CJ55" s="6"/>
      <c r="CK55" s="10">
        <v>3</v>
      </c>
      <c r="CL55" s="10"/>
      <c r="CM55" s="10"/>
      <c r="CN55" s="10"/>
      <c r="CO55" s="6"/>
      <c r="CP55" s="6"/>
      <c r="CQ55" s="6">
        <f t="shared" si="3"/>
        <v>3</v>
      </c>
    </row>
    <row r="56" spans="1:95" x14ac:dyDescent="0.25">
      <c r="A56">
        <v>46</v>
      </c>
      <c r="B56" s="10" t="s">
        <v>46</v>
      </c>
      <c r="C56" s="6"/>
      <c r="D56" s="10" t="s">
        <v>498</v>
      </c>
      <c r="E56" s="6" t="s">
        <v>84</v>
      </c>
      <c r="F56" s="6"/>
      <c r="G56" s="6"/>
      <c r="H56" s="6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6"/>
      <c r="AC56" s="10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6"/>
      <c r="CB56" s="6"/>
      <c r="CC56" s="10"/>
      <c r="CD56" s="10"/>
      <c r="CE56" s="10"/>
      <c r="CF56" s="10"/>
      <c r="CG56" s="10"/>
      <c r="CH56" s="10"/>
      <c r="CI56" s="6"/>
      <c r="CJ56" s="6"/>
      <c r="CK56" s="10">
        <v>2.4</v>
      </c>
      <c r="CL56" s="10"/>
      <c r="CM56" s="10"/>
      <c r="CN56" s="10"/>
      <c r="CO56" s="6"/>
      <c r="CP56" s="6"/>
      <c r="CQ56" s="6">
        <f t="shared" si="3"/>
        <v>2.4</v>
      </c>
    </row>
    <row r="57" spans="1:95" x14ac:dyDescent="0.25">
      <c r="A57">
        <v>47</v>
      </c>
      <c r="B57" s="10" t="s">
        <v>518</v>
      </c>
      <c r="C57" s="6"/>
      <c r="D57" s="10" t="s">
        <v>333</v>
      </c>
      <c r="E57" s="6" t="s">
        <v>517</v>
      </c>
      <c r="F57" s="6"/>
      <c r="G57" s="6"/>
      <c r="H57" s="6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6"/>
      <c r="AC57" s="10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6"/>
      <c r="CB57" s="6"/>
      <c r="CC57" s="10"/>
      <c r="CD57" s="10"/>
      <c r="CE57" s="10"/>
      <c r="CF57" s="10"/>
      <c r="CG57" s="10"/>
      <c r="CH57" s="10"/>
      <c r="CI57" s="6"/>
      <c r="CJ57" s="6"/>
      <c r="CK57" s="10">
        <v>2.4</v>
      </c>
      <c r="CL57" s="10"/>
      <c r="CM57" s="10"/>
      <c r="CN57" s="10"/>
      <c r="CO57" s="6"/>
      <c r="CP57" s="6"/>
      <c r="CQ57" s="6">
        <f t="shared" si="3"/>
        <v>2.4</v>
      </c>
    </row>
    <row r="58" spans="1:95" x14ac:dyDescent="0.25">
      <c r="A58">
        <v>48</v>
      </c>
      <c r="B58" s="10" t="s">
        <v>654</v>
      </c>
      <c r="C58" s="6"/>
      <c r="D58" s="10" t="s">
        <v>655</v>
      </c>
      <c r="E58" s="6" t="s">
        <v>82</v>
      </c>
      <c r="F58" s="6"/>
      <c r="G58" s="6"/>
      <c r="H58" s="6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6"/>
      <c r="AC58" s="10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6"/>
      <c r="CB58" s="6"/>
      <c r="CC58" s="10"/>
      <c r="CD58" s="10"/>
      <c r="CE58" s="10"/>
      <c r="CF58" s="10"/>
      <c r="CG58" s="10"/>
      <c r="CH58" s="10"/>
      <c r="CI58" s="6"/>
      <c r="CJ58" s="6"/>
      <c r="CK58" s="10">
        <v>2.4</v>
      </c>
      <c r="CL58" s="10"/>
      <c r="CM58" s="10"/>
      <c r="CN58" s="10"/>
      <c r="CO58" s="6"/>
      <c r="CP58" s="6"/>
      <c r="CQ58" s="6">
        <f t="shared" si="3"/>
        <v>2.4</v>
      </c>
    </row>
    <row r="59" spans="1:95" x14ac:dyDescent="0.25">
      <c r="A59">
        <v>49</v>
      </c>
      <c r="B59" s="23" t="s">
        <v>100</v>
      </c>
      <c r="D59" s="23" t="s">
        <v>349</v>
      </c>
      <c r="E59" s="24" t="s">
        <v>8</v>
      </c>
      <c r="CC59" s="7">
        <v>2.4</v>
      </c>
      <c r="CI59" s="6">
        <f>SUM(CB59:CH59)</f>
        <v>2.4</v>
      </c>
      <c r="CJ59" s="6">
        <f>(CI59-CB59)/2</f>
        <v>1.2</v>
      </c>
      <c r="CK59" s="10"/>
      <c r="CL59" s="10"/>
      <c r="CM59" s="10"/>
      <c r="CN59" s="10"/>
      <c r="CO59" s="6"/>
      <c r="CP59" s="6"/>
      <c r="CQ59" s="6">
        <f t="shared" si="3"/>
        <v>1.2</v>
      </c>
    </row>
    <row r="60" spans="1:95" x14ac:dyDescent="0.25">
      <c r="A60">
        <v>50</v>
      </c>
      <c r="B60" s="10" t="s">
        <v>182</v>
      </c>
      <c r="C60" s="6"/>
      <c r="D60" s="10" t="s">
        <v>271</v>
      </c>
      <c r="E60" s="6" t="s">
        <v>74</v>
      </c>
      <c r="CC60" s="7">
        <v>2.4</v>
      </c>
      <c r="CI60" s="6">
        <f>SUM(CB60:CH60)</f>
        <v>2.4</v>
      </c>
      <c r="CJ60" s="6">
        <f>(CI60-CB60)/2</f>
        <v>1.2</v>
      </c>
      <c r="CK60" s="10"/>
      <c r="CL60" s="10"/>
      <c r="CM60" s="10"/>
      <c r="CN60" s="10"/>
      <c r="CO60" s="6"/>
      <c r="CP60" s="6"/>
      <c r="CQ60" s="6">
        <f t="shared" si="3"/>
        <v>1.2</v>
      </c>
    </row>
  </sheetData>
  <sortState xmlns:xlrd2="http://schemas.microsoft.com/office/spreadsheetml/2017/richdata2" ref="B11:CQ60">
    <sortCondition descending="1" ref="CQ11:CQ60"/>
  </sortState>
  <mergeCells count="5">
    <mergeCell ref="B8:C10"/>
    <mergeCell ref="CE9:CH9"/>
    <mergeCell ref="CM9:CP9"/>
    <mergeCell ref="D4:CQ5"/>
    <mergeCell ref="B1:CQ1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F40"/>
  <sheetViews>
    <sheetView zoomScale="80" zoomScaleNormal="80" workbookViewId="0">
      <selection activeCell="CK19" sqref="CK19"/>
    </sheetView>
  </sheetViews>
  <sheetFormatPr baseColWidth="10" defaultRowHeight="15" x14ac:dyDescent="0.25"/>
  <cols>
    <col min="1" max="1" width="3.140625" bestFit="1" customWidth="1"/>
    <col min="2" max="2" width="15.140625" bestFit="1" customWidth="1"/>
    <col min="3" max="3" width="11.28515625" bestFit="1" customWidth="1"/>
    <col min="4" max="4" width="12.28515625" bestFit="1" customWidth="1"/>
    <col min="5" max="5" width="16" bestFit="1" customWidth="1"/>
    <col min="6" max="7" width="6.42578125" hidden="1" customWidth="1"/>
    <col min="8" max="9" width="7.28515625" hidden="1" customWidth="1"/>
    <col min="10" max="20" width="7.28515625" style="7" hidden="1" customWidth="1"/>
    <col min="21" max="21" width="0" hidden="1" customWidth="1"/>
    <col min="22" max="22" width="0" style="7" hidden="1" customWidth="1"/>
    <col min="23" max="37" width="5.5703125" hidden="1" customWidth="1"/>
    <col min="38" max="38" width="10.5703125" hidden="1" customWidth="1"/>
    <col min="39" max="42" width="5.5703125" hidden="1" customWidth="1"/>
    <col min="43" max="43" width="6.28515625" hidden="1" customWidth="1"/>
    <col min="44" max="44" width="0" hidden="1" customWidth="1"/>
    <col min="45" max="46" width="5.5703125" hidden="1" customWidth="1"/>
    <col min="47" max="47" width="10.5703125" hidden="1" customWidth="1"/>
    <col min="48" max="59" width="5.5703125" hidden="1" customWidth="1"/>
    <col min="60" max="60" width="10.85546875" style="7" hidden="1" customWidth="1"/>
    <col min="61" max="66" width="6" style="7" hidden="1" customWidth="1"/>
    <col min="67" max="67" width="6.85546875" style="7" hidden="1" customWidth="1"/>
    <col min="68" max="69" width="7.7109375" hidden="1" customWidth="1"/>
    <col min="70" max="70" width="7.42578125" style="7" hidden="1" customWidth="1"/>
    <col min="71" max="71" width="7.7109375" style="7" hidden="1" customWidth="1"/>
    <col min="72" max="72" width="7" style="7" hidden="1" customWidth="1"/>
    <col min="73" max="73" width="8.85546875" style="7" hidden="1" customWidth="1"/>
    <col min="74" max="74" width="8.28515625" style="7" hidden="1" customWidth="1"/>
    <col min="75" max="75" width="7.28515625" style="7" hidden="1" customWidth="1"/>
    <col min="78" max="78" width="8.140625" style="7" customWidth="1"/>
    <col min="79" max="79" width="7.85546875" style="7" customWidth="1"/>
    <col min="80" max="80" width="8.5703125" style="7" customWidth="1"/>
    <col min="81" max="81" width="11.42578125" style="7"/>
    <col min="83" max="83" width="11.42578125" style="7"/>
  </cols>
  <sheetData>
    <row r="1" spans="1:84" ht="26.25" x14ac:dyDescent="0.4">
      <c r="B1" s="34" t="s">
        <v>3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</row>
    <row r="2" spans="1:84" ht="15.75" thickBot="1" x14ac:dyDescent="0.3">
      <c r="C2" s="7"/>
      <c r="D2" s="7"/>
      <c r="E2" s="7"/>
    </row>
    <row r="3" spans="1:84" ht="15.75" thickTop="1" x14ac:dyDescent="0.25">
      <c r="B3" s="1" t="s">
        <v>0</v>
      </c>
      <c r="C3" s="4" t="s">
        <v>14</v>
      </c>
    </row>
    <row r="4" spans="1:84" ht="14.65" customHeight="1" x14ac:dyDescent="0.25">
      <c r="B4" s="2" t="s">
        <v>1</v>
      </c>
      <c r="C4" s="5" t="s">
        <v>7</v>
      </c>
      <c r="D4" s="32" t="s">
        <v>492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</row>
    <row r="5" spans="1:84" ht="15" customHeight="1" thickBot="1" x14ac:dyDescent="0.3">
      <c r="B5" s="3" t="s">
        <v>2</v>
      </c>
      <c r="C5" s="15">
        <v>-57</v>
      </c>
      <c r="D5" s="32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</row>
    <row r="6" spans="1:84" ht="15.75" thickTop="1" x14ac:dyDescent="0.25"/>
    <row r="7" spans="1:84" ht="15.75" thickBot="1" x14ac:dyDescent="0.3"/>
    <row r="8" spans="1:84" ht="15.75" thickTop="1" x14ac:dyDescent="0.25">
      <c r="B8" s="25" t="s">
        <v>9</v>
      </c>
      <c r="C8" s="26"/>
      <c r="D8" s="1"/>
      <c r="E8" s="1"/>
      <c r="F8" s="4" t="s">
        <v>10</v>
      </c>
      <c r="G8" s="4" t="s">
        <v>10</v>
      </c>
      <c r="H8" s="4" t="s">
        <v>66</v>
      </c>
      <c r="I8" s="4" t="s">
        <v>10</v>
      </c>
      <c r="J8" s="4" t="s">
        <v>92</v>
      </c>
      <c r="K8" s="4" t="s">
        <v>97</v>
      </c>
      <c r="L8" s="4" t="s">
        <v>10</v>
      </c>
      <c r="M8" s="4" t="s">
        <v>10</v>
      </c>
      <c r="N8" s="4" t="s">
        <v>10</v>
      </c>
      <c r="O8" s="4" t="s">
        <v>10</v>
      </c>
      <c r="P8" s="4" t="s">
        <v>107</v>
      </c>
      <c r="Q8" s="4" t="s">
        <v>10</v>
      </c>
      <c r="R8" s="4" t="s">
        <v>10</v>
      </c>
      <c r="S8" s="4" t="s">
        <v>112</v>
      </c>
      <c r="T8" s="4" t="s">
        <v>115</v>
      </c>
      <c r="U8" s="1"/>
      <c r="V8" s="12">
        <v>44927</v>
      </c>
      <c r="W8" s="4" t="s">
        <v>10</v>
      </c>
      <c r="X8" s="4" t="s">
        <v>10</v>
      </c>
      <c r="Y8" s="4" t="s">
        <v>115</v>
      </c>
      <c r="Z8" s="4" t="s">
        <v>10</v>
      </c>
      <c r="AA8" s="4" t="s">
        <v>10</v>
      </c>
      <c r="AB8" s="4" t="s">
        <v>10</v>
      </c>
      <c r="AC8" s="4" t="s">
        <v>151</v>
      </c>
      <c r="AD8" s="4" t="s">
        <v>151</v>
      </c>
      <c r="AE8" s="4" t="s">
        <v>151</v>
      </c>
      <c r="AF8" s="4" t="s">
        <v>114</v>
      </c>
      <c r="AG8" s="4" t="s">
        <v>10</v>
      </c>
      <c r="AH8" s="4" t="s">
        <v>115</v>
      </c>
      <c r="AI8" s="4" t="s">
        <v>10</v>
      </c>
      <c r="AJ8" s="4" t="s">
        <v>10</v>
      </c>
      <c r="AK8" s="4" t="s">
        <v>10</v>
      </c>
      <c r="AL8" s="4" t="s">
        <v>10</v>
      </c>
      <c r="AM8" s="4" t="s">
        <v>115</v>
      </c>
      <c r="AN8" s="4" t="s">
        <v>10</v>
      </c>
      <c r="AO8" s="4" t="s">
        <v>10</v>
      </c>
      <c r="AP8" s="4" t="s">
        <v>116</v>
      </c>
      <c r="AQ8" s="4" t="s">
        <v>6</v>
      </c>
      <c r="AR8" s="12">
        <v>45292</v>
      </c>
      <c r="AS8" s="12" t="s">
        <v>10</v>
      </c>
      <c r="AT8" s="12" t="s">
        <v>10</v>
      </c>
      <c r="AU8" s="12" t="s">
        <v>10</v>
      </c>
      <c r="AV8" s="12" t="s">
        <v>10</v>
      </c>
      <c r="AW8" s="12" t="s">
        <v>10</v>
      </c>
      <c r="AX8" s="12" t="s">
        <v>10</v>
      </c>
      <c r="AY8" s="12" t="s">
        <v>115</v>
      </c>
      <c r="AZ8" s="12" t="s">
        <v>10</v>
      </c>
      <c r="BA8" s="12" t="s">
        <v>115</v>
      </c>
      <c r="BB8" s="12" t="s">
        <v>151</v>
      </c>
      <c r="BC8" s="12" t="s">
        <v>151</v>
      </c>
      <c r="BD8" s="12" t="s">
        <v>151</v>
      </c>
      <c r="BE8" s="12" t="s">
        <v>115</v>
      </c>
      <c r="BF8" s="12" t="s">
        <v>10</v>
      </c>
      <c r="BG8" s="12" t="s">
        <v>10</v>
      </c>
      <c r="BH8" s="12" t="s">
        <v>10</v>
      </c>
      <c r="BI8" s="12" t="s">
        <v>10</v>
      </c>
      <c r="BJ8" s="12" t="s">
        <v>10</v>
      </c>
      <c r="BK8" s="12" t="s">
        <v>10</v>
      </c>
      <c r="BL8" s="12" t="s">
        <v>115</v>
      </c>
      <c r="BM8" s="12" t="s">
        <v>299</v>
      </c>
      <c r="BN8" s="12" t="s">
        <v>114</v>
      </c>
      <c r="BO8" s="12" t="s">
        <v>116</v>
      </c>
      <c r="BP8" s="12" t="s">
        <v>6</v>
      </c>
      <c r="BQ8" s="12">
        <v>45658</v>
      </c>
      <c r="BR8" s="12"/>
      <c r="BS8" s="12"/>
      <c r="BT8" s="17"/>
      <c r="BU8" s="18"/>
      <c r="BV8" s="18"/>
      <c r="BW8" s="19"/>
      <c r="BX8" s="12" t="s">
        <v>6</v>
      </c>
      <c r="BY8" s="12">
        <v>46023</v>
      </c>
      <c r="BZ8" s="12"/>
      <c r="CA8" s="12"/>
      <c r="CB8" s="17"/>
      <c r="CC8" s="18"/>
      <c r="CD8" s="20"/>
      <c r="CE8" s="19"/>
      <c r="CF8" s="12" t="s">
        <v>6</v>
      </c>
    </row>
    <row r="9" spans="1:84" x14ac:dyDescent="0.25">
      <c r="B9" s="27"/>
      <c r="C9" s="28"/>
      <c r="D9" s="2"/>
      <c r="E9" s="2"/>
      <c r="F9" s="8" t="s">
        <v>32</v>
      </c>
      <c r="G9" s="5" t="s">
        <v>43</v>
      </c>
      <c r="H9" s="8" t="s">
        <v>67</v>
      </c>
      <c r="I9" s="8" t="s">
        <v>81</v>
      </c>
      <c r="J9" s="8" t="s">
        <v>93</v>
      </c>
      <c r="K9" s="8" t="s">
        <v>54</v>
      </c>
      <c r="L9" s="8" t="s">
        <v>32</v>
      </c>
      <c r="M9" s="8" t="s">
        <v>81</v>
      </c>
      <c r="N9" s="8" t="s">
        <v>76</v>
      </c>
      <c r="O9" s="8" t="s">
        <v>102</v>
      </c>
      <c r="P9" s="8" t="s">
        <v>108</v>
      </c>
      <c r="Q9" s="8" t="s">
        <v>102</v>
      </c>
      <c r="R9" s="8" t="s">
        <v>43</v>
      </c>
      <c r="S9" s="8" t="s">
        <v>113</v>
      </c>
      <c r="T9" s="8" t="s">
        <v>116</v>
      </c>
      <c r="U9" s="2" t="s">
        <v>6</v>
      </c>
      <c r="V9" s="5"/>
      <c r="W9" s="8" t="s">
        <v>32</v>
      </c>
      <c r="X9" s="8" t="s">
        <v>19</v>
      </c>
      <c r="Y9" s="8" t="s">
        <v>85</v>
      </c>
      <c r="Z9" s="8" t="s">
        <v>81</v>
      </c>
      <c r="AA9" s="8" t="s">
        <v>102</v>
      </c>
      <c r="AB9" s="8" t="s">
        <v>43</v>
      </c>
      <c r="AC9" s="8" t="s">
        <v>86</v>
      </c>
      <c r="AD9" s="8" t="s">
        <v>92</v>
      </c>
      <c r="AE9" s="8" t="s">
        <v>85</v>
      </c>
      <c r="AF9" s="8" t="s">
        <v>159</v>
      </c>
      <c r="AG9" s="8" t="s">
        <v>76</v>
      </c>
      <c r="AH9" s="8" t="s">
        <v>86</v>
      </c>
      <c r="AI9" s="8" t="s">
        <v>32</v>
      </c>
      <c r="AJ9" s="8" t="s">
        <v>81</v>
      </c>
      <c r="AK9" s="8" t="s">
        <v>19</v>
      </c>
      <c r="AL9" s="8" t="s">
        <v>177</v>
      </c>
      <c r="AM9" s="8" t="s">
        <v>92</v>
      </c>
      <c r="AN9" s="8" t="s">
        <v>76</v>
      </c>
      <c r="AO9" s="8" t="s">
        <v>43</v>
      </c>
      <c r="AP9" s="8"/>
      <c r="AQ9" s="2"/>
      <c r="AR9" s="5"/>
      <c r="AS9" s="5" t="s">
        <v>11</v>
      </c>
      <c r="AT9" s="5" t="s">
        <v>195</v>
      </c>
      <c r="AU9" s="5" t="s">
        <v>177</v>
      </c>
      <c r="AV9" s="5" t="s">
        <v>76</v>
      </c>
      <c r="AW9" s="5" t="s">
        <v>19</v>
      </c>
      <c r="AX9" s="5" t="s">
        <v>32</v>
      </c>
      <c r="AY9" s="5" t="s">
        <v>86</v>
      </c>
      <c r="AZ9" s="5" t="s">
        <v>188</v>
      </c>
      <c r="BA9" s="5" t="s">
        <v>267</v>
      </c>
      <c r="BB9" s="5" t="s">
        <v>86</v>
      </c>
      <c r="BC9" s="5" t="s">
        <v>85</v>
      </c>
      <c r="BD9" s="5" t="s">
        <v>92</v>
      </c>
      <c r="BE9" s="5" t="s">
        <v>85</v>
      </c>
      <c r="BF9" s="5" t="s">
        <v>195</v>
      </c>
      <c r="BG9" s="5" t="s">
        <v>19</v>
      </c>
      <c r="BH9" s="5" t="s">
        <v>177</v>
      </c>
      <c r="BI9" s="5" t="s">
        <v>11</v>
      </c>
      <c r="BJ9" s="5" t="s">
        <v>76</v>
      </c>
      <c r="BK9" s="5" t="s">
        <v>294</v>
      </c>
      <c r="BL9" s="5" t="s">
        <v>92</v>
      </c>
      <c r="BM9" s="5" t="s">
        <v>195</v>
      </c>
      <c r="BN9" s="5" t="s">
        <v>301</v>
      </c>
      <c r="BO9" s="5" t="s">
        <v>303</v>
      </c>
      <c r="BP9" s="5"/>
      <c r="BQ9" s="5"/>
      <c r="BR9" s="8" t="s">
        <v>10</v>
      </c>
      <c r="BS9" s="8" t="s">
        <v>151</v>
      </c>
      <c r="BT9" s="29" t="s">
        <v>305</v>
      </c>
      <c r="BU9" s="30"/>
      <c r="BV9" s="30"/>
      <c r="BW9" s="31"/>
      <c r="BX9" s="5"/>
      <c r="BY9" s="5"/>
      <c r="BZ9" s="8" t="s">
        <v>10</v>
      </c>
      <c r="CA9" s="8" t="s">
        <v>151</v>
      </c>
      <c r="CB9" s="29" t="s">
        <v>305</v>
      </c>
      <c r="CC9" s="30"/>
      <c r="CD9" s="30"/>
      <c r="CE9" s="31"/>
      <c r="CF9" s="5"/>
    </row>
    <row r="10" spans="1:84" x14ac:dyDescent="0.25">
      <c r="B10" s="27"/>
      <c r="C10" s="28"/>
      <c r="D10" s="2" t="s">
        <v>4</v>
      </c>
      <c r="E10" s="2" t="s">
        <v>5</v>
      </c>
      <c r="F10" s="9">
        <v>44653</v>
      </c>
      <c r="G10" s="9">
        <v>44674</v>
      </c>
      <c r="H10" s="9">
        <v>44696</v>
      </c>
      <c r="I10" s="9">
        <v>44709</v>
      </c>
      <c r="J10" s="9">
        <v>44737</v>
      </c>
      <c r="K10" s="9">
        <v>44759</v>
      </c>
      <c r="L10" s="9">
        <v>44779</v>
      </c>
      <c r="M10" s="9">
        <v>44800</v>
      </c>
      <c r="N10" s="9">
        <v>44814</v>
      </c>
      <c r="O10" s="9">
        <v>44814</v>
      </c>
      <c r="P10" s="9">
        <v>44828</v>
      </c>
      <c r="Q10" s="9">
        <v>44856</v>
      </c>
      <c r="R10" s="9">
        <v>44863</v>
      </c>
      <c r="S10" s="9">
        <v>44869</v>
      </c>
      <c r="T10" s="9">
        <v>44905</v>
      </c>
      <c r="U10" s="2">
        <v>2022</v>
      </c>
      <c r="V10" s="5"/>
      <c r="W10" s="14" t="s">
        <v>120</v>
      </c>
      <c r="X10" s="2" t="s">
        <v>127</v>
      </c>
      <c r="Y10" s="2" t="s">
        <v>129</v>
      </c>
      <c r="Z10" s="2" t="s">
        <v>146</v>
      </c>
      <c r="AA10" s="2" t="s">
        <v>145</v>
      </c>
      <c r="AB10" s="2" t="s">
        <v>148</v>
      </c>
      <c r="AC10" s="2" t="s">
        <v>152</v>
      </c>
      <c r="AD10" s="2" t="s">
        <v>156</v>
      </c>
      <c r="AE10" s="2" t="s">
        <v>158</v>
      </c>
      <c r="AF10" s="2" t="s">
        <v>160</v>
      </c>
      <c r="AG10" s="2" t="s">
        <v>160</v>
      </c>
      <c r="AH10" s="2" t="s">
        <v>164</v>
      </c>
      <c r="AI10" s="2" t="s">
        <v>169</v>
      </c>
      <c r="AJ10" s="2" t="s">
        <v>172</v>
      </c>
      <c r="AK10" s="2" t="s">
        <v>175</v>
      </c>
      <c r="AL10" s="5" t="s">
        <v>176</v>
      </c>
      <c r="AM10" s="2" t="s">
        <v>181</v>
      </c>
      <c r="AN10" s="2" t="s">
        <v>187</v>
      </c>
      <c r="AO10" s="2" t="s">
        <v>190</v>
      </c>
      <c r="AP10" s="2" t="s">
        <v>194</v>
      </c>
      <c r="AQ10" s="14">
        <v>2023</v>
      </c>
      <c r="AR10" s="13"/>
      <c r="AS10" s="13" t="s">
        <v>196</v>
      </c>
      <c r="AT10" s="13" t="s">
        <v>196</v>
      </c>
      <c r="AU10" s="13" t="s">
        <v>196</v>
      </c>
      <c r="AV10" s="13" t="s">
        <v>196</v>
      </c>
      <c r="AW10" s="13" t="s">
        <v>233</v>
      </c>
      <c r="AX10" s="13" t="s">
        <v>246</v>
      </c>
      <c r="AY10" s="13" t="s">
        <v>264</v>
      </c>
      <c r="AZ10" s="13" t="s">
        <v>268</v>
      </c>
      <c r="BA10" s="13" t="s">
        <v>268</v>
      </c>
      <c r="BB10" s="13" t="s">
        <v>269</v>
      </c>
      <c r="BC10" s="13" t="s">
        <v>269</v>
      </c>
      <c r="BD10" s="13" t="s">
        <v>273</v>
      </c>
      <c r="BE10" s="13" t="s">
        <v>277</v>
      </c>
      <c r="BF10" s="13" t="s">
        <v>283</v>
      </c>
      <c r="BG10" s="13" t="s">
        <v>283</v>
      </c>
      <c r="BH10" s="13" t="s">
        <v>284</v>
      </c>
      <c r="BI10" s="13" t="s">
        <v>289</v>
      </c>
      <c r="BJ10" s="13" t="s">
        <v>290</v>
      </c>
      <c r="BK10" s="13" t="s">
        <v>295</v>
      </c>
      <c r="BL10" s="13" t="s">
        <v>296</v>
      </c>
      <c r="BM10" s="13" t="s">
        <v>300</v>
      </c>
      <c r="BN10" s="13" t="s">
        <v>302</v>
      </c>
      <c r="BO10" s="13" t="s">
        <v>304</v>
      </c>
      <c r="BP10" s="13">
        <v>2024</v>
      </c>
      <c r="BQ10" s="5"/>
      <c r="BR10" s="5"/>
      <c r="BS10" s="5"/>
      <c r="BT10" s="5">
        <v>1</v>
      </c>
      <c r="BU10" s="5">
        <v>2</v>
      </c>
      <c r="BV10" s="5">
        <v>3</v>
      </c>
      <c r="BW10" s="5">
        <v>4</v>
      </c>
      <c r="BX10" s="5">
        <v>2025</v>
      </c>
      <c r="BY10" s="5"/>
      <c r="BZ10" s="5"/>
      <c r="CA10" s="5"/>
      <c r="CB10" s="5">
        <v>1</v>
      </c>
      <c r="CC10" s="5">
        <v>2</v>
      </c>
      <c r="CD10" s="5">
        <v>3</v>
      </c>
      <c r="CE10" s="5">
        <v>4</v>
      </c>
      <c r="CF10" s="5">
        <v>2026</v>
      </c>
    </row>
    <row r="11" spans="1:84" x14ac:dyDescent="0.25">
      <c r="A11">
        <v>1</v>
      </c>
      <c r="B11" s="10" t="s">
        <v>345</v>
      </c>
      <c r="C11" s="6"/>
      <c r="D11" s="6" t="s">
        <v>346</v>
      </c>
      <c r="E11" s="6" t="s">
        <v>23</v>
      </c>
      <c r="F11" s="6"/>
      <c r="G11" s="6"/>
      <c r="H11" s="6"/>
      <c r="I11" s="6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6"/>
      <c r="V11" s="10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10"/>
      <c r="BI11" s="10"/>
      <c r="BJ11" s="10"/>
      <c r="BK11" s="10"/>
      <c r="BL11" s="10"/>
      <c r="BM11" s="10"/>
      <c r="BN11" s="10"/>
      <c r="BO11" s="10"/>
      <c r="BP11" s="6"/>
      <c r="BQ11" s="6"/>
      <c r="BR11" s="10"/>
      <c r="BS11" s="10"/>
      <c r="BT11" s="10"/>
      <c r="BU11" s="10"/>
      <c r="BV11" s="10"/>
      <c r="BW11" s="10"/>
      <c r="BX11" s="6"/>
      <c r="BY11" s="6">
        <v>205</v>
      </c>
      <c r="BZ11" s="10">
        <v>60</v>
      </c>
      <c r="CA11" s="10">
        <v>80</v>
      </c>
      <c r="CB11" s="10">
        <v>150</v>
      </c>
      <c r="CC11" s="10">
        <v>36</v>
      </c>
      <c r="CD11" s="6"/>
      <c r="CE11" s="10">
        <v>50</v>
      </c>
      <c r="CF11" s="6">
        <f t="shared" ref="CF11:CF40" si="0">SUM(BY11:CE11)</f>
        <v>581</v>
      </c>
    </row>
    <row r="12" spans="1:84" x14ac:dyDescent="0.25">
      <c r="A12">
        <v>2</v>
      </c>
      <c r="B12" s="10" t="s">
        <v>335</v>
      </c>
      <c r="C12" s="6"/>
      <c r="D12" s="6" t="s">
        <v>336</v>
      </c>
      <c r="E12" s="6" t="s">
        <v>58</v>
      </c>
      <c r="F12" s="6"/>
      <c r="G12" s="6"/>
      <c r="H12" s="6"/>
      <c r="I12" s="6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6"/>
      <c r="V12" s="10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10"/>
      <c r="BI12" s="10"/>
      <c r="BJ12" s="10"/>
      <c r="BK12" s="10"/>
      <c r="BL12" s="10"/>
      <c r="BM12" s="10"/>
      <c r="BN12" s="10"/>
      <c r="BO12" s="10"/>
      <c r="BP12" s="6"/>
      <c r="BQ12" s="6"/>
      <c r="BR12" s="10">
        <v>48</v>
      </c>
      <c r="BS12" s="10">
        <v>56</v>
      </c>
      <c r="BT12" s="10">
        <v>140</v>
      </c>
      <c r="BU12" s="10">
        <v>50</v>
      </c>
      <c r="BV12" s="10">
        <v>54</v>
      </c>
      <c r="BW12" s="10">
        <v>56</v>
      </c>
      <c r="BX12" s="6">
        <f t="shared" ref="BX12:BX18" si="1">SUM(BQ12:BW12)</f>
        <v>404</v>
      </c>
      <c r="BY12" s="6">
        <f t="shared" ref="BY12:BY18" si="2">(BX12-BQ12)/2</f>
        <v>202</v>
      </c>
      <c r="BZ12" s="10">
        <v>48</v>
      </c>
      <c r="CA12" s="10">
        <v>64</v>
      </c>
      <c r="CB12" s="10">
        <v>105</v>
      </c>
      <c r="CC12" s="10">
        <v>56</v>
      </c>
      <c r="CD12" s="6">
        <v>36</v>
      </c>
      <c r="CE12" s="10">
        <v>50</v>
      </c>
      <c r="CF12" s="6">
        <f t="shared" si="0"/>
        <v>561</v>
      </c>
    </row>
    <row r="13" spans="1:84" x14ac:dyDescent="0.25">
      <c r="A13">
        <v>3</v>
      </c>
      <c r="B13" s="10" t="s">
        <v>231</v>
      </c>
      <c r="C13" s="6"/>
      <c r="D13" s="6" t="s">
        <v>232</v>
      </c>
      <c r="E13" s="6" t="s">
        <v>173</v>
      </c>
      <c r="F13" s="6"/>
      <c r="G13" s="6"/>
      <c r="H13" s="6"/>
      <c r="I13" s="6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6"/>
      <c r="V13" s="10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>
        <v>48</v>
      </c>
      <c r="AU13" s="6"/>
      <c r="AV13" s="6"/>
      <c r="AW13" s="6"/>
      <c r="AX13" s="6"/>
      <c r="AY13" s="6"/>
      <c r="AZ13" s="6"/>
      <c r="BA13" s="6"/>
      <c r="BB13" s="6"/>
      <c r="BC13" s="6">
        <v>64</v>
      </c>
      <c r="BD13" s="6"/>
      <c r="BE13" s="6">
        <v>54</v>
      </c>
      <c r="BF13" s="6">
        <v>42</v>
      </c>
      <c r="BG13" s="6"/>
      <c r="BH13" s="10"/>
      <c r="BI13" s="10"/>
      <c r="BJ13" s="10"/>
      <c r="BK13" s="10"/>
      <c r="BL13" s="10"/>
      <c r="BM13" s="10"/>
      <c r="BN13" s="10"/>
      <c r="BO13" s="10">
        <v>100</v>
      </c>
      <c r="BP13" s="6">
        <f>SUM(AR13:BO13)</f>
        <v>308</v>
      </c>
      <c r="BQ13" s="6">
        <f>(BP13-AR13)/2</f>
        <v>154</v>
      </c>
      <c r="BR13" s="10">
        <v>48</v>
      </c>
      <c r="BS13" s="10">
        <v>80</v>
      </c>
      <c r="BT13" s="10">
        <v>105</v>
      </c>
      <c r="BU13" s="10">
        <v>100</v>
      </c>
      <c r="BV13" s="10">
        <v>80</v>
      </c>
      <c r="BW13" s="10">
        <v>200</v>
      </c>
      <c r="BX13" s="6">
        <f t="shared" si="1"/>
        <v>767</v>
      </c>
      <c r="BY13" s="6">
        <f t="shared" si="2"/>
        <v>306.5</v>
      </c>
      <c r="BZ13" s="10"/>
      <c r="CA13" s="10"/>
      <c r="CB13" s="10"/>
      <c r="CC13" s="10"/>
      <c r="CD13" s="6"/>
      <c r="CE13" s="10"/>
      <c r="CF13" s="6">
        <f t="shared" si="0"/>
        <v>306.5</v>
      </c>
    </row>
    <row r="14" spans="1:84" x14ac:dyDescent="0.25">
      <c r="A14">
        <v>4</v>
      </c>
      <c r="B14" s="10" t="s">
        <v>165</v>
      </c>
      <c r="C14" s="6"/>
      <c r="D14" s="6" t="s">
        <v>236</v>
      </c>
      <c r="E14" s="6" t="s">
        <v>23</v>
      </c>
      <c r="F14" s="6"/>
      <c r="G14" s="6"/>
      <c r="H14" s="6"/>
      <c r="I14" s="6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6"/>
      <c r="V14" s="10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34</v>
      </c>
      <c r="AS14" s="6"/>
      <c r="AT14" s="6"/>
      <c r="AU14" s="6"/>
      <c r="AV14" s="6"/>
      <c r="AW14" s="6">
        <v>2.4</v>
      </c>
      <c r="AX14" s="6"/>
      <c r="AY14" s="6"/>
      <c r="AZ14" s="6"/>
      <c r="BA14" s="6"/>
      <c r="BB14" s="6"/>
      <c r="BC14" s="6"/>
      <c r="BD14" s="6">
        <v>4</v>
      </c>
      <c r="BE14" s="6">
        <v>75</v>
      </c>
      <c r="BF14" s="6"/>
      <c r="BG14" s="6">
        <v>33.6</v>
      </c>
      <c r="BH14" s="10"/>
      <c r="BI14" s="10"/>
      <c r="BJ14" s="10"/>
      <c r="BK14" s="10"/>
      <c r="BL14" s="10"/>
      <c r="BM14" s="10">
        <v>56</v>
      </c>
      <c r="BN14" s="10"/>
      <c r="BO14" s="10">
        <v>100</v>
      </c>
      <c r="BP14" s="6">
        <f>SUM(AR14:BO14)</f>
        <v>305</v>
      </c>
      <c r="BQ14" s="6">
        <f>(BP14-AR14)/2</f>
        <v>135.5</v>
      </c>
      <c r="BR14" s="10">
        <v>48</v>
      </c>
      <c r="BS14" s="10">
        <v>56</v>
      </c>
      <c r="BT14" s="10">
        <v>150</v>
      </c>
      <c r="BU14" s="10">
        <v>150</v>
      </c>
      <c r="BV14" s="10">
        <v>48</v>
      </c>
      <c r="BW14" s="10">
        <v>150</v>
      </c>
      <c r="BX14" s="6">
        <f t="shared" si="1"/>
        <v>737.5</v>
      </c>
      <c r="BY14" s="6">
        <f t="shared" si="2"/>
        <v>301</v>
      </c>
      <c r="BZ14" s="10"/>
      <c r="CA14" s="10"/>
      <c r="CB14" s="10"/>
      <c r="CC14" s="10"/>
      <c r="CD14" s="6"/>
      <c r="CE14" s="10"/>
      <c r="CF14" s="6">
        <f t="shared" si="0"/>
        <v>301</v>
      </c>
    </row>
    <row r="15" spans="1:84" x14ac:dyDescent="0.25">
      <c r="A15">
        <v>5</v>
      </c>
      <c r="B15" s="10" t="s">
        <v>370</v>
      </c>
      <c r="C15" s="6"/>
      <c r="D15" s="6" t="s">
        <v>371</v>
      </c>
      <c r="E15" s="6" t="s">
        <v>35</v>
      </c>
      <c r="F15" s="6"/>
      <c r="G15" s="6"/>
      <c r="H15" s="6"/>
      <c r="I15" s="6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6"/>
      <c r="V15" s="10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10"/>
      <c r="BI15" s="10"/>
      <c r="BJ15" s="10"/>
      <c r="BK15" s="10"/>
      <c r="BL15" s="10"/>
      <c r="BM15" s="10"/>
      <c r="BN15" s="10"/>
      <c r="BO15" s="10"/>
      <c r="BP15" s="6"/>
      <c r="BQ15" s="6"/>
      <c r="BR15" s="10">
        <v>2.4</v>
      </c>
      <c r="BS15" s="10">
        <v>56</v>
      </c>
      <c r="BT15" s="10">
        <v>39</v>
      </c>
      <c r="BU15" s="10">
        <v>2.4</v>
      </c>
      <c r="BV15" s="10">
        <v>39</v>
      </c>
      <c r="BW15" s="10">
        <v>10</v>
      </c>
      <c r="BX15" s="6">
        <f t="shared" si="1"/>
        <v>148.80000000000001</v>
      </c>
      <c r="BY15" s="6">
        <f t="shared" si="2"/>
        <v>74.400000000000006</v>
      </c>
      <c r="BZ15" s="10">
        <v>36</v>
      </c>
      <c r="CA15" s="10">
        <v>56</v>
      </c>
      <c r="CB15" s="10">
        <v>75</v>
      </c>
      <c r="CC15" s="10"/>
      <c r="CD15" s="6"/>
      <c r="CE15" s="10">
        <v>36</v>
      </c>
      <c r="CF15" s="6">
        <f t="shared" si="0"/>
        <v>277.39999999999998</v>
      </c>
    </row>
    <row r="16" spans="1:84" x14ac:dyDescent="0.25">
      <c r="A16">
        <v>6</v>
      </c>
      <c r="B16" s="10" t="s">
        <v>369</v>
      </c>
      <c r="C16" s="6"/>
      <c r="D16" s="6" t="s">
        <v>368</v>
      </c>
      <c r="E16" s="6" t="s">
        <v>35</v>
      </c>
      <c r="F16" s="6"/>
      <c r="G16" s="6"/>
      <c r="H16" s="6"/>
      <c r="I16" s="6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6"/>
      <c r="V16" s="10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10"/>
      <c r="BI16" s="10"/>
      <c r="BJ16" s="10"/>
      <c r="BK16" s="10"/>
      <c r="BL16" s="10"/>
      <c r="BM16" s="10"/>
      <c r="BN16" s="10"/>
      <c r="BO16" s="10"/>
      <c r="BP16" s="6"/>
      <c r="BQ16" s="6">
        <v>125</v>
      </c>
      <c r="BR16" s="10">
        <v>48</v>
      </c>
      <c r="BS16" s="10">
        <v>80</v>
      </c>
      <c r="BT16" s="10">
        <v>75</v>
      </c>
      <c r="BU16" s="10">
        <v>100</v>
      </c>
      <c r="BV16" s="10">
        <v>105</v>
      </c>
      <c r="BW16" s="10">
        <v>105</v>
      </c>
      <c r="BX16" s="6">
        <f t="shared" si="1"/>
        <v>638</v>
      </c>
      <c r="BY16" s="6">
        <f t="shared" si="2"/>
        <v>256.5</v>
      </c>
      <c r="BZ16" s="10"/>
      <c r="CA16" s="10"/>
      <c r="CB16" s="10"/>
      <c r="CC16" s="10"/>
      <c r="CD16" s="6"/>
      <c r="CE16" s="10"/>
      <c r="CF16" s="6">
        <f t="shared" si="0"/>
        <v>256.5</v>
      </c>
    </row>
    <row r="17" spans="1:84" x14ac:dyDescent="0.25">
      <c r="A17">
        <v>7</v>
      </c>
      <c r="B17" s="10" t="s">
        <v>373</v>
      </c>
      <c r="C17" s="6"/>
      <c r="D17" s="6" t="s">
        <v>292</v>
      </c>
      <c r="E17" s="6" t="s">
        <v>69</v>
      </c>
      <c r="F17" s="6"/>
      <c r="G17" s="6"/>
      <c r="H17" s="6"/>
      <c r="I17" s="6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6"/>
      <c r="V17" s="10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10"/>
      <c r="BI17" s="10"/>
      <c r="BJ17" s="10"/>
      <c r="BK17" s="10"/>
      <c r="BL17" s="10"/>
      <c r="BM17" s="10"/>
      <c r="BN17" s="10"/>
      <c r="BO17" s="10"/>
      <c r="BP17" s="6"/>
      <c r="BQ17" s="6">
        <v>62.35</v>
      </c>
      <c r="BR17" s="10">
        <v>36</v>
      </c>
      <c r="BS17" s="10">
        <v>44.8</v>
      </c>
      <c r="BT17" s="10">
        <v>10</v>
      </c>
      <c r="BU17" s="10">
        <v>7.5</v>
      </c>
      <c r="BV17" s="10">
        <v>33.6</v>
      </c>
      <c r="BW17" s="10">
        <v>44.8</v>
      </c>
      <c r="BX17" s="6">
        <f t="shared" si="1"/>
        <v>239.04999999999995</v>
      </c>
      <c r="BY17" s="6">
        <f t="shared" si="2"/>
        <v>88.34999999999998</v>
      </c>
      <c r="BZ17" s="10">
        <v>42</v>
      </c>
      <c r="CA17" s="10">
        <v>80</v>
      </c>
      <c r="CB17" s="10"/>
      <c r="CC17" s="10"/>
      <c r="CD17" s="6"/>
      <c r="CE17" s="10"/>
      <c r="CF17" s="6">
        <f t="shared" si="0"/>
        <v>210.34999999999997</v>
      </c>
    </row>
    <row r="18" spans="1:84" x14ac:dyDescent="0.25">
      <c r="A18" s="22">
        <v>8</v>
      </c>
      <c r="B18" s="10" t="s">
        <v>396</v>
      </c>
      <c r="C18" s="6"/>
      <c r="D18" s="6" t="s">
        <v>397</v>
      </c>
      <c r="E18" s="6" t="s">
        <v>31</v>
      </c>
      <c r="F18" s="6"/>
      <c r="G18" s="6"/>
      <c r="H18" s="6"/>
      <c r="I18" s="6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6"/>
      <c r="V18" s="10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10"/>
      <c r="BI18" s="10"/>
      <c r="BJ18" s="10"/>
      <c r="BK18" s="10"/>
      <c r="BL18" s="10"/>
      <c r="BM18" s="10"/>
      <c r="BN18" s="10"/>
      <c r="BO18" s="10"/>
      <c r="BP18" s="6"/>
      <c r="BQ18" s="6"/>
      <c r="BR18" s="10"/>
      <c r="BS18" s="10">
        <v>4</v>
      </c>
      <c r="BT18" s="10">
        <v>7.5</v>
      </c>
      <c r="BU18" s="10">
        <v>7.5</v>
      </c>
      <c r="BV18" s="10"/>
      <c r="BW18" s="10"/>
      <c r="BX18" s="6">
        <f t="shared" si="1"/>
        <v>19</v>
      </c>
      <c r="BY18" s="6">
        <f t="shared" si="2"/>
        <v>9.5</v>
      </c>
      <c r="BZ18" s="10">
        <v>42</v>
      </c>
      <c r="CA18" s="10"/>
      <c r="CB18" s="10">
        <v>75</v>
      </c>
      <c r="CC18" s="10"/>
      <c r="CD18" s="6"/>
      <c r="CE18" s="10"/>
      <c r="CF18" s="6">
        <f t="shared" si="0"/>
        <v>126.5</v>
      </c>
    </row>
    <row r="19" spans="1:84" x14ac:dyDescent="0.25">
      <c r="A19">
        <v>9</v>
      </c>
      <c r="B19" s="10" t="s">
        <v>183</v>
      </c>
      <c r="C19" s="6"/>
      <c r="D19" s="6" t="s">
        <v>336</v>
      </c>
      <c r="E19" s="6" t="s">
        <v>184</v>
      </c>
      <c r="F19" s="6"/>
      <c r="G19" s="6"/>
      <c r="H19" s="6"/>
      <c r="I19" s="6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6"/>
      <c r="V19" s="10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10"/>
      <c r="BI19" s="10"/>
      <c r="BJ19" s="10"/>
      <c r="BK19" s="10"/>
      <c r="BL19" s="10"/>
      <c r="BM19" s="10"/>
      <c r="BN19" s="10"/>
      <c r="BO19" s="10"/>
      <c r="BP19" s="6"/>
      <c r="BQ19" s="6"/>
      <c r="BR19" s="10"/>
      <c r="BS19" s="10"/>
      <c r="BT19" s="10"/>
      <c r="BU19" s="10"/>
      <c r="BV19" s="10"/>
      <c r="BW19" s="10"/>
      <c r="BX19" s="6"/>
      <c r="BY19" s="6"/>
      <c r="BZ19" s="10">
        <v>30</v>
      </c>
      <c r="CA19" s="10">
        <v>40</v>
      </c>
      <c r="CB19" s="10">
        <v>54</v>
      </c>
      <c r="CC19" s="10"/>
      <c r="CD19" s="6"/>
      <c r="CE19" s="10"/>
      <c r="CF19" s="6">
        <f t="shared" si="0"/>
        <v>124</v>
      </c>
    </row>
    <row r="20" spans="1:84" x14ac:dyDescent="0.25">
      <c r="A20">
        <v>10</v>
      </c>
      <c r="B20" s="10" t="s">
        <v>308</v>
      </c>
      <c r="C20" s="6"/>
      <c r="D20" s="6" t="s">
        <v>212</v>
      </c>
      <c r="E20" s="6" t="s">
        <v>59</v>
      </c>
      <c r="F20" s="6"/>
      <c r="G20" s="6"/>
      <c r="H20" s="6"/>
      <c r="I20" s="6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6"/>
      <c r="V20" s="10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10"/>
      <c r="BI20" s="10"/>
      <c r="BJ20" s="10"/>
      <c r="BK20" s="10"/>
      <c r="BL20" s="10"/>
      <c r="BM20" s="10"/>
      <c r="BN20" s="10"/>
      <c r="BO20" s="10"/>
      <c r="BP20" s="6"/>
      <c r="BQ20" s="6"/>
      <c r="BR20" s="10"/>
      <c r="BS20" s="10"/>
      <c r="BT20" s="10"/>
      <c r="BU20" s="10"/>
      <c r="BV20" s="10"/>
      <c r="BW20" s="10"/>
      <c r="BX20" s="6">
        <v>4</v>
      </c>
      <c r="BY20" s="6">
        <v>2</v>
      </c>
      <c r="BZ20" s="10">
        <v>2.4</v>
      </c>
      <c r="CA20" s="10">
        <v>44.8</v>
      </c>
      <c r="CB20" s="10">
        <v>54</v>
      </c>
      <c r="CC20" s="10"/>
      <c r="CD20" s="6"/>
      <c r="CE20" s="10"/>
      <c r="CF20" s="6">
        <f t="shared" si="0"/>
        <v>103.19999999999999</v>
      </c>
    </row>
    <row r="21" spans="1:84" x14ac:dyDescent="0.25">
      <c r="A21">
        <v>11</v>
      </c>
      <c r="B21" s="10" t="s">
        <v>450</v>
      </c>
      <c r="C21" s="6"/>
      <c r="D21" s="6" t="s">
        <v>451</v>
      </c>
      <c r="E21" s="6" t="s">
        <v>64</v>
      </c>
      <c r="F21" s="6"/>
      <c r="G21" s="6"/>
      <c r="H21" s="6"/>
      <c r="I21" s="6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6"/>
      <c r="V21" s="10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0"/>
      <c r="BI21" s="10"/>
      <c r="BJ21" s="10"/>
      <c r="BK21" s="10"/>
      <c r="BL21" s="10"/>
      <c r="BM21" s="10"/>
      <c r="BN21" s="10"/>
      <c r="BO21" s="10"/>
      <c r="BP21" s="6"/>
      <c r="BQ21" s="6"/>
      <c r="BR21" s="10"/>
      <c r="BS21" s="10"/>
      <c r="BT21" s="10"/>
      <c r="BU21" s="10"/>
      <c r="BV21" s="10"/>
      <c r="BW21" s="10"/>
      <c r="BX21" s="6"/>
      <c r="BY21" s="6"/>
      <c r="BZ21" s="10">
        <v>60</v>
      </c>
      <c r="CA21" s="10">
        <v>40</v>
      </c>
      <c r="CB21" s="10"/>
      <c r="CC21" s="10"/>
      <c r="CD21" s="6"/>
      <c r="CE21" s="10"/>
      <c r="CF21" s="6">
        <f t="shared" si="0"/>
        <v>100</v>
      </c>
    </row>
    <row r="22" spans="1:84" x14ac:dyDescent="0.25">
      <c r="A22">
        <v>12</v>
      </c>
      <c r="B22" s="6" t="s">
        <v>119</v>
      </c>
      <c r="C22" s="6"/>
      <c r="D22" s="6" t="s">
        <v>382</v>
      </c>
      <c r="E22" s="6" t="s">
        <v>69</v>
      </c>
      <c r="F22" s="6"/>
      <c r="G22" s="6"/>
      <c r="H22" s="6"/>
      <c r="I22" s="6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6"/>
      <c r="V22" s="10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0"/>
      <c r="BI22" s="10"/>
      <c r="BJ22" s="10"/>
      <c r="BK22" s="10"/>
      <c r="BL22" s="10"/>
      <c r="BM22" s="10"/>
      <c r="BN22" s="10"/>
      <c r="BO22" s="10"/>
      <c r="BP22" s="6"/>
      <c r="BQ22" s="6"/>
      <c r="BR22" s="10"/>
      <c r="BS22" s="10"/>
      <c r="BT22" s="10"/>
      <c r="BU22" s="10"/>
      <c r="BV22" s="10"/>
      <c r="BW22" s="10"/>
      <c r="BX22" s="6"/>
      <c r="BY22" s="6"/>
      <c r="BZ22" s="10"/>
      <c r="CA22" s="10"/>
      <c r="CB22" s="10">
        <v>80</v>
      </c>
      <c r="CC22" s="10"/>
      <c r="CD22" s="6"/>
      <c r="CE22" s="10"/>
      <c r="CF22" s="6">
        <f t="shared" si="0"/>
        <v>80</v>
      </c>
    </row>
    <row r="23" spans="1:84" x14ac:dyDescent="0.25">
      <c r="A23">
        <v>13</v>
      </c>
      <c r="B23" s="10" t="s">
        <v>39</v>
      </c>
      <c r="C23" s="6"/>
      <c r="D23" s="6" t="s">
        <v>413</v>
      </c>
      <c r="E23" s="6" t="s">
        <v>147</v>
      </c>
      <c r="F23" s="6"/>
      <c r="G23" s="6"/>
      <c r="H23" s="6"/>
      <c r="I23" s="6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6"/>
      <c r="V23" s="10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10"/>
      <c r="BI23" s="10"/>
      <c r="BJ23" s="10"/>
      <c r="BK23" s="10"/>
      <c r="BL23" s="10"/>
      <c r="BM23" s="10"/>
      <c r="BN23" s="10"/>
      <c r="BO23" s="10"/>
      <c r="BP23" s="6"/>
      <c r="BQ23" s="6"/>
      <c r="BR23" s="10"/>
      <c r="BS23" s="10">
        <v>40</v>
      </c>
      <c r="BT23" s="10">
        <v>100</v>
      </c>
      <c r="BU23" s="10"/>
      <c r="BV23" s="10"/>
      <c r="BW23" s="10"/>
      <c r="BX23" s="6">
        <f>SUM(BQ23:BW23)</f>
        <v>140</v>
      </c>
      <c r="BY23" s="6">
        <f>(BX23-BQ23)/2</f>
        <v>70</v>
      </c>
      <c r="BZ23" s="10"/>
      <c r="CA23" s="10">
        <v>4</v>
      </c>
      <c r="CB23" s="10"/>
      <c r="CC23" s="10"/>
      <c r="CD23" s="6"/>
      <c r="CE23" s="10"/>
      <c r="CF23" s="6">
        <f t="shared" si="0"/>
        <v>74</v>
      </c>
    </row>
    <row r="24" spans="1:84" x14ac:dyDescent="0.25">
      <c r="A24">
        <v>14</v>
      </c>
      <c r="B24" s="10" t="s">
        <v>384</v>
      </c>
      <c r="C24" s="6"/>
      <c r="D24" s="6" t="s">
        <v>162</v>
      </c>
      <c r="E24" s="6" t="s">
        <v>377</v>
      </c>
      <c r="F24" s="6"/>
      <c r="G24" s="6"/>
      <c r="H24" s="6"/>
      <c r="I24" s="6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6"/>
      <c r="V24" s="10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10"/>
      <c r="BI24" s="10"/>
      <c r="BJ24" s="10"/>
      <c r="BK24" s="10"/>
      <c r="BL24" s="10"/>
      <c r="BM24" s="10"/>
      <c r="BN24" s="10"/>
      <c r="BO24" s="10"/>
      <c r="BP24" s="6"/>
      <c r="BQ24" s="6"/>
      <c r="BR24" s="10"/>
      <c r="BS24" s="10"/>
      <c r="BT24" s="10"/>
      <c r="BU24" s="10"/>
      <c r="BV24" s="10"/>
      <c r="BW24" s="10"/>
      <c r="BX24" s="6"/>
      <c r="BY24" s="6"/>
      <c r="BZ24" s="10">
        <v>3</v>
      </c>
      <c r="CA24" s="10">
        <v>56</v>
      </c>
      <c r="CB24" s="10">
        <v>2.4</v>
      </c>
      <c r="CC24" s="10"/>
      <c r="CD24" s="6"/>
      <c r="CE24" s="10"/>
      <c r="CF24" s="6">
        <f t="shared" si="0"/>
        <v>61.4</v>
      </c>
    </row>
    <row r="25" spans="1:84" x14ac:dyDescent="0.25">
      <c r="A25">
        <v>15</v>
      </c>
      <c r="B25" s="10" t="s">
        <v>373</v>
      </c>
      <c r="C25" s="6"/>
      <c r="D25" s="6" t="s">
        <v>292</v>
      </c>
      <c r="E25" s="6" t="s">
        <v>69</v>
      </c>
      <c r="F25" s="6"/>
      <c r="G25" s="6"/>
      <c r="H25" s="6"/>
      <c r="I25" s="6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6"/>
      <c r="V25" s="10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10"/>
      <c r="BI25" s="10"/>
      <c r="BJ25" s="10"/>
      <c r="BK25" s="10"/>
      <c r="BL25" s="10"/>
      <c r="BM25" s="10"/>
      <c r="BN25" s="10"/>
      <c r="BO25" s="10"/>
      <c r="BP25" s="6"/>
      <c r="BQ25" s="6"/>
      <c r="BR25" s="10"/>
      <c r="BS25" s="10"/>
      <c r="BT25" s="10"/>
      <c r="BU25" s="10"/>
      <c r="BV25" s="10"/>
      <c r="BW25" s="10"/>
      <c r="BX25" s="6"/>
      <c r="BY25" s="6"/>
      <c r="BZ25" s="10">
        <v>48</v>
      </c>
      <c r="CA25" s="10"/>
      <c r="CB25" s="10"/>
      <c r="CC25" s="10"/>
      <c r="CD25" s="6"/>
      <c r="CE25" s="10"/>
      <c r="CF25" s="6">
        <f t="shared" si="0"/>
        <v>48</v>
      </c>
    </row>
    <row r="26" spans="1:84" x14ac:dyDescent="0.25">
      <c r="A26">
        <v>16</v>
      </c>
      <c r="B26" s="10" t="s">
        <v>592</v>
      </c>
      <c r="C26" s="6"/>
      <c r="D26" s="6" t="s">
        <v>351</v>
      </c>
      <c r="E26" s="6" t="s">
        <v>665</v>
      </c>
      <c r="F26" s="6"/>
      <c r="G26" s="6"/>
      <c r="H26" s="6"/>
      <c r="I26" s="6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6"/>
      <c r="V26" s="10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10"/>
      <c r="BI26" s="10"/>
      <c r="BJ26" s="10"/>
      <c r="BK26" s="10"/>
      <c r="BL26" s="10"/>
      <c r="BM26" s="10"/>
      <c r="BN26" s="10"/>
      <c r="BO26" s="10"/>
      <c r="BP26" s="6"/>
      <c r="BQ26" s="6"/>
      <c r="BR26" s="10"/>
      <c r="BS26" s="10"/>
      <c r="BT26" s="10"/>
      <c r="BU26" s="10"/>
      <c r="BV26" s="10"/>
      <c r="BW26" s="10"/>
      <c r="BX26" s="6"/>
      <c r="BY26" s="6"/>
      <c r="BZ26" s="10">
        <v>48</v>
      </c>
      <c r="CA26" s="10"/>
      <c r="CB26" s="10"/>
      <c r="CC26" s="10"/>
      <c r="CD26" s="6"/>
      <c r="CE26" s="10"/>
      <c r="CF26" s="6">
        <f t="shared" si="0"/>
        <v>48</v>
      </c>
    </row>
    <row r="27" spans="1:84" x14ac:dyDescent="0.25">
      <c r="A27">
        <v>17</v>
      </c>
      <c r="B27" s="10" t="s">
        <v>103</v>
      </c>
      <c r="C27" s="6"/>
      <c r="D27" s="6" t="s">
        <v>213</v>
      </c>
      <c r="E27" s="6" t="s">
        <v>404</v>
      </c>
      <c r="F27" s="6"/>
      <c r="G27" s="6"/>
      <c r="H27" s="6"/>
      <c r="I27" s="6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6"/>
      <c r="V27" s="10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10"/>
      <c r="BI27" s="10"/>
      <c r="BJ27" s="10"/>
      <c r="BK27" s="10"/>
      <c r="BL27" s="10"/>
      <c r="BM27" s="10"/>
      <c r="BN27" s="10"/>
      <c r="BO27" s="10"/>
      <c r="BP27" s="6"/>
      <c r="BQ27" s="6"/>
      <c r="BR27" s="10">
        <v>48</v>
      </c>
      <c r="BS27" s="10">
        <v>40</v>
      </c>
      <c r="BT27" s="10">
        <v>4</v>
      </c>
      <c r="BU27" s="10">
        <v>2.4</v>
      </c>
      <c r="BV27" s="10"/>
      <c r="BW27" s="10"/>
      <c r="BX27" s="6">
        <f>SUM(BQ27:BW27)</f>
        <v>94.4</v>
      </c>
      <c r="BY27" s="6">
        <f>(BX27-BQ27)/2</f>
        <v>47.2</v>
      </c>
      <c r="BZ27" s="10"/>
      <c r="CA27" s="10"/>
      <c r="CB27" s="10"/>
      <c r="CC27" s="10"/>
      <c r="CD27" s="6"/>
      <c r="CE27" s="10"/>
      <c r="CF27" s="6">
        <f t="shared" si="0"/>
        <v>47.2</v>
      </c>
    </row>
    <row r="28" spans="1:84" x14ac:dyDescent="0.25">
      <c r="A28">
        <v>18</v>
      </c>
      <c r="B28" s="10" t="s">
        <v>62</v>
      </c>
      <c r="C28" s="6"/>
      <c r="D28" s="6" t="s">
        <v>210</v>
      </c>
      <c r="E28" s="6" t="s">
        <v>13</v>
      </c>
      <c r="F28" s="6"/>
      <c r="G28" s="6"/>
      <c r="H28" s="6"/>
      <c r="I28" s="6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6"/>
      <c r="V28" s="10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>
        <v>2.4</v>
      </c>
      <c r="AT28" s="6"/>
      <c r="AU28" s="6"/>
      <c r="AV28" s="6"/>
      <c r="AW28" s="6"/>
      <c r="AX28" s="6"/>
      <c r="AY28" s="6">
        <v>75</v>
      </c>
      <c r="AZ28" s="6"/>
      <c r="BA28" s="6">
        <v>50</v>
      </c>
      <c r="BB28" s="6"/>
      <c r="BC28" s="6"/>
      <c r="BD28" s="6"/>
      <c r="BE28" s="6"/>
      <c r="BF28" s="6"/>
      <c r="BG28" s="6"/>
      <c r="BH28" s="10"/>
      <c r="BI28" s="10">
        <v>48</v>
      </c>
      <c r="BJ28" s="10"/>
      <c r="BK28" s="10"/>
      <c r="BL28" s="10">
        <v>75</v>
      </c>
      <c r="BM28" s="10"/>
      <c r="BN28" s="10"/>
      <c r="BO28" s="10">
        <v>72</v>
      </c>
      <c r="BP28" s="6">
        <f>SUM(AR28:BO28)</f>
        <v>322.39999999999998</v>
      </c>
      <c r="BQ28" s="6">
        <f>(BP28-AR28)/2</f>
        <v>161.19999999999999</v>
      </c>
      <c r="BR28" s="10">
        <v>36</v>
      </c>
      <c r="BS28" s="10"/>
      <c r="BT28" s="10">
        <v>54</v>
      </c>
      <c r="BU28" s="10"/>
      <c r="BV28" s="10"/>
      <c r="BW28" s="10"/>
      <c r="BX28" s="6">
        <f>SUM(BQ28:BW28)</f>
        <v>251.2</v>
      </c>
      <c r="BY28" s="6">
        <f>(BX28-BQ28)/2</f>
        <v>45</v>
      </c>
      <c r="BZ28" s="10"/>
      <c r="CA28" s="10"/>
      <c r="CB28" s="10"/>
      <c r="CC28" s="10"/>
      <c r="CD28" s="6"/>
      <c r="CE28" s="10"/>
      <c r="CF28" s="6">
        <f t="shared" si="0"/>
        <v>45</v>
      </c>
    </row>
    <row r="29" spans="1:84" x14ac:dyDescent="0.25">
      <c r="A29">
        <v>19</v>
      </c>
      <c r="B29" s="10" t="s">
        <v>549</v>
      </c>
      <c r="C29" s="6"/>
      <c r="D29" s="6" t="s">
        <v>143</v>
      </c>
      <c r="E29" s="6" t="s">
        <v>139</v>
      </c>
      <c r="F29" s="6"/>
      <c r="G29" s="6"/>
      <c r="H29" s="6"/>
      <c r="I29" s="6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6"/>
      <c r="V29" s="10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10"/>
      <c r="BI29" s="10"/>
      <c r="BJ29" s="10"/>
      <c r="BK29" s="10"/>
      <c r="BL29" s="10"/>
      <c r="BM29" s="10"/>
      <c r="BN29" s="10"/>
      <c r="BO29" s="10"/>
      <c r="BP29" s="6"/>
      <c r="BQ29" s="6"/>
      <c r="BR29" s="10"/>
      <c r="BS29" s="10"/>
      <c r="BT29" s="10"/>
      <c r="BU29" s="10"/>
      <c r="BV29" s="10"/>
      <c r="BW29" s="10"/>
      <c r="BX29" s="6"/>
      <c r="BY29" s="6"/>
      <c r="BZ29" s="10">
        <v>33.6</v>
      </c>
      <c r="CA29" s="10">
        <v>3.2</v>
      </c>
      <c r="CB29" s="10">
        <v>7.5</v>
      </c>
      <c r="CC29" s="10"/>
      <c r="CD29" s="6"/>
      <c r="CE29" s="10"/>
      <c r="CF29" s="6">
        <f t="shared" si="0"/>
        <v>44.300000000000004</v>
      </c>
    </row>
    <row r="30" spans="1:84" x14ac:dyDescent="0.25">
      <c r="A30">
        <v>20</v>
      </c>
      <c r="B30" s="10" t="s">
        <v>29</v>
      </c>
      <c r="C30" s="6"/>
      <c r="D30" s="6" t="s">
        <v>499</v>
      </c>
      <c r="E30" s="6" t="s">
        <v>136</v>
      </c>
      <c r="F30" s="6"/>
      <c r="G30" s="6"/>
      <c r="H30" s="6"/>
      <c r="I30" s="6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6"/>
      <c r="V30" s="10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10"/>
      <c r="BI30" s="10"/>
      <c r="BJ30" s="10"/>
      <c r="BK30" s="10"/>
      <c r="BL30" s="10"/>
      <c r="BM30" s="10"/>
      <c r="BN30" s="10"/>
      <c r="BO30" s="10"/>
      <c r="BP30" s="6"/>
      <c r="BQ30" s="6"/>
      <c r="BR30" s="10"/>
      <c r="BS30" s="10"/>
      <c r="BT30" s="10"/>
      <c r="BU30" s="10"/>
      <c r="BV30" s="10"/>
      <c r="BW30" s="10"/>
      <c r="BX30" s="6"/>
      <c r="BY30" s="6"/>
      <c r="BZ30" s="10">
        <v>36</v>
      </c>
      <c r="CA30" s="10"/>
      <c r="CB30" s="10">
        <v>7.5</v>
      </c>
      <c r="CC30" s="10"/>
      <c r="CD30" s="6"/>
      <c r="CE30" s="10"/>
      <c r="CF30" s="6">
        <f t="shared" si="0"/>
        <v>43.5</v>
      </c>
    </row>
    <row r="31" spans="1:84" x14ac:dyDescent="0.25">
      <c r="A31">
        <v>21</v>
      </c>
      <c r="B31" s="10" t="s">
        <v>41</v>
      </c>
      <c r="C31" s="6"/>
      <c r="D31" s="6" t="s">
        <v>552</v>
      </c>
      <c r="E31" s="6" t="s">
        <v>553</v>
      </c>
      <c r="F31" s="6"/>
      <c r="G31" s="6"/>
      <c r="H31" s="6"/>
      <c r="I31" s="6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6"/>
      <c r="V31" s="10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10"/>
      <c r="BI31" s="10"/>
      <c r="BJ31" s="10"/>
      <c r="BK31" s="10"/>
      <c r="BL31" s="10"/>
      <c r="BM31" s="10"/>
      <c r="BN31" s="10"/>
      <c r="BO31" s="10"/>
      <c r="BP31" s="6"/>
      <c r="BQ31" s="6"/>
      <c r="BR31" s="10"/>
      <c r="BS31" s="10"/>
      <c r="BT31" s="10"/>
      <c r="BU31" s="10"/>
      <c r="BV31" s="10"/>
      <c r="BW31" s="10"/>
      <c r="BX31" s="6"/>
      <c r="BY31" s="6"/>
      <c r="BZ31" s="10">
        <v>36</v>
      </c>
      <c r="CA31" s="10"/>
      <c r="CB31" s="10"/>
      <c r="CC31" s="10"/>
      <c r="CD31" s="6"/>
      <c r="CE31" s="10"/>
      <c r="CF31" s="6">
        <f t="shared" si="0"/>
        <v>36</v>
      </c>
    </row>
    <row r="32" spans="1:84" x14ac:dyDescent="0.25">
      <c r="A32">
        <v>22</v>
      </c>
      <c r="B32" s="10" t="s">
        <v>516</v>
      </c>
      <c r="C32" s="6"/>
      <c r="D32" s="6" t="s">
        <v>422</v>
      </c>
      <c r="E32" s="6" t="s">
        <v>517</v>
      </c>
      <c r="F32" s="6"/>
      <c r="G32" s="6"/>
      <c r="H32" s="6"/>
      <c r="I32" s="6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6"/>
      <c r="V32" s="10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10"/>
      <c r="BI32" s="10"/>
      <c r="BJ32" s="10"/>
      <c r="BK32" s="10"/>
      <c r="BL32" s="10"/>
      <c r="BM32" s="10"/>
      <c r="BN32" s="10"/>
      <c r="BO32" s="10"/>
      <c r="BP32" s="6"/>
      <c r="BQ32" s="6"/>
      <c r="BR32" s="10"/>
      <c r="BS32" s="10"/>
      <c r="BT32" s="10"/>
      <c r="BU32" s="10"/>
      <c r="BV32" s="10"/>
      <c r="BW32" s="10"/>
      <c r="BX32" s="6"/>
      <c r="BY32" s="6"/>
      <c r="BZ32" s="10">
        <v>33.6</v>
      </c>
      <c r="CA32" s="10"/>
      <c r="CB32" s="10"/>
      <c r="CC32" s="10"/>
      <c r="CD32" s="6"/>
      <c r="CE32" s="10"/>
      <c r="CF32" s="6">
        <f t="shared" si="0"/>
        <v>33.6</v>
      </c>
    </row>
    <row r="33" spans="1:84" x14ac:dyDescent="0.25">
      <c r="A33">
        <v>23</v>
      </c>
      <c r="B33" s="10" t="s">
        <v>644</v>
      </c>
      <c r="C33" s="6"/>
      <c r="D33" s="6" t="s">
        <v>407</v>
      </c>
      <c r="E33" s="6" t="s">
        <v>64</v>
      </c>
      <c r="F33" s="6"/>
      <c r="G33" s="6"/>
      <c r="H33" s="6"/>
      <c r="I33" s="6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6"/>
      <c r="V33" s="10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10"/>
      <c r="BI33" s="10"/>
      <c r="BJ33" s="10"/>
      <c r="BK33" s="10"/>
      <c r="BL33" s="10"/>
      <c r="BM33" s="10"/>
      <c r="BN33" s="10"/>
      <c r="BO33" s="10"/>
      <c r="BP33" s="6"/>
      <c r="BQ33" s="6"/>
      <c r="BR33" s="10"/>
      <c r="BS33" s="10"/>
      <c r="BT33" s="10"/>
      <c r="BU33" s="10"/>
      <c r="BV33" s="10"/>
      <c r="BW33" s="10"/>
      <c r="BX33" s="6"/>
      <c r="BY33" s="6"/>
      <c r="BZ33" s="10">
        <v>30</v>
      </c>
      <c r="CA33" s="10"/>
      <c r="CB33" s="10"/>
      <c r="CC33" s="10"/>
      <c r="CD33" s="6"/>
      <c r="CE33" s="10"/>
      <c r="CF33" s="6">
        <f t="shared" si="0"/>
        <v>30</v>
      </c>
    </row>
    <row r="34" spans="1:84" x14ac:dyDescent="0.25">
      <c r="A34">
        <v>24</v>
      </c>
      <c r="B34" s="10" t="s">
        <v>209</v>
      </c>
      <c r="C34" s="6"/>
      <c r="D34" s="6" t="s">
        <v>441</v>
      </c>
      <c r="E34" s="6" t="s">
        <v>59</v>
      </c>
      <c r="F34" s="6"/>
      <c r="G34" s="6"/>
      <c r="H34" s="6"/>
      <c r="I34" s="6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6"/>
      <c r="V34" s="10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10"/>
      <c r="BI34" s="10"/>
      <c r="BJ34" s="10"/>
      <c r="BK34" s="10"/>
      <c r="BL34" s="10"/>
      <c r="BM34" s="10"/>
      <c r="BN34" s="10"/>
      <c r="BO34" s="10"/>
      <c r="BP34" s="6">
        <v>220.5</v>
      </c>
      <c r="BQ34" s="6">
        <f>BP34/2</f>
        <v>110.25</v>
      </c>
      <c r="BR34" s="10"/>
      <c r="BS34" s="10"/>
      <c r="BT34" s="10">
        <v>7.5</v>
      </c>
      <c r="BU34" s="10">
        <v>7.5</v>
      </c>
      <c r="BV34" s="10"/>
      <c r="BW34" s="10"/>
      <c r="BX34" s="6">
        <f>SUM(BQ34:BW34)</f>
        <v>125.25</v>
      </c>
      <c r="BY34" s="6">
        <f>(BX34-BQ34)/2</f>
        <v>7.5</v>
      </c>
      <c r="BZ34" s="10"/>
      <c r="CA34" s="10"/>
      <c r="CB34" s="10"/>
      <c r="CC34" s="10"/>
      <c r="CD34" s="6"/>
      <c r="CE34" s="10"/>
      <c r="CF34" s="6">
        <f t="shared" si="0"/>
        <v>7.5</v>
      </c>
    </row>
    <row r="35" spans="1:84" x14ac:dyDescent="0.25">
      <c r="A35">
        <v>25</v>
      </c>
      <c r="B35" s="10" t="s">
        <v>472</v>
      </c>
      <c r="C35" s="6"/>
      <c r="D35" s="6" t="s">
        <v>333</v>
      </c>
      <c r="E35" s="6" t="s">
        <v>473</v>
      </c>
      <c r="F35" s="6"/>
      <c r="G35" s="6"/>
      <c r="H35" s="6"/>
      <c r="I35" s="6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6"/>
      <c r="V35" s="10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10"/>
      <c r="BI35" s="10"/>
      <c r="BJ35" s="10"/>
      <c r="BK35" s="10"/>
      <c r="BL35" s="10"/>
      <c r="BM35" s="10"/>
      <c r="BN35" s="10"/>
      <c r="BO35" s="10"/>
      <c r="BP35" s="6"/>
      <c r="BQ35" s="6"/>
      <c r="BR35" s="10">
        <v>2.4</v>
      </c>
      <c r="BS35" s="10"/>
      <c r="BT35" s="10">
        <v>7.5</v>
      </c>
      <c r="BU35" s="10"/>
      <c r="BV35" s="10"/>
      <c r="BW35" s="10"/>
      <c r="BX35" s="6">
        <f>SUM(BQ35:BW35)</f>
        <v>9.9</v>
      </c>
      <c r="BY35" s="6">
        <f>(BX35-BQ35)/2</f>
        <v>4.95</v>
      </c>
      <c r="BZ35" s="10"/>
      <c r="CA35" s="10"/>
      <c r="CB35" s="10"/>
      <c r="CC35" s="10"/>
      <c r="CD35" s="6"/>
      <c r="CE35" s="10"/>
      <c r="CF35" s="6">
        <f t="shared" si="0"/>
        <v>4.95</v>
      </c>
    </row>
    <row r="36" spans="1:84" x14ac:dyDescent="0.25">
      <c r="A36">
        <v>26</v>
      </c>
      <c r="B36" s="10" t="s">
        <v>230</v>
      </c>
      <c r="C36" s="6"/>
      <c r="D36" s="6" t="s">
        <v>632</v>
      </c>
      <c r="E36" s="6" t="s">
        <v>263</v>
      </c>
      <c r="F36" s="6"/>
      <c r="G36" s="6"/>
      <c r="H36" s="6"/>
      <c r="I36" s="6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6"/>
      <c r="V36" s="10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10"/>
      <c r="BI36" s="10"/>
      <c r="BJ36" s="10"/>
      <c r="BK36" s="10"/>
      <c r="BL36" s="10"/>
      <c r="BM36" s="10"/>
      <c r="BN36" s="10"/>
      <c r="BO36" s="10"/>
      <c r="BP36" s="6"/>
      <c r="BQ36" s="6"/>
      <c r="BR36" s="10"/>
      <c r="BS36" s="10"/>
      <c r="BT36" s="10"/>
      <c r="BU36" s="10"/>
      <c r="BV36" s="10"/>
      <c r="BW36" s="10"/>
      <c r="BX36" s="6"/>
      <c r="BY36" s="6"/>
      <c r="BZ36" s="10"/>
      <c r="CA36" s="10">
        <v>4</v>
      </c>
      <c r="CB36" s="10"/>
      <c r="CC36" s="10"/>
      <c r="CD36" s="6"/>
      <c r="CE36" s="10"/>
      <c r="CF36" s="6">
        <f t="shared" si="0"/>
        <v>4</v>
      </c>
    </row>
    <row r="37" spans="1:84" x14ac:dyDescent="0.25">
      <c r="A37">
        <v>27</v>
      </c>
      <c r="B37" s="10" t="s">
        <v>119</v>
      </c>
      <c r="C37" s="6"/>
      <c r="D37" s="6" t="s">
        <v>474</v>
      </c>
      <c r="E37" s="6" t="s">
        <v>473</v>
      </c>
      <c r="F37" s="6"/>
      <c r="G37" s="6"/>
      <c r="H37" s="6"/>
      <c r="I37" s="6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6"/>
      <c r="V37" s="10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10"/>
      <c r="BI37" s="10"/>
      <c r="BJ37" s="10"/>
      <c r="BK37" s="10"/>
      <c r="BL37" s="10"/>
      <c r="BM37" s="10"/>
      <c r="BN37" s="10"/>
      <c r="BO37" s="10"/>
      <c r="BP37" s="6"/>
      <c r="BQ37" s="6"/>
      <c r="BR37" s="10"/>
      <c r="BS37" s="10"/>
      <c r="BT37" s="10">
        <v>7.5</v>
      </c>
      <c r="BU37" s="10"/>
      <c r="BV37" s="10"/>
      <c r="BW37" s="10"/>
      <c r="BX37" s="6">
        <f>SUM(BQ37:BW37)</f>
        <v>7.5</v>
      </c>
      <c r="BY37" s="6">
        <f>(BX37-BQ37)/2</f>
        <v>3.75</v>
      </c>
      <c r="BZ37" s="10"/>
      <c r="CA37" s="10"/>
      <c r="CB37" s="10"/>
      <c r="CC37" s="10"/>
      <c r="CD37" s="6"/>
      <c r="CE37" s="10"/>
      <c r="CF37" s="6">
        <f t="shared" si="0"/>
        <v>3.75</v>
      </c>
    </row>
    <row r="38" spans="1:84" x14ac:dyDescent="0.25">
      <c r="A38">
        <v>28</v>
      </c>
      <c r="B38" s="10" t="s">
        <v>487</v>
      </c>
      <c r="C38" s="6"/>
      <c r="D38" s="6" t="s">
        <v>206</v>
      </c>
      <c r="E38" s="6" t="s">
        <v>133</v>
      </c>
      <c r="F38" s="6"/>
      <c r="G38" s="6"/>
      <c r="H38" s="6"/>
      <c r="I38" s="6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6"/>
      <c r="V38" s="10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10"/>
      <c r="BI38" s="10"/>
      <c r="BJ38" s="10"/>
      <c r="BK38" s="10"/>
      <c r="BL38" s="10"/>
      <c r="BM38" s="10"/>
      <c r="BN38" s="10"/>
      <c r="BO38" s="10"/>
      <c r="BP38" s="6"/>
      <c r="BQ38" s="6"/>
      <c r="BR38" s="10"/>
      <c r="BS38" s="10"/>
      <c r="BT38" s="10">
        <v>7.5</v>
      </c>
      <c r="BU38" s="10"/>
      <c r="BV38" s="10"/>
      <c r="BW38" s="10"/>
      <c r="BX38" s="6">
        <f>SUM(BQ38:BW38)</f>
        <v>7.5</v>
      </c>
      <c r="BY38" s="6">
        <f>(BX38-BQ38)/2</f>
        <v>3.75</v>
      </c>
      <c r="BZ38" s="10"/>
      <c r="CA38" s="10"/>
      <c r="CB38" s="10"/>
      <c r="CC38" s="10"/>
      <c r="CD38" s="6"/>
      <c r="CE38" s="10"/>
      <c r="CF38" s="6">
        <f t="shared" si="0"/>
        <v>3.75</v>
      </c>
    </row>
    <row r="39" spans="1:84" x14ac:dyDescent="0.25">
      <c r="A39">
        <v>29</v>
      </c>
      <c r="B39" s="10" t="s">
        <v>579</v>
      </c>
      <c r="C39" s="6"/>
      <c r="D39" s="6" t="s">
        <v>109</v>
      </c>
      <c r="E39" s="6" t="s">
        <v>185</v>
      </c>
      <c r="F39" s="6"/>
      <c r="G39" s="6"/>
      <c r="H39" s="6"/>
      <c r="I39" s="6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6"/>
      <c r="V39" s="10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10"/>
      <c r="BI39" s="10"/>
      <c r="BJ39" s="10"/>
      <c r="BK39" s="10"/>
      <c r="BL39" s="10"/>
      <c r="BM39" s="10"/>
      <c r="BN39" s="10"/>
      <c r="BO39" s="10"/>
      <c r="BP39" s="6"/>
      <c r="BQ39" s="6"/>
      <c r="BR39" s="10"/>
      <c r="BS39" s="10"/>
      <c r="BT39" s="10"/>
      <c r="BU39" s="10"/>
      <c r="BV39" s="10"/>
      <c r="BW39" s="10"/>
      <c r="BX39" s="6"/>
      <c r="BY39" s="6"/>
      <c r="BZ39" s="10">
        <v>3</v>
      </c>
      <c r="CA39" s="10"/>
      <c r="CB39" s="10"/>
      <c r="CC39" s="10"/>
      <c r="CD39" s="6"/>
      <c r="CE39" s="10"/>
      <c r="CF39" s="6">
        <f t="shared" si="0"/>
        <v>3</v>
      </c>
    </row>
    <row r="40" spans="1:84" x14ac:dyDescent="0.25">
      <c r="A40">
        <v>30</v>
      </c>
      <c r="B40" s="10" t="s">
        <v>286</v>
      </c>
      <c r="C40" s="6"/>
      <c r="D40" s="6" t="s">
        <v>666</v>
      </c>
      <c r="E40" s="6" t="s">
        <v>501</v>
      </c>
      <c r="F40" s="6"/>
      <c r="G40" s="6"/>
      <c r="H40" s="6"/>
      <c r="I40" s="6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6"/>
      <c r="V40" s="10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10"/>
      <c r="BI40" s="10"/>
      <c r="BJ40" s="10"/>
      <c r="BK40" s="10"/>
      <c r="BL40" s="10"/>
      <c r="BM40" s="10"/>
      <c r="BN40" s="10"/>
      <c r="BO40" s="10"/>
      <c r="BP40" s="6"/>
      <c r="BQ40" s="6"/>
      <c r="BR40" s="10"/>
      <c r="BS40" s="10"/>
      <c r="BT40" s="10"/>
      <c r="BU40" s="10"/>
      <c r="BV40" s="10"/>
      <c r="BW40" s="10"/>
      <c r="BX40" s="6"/>
      <c r="BY40" s="6"/>
      <c r="BZ40" s="10">
        <v>2.4</v>
      </c>
      <c r="CA40" s="10"/>
      <c r="CB40" s="10"/>
      <c r="CC40" s="10"/>
      <c r="CD40" s="6"/>
      <c r="CE40" s="10"/>
      <c r="CF40" s="6">
        <f t="shared" si="0"/>
        <v>2.4</v>
      </c>
    </row>
  </sheetData>
  <sortState xmlns:xlrd2="http://schemas.microsoft.com/office/spreadsheetml/2017/richdata2" ref="B11:CF40">
    <sortCondition descending="1" ref="CF11:CF40"/>
  </sortState>
  <mergeCells count="5">
    <mergeCell ref="B8:C10"/>
    <mergeCell ref="BT9:BW9"/>
    <mergeCell ref="CB9:CE9"/>
    <mergeCell ref="D4:CF5"/>
    <mergeCell ref="B1:CF1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M27"/>
  <sheetViews>
    <sheetView zoomScale="80" zoomScaleNormal="80" workbookViewId="0">
      <selection activeCell="CJ32" sqref="CJ32"/>
    </sheetView>
  </sheetViews>
  <sheetFormatPr baseColWidth="10" defaultRowHeight="15" x14ac:dyDescent="0.25"/>
  <cols>
    <col min="1" max="1" width="3.140625" bestFit="1" customWidth="1"/>
    <col min="2" max="2" width="13.5703125" bestFit="1" customWidth="1"/>
    <col min="3" max="3" width="11.42578125" bestFit="1" customWidth="1"/>
    <col min="5" max="5" width="22.28515625" bestFit="1" customWidth="1"/>
    <col min="6" max="8" width="6.42578125" hidden="1" customWidth="1"/>
    <col min="9" max="12" width="7.28515625" hidden="1" customWidth="1"/>
    <col min="13" max="21" width="7.28515625" style="7" hidden="1" customWidth="1"/>
    <col min="22" max="22" width="6.42578125" style="7" hidden="1" customWidth="1"/>
    <col min="23" max="24" width="6.7109375" style="7" hidden="1" customWidth="1"/>
    <col min="25" max="26" width="0" hidden="1" customWidth="1"/>
    <col min="27" max="27" width="5.5703125" style="7" hidden="1" customWidth="1"/>
    <col min="28" max="46" width="5.5703125" hidden="1" customWidth="1"/>
    <col min="47" max="47" width="6.140625" hidden="1" customWidth="1"/>
    <col min="48" max="48" width="0" hidden="1" customWidth="1"/>
    <col min="49" max="58" width="5.5703125" hidden="1" customWidth="1"/>
    <col min="59" max="60" width="5.5703125" style="7" hidden="1" customWidth="1"/>
    <col min="61" max="67" width="6" style="7" hidden="1" customWidth="1"/>
    <col min="68" max="68" width="10.85546875" style="7" hidden="1" customWidth="1"/>
    <col min="69" max="73" width="6.140625" style="7" hidden="1" customWidth="1"/>
    <col min="74" max="74" width="6.85546875" style="7" hidden="1" customWidth="1"/>
    <col min="75" max="75" width="6.7109375" hidden="1" customWidth="1"/>
    <col min="76" max="76" width="7.85546875" hidden="1" customWidth="1"/>
    <col min="77" max="77" width="7.28515625" style="7" hidden="1" customWidth="1"/>
    <col min="78" max="82" width="7.85546875" style="7" hidden="1" customWidth="1"/>
    <col min="85" max="85" width="7.85546875" style="7" customWidth="1"/>
    <col min="86" max="86" width="7.7109375" style="7" customWidth="1"/>
    <col min="87" max="87" width="7.140625" style="7" customWidth="1"/>
    <col min="88" max="88" width="11.42578125" style="7"/>
    <col min="89" max="90" width="7.85546875" style="7" customWidth="1"/>
  </cols>
  <sheetData>
    <row r="1" spans="1:91" ht="26.25" x14ac:dyDescent="0.4">
      <c r="B1" s="34" t="s">
        <v>3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</row>
    <row r="2" spans="1:91" ht="15.75" thickBot="1" x14ac:dyDescent="0.3">
      <c r="C2" s="7"/>
      <c r="D2" s="7"/>
      <c r="E2" s="7"/>
    </row>
    <row r="3" spans="1:91" ht="15.75" thickTop="1" x14ac:dyDescent="0.25">
      <c r="B3" s="1" t="s">
        <v>0</v>
      </c>
      <c r="C3" s="4" t="s">
        <v>14</v>
      </c>
    </row>
    <row r="4" spans="1:91" ht="14.65" customHeight="1" x14ac:dyDescent="0.25">
      <c r="B4" s="2" t="s">
        <v>1</v>
      </c>
      <c r="C4" s="5" t="s">
        <v>7</v>
      </c>
      <c r="D4" s="32" t="s">
        <v>492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</row>
    <row r="5" spans="1:91" ht="15" customHeight="1" thickBot="1" x14ac:dyDescent="0.3">
      <c r="B5" s="3" t="s">
        <v>2</v>
      </c>
      <c r="C5" s="15">
        <v>-63</v>
      </c>
      <c r="D5" s="32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</row>
    <row r="6" spans="1:91" ht="15.75" thickTop="1" x14ac:dyDescent="0.25"/>
    <row r="7" spans="1:91" ht="15.75" thickBot="1" x14ac:dyDescent="0.3"/>
    <row r="8" spans="1:91" ht="15.75" thickTop="1" x14ac:dyDescent="0.25">
      <c r="B8" s="25" t="s">
        <v>9</v>
      </c>
      <c r="C8" s="26"/>
      <c r="D8" s="1"/>
      <c r="E8" s="1"/>
      <c r="F8" s="4" t="s">
        <v>10</v>
      </c>
      <c r="G8" s="4" t="s">
        <v>10</v>
      </c>
      <c r="H8" s="4" t="s">
        <v>53</v>
      </c>
      <c r="I8" s="4" t="s">
        <v>66</v>
      </c>
      <c r="J8" s="4" t="s">
        <v>10</v>
      </c>
      <c r="K8" s="4" t="s">
        <v>85</v>
      </c>
      <c r="L8" s="4" t="s">
        <v>86</v>
      </c>
      <c r="M8" s="4" t="s">
        <v>92</v>
      </c>
      <c r="N8" s="4" t="s">
        <v>97</v>
      </c>
      <c r="O8" s="4" t="s">
        <v>10</v>
      </c>
      <c r="P8" s="4" t="s">
        <v>10</v>
      </c>
      <c r="Q8" s="4" t="s">
        <v>10</v>
      </c>
      <c r="R8" s="4" t="s">
        <v>10</v>
      </c>
      <c r="S8" s="4" t="s">
        <v>10</v>
      </c>
      <c r="T8" s="4" t="s">
        <v>10</v>
      </c>
      <c r="U8" s="4" t="s">
        <v>107</v>
      </c>
      <c r="V8" s="4" t="s">
        <v>10</v>
      </c>
      <c r="W8" s="4" t="s">
        <v>112</v>
      </c>
      <c r="X8" s="4" t="s">
        <v>115</v>
      </c>
      <c r="Y8" s="1"/>
      <c r="Z8" s="11">
        <v>44927</v>
      </c>
      <c r="AA8" s="12" t="s">
        <v>10</v>
      </c>
      <c r="AB8" s="4" t="s">
        <v>10</v>
      </c>
      <c r="AC8" s="4" t="s">
        <v>115</v>
      </c>
      <c r="AD8" s="4" t="s">
        <v>10</v>
      </c>
      <c r="AE8" s="4" t="s">
        <v>10</v>
      </c>
      <c r="AF8" s="4" t="s">
        <v>10</v>
      </c>
      <c r="AG8" s="4" t="s">
        <v>151</v>
      </c>
      <c r="AH8" s="4" t="s">
        <v>151</v>
      </c>
      <c r="AI8" s="4" t="s">
        <v>151</v>
      </c>
      <c r="AJ8" s="4" t="s">
        <v>114</v>
      </c>
      <c r="AK8" s="4" t="s">
        <v>115</v>
      </c>
      <c r="AL8" s="4" t="s">
        <v>10</v>
      </c>
      <c r="AM8" s="4" t="s">
        <v>112</v>
      </c>
      <c r="AN8" s="4" t="s">
        <v>10</v>
      </c>
      <c r="AO8" s="4" t="s">
        <v>10</v>
      </c>
      <c r="AP8" s="4" t="s">
        <v>10</v>
      </c>
      <c r="AQ8" s="4" t="s">
        <v>115</v>
      </c>
      <c r="AR8" s="4" t="s">
        <v>10</v>
      </c>
      <c r="AS8" s="4" t="s">
        <v>10</v>
      </c>
      <c r="AT8" s="4" t="s">
        <v>116</v>
      </c>
      <c r="AU8" s="4" t="s">
        <v>6</v>
      </c>
      <c r="AV8" s="12">
        <v>45292</v>
      </c>
      <c r="AW8" s="12" t="s">
        <v>10</v>
      </c>
      <c r="AX8" s="12" t="s">
        <v>10</v>
      </c>
      <c r="AY8" s="12" t="s">
        <v>10</v>
      </c>
      <c r="AZ8" s="12" t="s">
        <v>10</v>
      </c>
      <c r="BA8" s="12" t="s">
        <v>10</v>
      </c>
      <c r="BB8" s="12" t="s">
        <v>10</v>
      </c>
      <c r="BC8" s="12" t="s">
        <v>10</v>
      </c>
      <c r="BD8" s="12" t="s">
        <v>10</v>
      </c>
      <c r="BE8" s="12" t="s">
        <v>10</v>
      </c>
      <c r="BF8" s="12" t="s">
        <v>115</v>
      </c>
      <c r="BG8" s="12" t="s">
        <v>115</v>
      </c>
      <c r="BH8" s="12" t="s">
        <v>151</v>
      </c>
      <c r="BI8" s="12" t="s">
        <v>151</v>
      </c>
      <c r="BJ8" s="12" t="s">
        <v>151</v>
      </c>
      <c r="BK8" s="12" t="s">
        <v>115</v>
      </c>
      <c r="BL8" s="12" t="s">
        <v>10</v>
      </c>
      <c r="BM8" s="12" t="s">
        <v>10</v>
      </c>
      <c r="BN8" s="12" t="s">
        <v>10</v>
      </c>
      <c r="BO8" s="12" t="s">
        <v>10</v>
      </c>
      <c r="BP8" s="12" t="s">
        <v>10</v>
      </c>
      <c r="BQ8" s="12" t="s">
        <v>10</v>
      </c>
      <c r="BR8" s="12" t="s">
        <v>10</v>
      </c>
      <c r="BS8" s="12" t="s">
        <v>10</v>
      </c>
      <c r="BT8" s="12" t="s">
        <v>115</v>
      </c>
      <c r="BU8" s="12" t="s">
        <v>299</v>
      </c>
      <c r="BV8" s="12" t="s">
        <v>116</v>
      </c>
      <c r="BW8" s="12" t="s">
        <v>6</v>
      </c>
      <c r="BX8" s="12">
        <v>45658</v>
      </c>
      <c r="BY8" s="12"/>
      <c r="BZ8" s="12"/>
      <c r="CA8" s="17"/>
      <c r="CB8" s="18"/>
      <c r="CC8" s="18"/>
      <c r="CD8" s="19"/>
      <c r="CE8" s="12" t="s">
        <v>6</v>
      </c>
      <c r="CF8" s="12">
        <v>46023</v>
      </c>
      <c r="CG8" s="12"/>
      <c r="CH8" s="12"/>
      <c r="CI8" s="17"/>
      <c r="CJ8" s="18"/>
      <c r="CK8" s="18"/>
      <c r="CL8" s="19"/>
      <c r="CM8" s="12" t="s">
        <v>6</v>
      </c>
    </row>
    <row r="9" spans="1:91" x14ac:dyDescent="0.25">
      <c r="B9" s="27"/>
      <c r="C9" s="28"/>
      <c r="D9" s="2"/>
      <c r="E9" s="2"/>
      <c r="F9" s="8" t="s">
        <v>19</v>
      </c>
      <c r="G9" s="5" t="s">
        <v>43</v>
      </c>
      <c r="H9" s="8" t="s">
        <v>54</v>
      </c>
      <c r="I9" s="8" t="s">
        <v>67</v>
      </c>
      <c r="J9" s="8" t="s">
        <v>73</v>
      </c>
      <c r="K9" s="8" t="s">
        <v>83</v>
      </c>
      <c r="L9" s="8" t="s">
        <v>87</v>
      </c>
      <c r="M9" s="8" t="s">
        <v>93</v>
      </c>
      <c r="N9" s="8" t="s">
        <v>54</v>
      </c>
      <c r="O9" s="8" t="s">
        <v>99</v>
      </c>
      <c r="P9" s="8" t="s">
        <v>32</v>
      </c>
      <c r="Q9" s="8" t="s">
        <v>19</v>
      </c>
      <c r="R9" s="8" t="s">
        <v>99</v>
      </c>
      <c r="S9" s="8" t="s">
        <v>76</v>
      </c>
      <c r="T9" s="8" t="s">
        <v>102</v>
      </c>
      <c r="U9" s="8" t="s">
        <v>108</v>
      </c>
      <c r="V9" s="8" t="s">
        <v>73</v>
      </c>
      <c r="W9" s="8" t="s">
        <v>113</v>
      </c>
      <c r="X9" s="8" t="s">
        <v>116</v>
      </c>
      <c r="Y9" s="2" t="s">
        <v>6</v>
      </c>
      <c r="Z9" s="2"/>
      <c r="AA9" s="5" t="s">
        <v>32</v>
      </c>
      <c r="AB9" s="8" t="s">
        <v>19</v>
      </c>
      <c r="AC9" s="8" t="s">
        <v>85</v>
      </c>
      <c r="AD9" s="8" t="s">
        <v>81</v>
      </c>
      <c r="AE9" s="8" t="s">
        <v>102</v>
      </c>
      <c r="AF9" s="8" t="s">
        <v>43</v>
      </c>
      <c r="AG9" s="8" t="s">
        <v>86</v>
      </c>
      <c r="AH9" s="8" t="s">
        <v>92</v>
      </c>
      <c r="AI9" s="8" t="s">
        <v>85</v>
      </c>
      <c r="AJ9" s="8" t="s">
        <v>159</v>
      </c>
      <c r="AK9" s="8" t="s">
        <v>86</v>
      </c>
      <c r="AL9" s="8" t="s">
        <v>167</v>
      </c>
      <c r="AM9" s="8" t="s">
        <v>170</v>
      </c>
      <c r="AN9" s="8" t="s">
        <v>102</v>
      </c>
      <c r="AO9" s="8" t="s">
        <v>81</v>
      </c>
      <c r="AP9" s="8" t="s">
        <v>19</v>
      </c>
      <c r="AQ9" s="8" t="s">
        <v>92</v>
      </c>
      <c r="AR9" s="8" t="s">
        <v>76</v>
      </c>
      <c r="AS9" s="8" t="s">
        <v>192</v>
      </c>
      <c r="AT9" s="8"/>
      <c r="AU9" s="2"/>
      <c r="AV9" s="5"/>
      <c r="AW9" s="5" t="s">
        <v>81</v>
      </c>
      <c r="AX9" s="5" t="s">
        <v>11</v>
      </c>
      <c r="AY9" s="5" t="s">
        <v>99</v>
      </c>
      <c r="AZ9" s="5" t="s">
        <v>167</v>
      </c>
      <c r="BA9" s="5" t="s">
        <v>195</v>
      </c>
      <c r="BB9" s="5" t="s">
        <v>76</v>
      </c>
      <c r="BC9" s="5" t="s">
        <v>19</v>
      </c>
      <c r="BD9" s="5" t="s">
        <v>32</v>
      </c>
      <c r="BE9" s="5" t="s">
        <v>43</v>
      </c>
      <c r="BF9" s="5" t="s">
        <v>86</v>
      </c>
      <c r="BG9" s="5" t="s">
        <v>267</v>
      </c>
      <c r="BH9" s="5" t="s">
        <v>86</v>
      </c>
      <c r="BI9" s="5" t="s">
        <v>85</v>
      </c>
      <c r="BJ9" s="5" t="s">
        <v>92</v>
      </c>
      <c r="BK9" s="5" t="s">
        <v>85</v>
      </c>
      <c r="BL9" s="5" t="s">
        <v>81</v>
      </c>
      <c r="BM9" s="5" t="s">
        <v>19</v>
      </c>
      <c r="BN9" s="5" t="s">
        <v>195</v>
      </c>
      <c r="BO9" s="5" t="s">
        <v>167</v>
      </c>
      <c r="BP9" s="5" t="s">
        <v>177</v>
      </c>
      <c r="BQ9" s="5" t="s">
        <v>32</v>
      </c>
      <c r="BR9" s="5" t="s">
        <v>11</v>
      </c>
      <c r="BS9" s="5" t="s">
        <v>294</v>
      </c>
      <c r="BT9" s="5" t="s">
        <v>92</v>
      </c>
      <c r="BU9" s="5" t="s">
        <v>195</v>
      </c>
      <c r="BV9" s="5" t="s">
        <v>303</v>
      </c>
      <c r="BW9" s="5"/>
      <c r="BX9" s="5"/>
      <c r="BY9" s="8" t="s">
        <v>10</v>
      </c>
      <c r="BZ9" s="8" t="s">
        <v>151</v>
      </c>
      <c r="CA9" s="29" t="s">
        <v>305</v>
      </c>
      <c r="CB9" s="30"/>
      <c r="CC9" s="30"/>
      <c r="CD9" s="31"/>
      <c r="CE9" s="5"/>
      <c r="CF9" s="5"/>
      <c r="CG9" s="8" t="s">
        <v>10</v>
      </c>
      <c r="CH9" s="8" t="s">
        <v>151</v>
      </c>
      <c r="CI9" s="29" t="s">
        <v>305</v>
      </c>
      <c r="CJ9" s="30"/>
      <c r="CK9" s="30"/>
      <c r="CL9" s="31"/>
      <c r="CM9" s="5"/>
    </row>
    <row r="10" spans="1:91" x14ac:dyDescent="0.25">
      <c r="B10" s="27"/>
      <c r="C10" s="28"/>
      <c r="D10" s="2" t="s">
        <v>4</v>
      </c>
      <c r="E10" s="2" t="s">
        <v>5</v>
      </c>
      <c r="F10" s="9">
        <v>44660</v>
      </c>
      <c r="G10" s="9">
        <v>44674</v>
      </c>
      <c r="H10" s="9">
        <v>44681</v>
      </c>
      <c r="I10" s="9">
        <v>44696</v>
      </c>
      <c r="J10" s="9">
        <v>44709</v>
      </c>
      <c r="K10" s="9">
        <v>44730</v>
      </c>
      <c r="L10" s="9">
        <v>44730</v>
      </c>
      <c r="M10" s="9">
        <v>44737</v>
      </c>
      <c r="N10" s="9">
        <v>44759</v>
      </c>
      <c r="O10" s="9">
        <v>44765</v>
      </c>
      <c r="P10" s="9">
        <v>44779</v>
      </c>
      <c r="Q10" s="9">
        <v>44793</v>
      </c>
      <c r="R10" s="9">
        <v>44814</v>
      </c>
      <c r="S10" s="9">
        <v>44814</v>
      </c>
      <c r="T10" s="9">
        <v>44814</v>
      </c>
      <c r="U10" s="9">
        <v>44828</v>
      </c>
      <c r="V10" s="9">
        <v>44849</v>
      </c>
      <c r="W10" s="9">
        <v>44869</v>
      </c>
      <c r="X10" s="9">
        <v>44905</v>
      </c>
      <c r="Y10" s="2">
        <v>2022</v>
      </c>
      <c r="Z10" s="2"/>
      <c r="AA10" s="5" t="s">
        <v>120</v>
      </c>
      <c r="AB10" s="2" t="s">
        <v>127</v>
      </c>
      <c r="AC10" s="2" t="s">
        <v>129</v>
      </c>
      <c r="AD10" s="2" t="s">
        <v>146</v>
      </c>
      <c r="AE10" s="2" t="s">
        <v>145</v>
      </c>
      <c r="AF10" s="2" t="s">
        <v>148</v>
      </c>
      <c r="AG10" s="2" t="s">
        <v>152</v>
      </c>
      <c r="AH10" s="2" t="s">
        <v>156</v>
      </c>
      <c r="AI10" s="2" t="s">
        <v>158</v>
      </c>
      <c r="AJ10" s="2" t="s">
        <v>160</v>
      </c>
      <c r="AK10" s="2" t="s">
        <v>164</v>
      </c>
      <c r="AL10" s="2" t="s">
        <v>168</v>
      </c>
      <c r="AM10" s="2" t="s">
        <v>171</v>
      </c>
      <c r="AN10" s="2" t="s">
        <v>172</v>
      </c>
      <c r="AO10" s="2" t="s">
        <v>172</v>
      </c>
      <c r="AP10" s="2" t="s">
        <v>175</v>
      </c>
      <c r="AQ10" s="2" t="s">
        <v>181</v>
      </c>
      <c r="AR10" s="2" t="s">
        <v>187</v>
      </c>
      <c r="AS10" s="2" t="s">
        <v>190</v>
      </c>
      <c r="AT10" s="2" t="s">
        <v>194</v>
      </c>
      <c r="AU10" s="14">
        <v>2023</v>
      </c>
      <c r="AV10" s="13"/>
      <c r="AW10" s="13" t="s">
        <v>196</v>
      </c>
      <c r="AX10" s="13" t="s">
        <v>196</v>
      </c>
      <c r="AY10" s="13" t="s">
        <v>196</v>
      </c>
      <c r="AZ10" s="13" t="s">
        <v>196</v>
      </c>
      <c r="BA10" s="13" t="s">
        <v>196</v>
      </c>
      <c r="BB10" s="13" t="s">
        <v>196</v>
      </c>
      <c r="BC10" s="13" t="s">
        <v>233</v>
      </c>
      <c r="BD10" s="13" t="s">
        <v>246</v>
      </c>
      <c r="BE10" s="13" t="s">
        <v>246</v>
      </c>
      <c r="BF10" s="13" t="s">
        <v>264</v>
      </c>
      <c r="BG10" s="13" t="s">
        <v>268</v>
      </c>
      <c r="BH10" s="13" t="s">
        <v>269</v>
      </c>
      <c r="BI10" s="13" t="s">
        <v>269</v>
      </c>
      <c r="BJ10" s="13" t="s">
        <v>273</v>
      </c>
      <c r="BK10" s="13" t="s">
        <v>277</v>
      </c>
      <c r="BL10" s="13" t="s">
        <v>171</v>
      </c>
      <c r="BM10" s="13" t="s">
        <v>283</v>
      </c>
      <c r="BN10" s="13" t="s">
        <v>283</v>
      </c>
      <c r="BO10" s="13" t="s">
        <v>282</v>
      </c>
      <c r="BP10" s="13" t="s">
        <v>284</v>
      </c>
      <c r="BQ10" s="13" t="s">
        <v>287</v>
      </c>
      <c r="BR10" s="13" t="s">
        <v>289</v>
      </c>
      <c r="BS10" s="13" t="s">
        <v>295</v>
      </c>
      <c r="BT10" s="13" t="s">
        <v>296</v>
      </c>
      <c r="BU10" s="13" t="s">
        <v>300</v>
      </c>
      <c r="BV10" s="13" t="s">
        <v>304</v>
      </c>
      <c r="BW10" s="13">
        <v>2024</v>
      </c>
      <c r="BX10" s="5"/>
      <c r="BY10" s="5"/>
      <c r="BZ10" s="5"/>
      <c r="CA10" s="5">
        <v>1</v>
      </c>
      <c r="CB10" s="5">
        <v>2</v>
      </c>
      <c r="CC10" s="5">
        <v>3</v>
      </c>
      <c r="CD10" s="5">
        <v>4</v>
      </c>
      <c r="CE10" s="5">
        <v>2025</v>
      </c>
      <c r="CF10" s="5"/>
      <c r="CG10" s="5"/>
      <c r="CH10" s="5"/>
      <c r="CI10" s="5">
        <v>1</v>
      </c>
      <c r="CJ10" s="5">
        <v>2</v>
      </c>
      <c r="CK10" s="5">
        <v>3</v>
      </c>
      <c r="CL10" s="5">
        <v>4</v>
      </c>
      <c r="CM10" s="5">
        <v>2026</v>
      </c>
    </row>
    <row r="11" spans="1:91" x14ac:dyDescent="0.25">
      <c r="A11">
        <v>1</v>
      </c>
      <c r="B11" s="10" t="s">
        <v>245</v>
      </c>
      <c r="C11" s="6"/>
      <c r="D11" s="6" t="s">
        <v>500</v>
      </c>
      <c r="E11" s="6" t="s">
        <v>501</v>
      </c>
      <c r="F11" s="6"/>
      <c r="G11" s="6"/>
      <c r="H11" s="6"/>
      <c r="I11" s="6"/>
      <c r="J11" s="6"/>
      <c r="K11" s="6"/>
      <c r="L11" s="6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6"/>
      <c r="Z11" s="6"/>
      <c r="AA11" s="10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6"/>
      <c r="BX11" s="6"/>
      <c r="BY11" s="10"/>
      <c r="BZ11" s="10"/>
      <c r="CA11" s="10"/>
      <c r="CB11" s="10"/>
      <c r="CC11" s="10"/>
      <c r="CD11" s="10"/>
      <c r="CE11" s="6"/>
      <c r="CF11" s="6">
        <f>286/2</f>
        <v>143</v>
      </c>
      <c r="CG11" s="10">
        <v>36</v>
      </c>
      <c r="CH11" s="10">
        <v>64</v>
      </c>
      <c r="CI11" s="10">
        <v>84</v>
      </c>
      <c r="CJ11" s="10">
        <v>80</v>
      </c>
      <c r="CK11" s="10">
        <v>36</v>
      </c>
      <c r="CL11" s="10">
        <v>50</v>
      </c>
      <c r="CM11" s="6">
        <f t="shared" ref="CM11:CM27" si="0">SUM(CF11:CL11)</f>
        <v>493</v>
      </c>
    </row>
    <row r="12" spans="1:91" x14ac:dyDescent="0.25">
      <c r="A12">
        <v>2</v>
      </c>
      <c r="B12" s="10" t="s">
        <v>183</v>
      </c>
      <c r="C12" s="6"/>
      <c r="D12" s="6" t="s">
        <v>438</v>
      </c>
      <c r="E12" s="6" t="s">
        <v>184</v>
      </c>
      <c r="F12" s="6"/>
      <c r="G12" s="6"/>
      <c r="H12" s="6"/>
      <c r="I12" s="6"/>
      <c r="J12" s="6"/>
      <c r="K12" s="6"/>
      <c r="L12" s="6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6"/>
      <c r="Z12" s="6"/>
      <c r="AA12" s="10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6"/>
      <c r="BX12" s="6"/>
      <c r="BY12" s="10"/>
      <c r="BZ12" s="10"/>
      <c r="CA12" s="10"/>
      <c r="CB12" s="10"/>
      <c r="CC12" s="10"/>
      <c r="CD12" s="10"/>
      <c r="CE12" s="6"/>
      <c r="CF12" s="6"/>
      <c r="CG12" s="10">
        <v>48</v>
      </c>
      <c r="CH12" s="10">
        <v>48</v>
      </c>
      <c r="CI12" s="10">
        <v>120</v>
      </c>
      <c r="CJ12" s="10">
        <v>2.4</v>
      </c>
      <c r="CK12" s="10"/>
      <c r="CL12" s="10"/>
      <c r="CM12" s="6">
        <f t="shared" si="0"/>
        <v>218.4</v>
      </c>
    </row>
    <row r="13" spans="1:91" x14ac:dyDescent="0.25">
      <c r="A13">
        <v>3</v>
      </c>
      <c r="B13" s="10" t="s">
        <v>202</v>
      </c>
      <c r="C13" s="6"/>
      <c r="D13" s="6" t="s">
        <v>250</v>
      </c>
      <c r="E13" s="6" t="s">
        <v>149</v>
      </c>
      <c r="F13" s="6"/>
      <c r="G13" s="6"/>
      <c r="H13" s="6"/>
      <c r="I13" s="6"/>
      <c r="J13" s="6"/>
      <c r="K13" s="6"/>
      <c r="L13" s="6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6"/>
      <c r="Z13" s="6"/>
      <c r="AA13" s="10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>
        <v>36</v>
      </c>
      <c r="BF13" s="6"/>
      <c r="BG13" s="10"/>
      <c r="BH13" s="10">
        <v>64</v>
      </c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6">
        <f>SUM(AV13:BV13)</f>
        <v>100</v>
      </c>
      <c r="BX13" s="6">
        <f>(BW13-AV13)/2</f>
        <v>50</v>
      </c>
      <c r="BY13" s="10">
        <v>36</v>
      </c>
      <c r="BZ13" s="10">
        <v>64</v>
      </c>
      <c r="CA13" s="10">
        <v>75</v>
      </c>
      <c r="CB13" s="10">
        <v>36</v>
      </c>
      <c r="CC13" s="10">
        <v>48</v>
      </c>
      <c r="CD13" s="10">
        <v>140</v>
      </c>
      <c r="CE13" s="6">
        <f>SUM(BX13:CD13)</f>
        <v>449</v>
      </c>
      <c r="CF13" s="6">
        <f>(CE13-BX13)/2</f>
        <v>199.5</v>
      </c>
      <c r="CG13" s="10"/>
      <c r="CH13" s="10"/>
      <c r="CI13" s="10"/>
      <c r="CJ13" s="10"/>
      <c r="CK13" s="10"/>
      <c r="CL13" s="10"/>
      <c r="CM13" s="6">
        <f t="shared" si="0"/>
        <v>199.5</v>
      </c>
    </row>
    <row r="14" spans="1:91" x14ac:dyDescent="0.25">
      <c r="A14" s="22">
        <v>4</v>
      </c>
      <c r="B14" s="10" t="s">
        <v>442</v>
      </c>
      <c r="C14" s="6"/>
      <c r="D14" s="6" t="s">
        <v>443</v>
      </c>
      <c r="E14" s="6" t="s">
        <v>141</v>
      </c>
      <c r="F14" s="6"/>
      <c r="G14" s="6"/>
      <c r="H14" s="6"/>
      <c r="I14" s="6"/>
      <c r="J14" s="6"/>
      <c r="K14" s="6"/>
      <c r="L14" s="6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6"/>
      <c r="Z14" s="6"/>
      <c r="AA14" s="10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6"/>
      <c r="BX14" s="6">
        <v>150</v>
      </c>
      <c r="BY14" s="10">
        <v>36</v>
      </c>
      <c r="BZ14" s="10">
        <v>64</v>
      </c>
      <c r="CA14" s="10">
        <v>105</v>
      </c>
      <c r="CB14" s="10">
        <v>84</v>
      </c>
      <c r="CC14" s="10">
        <v>3.2</v>
      </c>
      <c r="CD14" s="10">
        <v>84</v>
      </c>
      <c r="CE14" s="6">
        <f>SUM(BX14:CD14)</f>
        <v>526.20000000000005</v>
      </c>
      <c r="CF14" s="6">
        <f>(CE14-BX14)/2</f>
        <v>188.10000000000002</v>
      </c>
      <c r="CG14" s="10"/>
      <c r="CH14" s="10"/>
      <c r="CI14" s="10"/>
      <c r="CJ14" s="10"/>
      <c r="CK14" s="10"/>
      <c r="CL14" s="10"/>
      <c r="CM14" s="6">
        <f t="shared" si="0"/>
        <v>188.10000000000002</v>
      </c>
    </row>
    <row r="15" spans="1:91" x14ac:dyDescent="0.25">
      <c r="A15">
        <v>5</v>
      </c>
      <c r="B15" s="10" t="s">
        <v>209</v>
      </c>
      <c r="C15" s="6"/>
      <c r="D15" s="6" t="s">
        <v>441</v>
      </c>
      <c r="E15" s="6" t="s">
        <v>117</v>
      </c>
      <c r="F15" s="6"/>
      <c r="G15" s="6"/>
      <c r="H15" s="6"/>
      <c r="I15" s="6"/>
      <c r="J15" s="6"/>
      <c r="K15" s="6"/>
      <c r="L15" s="6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6"/>
      <c r="Z15" s="6"/>
      <c r="AA15" s="10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6"/>
      <c r="BX15" s="6"/>
      <c r="BY15" s="10">
        <v>36</v>
      </c>
      <c r="BZ15" s="10">
        <v>64</v>
      </c>
      <c r="CA15" s="10">
        <v>36</v>
      </c>
      <c r="CB15" s="10">
        <v>6</v>
      </c>
      <c r="CC15" s="10">
        <v>72</v>
      </c>
      <c r="CD15" s="10"/>
      <c r="CE15" s="6">
        <f>SUM(BX15:CD15)</f>
        <v>214</v>
      </c>
      <c r="CF15" s="6">
        <f>(CE15-BX15)/2</f>
        <v>107</v>
      </c>
      <c r="CG15" s="10">
        <v>36</v>
      </c>
      <c r="CH15" s="10"/>
      <c r="CI15" s="10">
        <v>6</v>
      </c>
      <c r="CJ15" s="10">
        <v>36</v>
      </c>
      <c r="CK15" s="10"/>
      <c r="CL15" s="10"/>
      <c r="CM15" s="6">
        <f t="shared" si="0"/>
        <v>185</v>
      </c>
    </row>
    <row r="16" spans="1:91" x14ac:dyDescent="0.25">
      <c r="A16">
        <v>6</v>
      </c>
      <c r="B16" s="10" t="s">
        <v>383</v>
      </c>
      <c r="C16" s="6"/>
      <c r="D16" s="6" t="s">
        <v>24</v>
      </c>
      <c r="E16" s="6" t="s">
        <v>91</v>
      </c>
      <c r="F16" s="6"/>
      <c r="G16" s="6"/>
      <c r="H16" s="6"/>
      <c r="I16" s="6"/>
      <c r="J16" s="6"/>
      <c r="K16" s="6"/>
      <c r="L16" s="6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6"/>
      <c r="Z16" s="6"/>
      <c r="AA16" s="10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6"/>
      <c r="BX16" s="6"/>
      <c r="BY16" s="10"/>
      <c r="BZ16" s="10"/>
      <c r="CA16" s="10"/>
      <c r="CB16" s="10"/>
      <c r="CC16" s="10"/>
      <c r="CD16" s="10"/>
      <c r="CE16" s="6"/>
      <c r="CF16" s="6"/>
      <c r="CG16" s="10">
        <v>36</v>
      </c>
      <c r="CH16" s="10">
        <v>48</v>
      </c>
      <c r="CI16" s="10">
        <v>36</v>
      </c>
      <c r="CJ16" s="10"/>
      <c r="CK16" s="10"/>
      <c r="CL16" s="10"/>
      <c r="CM16" s="6">
        <f t="shared" si="0"/>
        <v>120</v>
      </c>
    </row>
    <row r="17" spans="1:91" x14ac:dyDescent="0.25">
      <c r="A17">
        <v>7</v>
      </c>
      <c r="B17" s="10" t="s">
        <v>47</v>
      </c>
      <c r="C17" s="6"/>
      <c r="D17" s="10" t="s">
        <v>392</v>
      </c>
      <c r="E17" s="6" t="s">
        <v>393</v>
      </c>
      <c r="F17" s="6"/>
      <c r="G17" s="6"/>
      <c r="H17" s="6"/>
      <c r="I17" s="6"/>
      <c r="J17" s="6"/>
      <c r="K17" s="6"/>
      <c r="L17" s="6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6"/>
      <c r="Z17" s="6"/>
      <c r="AA17" s="10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6"/>
      <c r="BX17" s="6"/>
      <c r="BY17" s="10"/>
      <c r="BZ17" s="10"/>
      <c r="CA17" s="10"/>
      <c r="CB17" s="10"/>
      <c r="CC17" s="10"/>
      <c r="CD17" s="10"/>
      <c r="CE17" s="6"/>
      <c r="CF17" s="6">
        <v>64.5</v>
      </c>
      <c r="CG17" s="10">
        <v>48</v>
      </c>
      <c r="CH17" s="10"/>
      <c r="CI17" s="10"/>
      <c r="CJ17" s="10"/>
      <c r="CK17" s="10"/>
      <c r="CL17" s="10"/>
      <c r="CM17" s="6">
        <f t="shared" si="0"/>
        <v>112.5</v>
      </c>
    </row>
    <row r="18" spans="1:91" x14ac:dyDescent="0.25">
      <c r="A18">
        <v>8</v>
      </c>
      <c r="B18" s="10" t="s">
        <v>165</v>
      </c>
      <c r="C18" s="6"/>
      <c r="D18" s="6" t="s">
        <v>236</v>
      </c>
      <c r="E18" s="6" t="s">
        <v>23</v>
      </c>
      <c r="F18" s="6"/>
      <c r="G18" s="6"/>
      <c r="H18" s="6"/>
      <c r="I18" s="6"/>
      <c r="J18" s="6"/>
      <c r="K18" s="6"/>
      <c r="L18" s="6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6"/>
      <c r="Z18" s="6"/>
      <c r="AA18" s="10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6"/>
      <c r="BX18" s="6"/>
      <c r="BY18" s="10"/>
      <c r="BZ18" s="10"/>
      <c r="CA18" s="10">
        <v>200</v>
      </c>
      <c r="CB18" s="10"/>
      <c r="CC18" s="10"/>
      <c r="CD18" s="10"/>
      <c r="CE18" s="6">
        <f>SUM(BX18:CD18)</f>
        <v>200</v>
      </c>
      <c r="CF18" s="6">
        <f>(CE18-BX18)/2</f>
        <v>100</v>
      </c>
      <c r="CG18" s="10"/>
      <c r="CH18" s="10"/>
      <c r="CI18" s="10"/>
      <c r="CJ18" s="10"/>
      <c r="CK18" s="10"/>
      <c r="CL18" s="10"/>
      <c r="CM18" s="6">
        <f t="shared" si="0"/>
        <v>100</v>
      </c>
    </row>
    <row r="19" spans="1:91" x14ac:dyDescent="0.25">
      <c r="A19">
        <v>9</v>
      </c>
      <c r="B19" s="10" t="s">
        <v>198</v>
      </c>
      <c r="C19" s="6" t="s">
        <v>90</v>
      </c>
      <c r="D19" s="6" t="s">
        <v>143</v>
      </c>
      <c r="E19" s="6" t="s">
        <v>84</v>
      </c>
      <c r="F19" s="6"/>
      <c r="G19" s="6"/>
      <c r="H19" s="6"/>
      <c r="I19" s="6"/>
      <c r="J19" s="6"/>
      <c r="K19" s="6"/>
      <c r="L19" s="6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6"/>
      <c r="Z19" s="6"/>
      <c r="AA19" s="10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2.4</v>
      </c>
      <c r="BA19" s="6"/>
      <c r="BB19" s="6"/>
      <c r="BC19" s="6"/>
      <c r="BD19" s="6"/>
      <c r="BE19" s="6"/>
      <c r="BF19" s="6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6">
        <f>SUM(AV19:BV19)</f>
        <v>2.4</v>
      </c>
      <c r="BX19" s="6">
        <f>(BW19-AV19)/2</f>
        <v>1.2</v>
      </c>
      <c r="BY19" s="10">
        <v>36</v>
      </c>
      <c r="BZ19" s="10">
        <v>48</v>
      </c>
      <c r="CA19" s="10">
        <v>60</v>
      </c>
      <c r="CB19" s="10">
        <v>36</v>
      </c>
      <c r="CC19" s="10">
        <v>3.2</v>
      </c>
      <c r="CD19" s="10">
        <v>10</v>
      </c>
      <c r="CE19" s="6">
        <f>SUM(BX19:CD19)</f>
        <v>194.39999999999998</v>
      </c>
      <c r="CF19" s="6">
        <f>(CE19-BX19)/2</f>
        <v>96.6</v>
      </c>
      <c r="CG19" s="10"/>
      <c r="CH19" s="10"/>
      <c r="CI19" s="10"/>
      <c r="CJ19" s="10"/>
      <c r="CK19" s="10"/>
      <c r="CL19" s="10"/>
      <c r="CM19" s="6">
        <f t="shared" si="0"/>
        <v>96.6</v>
      </c>
    </row>
    <row r="20" spans="1:91" x14ac:dyDescent="0.25">
      <c r="A20">
        <v>10</v>
      </c>
      <c r="B20" s="10" t="s">
        <v>182</v>
      </c>
      <c r="C20" s="6"/>
      <c r="D20" s="6" t="s">
        <v>417</v>
      </c>
      <c r="E20" s="6" t="s">
        <v>147</v>
      </c>
      <c r="F20" s="6"/>
      <c r="G20" s="6"/>
      <c r="H20" s="6"/>
      <c r="I20" s="6"/>
      <c r="J20" s="6"/>
      <c r="K20" s="6"/>
      <c r="L20" s="6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6"/>
      <c r="Z20" s="6"/>
      <c r="AA20" s="10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6"/>
      <c r="BX20" s="6">
        <f>255.5/2</f>
        <v>127.75</v>
      </c>
      <c r="BY20" s="10"/>
      <c r="BZ20" s="10"/>
      <c r="CA20" s="10">
        <v>75</v>
      </c>
      <c r="CB20" s="10">
        <v>72</v>
      </c>
      <c r="CC20" s="10"/>
      <c r="CD20" s="10"/>
      <c r="CE20" s="6">
        <f>SUM(BX20:CD20)</f>
        <v>274.75</v>
      </c>
      <c r="CF20" s="6">
        <f>(CE20-BX20)/2</f>
        <v>73.5</v>
      </c>
      <c r="CG20" s="10"/>
      <c r="CH20" s="10"/>
      <c r="CI20" s="10"/>
      <c r="CJ20" s="10"/>
      <c r="CK20" s="10"/>
      <c r="CL20" s="10"/>
      <c r="CM20" s="6">
        <f t="shared" si="0"/>
        <v>73.5</v>
      </c>
    </row>
    <row r="21" spans="1:91" x14ac:dyDescent="0.25">
      <c r="A21">
        <v>11</v>
      </c>
      <c r="B21" s="10" t="s">
        <v>39</v>
      </c>
      <c r="C21" s="6"/>
      <c r="D21" s="6" t="s">
        <v>627</v>
      </c>
      <c r="E21" s="6" t="s">
        <v>404</v>
      </c>
      <c r="F21" s="6"/>
      <c r="G21" s="6"/>
      <c r="H21" s="6"/>
      <c r="I21" s="6"/>
      <c r="J21" s="6"/>
      <c r="K21" s="6"/>
      <c r="L21" s="6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6"/>
      <c r="Z21" s="6"/>
      <c r="AA21" s="10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6"/>
      <c r="BX21" s="6"/>
      <c r="BY21" s="10"/>
      <c r="BZ21" s="10"/>
      <c r="CA21" s="10"/>
      <c r="CB21" s="10"/>
      <c r="CC21" s="10"/>
      <c r="CD21" s="10"/>
      <c r="CE21" s="6"/>
      <c r="CF21" s="6"/>
      <c r="CG21" s="10"/>
      <c r="CH21" s="10">
        <v>44.8</v>
      </c>
      <c r="CI21" s="10"/>
      <c r="CJ21" s="10">
        <v>4</v>
      </c>
      <c r="CK21" s="10"/>
      <c r="CL21" s="10"/>
      <c r="CM21" s="6">
        <f t="shared" si="0"/>
        <v>48.8</v>
      </c>
    </row>
    <row r="22" spans="1:91" x14ac:dyDescent="0.25">
      <c r="A22">
        <v>12</v>
      </c>
      <c r="B22" s="10" t="s">
        <v>256</v>
      </c>
      <c r="C22" s="6"/>
      <c r="D22" s="6" t="s">
        <v>21</v>
      </c>
      <c r="E22" s="6" t="s">
        <v>34</v>
      </c>
      <c r="F22" s="6"/>
      <c r="G22" s="6"/>
      <c r="H22" s="6"/>
      <c r="I22" s="6"/>
      <c r="J22" s="6"/>
      <c r="K22" s="6"/>
      <c r="L22" s="6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6"/>
      <c r="Z22" s="6"/>
      <c r="AA22" s="10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>
        <v>7.5</v>
      </c>
      <c r="BU22" s="10"/>
      <c r="BV22" s="10"/>
      <c r="BW22" s="6">
        <f>SUM(AV22:BV22)</f>
        <v>7.5</v>
      </c>
      <c r="BX22" s="6">
        <f>(BW22-AV22)/2</f>
        <v>3.75</v>
      </c>
      <c r="BY22" s="10">
        <v>36</v>
      </c>
      <c r="BZ22" s="10">
        <v>3.2</v>
      </c>
      <c r="CA22" s="10"/>
      <c r="CB22" s="10"/>
      <c r="CC22" s="10"/>
      <c r="CD22" s="10"/>
      <c r="CE22" s="6">
        <f>SUM(BX22:CD22)</f>
        <v>42.95</v>
      </c>
      <c r="CF22" s="6">
        <f>(CE22-BX22)/2</f>
        <v>19.600000000000001</v>
      </c>
      <c r="CG22" s="10"/>
      <c r="CH22" s="10"/>
      <c r="CI22" s="10"/>
      <c r="CJ22" s="10"/>
      <c r="CK22" s="10"/>
      <c r="CL22" s="10"/>
      <c r="CM22" s="6">
        <f t="shared" si="0"/>
        <v>19.600000000000001</v>
      </c>
    </row>
    <row r="23" spans="1:91" x14ac:dyDescent="0.25">
      <c r="A23">
        <v>13</v>
      </c>
      <c r="B23" s="10" t="s">
        <v>463</v>
      </c>
      <c r="C23" s="6"/>
      <c r="D23" s="6" t="s">
        <v>276</v>
      </c>
      <c r="E23" s="6" t="s">
        <v>98</v>
      </c>
      <c r="F23" s="6"/>
      <c r="G23" s="6"/>
      <c r="H23" s="6"/>
      <c r="I23" s="6"/>
      <c r="J23" s="6"/>
      <c r="K23" s="6"/>
      <c r="L23" s="6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6"/>
      <c r="Z23" s="6"/>
      <c r="AA23" s="10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6"/>
      <c r="BX23" s="6"/>
      <c r="BY23" s="10">
        <v>36</v>
      </c>
      <c r="BZ23" s="10"/>
      <c r="CA23" s="10"/>
      <c r="CB23" s="10"/>
      <c r="CC23" s="10"/>
      <c r="CD23" s="10"/>
      <c r="CE23" s="6">
        <f>SUM(BX23:CD23)</f>
        <v>36</v>
      </c>
      <c r="CF23" s="6">
        <f>(CE23-BX23)/2</f>
        <v>18</v>
      </c>
      <c r="CG23" s="10"/>
      <c r="CH23" s="10"/>
      <c r="CI23" s="10"/>
      <c r="CJ23" s="10"/>
      <c r="CK23" s="10"/>
      <c r="CL23" s="10"/>
      <c r="CM23" s="6">
        <f t="shared" si="0"/>
        <v>18</v>
      </c>
    </row>
    <row r="24" spans="1:91" x14ac:dyDescent="0.25">
      <c r="A24">
        <v>14</v>
      </c>
      <c r="B24" s="10" t="s">
        <v>134</v>
      </c>
      <c r="C24" s="6"/>
      <c r="D24" s="6" t="s">
        <v>333</v>
      </c>
      <c r="E24" s="6" t="s">
        <v>628</v>
      </c>
      <c r="F24" s="6"/>
      <c r="G24" s="6"/>
      <c r="H24" s="6"/>
      <c r="I24" s="6"/>
      <c r="J24" s="6"/>
      <c r="K24" s="6"/>
      <c r="L24" s="6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6"/>
      <c r="Z24" s="6"/>
      <c r="AA24" s="10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6"/>
      <c r="BX24" s="6"/>
      <c r="BY24" s="10"/>
      <c r="BZ24" s="10"/>
      <c r="CA24" s="10"/>
      <c r="CB24" s="10"/>
      <c r="CC24" s="10"/>
      <c r="CD24" s="10"/>
      <c r="CE24" s="6"/>
      <c r="CF24" s="6"/>
      <c r="CG24" s="10"/>
      <c r="CH24" s="10">
        <v>3.2</v>
      </c>
      <c r="CI24" s="10"/>
      <c r="CJ24" s="10"/>
      <c r="CK24" s="10"/>
      <c r="CL24" s="10"/>
      <c r="CM24" s="6">
        <f t="shared" si="0"/>
        <v>3.2</v>
      </c>
    </row>
    <row r="25" spans="1:91" x14ac:dyDescent="0.25">
      <c r="A25">
        <v>15</v>
      </c>
      <c r="B25" s="10" t="s">
        <v>475</v>
      </c>
      <c r="C25" s="6"/>
      <c r="D25" s="6" t="s">
        <v>333</v>
      </c>
      <c r="E25" s="6" t="s">
        <v>476</v>
      </c>
      <c r="F25" s="6"/>
      <c r="G25" s="6"/>
      <c r="H25" s="6"/>
      <c r="I25" s="6"/>
      <c r="J25" s="6"/>
      <c r="K25" s="6"/>
      <c r="L25" s="6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6"/>
      <c r="Z25" s="6"/>
      <c r="AA25" s="10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6"/>
      <c r="BX25" s="6"/>
      <c r="BY25" s="10"/>
      <c r="BZ25" s="10"/>
      <c r="CA25" s="10">
        <v>6</v>
      </c>
      <c r="CB25" s="10"/>
      <c r="CC25" s="10"/>
      <c r="CD25" s="10"/>
      <c r="CE25" s="6">
        <f>SUM(BX25:CD25)</f>
        <v>6</v>
      </c>
      <c r="CF25" s="6">
        <f>(CE25-BX25)/2</f>
        <v>3</v>
      </c>
      <c r="CG25" s="10"/>
      <c r="CH25" s="10"/>
      <c r="CI25" s="10"/>
      <c r="CJ25" s="10"/>
      <c r="CK25" s="10"/>
      <c r="CL25" s="10"/>
      <c r="CM25" s="6">
        <f t="shared" si="0"/>
        <v>3</v>
      </c>
    </row>
    <row r="26" spans="1:91" x14ac:dyDescent="0.25">
      <c r="A26">
        <v>16</v>
      </c>
      <c r="B26" s="10" t="s">
        <v>396</v>
      </c>
      <c r="C26" s="6"/>
      <c r="D26" s="6" t="s">
        <v>397</v>
      </c>
      <c r="E26" s="6" t="s">
        <v>31</v>
      </c>
      <c r="F26" s="6"/>
      <c r="G26" s="6"/>
      <c r="H26" s="6"/>
      <c r="I26" s="6"/>
      <c r="J26" s="6"/>
      <c r="K26" s="6"/>
      <c r="L26" s="6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6"/>
      <c r="Z26" s="6"/>
      <c r="AA26" s="10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6"/>
      <c r="BX26" s="6"/>
      <c r="BY26" s="10"/>
      <c r="BZ26" s="10"/>
      <c r="CA26" s="10"/>
      <c r="CB26" s="10"/>
      <c r="CC26" s="10"/>
      <c r="CD26" s="10"/>
      <c r="CE26" s="6"/>
      <c r="CF26" s="6"/>
      <c r="CG26" s="10">
        <v>2.4</v>
      </c>
      <c r="CH26" s="10"/>
      <c r="CI26" s="10"/>
      <c r="CJ26" s="10"/>
      <c r="CK26" s="10"/>
      <c r="CL26" s="10"/>
      <c r="CM26" s="6">
        <f t="shared" si="0"/>
        <v>2.4</v>
      </c>
    </row>
    <row r="27" spans="1:91" x14ac:dyDescent="0.25">
      <c r="B27" s="10" t="s">
        <v>350</v>
      </c>
      <c r="C27" s="6"/>
      <c r="D27" s="6" t="s">
        <v>334</v>
      </c>
      <c r="E27" s="6" t="s">
        <v>377</v>
      </c>
      <c r="F27" s="6"/>
      <c r="G27" s="6"/>
      <c r="H27" s="6"/>
      <c r="I27" s="6"/>
      <c r="J27" s="6"/>
      <c r="K27" s="6"/>
      <c r="L27" s="6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6"/>
      <c r="Z27" s="6"/>
      <c r="AA27" s="10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6"/>
      <c r="BX27" s="6"/>
      <c r="BY27" s="10">
        <v>2.4</v>
      </c>
      <c r="BZ27" s="10"/>
      <c r="CA27" s="10"/>
      <c r="CB27" s="10"/>
      <c r="CC27" s="10"/>
      <c r="CD27" s="10"/>
      <c r="CE27" s="6">
        <f>SUM(BX27:CD27)</f>
        <v>2.4</v>
      </c>
      <c r="CF27" s="6">
        <f>(CE27-BX27)/2</f>
        <v>1.2</v>
      </c>
      <c r="CG27" s="10"/>
      <c r="CH27" s="10"/>
      <c r="CI27" s="10"/>
      <c r="CJ27" s="10"/>
      <c r="CK27" s="10"/>
      <c r="CL27" s="10"/>
      <c r="CM27" s="6">
        <f t="shared" si="0"/>
        <v>1.2</v>
      </c>
    </row>
  </sheetData>
  <sortState xmlns:xlrd2="http://schemas.microsoft.com/office/spreadsheetml/2017/richdata2" ref="B11:CM27">
    <sortCondition descending="1" ref="CM11:CM27"/>
  </sortState>
  <mergeCells count="5">
    <mergeCell ref="B8:C10"/>
    <mergeCell ref="CA9:CD9"/>
    <mergeCell ref="CI9:CL9"/>
    <mergeCell ref="D4:CM5"/>
    <mergeCell ref="B1:CM1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36ADB-2EC9-4CBF-8AF4-399B48EEE85D}">
  <dimension ref="A1:CM20"/>
  <sheetViews>
    <sheetView zoomScale="80" zoomScaleNormal="80" workbookViewId="0">
      <selection activeCell="CF30" sqref="CF30"/>
    </sheetView>
  </sheetViews>
  <sheetFormatPr baseColWidth="10" defaultRowHeight="15" x14ac:dyDescent="0.25"/>
  <cols>
    <col min="1" max="1" width="4.28515625" customWidth="1"/>
    <col min="2" max="2" width="13.42578125" bestFit="1" customWidth="1"/>
    <col min="4" max="4" width="19.28515625" customWidth="1"/>
    <col min="5" max="5" width="22.7109375" customWidth="1"/>
    <col min="6" max="82" width="0" hidden="1" customWidth="1"/>
    <col min="84" max="84" width="11.42578125" style="7"/>
    <col min="85" max="86" width="7.85546875" style="7" customWidth="1"/>
    <col min="87" max="87" width="8.7109375" style="7" customWidth="1"/>
    <col min="88" max="90" width="11.42578125" style="7"/>
  </cols>
  <sheetData>
    <row r="1" spans="1:91" ht="26.25" x14ac:dyDescent="0.4">
      <c r="B1" s="34" t="s">
        <v>3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</row>
    <row r="2" spans="1:91" ht="15.75" thickBot="1" x14ac:dyDescent="0.3">
      <c r="C2" s="7"/>
      <c r="D2" s="7"/>
      <c r="E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AA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Y2" s="7"/>
      <c r="BZ2" s="7"/>
      <c r="CA2" s="7"/>
      <c r="CB2" s="7"/>
      <c r="CC2" s="7"/>
      <c r="CD2" s="7"/>
    </row>
    <row r="3" spans="1:91" ht="15.75" thickTop="1" x14ac:dyDescent="0.25">
      <c r="B3" s="1" t="s">
        <v>0</v>
      </c>
      <c r="C3" s="4" t="s">
        <v>14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AA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Y3" s="7"/>
      <c r="BZ3" s="7"/>
      <c r="CA3" s="7"/>
      <c r="CB3" s="7"/>
      <c r="CC3" s="7"/>
      <c r="CD3" s="7"/>
    </row>
    <row r="4" spans="1:91" x14ac:dyDescent="0.25">
      <c r="B4" s="2" t="s">
        <v>1</v>
      </c>
      <c r="C4" s="5" t="s">
        <v>7</v>
      </c>
      <c r="D4" s="32" t="s">
        <v>492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</row>
    <row r="5" spans="1:91" ht="15.75" thickBot="1" x14ac:dyDescent="0.3">
      <c r="B5" s="3" t="s">
        <v>2</v>
      </c>
      <c r="C5" s="15">
        <v>-70</v>
      </c>
      <c r="D5" s="32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</row>
    <row r="6" spans="1:91" ht="15.75" thickTop="1" x14ac:dyDescent="0.25"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AA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Y6" s="7"/>
      <c r="BZ6" s="7"/>
      <c r="CA6" s="7"/>
      <c r="CB6" s="7"/>
      <c r="CC6" s="7"/>
      <c r="CD6" s="7"/>
    </row>
    <row r="7" spans="1:91" ht="15.75" thickBot="1" x14ac:dyDescent="0.3"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AA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Y7" s="7"/>
      <c r="BZ7" s="7"/>
      <c r="CA7" s="7"/>
      <c r="CB7" s="7"/>
      <c r="CC7" s="7"/>
      <c r="CD7" s="7"/>
    </row>
    <row r="8" spans="1:91" ht="15.75" thickTop="1" x14ac:dyDescent="0.25">
      <c r="B8" s="25" t="s">
        <v>9</v>
      </c>
      <c r="C8" s="26"/>
      <c r="D8" s="1"/>
      <c r="E8" s="1"/>
      <c r="F8" s="4" t="s">
        <v>10</v>
      </c>
      <c r="G8" s="4" t="s">
        <v>10</v>
      </c>
      <c r="H8" s="4" t="s">
        <v>53</v>
      </c>
      <c r="I8" s="4" t="s">
        <v>66</v>
      </c>
      <c r="J8" s="4" t="s">
        <v>10</v>
      </c>
      <c r="K8" s="4" t="s">
        <v>85</v>
      </c>
      <c r="L8" s="4" t="s">
        <v>86</v>
      </c>
      <c r="M8" s="4" t="s">
        <v>92</v>
      </c>
      <c r="N8" s="4" t="s">
        <v>97</v>
      </c>
      <c r="O8" s="4" t="s">
        <v>10</v>
      </c>
      <c r="P8" s="4" t="s">
        <v>10</v>
      </c>
      <c r="Q8" s="4" t="s">
        <v>10</v>
      </c>
      <c r="R8" s="4" t="s">
        <v>10</v>
      </c>
      <c r="S8" s="4" t="s">
        <v>10</v>
      </c>
      <c r="T8" s="4" t="s">
        <v>10</v>
      </c>
      <c r="U8" s="4" t="s">
        <v>107</v>
      </c>
      <c r="V8" s="4" t="s">
        <v>10</v>
      </c>
      <c r="W8" s="4" t="s">
        <v>112</v>
      </c>
      <c r="X8" s="4" t="s">
        <v>115</v>
      </c>
      <c r="Y8" s="1"/>
      <c r="Z8" s="11">
        <v>44927</v>
      </c>
      <c r="AA8" s="12" t="s">
        <v>10</v>
      </c>
      <c r="AB8" s="4" t="s">
        <v>10</v>
      </c>
      <c r="AC8" s="4" t="s">
        <v>115</v>
      </c>
      <c r="AD8" s="4" t="s">
        <v>10</v>
      </c>
      <c r="AE8" s="4" t="s">
        <v>10</v>
      </c>
      <c r="AF8" s="4" t="s">
        <v>10</v>
      </c>
      <c r="AG8" s="4" t="s">
        <v>151</v>
      </c>
      <c r="AH8" s="4" t="s">
        <v>151</v>
      </c>
      <c r="AI8" s="4" t="s">
        <v>151</v>
      </c>
      <c r="AJ8" s="4" t="s">
        <v>114</v>
      </c>
      <c r="AK8" s="4" t="s">
        <v>115</v>
      </c>
      <c r="AL8" s="4" t="s">
        <v>10</v>
      </c>
      <c r="AM8" s="4" t="s">
        <v>112</v>
      </c>
      <c r="AN8" s="4" t="s">
        <v>10</v>
      </c>
      <c r="AO8" s="4" t="s">
        <v>10</v>
      </c>
      <c r="AP8" s="4" t="s">
        <v>10</v>
      </c>
      <c r="AQ8" s="4" t="s">
        <v>115</v>
      </c>
      <c r="AR8" s="4" t="s">
        <v>10</v>
      </c>
      <c r="AS8" s="4" t="s">
        <v>10</v>
      </c>
      <c r="AT8" s="4" t="s">
        <v>116</v>
      </c>
      <c r="AU8" s="4" t="s">
        <v>6</v>
      </c>
      <c r="AV8" s="12">
        <v>45292</v>
      </c>
      <c r="AW8" s="12" t="s">
        <v>10</v>
      </c>
      <c r="AX8" s="12" t="s">
        <v>10</v>
      </c>
      <c r="AY8" s="12" t="s">
        <v>10</v>
      </c>
      <c r="AZ8" s="12" t="s">
        <v>10</v>
      </c>
      <c r="BA8" s="12" t="s">
        <v>10</v>
      </c>
      <c r="BB8" s="12" t="s">
        <v>10</v>
      </c>
      <c r="BC8" s="12" t="s">
        <v>10</v>
      </c>
      <c r="BD8" s="12" t="s">
        <v>10</v>
      </c>
      <c r="BE8" s="12" t="s">
        <v>10</v>
      </c>
      <c r="BF8" s="12" t="s">
        <v>115</v>
      </c>
      <c r="BG8" s="12" t="s">
        <v>115</v>
      </c>
      <c r="BH8" s="12" t="s">
        <v>151</v>
      </c>
      <c r="BI8" s="12" t="s">
        <v>151</v>
      </c>
      <c r="BJ8" s="12" t="s">
        <v>151</v>
      </c>
      <c r="BK8" s="12" t="s">
        <v>115</v>
      </c>
      <c r="BL8" s="12" t="s">
        <v>10</v>
      </c>
      <c r="BM8" s="12" t="s">
        <v>10</v>
      </c>
      <c r="BN8" s="12" t="s">
        <v>10</v>
      </c>
      <c r="BO8" s="12" t="s">
        <v>10</v>
      </c>
      <c r="BP8" s="12" t="s">
        <v>10</v>
      </c>
      <c r="BQ8" s="12" t="s">
        <v>10</v>
      </c>
      <c r="BR8" s="12" t="s">
        <v>10</v>
      </c>
      <c r="BS8" s="12" t="s">
        <v>10</v>
      </c>
      <c r="BT8" s="12" t="s">
        <v>115</v>
      </c>
      <c r="BU8" s="12" t="s">
        <v>299</v>
      </c>
      <c r="BV8" s="12" t="s">
        <v>116</v>
      </c>
      <c r="BW8" s="12" t="s">
        <v>6</v>
      </c>
      <c r="BX8" s="12">
        <v>45658</v>
      </c>
      <c r="BY8" s="12"/>
      <c r="BZ8" s="12"/>
      <c r="CA8" s="17"/>
      <c r="CB8" s="18"/>
      <c r="CC8" s="18"/>
      <c r="CD8" s="19"/>
      <c r="CE8" s="12" t="s">
        <v>6</v>
      </c>
      <c r="CF8" s="12">
        <v>46023</v>
      </c>
      <c r="CG8" s="12"/>
      <c r="CH8" s="12"/>
      <c r="CI8" s="17"/>
      <c r="CJ8" s="18"/>
      <c r="CK8" s="18"/>
      <c r="CL8" s="19"/>
      <c r="CM8" s="12" t="s">
        <v>6</v>
      </c>
    </row>
    <row r="9" spans="1:91" x14ac:dyDescent="0.25">
      <c r="B9" s="27"/>
      <c r="C9" s="28"/>
      <c r="D9" s="2"/>
      <c r="E9" s="2"/>
      <c r="F9" s="8" t="s">
        <v>19</v>
      </c>
      <c r="G9" s="5" t="s">
        <v>43</v>
      </c>
      <c r="H9" s="8" t="s">
        <v>54</v>
      </c>
      <c r="I9" s="8" t="s">
        <v>67</v>
      </c>
      <c r="J9" s="8" t="s">
        <v>73</v>
      </c>
      <c r="K9" s="8" t="s">
        <v>83</v>
      </c>
      <c r="L9" s="8" t="s">
        <v>87</v>
      </c>
      <c r="M9" s="8" t="s">
        <v>93</v>
      </c>
      <c r="N9" s="8" t="s">
        <v>54</v>
      </c>
      <c r="O9" s="8" t="s">
        <v>99</v>
      </c>
      <c r="P9" s="8" t="s">
        <v>32</v>
      </c>
      <c r="Q9" s="8" t="s">
        <v>19</v>
      </c>
      <c r="R9" s="8" t="s">
        <v>99</v>
      </c>
      <c r="S9" s="8" t="s">
        <v>76</v>
      </c>
      <c r="T9" s="8" t="s">
        <v>102</v>
      </c>
      <c r="U9" s="8" t="s">
        <v>108</v>
      </c>
      <c r="V9" s="8" t="s">
        <v>73</v>
      </c>
      <c r="W9" s="8" t="s">
        <v>113</v>
      </c>
      <c r="X9" s="8" t="s">
        <v>116</v>
      </c>
      <c r="Y9" s="2" t="s">
        <v>6</v>
      </c>
      <c r="Z9" s="2"/>
      <c r="AA9" s="5" t="s">
        <v>32</v>
      </c>
      <c r="AB9" s="8" t="s">
        <v>19</v>
      </c>
      <c r="AC9" s="8" t="s">
        <v>85</v>
      </c>
      <c r="AD9" s="8" t="s">
        <v>81</v>
      </c>
      <c r="AE9" s="8" t="s">
        <v>102</v>
      </c>
      <c r="AF9" s="8" t="s">
        <v>43</v>
      </c>
      <c r="AG9" s="8" t="s">
        <v>86</v>
      </c>
      <c r="AH9" s="8" t="s">
        <v>92</v>
      </c>
      <c r="AI9" s="8" t="s">
        <v>85</v>
      </c>
      <c r="AJ9" s="8" t="s">
        <v>159</v>
      </c>
      <c r="AK9" s="8" t="s">
        <v>86</v>
      </c>
      <c r="AL9" s="8" t="s">
        <v>167</v>
      </c>
      <c r="AM9" s="8" t="s">
        <v>170</v>
      </c>
      <c r="AN9" s="8" t="s">
        <v>102</v>
      </c>
      <c r="AO9" s="8" t="s">
        <v>81</v>
      </c>
      <c r="AP9" s="8" t="s">
        <v>19</v>
      </c>
      <c r="AQ9" s="8" t="s">
        <v>92</v>
      </c>
      <c r="AR9" s="8" t="s">
        <v>76</v>
      </c>
      <c r="AS9" s="8" t="s">
        <v>192</v>
      </c>
      <c r="AT9" s="8"/>
      <c r="AU9" s="2"/>
      <c r="AV9" s="5"/>
      <c r="AW9" s="5" t="s">
        <v>81</v>
      </c>
      <c r="AX9" s="5" t="s">
        <v>11</v>
      </c>
      <c r="AY9" s="5" t="s">
        <v>99</v>
      </c>
      <c r="AZ9" s="5" t="s">
        <v>167</v>
      </c>
      <c r="BA9" s="5" t="s">
        <v>195</v>
      </c>
      <c r="BB9" s="5" t="s">
        <v>76</v>
      </c>
      <c r="BC9" s="5" t="s">
        <v>19</v>
      </c>
      <c r="BD9" s="5" t="s">
        <v>32</v>
      </c>
      <c r="BE9" s="5" t="s">
        <v>43</v>
      </c>
      <c r="BF9" s="5" t="s">
        <v>86</v>
      </c>
      <c r="BG9" s="5" t="s">
        <v>267</v>
      </c>
      <c r="BH9" s="5" t="s">
        <v>86</v>
      </c>
      <c r="BI9" s="5" t="s">
        <v>85</v>
      </c>
      <c r="BJ9" s="5" t="s">
        <v>92</v>
      </c>
      <c r="BK9" s="5" t="s">
        <v>85</v>
      </c>
      <c r="BL9" s="5" t="s">
        <v>81</v>
      </c>
      <c r="BM9" s="5" t="s">
        <v>19</v>
      </c>
      <c r="BN9" s="5" t="s">
        <v>195</v>
      </c>
      <c r="BO9" s="5" t="s">
        <v>167</v>
      </c>
      <c r="BP9" s="5" t="s">
        <v>177</v>
      </c>
      <c r="BQ9" s="5" t="s">
        <v>32</v>
      </c>
      <c r="BR9" s="5" t="s">
        <v>11</v>
      </c>
      <c r="BS9" s="5" t="s">
        <v>294</v>
      </c>
      <c r="BT9" s="5" t="s">
        <v>92</v>
      </c>
      <c r="BU9" s="5" t="s">
        <v>195</v>
      </c>
      <c r="BV9" s="5" t="s">
        <v>303</v>
      </c>
      <c r="BW9" s="5"/>
      <c r="BX9" s="5"/>
      <c r="BY9" s="8" t="s">
        <v>10</v>
      </c>
      <c r="BZ9" s="8" t="s">
        <v>151</v>
      </c>
      <c r="CA9" s="29" t="s">
        <v>305</v>
      </c>
      <c r="CB9" s="30"/>
      <c r="CC9" s="30"/>
      <c r="CD9" s="31"/>
      <c r="CE9" s="5"/>
      <c r="CF9" s="5"/>
      <c r="CG9" s="8" t="s">
        <v>10</v>
      </c>
      <c r="CH9" s="8" t="s">
        <v>151</v>
      </c>
      <c r="CI9" s="29" t="s">
        <v>305</v>
      </c>
      <c r="CJ9" s="30"/>
      <c r="CK9" s="30"/>
      <c r="CL9" s="31"/>
      <c r="CM9" s="5"/>
    </row>
    <row r="10" spans="1:91" x14ac:dyDescent="0.25">
      <c r="B10" s="27"/>
      <c r="C10" s="28"/>
      <c r="D10" s="2" t="s">
        <v>4</v>
      </c>
      <c r="E10" s="2" t="s">
        <v>5</v>
      </c>
      <c r="F10" s="9">
        <v>44660</v>
      </c>
      <c r="G10" s="9">
        <v>44674</v>
      </c>
      <c r="H10" s="9">
        <v>44681</v>
      </c>
      <c r="I10" s="9">
        <v>44696</v>
      </c>
      <c r="J10" s="9">
        <v>44709</v>
      </c>
      <c r="K10" s="9">
        <v>44730</v>
      </c>
      <c r="L10" s="9">
        <v>44730</v>
      </c>
      <c r="M10" s="9">
        <v>44737</v>
      </c>
      <c r="N10" s="9">
        <v>44759</v>
      </c>
      <c r="O10" s="9">
        <v>44765</v>
      </c>
      <c r="P10" s="9">
        <v>44779</v>
      </c>
      <c r="Q10" s="9">
        <v>44793</v>
      </c>
      <c r="R10" s="9">
        <v>44814</v>
      </c>
      <c r="S10" s="9">
        <v>44814</v>
      </c>
      <c r="T10" s="9">
        <v>44814</v>
      </c>
      <c r="U10" s="9">
        <v>44828</v>
      </c>
      <c r="V10" s="9">
        <v>44849</v>
      </c>
      <c r="W10" s="9">
        <v>44869</v>
      </c>
      <c r="X10" s="9">
        <v>44905</v>
      </c>
      <c r="Y10" s="2">
        <v>2022</v>
      </c>
      <c r="Z10" s="2"/>
      <c r="AA10" s="5" t="s">
        <v>120</v>
      </c>
      <c r="AB10" s="2" t="s">
        <v>127</v>
      </c>
      <c r="AC10" s="2" t="s">
        <v>129</v>
      </c>
      <c r="AD10" s="2" t="s">
        <v>146</v>
      </c>
      <c r="AE10" s="2" t="s">
        <v>145</v>
      </c>
      <c r="AF10" s="2" t="s">
        <v>148</v>
      </c>
      <c r="AG10" s="2" t="s">
        <v>152</v>
      </c>
      <c r="AH10" s="2" t="s">
        <v>156</v>
      </c>
      <c r="AI10" s="2" t="s">
        <v>158</v>
      </c>
      <c r="AJ10" s="2" t="s">
        <v>160</v>
      </c>
      <c r="AK10" s="2" t="s">
        <v>164</v>
      </c>
      <c r="AL10" s="2" t="s">
        <v>168</v>
      </c>
      <c r="AM10" s="2" t="s">
        <v>171</v>
      </c>
      <c r="AN10" s="2" t="s">
        <v>172</v>
      </c>
      <c r="AO10" s="2" t="s">
        <v>172</v>
      </c>
      <c r="AP10" s="2" t="s">
        <v>175</v>
      </c>
      <c r="AQ10" s="2" t="s">
        <v>181</v>
      </c>
      <c r="AR10" s="2" t="s">
        <v>187</v>
      </c>
      <c r="AS10" s="2" t="s">
        <v>190</v>
      </c>
      <c r="AT10" s="2" t="s">
        <v>194</v>
      </c>
      <c r="AU10" s="2">
        <v>2023</v>
      </c>
      <c r="AV10" s="5"/>
      <c r="AW10" s="5" t="s">
        <v>196</v>
      </c>
      <c r="AX10" s="5" t="s">
        <v>196</v>
      </c>
      <c r="AY10" s="5" t="s">
        <v>196</v>
      </c>
      <c r="AZ10" s="5" t="s">
        <v>196</v>
      </c>
      <c r="BA10" s="5" t="s">
        <v>196</v>
      </c>
      <c r="BB10" s="5" t="s">
        <v>196</v>
      </c>
      <c r="BC10" s="5" t="s">
        <v>233</v>
      </c>
      <c r="BD10" s="5" t="s">
        <v>246</v>
      </c>
      <c r="BE10" s="5" t="s">
        <v>246</v>
      </c>
      <c r="BF10" s="5" t="s">
        <v>264</v>
      </c>
      <c r="BG10" s="5" t="s">
        <v>268</v>
      </c>
      <c r="BH10" s="5" t="s">
        <v>269</v>
      </c>
      <c r="BI10" s="5" t="s">
        <v>269</v>
      </c>
      <c r="BJ10" s="5" t="s">
        <v>273</v>
      </c>
      <c r="BK10" s="5" t="s">
        <v>277</v>
      </c>
      <c r="BL10" s="5" t="s">
        <v>171</v>
      </c>
      <c r="BM10" s="5" t="s">
        <v>283</v>
      </c>
      <c r="BN10" s="5" t="s">
        <v>283</v>
      </c>
      <c r="BO10" s="5" t="s">
        <v>282</v>
      </c>
      <c r="BP10" s="5" t="s">
        <v>284</v>
      </c>
      <c r="BQ10" s="5" t="s">
        <v>287</v>
      </c>
      <c r="BR10" s="5" t="s">
        <v>289</v>
      </c>
      <c r="BS10" s="5" t="s">
        <v>295</v>
      </c>
      <c r="BT10" s="5" t="s">
        <v>296</v>
      </c>
      <c r="BU10" s="5" t="s">
        <v>300</v>
      </c>
      <c r="BV10" s="5" t="s">
        <v>304</v>
      </c>
      <c r="BW10" s="5">
        <v>2024</v>
      </c>
      <c r="BX10" s="5"/>
      <c r="BY10" s="5"/>
      <c r="BZ10" s="5"/>
      <c r="CA10" s="5">
        <v>1</v>
      </c>
      <c r="CB10" s="5">
        <v>2</v>
      </c>
      <c r="CC10" s="5">
        <v>3</v>
      </c>
      <c r="CD10" s="5">
        <v>4</v>
      </c>
      <c r="CE10" s="5">
        <v>2025</v>
      </c>
      <c r="CF10" s="5"/>
      <c r="CG10" s="5"/>
      <c r="CH10" s="5"/>
      <c r="CI10" s="5">
        <v>1</v>
      </c>
      <c r="CJ10" s="5">
        <v>2</v>
      </c>
      <c r="CK10" s="5">
        <v>3</v>
      </c>
      <c r="CL10" s="5">
        <v>4</v>
      </c>
      <c r="CM10" s="5">
        <v>2026</v>
      </c>
    </row>
    <row r="11" spans="1:91" x14ac:dyDescent="0.25">
      <c r="A11">
        <v>1</v>
      </c>
      <c r="B11" s="6" t="s">
        <v>385</v>
      </c>
      <c r="C11" s="6"/>
      <c r="D11" s="6" t="s">
        <v>386</v>
      </c>
      <c r="E11" s="6" t="s">
        <v>91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10">
        <v>119.25</v>
      </c>
      <c r="CG11" s="10">
        <v>36</v>
      </c>
      <c r="CH11" s="10">
        <v>64</v>
      </c>
      <c r="CI11" s="10">
        <v>120</v>
      </c>
      <c r="CJ11" s="10">
        <v>36</v>
      </c>
      <c r="CK11" s="10"/>
      <c r="CL11" s="10">
        <v>100</v>
      </c>
      <c r="CM11" s="6">
        <f t="shared" ref="CM11:CM17" si="0">SUM(CF11:CL11)</f>
        <v>475.25</v>
      </c>
    </row>
    <row r="12" spans="1:91" x14ac:dyDescent="0.25">
      <c r="A12">
        <v>2</v>
      </c>
      <c r="B12" s="10" t="s">
        <v>442</v>
      </c>
      <c r="C12" s="6"/>
      <c r="D12" s="6" t="s">
        <v>443</v>
      </c>
      <c r="E12" s="6" t="s">
        <v>141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10">
        <v>188.1</v>
      </c>
      <c r="CG12" s="10">
        <v>36</v>
      </c>
      <c r="CH12" s="10">
        <v>64</v>
      </c>
      <c r="CI12" s="10">
        <v>60</v>
      </c>
      <c r="CJ12" s="10">
        <v>36</v>
      </c>
      <c r="CK12" s="10"/>
      <c r="CL12" s="10">
        <v>50</v>
      </c>
      <c r="CM12" s="6">
        <f t="shared" si="0"/>
        <v>434.1</v>
      </c>
    </row>
    <row r="13" spans="1:91" x14ac:dyDescent="0.25">
      <c r="A13">
        <v>3</v>
      </c>
      <c r="B13" s="6" t="s">
        <v>483</v>
      </c>
      <c r="C13" s="6"/>
      <c r="D13" s="6" t="s">
        <v>241</v>
      </c>
      <c r="E13" s="6" t="s">
        <v>34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10">
        <f>57.55/2</f>
        <v>28.774999999999999</v>
      </c>
      <c r="CG13" s="10">
        <v>36</v>
      </c>
      <c r="CH13" s="10">
        <v>3.2</v>
      </c>
      <c r="CI13" s="10">
        <v>84</v>
      </c>
      <c r="CJ13" s="10"/>
      <c r="CK13" s="10"/>
      <c r="CL13" s="10">
        <v>36</v>
      </c>
      <c r="CM13" s="6">
        <f t="shared" si="0"/>
        <v>187.97500000000002</v>
      </c>
    </row>
    <row r="14" spans="1:91" x14ac:dyDescent="0.25">
      <c r="A14" s="22">
        <v>4</v>
      </c>
      <c r="B14" s="6" t="s">
        <v>315</v>
      </c>
      <c r="C14" s="6"/>
      <c r="D14" s="6" t="s">
        <v>522</v>
      </c>
      <c r="E14" s="6" t="s">
        <v>523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10"/>
      <c r="CG14" s="10">
        <v>36</v>
      </c>
      <c r="CH14" s="10"/>
      <c r="CI14" s="10">
        <v>60</v>
      </c>
      <c r="CJ14" s="10">
        <v>36</v>
      </c>
      <c r="CK14" s="10"/>
      <c r="CL14" s="10"/>
      <c r="CM14" s="6">
        <f t="shared" si="0"/>
        <v>132</v>
      </c>
    </row>
    <row r="15" spans="1:91" x14ac:dyDescent="0.25">
      <c r="A15">
        <v>5</v>
      </c>
      <c r="B15" s="6" t="s">
        <v>620</v>
      </c>
      <c r="C15" s="6"/>
      <c r="D15" s="6" t="s">
        <v>333</v>
      </c>
      <c r="E15" s="6" t="s">
        <v>572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10"/>
      <c r="CG15" s="10"/>
      <c r="CH15" s="10">
        <v>48</v>
      </c>
      <c r="CI15" s="10"/>
      <c r="CJ15" s="10"/>
      <c r="CK15" s="10"/>
      <c r="CL15" s="10"/>
      <c r="CM15" s="6">
        <f t="shared" si="0"/>
        <v>48</v>
      </c>
    </row>
    <row r="16" spans="1:91" x14ac:dyDescent="0.25">
      <c r="A16">
        <v>6</v>
      </c>
      <c r="B16" s="6" t="s">
        <v>564</v>
      </c>
      <c r="C16" s="6"/>
      <c r="D16" s="6" t="s">
        <v>565</v>
      </c>
      <c r="E16" s="6" t="s">
        <v>149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10"/>
      <c r="CG16" s="10">
        <v>36</v>
      </c>
      <c r="CH16" s="10">
        <v>3.2</v>
      </c>
      <c r="CI16" s="10"/>
      <c r="CJ16" s="10"/>
      <c r="CK16" s="10"/>
      <c r="CL16" s="10"/>
      <c r="CM16" s="6">
        <f t="shared" si="0"/>
        <v>39.200000000000003</v>
      </c>
    </row>
    <row r="17" spans="1:91" x14ac:dyDescent="0.25">
      <c r="A17">
        <v>7</v>
      </c>
      <c r="B17" s="6" t="s">
        <v>45</v>
      </c>
      <c r="C17" s="6"/>
      <c r="D17" s="6" t="s">
        <v>647</v>
      </c>
      <c r="E17" s="6" t="s">
        <v>648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10"/>
      <c r="CG17" s="10">
        <v>36</v>
      </c>
      <c r="CH17" s="10"/>
      <c r="CI17" s="10"/>
      <c r="CJ17" s="10"/>
      <c r="CK17" s="10"/>
      <c r="CL17" s="10"/>
      <c r="CM17" s="6">
        <f t="shared" si="0"/>
        <v>36</v>
      </c>
    </row>
    <row r="18" spans="1:91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10"/>
      <c r="CG18" s="10"/>
      <c r="CH18" s="10"/>
      <c r="CI18" s="10"/>
      <c r="CJ18" s="10"/>
      <c r="CK18" s="10"/>
      <c r="CL18" s="10"/>
      <c r="CM18" s="6">
        <f t="shared" ref="CM18:CM20" si="1">SUM(CF18:CL18)</f>
        <v>0</v>
      </c>
    </row>
    <row r="19" spans="1:91" x14ac:dyDescent="0.25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10"/>
      <c r="CG19" s="10"/>
      <c r="CH19" s="10"/>
      <c r="CI19" s="10"/>
      <c r="CJ19" s="10"/>
      <c r="CK19" s="10"/>
      <c r="CL19" s="10"/>
      <c r="CM19" s="6">
        <f t="shared" si="1"/>
        <v>0</v>
      </c>
    </row>
    <row r="20" spans="1:91" x14ac:dyDescent="0.25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10"/>
      <c r="CG20" s="10"/>
      <c r="CH20" s="10"/>
      <c r="CI20" s="10"/>
      <c r="CJ20" s="10"/>
      <c r="CK20" s="10"/>
      <c r="CL20" s="10"/>
      <c r="CM20" s="6">
        <f t="shared" si="1"/>
        <v>0</v>
      </c>
    </row>
  </sheetData>
  <sortState xmlns:xlrd2="http://schemas.microsoft.com/office/spreadsheetml/2017/richdata2" ref="B11:CM17">
    <sortCondition descending="1" ref="CM11:CM17"/>
  </sortState>
  <mergeCells count="5">
    <mergeCell ref="B1:CM1"/>
    <mergeCell ref="D4:CM5"/>
    <mergeCell ref="B8:C10"/>
    <mergeCell ref="CA9:CD9"/>
    <mergeCell ref="CI9:CL9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Q25"/>
  <sheetViews>
    <sheetView tabSelected="1" zoomScale="80" zoomScaleNormal="80" workbookViewId="0">
      <selection activeCell="CV17" sqref="CV17"/>
    </sheetView>
  </sheetViews>
  <sheetFormatPr baseColWidth="10" defaultRowHeight="15" x14ac:dyDescent="0.25"/>
  <cols>
    <col min="1" max="1" width="3.140625" bestFit="1" customWidth="1"/>
    <col min="2" max="2" width="13.85546875" bestFit="1" customWidth="1"/>
    <col min="3" max="3" width="12" bestFit="1" customWidth="1"/>
    <col min="4" max="4" width="12.7109375" bestFit="1" customWidth="1"/>
    <col min="5" max="5" width="18.7109375" bestFit="1" customWidth="1"/>
    <col min="6" max="9" width="6.42578125" hidden="1" customWidth="1"/>
    <col min="10" max="12" width="7.28515625" style="7" hidden="1" customWidth="1"/>
    <col min="13" max="16" width="6.28515625" style="7" hidden="1" customWidth="1"/>
    <col min="17" max="19" width="6.7109375" style="7" hidden="1" customWidth="1"/>
    <col min="20" max="23" width="7.28515625" style="7" hidden="1" customWidth="1"/>
    <col min="24" max="28" width="6.42578125" style="7" hidden="1" customWidth="1"/>
    <col min="29" max="29" width="0" hidden="1" customWidth="1"/>
    <col min="30" max="30" width="0" style="7" hidden="1" customWidth="1"/>
    <col min="31" max="41" width="6" hidden="1" customWidth="1"/>
    <col min="42" max="42" width="10.5703125" hidden="1" customWidth="1"/>
    <col min="43" max="48" width="6" hidden="1" customWidth="1"/>
    <col min="49" max="49" width="6.28515625" hidden="1" customWidth="1"/>
    <col min="50" max="50" width="6.85546875" hidden="1" customWidth="1"/>
    <col min="51" max="51" width="10.5703125" hidden="1" customWidth="1"/>
    <col min="52" max="68" width="6" hidden="1" customWidth="1"/>
    <col min="69" max="69" width="10.85546875" style="7" hidden="1" customWidth="1"/>
    <col min="70" max="77" width="6.140625" style="7" hidden="1" customWidth="1"/>
    <col min="78" max="78" width="6.85546875" style="7" hidden="1" customWidth="1"/>
    <col min="79" max="79" width="6.7109375" hidden="1" customWidth="1"/>
    <col min="80" max="80" width="7.85546875" hidden="1" customWidth="1"/>
    <col min="81" max="81" width="6.7109375" style="7" hidden="1" customWidth="1"/>
    <col min="82" max="82" width="7.5703125" style="7" hidden="1" customWidth="1"/>
    <col min="83" max="83" width="6.7109375" style="7" hidden="1" customWidth="1"/>
    <col min="84" max="84" width="8.5703125" style="7" hidden="1" customWidth="1"/>
    <col min="85" max="85" width="8.28515625" style="7" hidden="1" customWidth="1"/>
    <col min="86" max="86" width="6" style="7" hidden="1" customWidth="1"/>
    <col min="89" max="89" width="7.42578125" style="7" customWidth="1"/>
    <col min="90" max="90" width="9.140625" style="7" customWidth="1"/>
    <col min="91" max="91" width="8" style="7" customWidth="1"/>
    <col min="92" max="94" width="7.7109375" style="7" customWidth="1"/>
  </cols>
  <sheetData>
    <row r="1" spans="1:95" ht="26.25" x14ac:dyDescent="0.4">
      <c r="B1" s="34" t="s">
        <v>3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</row>
    <row r="2" spans="1:95" ht="15.75" thickBot="1" x14ac:dyDescent="0.3">
      <c r="C2" s="7"/>
      <c r="D2" s="7"/>
      <c r="E2" s="7"/>
    </row>
    <row r="3" spans="1:95" ht="15.75" thickTop="1" x14ac:dyDescent="0.25">
      <c r="B3" s="1" t="s">
        <v>0</v>
      </c>
      <c r="C3" s="4" t="s">
        <v>14</v>
      </c>
    </row>
    <row r="4" spans="1:95" ht="14.65" customHeight="1" x14ac:dyDescent="0.25">
      <c r="B4" s="2" t="s">
        <v>1</v>
      </c>
      <c r="C4" s="5" t="s">
        <v>7</v>
      </c>
      <c r="D4" s="32" t="s">
        <v>492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</row>
    <row r="5" spans="1:95" ht="15" customHeight="1" thickBot="1" x14ac:dyDescent="0.3">
      <c r="B5" s="3" t="s">
        <v>2</v>
      </c>
      <c r="C5" s="15" t="s">
        <v>493</v>
      </c>
      <c r="D5" s="32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</row>
    <row r="6" spans="1:95" ht="15.75" thickTop="1" x14ac:dyDescent="0.25"/>
    <row r="7" spans="1:95" ht="15.75" thickBot="1" x14ac:dyDescent="0.3"/>
    <row r="8" spans="1:95" ht="15.75" thickTop="1" x14ac:dyDescent="0.25">
      <c r="B8" s="25" t="s">
        <v>9</v>
      </c>
      <c r="C8" s="26"/>
      <c r="D8" s="1"/>
      <c r="E8" s="1"/>
      <c r="F8" s="4" t="s">
        <v>10</v>
      </c>
      <c r="G8" s="4" t="s">
        <v>10</v>
      </c>
      <c r="H8" s="4" t="s">
        <v>10</v>
      </c>
      <c r="I8" s="4" t="s">
        <v>53</v>
      </c>
      <c r="J8" s="4" t="s">
        <v>66</v>
      </c>
      <c r="K8" s="4" t="s">
        <v>10</v>
      </c>
      <c r="L8" s="4" t="s">
        <v>10</v>
      </c>
      <c r="M8" s="4" t="s">
        <v>85</v>
      </c>
      <c r="N8" s="4" t="s">
        <v>86</v>
      </c>
      <c r="O8" s="4" t="s">
        <v>92</v>
      </c>
      <c r="P8" s="4" t="s">
        <v>97</v>
      </c>
      <c r="Q8" s="4" t="s">
        <v>10</v>
      </c>
      <c r="R8" s="4" t="s">
        <v>10</v>
      </c>
      <c r="S8" s="4" t="s">
        <v>10</v>
      </c>
      <c r="T8" s="4" t="s">
        <v>10</v>
      </c>
      <c r="U8" s="4" t="s">
        <v>10</v>
      </c>
      <c r="V8" s="4" t="s">
        <v>10</v>
      </c>
      <c r="W8" s="4" t="s">
        <v>107</v>
      </c>
      <c r="X8" s="4" t="s">
        <v>10</v>
      </c>
      <c r="Y8" s="4" t="s">
        <v>10</v>
      </c>
      <c r="Z8" s="4" t="s">
        <v>10</v>
      </c>
      <c r="AA8" s="4" t="s">
        <v>112</v>
      </c>
      <c r="AB8" s="4" t="s">
        <v>115</v>
      </c>
      <c r="AC8" s="1"/>
      <c r="AD8" s="12">
        <v>44927</v>
      </c>
      <c r="AE8" s="4" t="s">
        <v>115</v>
      </c>
      <c r="AF8" s="4" t="s">
        <v>10</v>
      </c>
      <c r="AG8" s="4" t="s">
        <v>10</v>
      </c>
      <c r="AH8" s="4" t="s">
        <v>10</v>
      </c>
      <c r="AI8" s="4" t="s">
        <v>151</v>
      </c>
      <c r="AJ8" s="4" t="s">
        <v>151</v>
      </c>
      <c r="AK8" s="4" t="s">
        <v>151</v>
      </c>
      <c r="AL8" s="4" t="s">
        <v>10</v>
      </c>
      <c r="AM8" s="4" t="s">
        <v>115</v>
      </c>
      <c r="AN8" s="4" t="s">
        <v>10</v>
      </c>
      <c r="AO8" s="4" t="s">
        <v>10</v>
      </c>
      <c r="AP8" s="4" t="s">
        <v>10</v>
      </c>
      <c r="AQ8" s="4" t="s">
        <v>10</v>
      </c>
      <c r="AR8" s="4" t="s">
        <v>115</v>
      </c>
      <c r="AS8" s="4" t="s">
        <v>10</v>
      </c>
      <c r="AT8" s="4" t="s">
        <v>10</v>
      </c>
      <c r="AU8" s="4" t="s">
        <v>10</v>
      </c>
      <c r="AV8" s="4" t="s">
        <v>116</v>
      </c>
      <c r="AW8" s="4" t="s">
        <v>6</v>
      </c>
      <c r="AX8" s="12">
        <v>45292</v>
      </c>
      <c r="AY8" s="12" t="s">
        <v>10</v>
      </c>
      <c r="AZ8" s="12" t="s">
        <v>10</v>
      </c>
      <c r="BA8" s="12" t="s">
        <v>10</v>
      </c>
      <c r="BB8" s="12" t="s">
        <v>10</v>
      </c>
      <c r="BC8" s="12" t="s">
        <v>10</v>
      </c>
      <c r="BD8" s="12" t="s">
        <v>10</v>
      </c>
      <c r="BE8" s="12" t="s">
        <v>10</v>
      </c>
      <c r="BF8" s="12" t="s">
        <v>10</v>
      </c>
      <c r="BG8" s="12" t="s">
        <v>115</v>
      </c>
      <c r="BH8" s="12" t="s">
        <v>10</v>
      </c>
      <c r="BI8" s="12" t="s">
        <v>115</v>
      </c>
      <c r="BJ8" s="12" t="s">
        <v>151</v>
      </c>
      <c r="BK8" s="12" t="s">
        <v>151</v>
      </c>
      <c r="BL8" s="12" t="s">
        <v>151</v>
      </c>
      <c r="BM8" s="12" t="s">
        <v>115</v>
      </c>
      <c r="BN8" s="12" t="s">
        <v>10</v>
      </c>
      <c r="BO8" s="12" t="s">
        <v>10</v>
      </c>
      <c r="BP8" s="12" t="s">
        <v>10</v>
      </c>
      <c r="BQ8" s="12" t="s">
        <v>10</v>
      </c>
      <c r="BR8" s="12" t="s">
        <v>10</v>
      </c>
      <c r="BS8" s="12" t="s">
        <v>10</v>
      </c>
      <c r="BT8" s="12" t="s">
        <v>10</v>
      </c>
      <c r="BU8" s="12" t="s">
        <v>10</v>
      </c>
      <c r="BV8" s="12" t="s">
        <v>10</v>
      </c>
      <c r="BW8" s="12" t="s">
        <v>115</v>
      </c>
      <c r="BX8" s="12" t="s">
        <v>112</v>
      </c>
      <c r="BY8" s="12" t="s">
        <v>299</v>
      </c>
      <c r="BZ8" s="12" t="s">
        <v>116</v>
      </c>
      <c r="CA8" s="12" t="s">
        <v>6</v>
      </c>
      <c r="CB8" s="12">
        <v>45658</v>
      </c>
      <c r="CC8" s="12"/>
      <c r="CD8" s="12"/>
      <c r="CE8" s="17"/>
      <c r="CF8" s="18"/>
      <c r="CG8" s="18"/>
      <c r="CH8" s="19"/>
      <c r="CI8" s="12" t="s">
        <v>6</v>
      </c>
      <c r="CJ8" s="12">
        <v>46023</v>
      </c>
      <c r="CK8" s="12"/>
      <c r="CL8" s="12"/>
      <c r="CM8" s="17"/>
      <c r="CN8" s="18"/>
      <c r="CO8" s="18"/>
      <c r="CP8" s="19"/>
      <c r="CQ8" s="12" t="s">
        <v>6</v>
      </c>
    </row>
    <row r="9" spans="1:95" x14ac:dyDescent="0.25">
      <c r="B9" s="27"/>
      <c r="C9" s="28"/>
      <c r="D9" s="2"/>
      <c r="E9" s="2"/>
      <c r="F9" s="8" t="s">
        <v>11</v>
      </c>
      <c r="G9" s="8" t="s">
        <v>32</v>
      </c>
      <c r="H9" s="8" t="s">
        <v>19</v>
      </c>
      <c r="I9" s="8" t="s">
        <v>54</v>
      </c>
      <c r="J9" s="8" t="s">
        <v>67</v>
      </c>
      <c r="K9" s="8" t="s">
        <v>73</v>
      </c>
      <c r="L9" s="8" t="s">
        <v>76</v>
      </c>
      <c r="M9" s="8" t="s">
        <v>83</v>
      </c>
      <c r="N9" s="8" t="s">
        <v>87</v>
      </c>
      <c r="O9" s="8" t="s">
        <v>93</v>
      </c>
      <c r="P9" s="8" t="s">
        <v>54</v>
      </c>
      <c r="Q9" s="8" t="s">
        <v>32</v>
      </c>
      <c r="R9" s="8" t="s">
        <v>19</v>
      </c>
      <c r="S9" s="8" t="s">
        <v>81</v>
      </c>
      <c r="T9" s="8" t="s">
        <v>76</v>
      </c>
      <c r="U9" s="8" t="s">
        <v>11</v>
      </c>
      <c r="V9" s="8" t="s">
        <v>102</v>
      </c>
      <c r="W9" s="8" t="s">
        <v>108</v>
      </c>
      <c r="X9" s="8" t="s">
        <v>73</v>
      </c>
      <c r="Y9" s="8" t="s">
        <v>102</v>
      </c>
      <c r="Z9" s="8" t="s">
        <v>43</v>
      </c>
      <c r="AA9" s="8" t="s">
        <v>113</v>
      </c>
      <c r="AB9" s="8" t="s">
        <v>116</v>
      </c>
      <c r="AC9" s="2" t="s">
        <v>6</v>
      </c>
      <c r="AD9" s="5"/>
      <c r="AE9" s="8" t="s">
        <v>85</v>
      </c>
      <c r="AF9" s="8" t="s">
        <v>81</v>
      </c>
      <c r="AG9" s="8" t="s">
        <v>102</v>
      </c>
      <c r="AH9" s="8" t="s">
        <v>43</v>
      </c>
      <c r="AI9" s="8" t="s">
        <v>86</v>
      </c>
      <c r="AJ9" s="8" t="s">
        <v>92</v>
      </c>
      <c r="AK9" s="8" t="s">
        <v>85</v>
      </c>
      <c r="AL9" s="8" t="s">
        <v>76</v>
      </c>
      <c r="AM9" s="8" t="s">
        <v>86</v>
      </c>
      <c r="AN9" s="8" t="s">
        <v>102</v>
      </c>
      <c r="AO9" s="8" t="s">
        <v>81</v>
      </c>
      <c r="AP9" s="8" t="s">
        <v>177</v>
      </c>
      <c r="AQ9" s="8" t="s">
        <v>99</v>
      </c>
      <c r="AR9" s="8" t="s">
        <v>92</v>
      </c>
      <c r="AS9" s="8" t="s">
        <v>76</v>
      </c>
      <c r="AT9" s="8" t="s">
        <v>188</v>
      </c>
      <c r="AU9" s="8" t="s">
        <v>11</v>
      </c>
      <c r="AV9" s="8"/>
      <c r="AW9" s="2"/>
      <c r="AX9" s="5"/>
      <c r="AY9" s="5" t="s">
        <v>177</v>
      </c>
      <c r="AZ9" s="5" t="s">
        <v>99</v>
      </c>
      <c r="BA9" s="5" t="s">
        <v>195</v>
      </c>
      <c r="BB9" s="5" t="s">
        <v>81</v>
      </c>
      <c r="BC9" s="5" t="s">
        <v>192</v>
      </c>
      <c r="BD9" s="5" t="s">
        <v>19</v>
      </c>
      <c r="BE9" s="5" t="s">
        <v>32</v>
      </c>
      <c r="BF9" s="5" t="s">
        <v>43</v>
      </c>
      <c r="BG9" s="5" t="s">
        <v>86</v>
      </c>
      <c r="BH9" s="5" t="s">
        <v>188</v>
      </c>
      <c r="BI9" s="5" t="s">
        <v>267</v>
      </c>
      <c r="BJ9" s="5" t="s">
        <v>86</v>
      </c>
      <c r="BK9" s="5" t="s">
        <v>85</v>
      </c>
      <c r="BL9" s="5" t="s">
        <v>92</v>
      </c>
      <c r="BM9" s="5" t="s">
        <v>85</v>
      </c>
      <c r="BN9" s="5" t="s">
        <v>81</v>
      </c>
      <c r="BO9" s="5" t="s">
        <v>195</v>
      </c>
      <c r="BP9" s="5" t="s">
        <v>19</v>
      </c>
      <c r="BQ9" s="5" t="s">
        <v>177</v>
      </c>
      <c r="BR9" s="5" t="s">
        <v>32</v>
      </c>
      <c r="BS9" s="5" t="s">
        <v>192</v>
      </c>
      <c r="BT9" s="5" t="s">
        <v>43</v>
      </c>
      <c r="BU9" s="5" t="s">
        <v>76</v>
      </c>
      <c r="BV9" s="5" t="s">
        <v>294</v>
      </c>
      <c r="BW9" s="5" t="s">
        <v>92</v>
      </c>
      <c r="BX9" s="5" t="s">
        <v>297</v>
      </c>
      <c r="BY9" s="5" t="s">
        <v>195</v>
      </c>
      <c r="BZ9" s="5" t="s">
        <v>303</v>
      </c>
      <c r="CA9" s="5"/>
      <c r="CB9" s="5"/>
      <c r="CC9" s="8" t="s">
        <v>10</v>
      </c>
      <c r="CD9" s="8" t="s">
        <v>151</v>
      </c>
      <c r="CE9" s="29" t="s">
        <v>305</v>
      </c>
      <c r="CF9" s="30"/>
      <c r="CG9" s="30"/>
      <c r="CH9" s="31"/>
      <c r="CI9" s="5"/>
      <c r="CJ9" s="5"/>
      <c r="CK9" s="8" t="s">
        <v>10</v>
      </c>
      <c r="CL9" s="8" t="s">
        <v>151</v>
      </c>
      <c r="CM9" s="29" t="s">
        <v>305</v>
      </c>
      <c r="CN9" s="30"/>
      <c r="CO9" s="30"/>
      <c r="CP9" s="31"/>
      <c r="CQ9" s="5"/>
    </row>
    <row r="10" spans="1:95" x14ac:dyDescent="0.25">
      <c r="B10" s="27"/>
      <c r="C10" s="28"/>
      <c r="D10" s="2" t="s">
        <v>4</v>
      </c>
      <c r="E10" s="2" t="s">
        <v>5</v>
      </c>
      <c r="F10" s="9">
        <v>44653</v>
      </c>
      <c r="G10" s="9">
        <v>44653</v>
      </c>
      <c r="H10" s="9">
        <v>44660</v>
      </c>
      <c r="I10" s="9">
        <v>44681</v>
      </c>
      <c r="J10" s="9">
        <v>44696</v>
      </c>
      <c r="K10" s="9">
        <v>44709</v>
      </c>
      <c r="L10" s="9">
        <v>44709</v>
      </c>
      <c r="M10" s="9">
        <v>44730</v>
      </c>
      <c r="N10" s="9">
        <v>44730</v>
      </c>
      <c r="O10" s="9">
        <v>44737</v>
      </c>
      <c r="P10" s="9">
        <v>44759</v>
      </c>
      <c r="Q10" s="9">
        <v>44779</v>
      </c>
      <c r="R10" s="9">
        <v>44793</v>
      </c>
      <c r="S10" s="9">
        <v>44800</v>
      </c>
      <c r="T10" s="9">
        <v>44814</v>
      </c>
      <c r="U10" s="9">
        <v>44814</v>
      </c>
      <c r="V10" s="9">
        <v>44814</v>
      </c>
      <c r="W10" s="9">
        <v>44828</v>
      </c>
      <c r="X10" s="9">
        <v>44849</v>
      </c>
      <c r="Y10" s="9">
        <v>44856</v>
      </c>
      <c r="Z10" s="9">
        <v>44863</v>
      </c>
      <c r="AA10" s="9">
        <v>44869</v>
      </c>
      <c r="AB10" s="9">
        <v>44905</v>
      </c>
      <c r="AC10" s="2">
        <v>2022</v>
      </c>
      <c r="AD10" s="5"/>
      <c r="AE10" s="2" t="s">
        <v>129</v>
      </c>
      <c r="AF10" s="2" t="s">
        <v>146</v>
      </c>
      <c r="AG10" s="2" t="s">
        <v>145</v>
      </c>
      <c r="AH10" s="2" t="s">
        <v>148</v>
      </c>
      <c r="AI10" s="2" t="s">
        <v>152</v>
      </c>
      <c r="AJ10" s="2" t="s">
        <v>156</v>
      </c>
      <c r="AK10" s="2" t="s">
        <v>158</v>
      </c>
      <c r="AL10" s="2" t="s">
        <v>160</v>
      </c>
      <c r="AM10" s="2" t="s">
        <v>164</v>
      </c>
      <c r="AN10" s="2" t="s">
        <v>172</v>
      </c>
      <c r="AO10" s="2" t="s">
        <v>172</v>
      </c>
      <c r="AP10" s="5" t="s">
        <v>176</v>
      </c>
      <c r="AQ10" s="2" t="s">
        <v>176</v>
      </c>
      <c r="AR10" s="2" t="s">
        <v>181</v>
      </c>
      <c r="AS10" s="2" t="s">
        <v>187</v>
      </c>
      <c r="AT10" s="2" t="s">
        <v>189</v>
      </c>
      <c r="AU10" s="5" t="s">
        <v>190</v>
      </c>
      <c r="AV10" s="2" t="s">
        <v>194</v>
      </c>
      <c r="AW10" s="2">
        <v>2023</v>
      </c>
      <c r="AX10" s="13"/>
      <c r="AY10" s="13" t="s">
        <v>196</v>
      </c>
      <c r="AZ10" s="13" t="s">
        <v>196</v>
      </c>
      <c r="BA10" s="13" t="s">
        <v>196</v>
      </c>
      <c r="BB10" s="13" t="s">
        <v>196</v>
      </c>
      <c r="BC10" s="13" t="s">
        <v>196</v>
      </c>
      <c r="BD10" s="13" t="s">
        <v>233</v>
      </c>
      <c r="BE10" s="13" t="s">
        <v>246</v>
      </c>
      <c r="BF10" s="13" t="s">
        <v>246</v>
      </c>
      <c r="BG10" s="13" t="s">
        <v>264</v>
      </c>
      <c r="BH10" s="13" t="s">
        <v>268</v>
      </c>
      <c r="BI10" s="13" t="s">
        <v>268</v>
      </c>
      <c r="BJ10" s="13" t="s">
        <v>269</v>
      </c>
      <c r="BK10" s="13" t="s">
        <v>269</v>
      </c>
      <c r="BL10" s="13" t="s">
        <v>273</v>
      </c>
      <c r="BM10" s="13" t="s">
        <v>277</v>
      </c>
      <c r="BN10" s="13" t="s">
        <v>171</v>
      </c>
      <c r="BO10" s="13" t="s">
        <v>283</v>
      </c>
      <c r="BP10" s="13" t="s">
        <v>283</v>
      </c>
      <c r="BQ10" s="13" t="s">
        <v>284</v>
      </c>
      <c r="BR10" s="13" t="s">
        <v>287</v>
      </c>
      <c r="BS10" s="13" t="s">
        <v>287</v>
      </c>
      <c r="BT10" s="13" t="s">
        <v>290</v>
      </c>
      <c r="BU10" s="13" t="s">
        <v>290</v>
      </c>
      <c r="BV10" s="13" t="s">
        <v>295</v>
      </c>
      <c r="BW10" s="13" t="s">
        <v>296</v>
      </c>
      <c r="BX10" s="13" t="s">
        <v>298</v>
      </c>
      <c r="BY10" s="13" t="s">
        <v>300</v>
      </c>
      <c r="BZ10" s="13" t="s">
        <v>304</v>
      </c>
      <c r="CA10" s="13">
        <v>2024</v>
      </c>
      <c r="CB10" s="5"/>
      <c r="CC10" s="5"/>
      <c r="CD10" s="5"/>
      <c r="CE10" s="5">
        <v>1</v>
      </c>
      <c r="CF10" s="5">
        <v>2</v>
      </c>
      <c r="CG10" s="5">
        <v>3</v>
      </c>
      <c r="CH10" s="5">
        <v>4</v>
      </c>
      <c r="CI10" s="5">
        <v>2025</v>
      </c>
      <c r="CJ10" s="5"/>
      <c r="CK10" s="5"/>
      <c r="CL10" s="5"/>
      <c r="CM10" s="5">
        <v>1</v>
      </c>
      <c r="CN10" s="5">
        <v>2</v>
      </c>
      <c r="CO10" s="5">
        <v>3</v>
      </c>
      <c r="CP10" s="5">
        <v>4</v>
      </c>
      <c r="CQ10" s="5">
        <v>2026</v>
      </c>
    </row>
    <row r="11" spans="1:95" x14ac:dyDescent="0.25">
      <c r="A11">
        <v>1</v>
      </c>
      <c r="B11" s="10" t="s">
        <v>50</v>
      </c>
      <c r="C11" s="6"/>
      <c r="D11" s="10" t="s">
        <v>338</v>
      </c>
      <c r="E11" s="6" t="s">
        <v>58</v>
      </c>
      <c r="F11" s="6"/>
      <c r="G11" s="6"/>
      <c r="H11" s="6"/>
      <c r="I11" s="6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6"/>
      <c r="AD11" s="10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6"/>
      <c r="CB11" s="6"/>
      <c r="CC11" s="10">
        <v>2.4</v>
      </c>
      <c r="CD11" s="10">
        <v>56</v>
      </c>
      <c r="CE11" s="10">
        <v>150</v>
      </c>
      <c r="CF11" s="10">
        <v>75</v>
      </c>
      <c r="CG11" s="10">
        <v>60</v>
      </c>
      <c r="CH11" s="10">
        <v>140</v>
      </c>
      <c r="CI11" s="6">
        <f>SUM(CB11:CH11)</f>
        <v>483.4</v>
      </c>
      <c r="CJ11" s="6">
        <f>(CI11-CB11)/2</f>
        <v>241.7</v>
      </c>
      <c r="CK11" s="10">
        <v>36</v>
      </c>
      <c r="CL11" s="10">
        <v>44.8</v>
      </c>
      <c r="CM11" s="10">
        <v>150</v>
      </c>
      <c r="CN11" s="10">
        <v>80</v>
      </c>
      <c r="CO11" s="10">
        <v>36</v>
      </c>
      <c r="CP11" s="10"/>
      <c r="CQ11" s="6">
        <f>SUM(CJ11:CP11)</f>
        <v>588.5</v>
      </c>
    </row>
    <row r="12" spans="1:95" x14ac:dyDescent="0.25">
      <c r="A12">
        <v>2</v>
      </c>
      <c r="B12" s="10" t="s">
        <v>431</v>
      </c>
      <c r="C12" s="6"/>
      <c r="D12" s="10" t="s">
        <v>143</v>
      </c>
      <c r="E12" s="6" t="s">
        <v>430</v>
      </c>
      <c r="F12" s="6"/>
      <c r="G12" s="6"/>
      <c r="H12" s="6"/>
      <c r="I12" s="6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6"/>
      <c r="AD12" s="10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6"/>
      <c r="CB12" s="6"/>
      <c r="CC12" s="10">
        <v>36</v>
      </c>
      <c r="CD12" s="10">
        <v>4</v>
      </c>
      <c r="CE12" s="10">
        <v>105</v>
      </c>
      <c r="CF12" s="10">
        <v>80</v>
      </c>
      <c r="CG12" s="10">
        <v>105</v>
      </c>
      <c r="CH12" s="10"/>
      <c r="CI12" s="6">
        <f>SUM(CB12:CH12)</f>
        <v>330</v>
      </c>
      <c r="CJ12" s="6">
        <f>(CI12-CB12)/2</f>
        <v>165</v>
      </c>
      <c r="CK12" s="10">
        <v>48</v>
      </c>
      <c r="CL12" s="10">
        <v>64</v>
      </c>
      <c r="CM12" s="10">
        <v>48</v>
      </c>
      <c r="CN12" s="10">
        <v>56</v>
      </c>
      <c r="CO12" s="10"/>
      <c r="CP12" s="10"/>
      <c r="CQ12" s="6">
        <f>SUM(CJ12:CP12)</f>
        <v>381</v>
      </c>
    </row>
    <row r="13" spans="1:95" x14ac:dyDescent="0.25">
      <c r="A13">
        <v>3</v>
      </c>
      <c r="B13" s="6" t="s">
        <v>150</v>
      </c>
      <c r="C13" s="6" t="s">
        <v>180</v>
      </c>
      <c r="D13" s="6" t="s">
        <v>310</v>
      </c>
      <c r="E13" s="6" t="s">
        <v>33</v>
      </c>
      <c r="F13" s="6"/>
      <c r="G13" s="6"/>
      <c r="H13" s="6"/>
      <c r="I13" s="6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6"/>
      <c r="AD13" s="10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6"/>
      <c r="CB13" s="6">
        <v>29.875</v>
      </c>
      <c r="CC13" s="10">
        <v>48</v>
      </c>
      <c r="CD13" s="10">
        <v>44.8</v>
      </c>
      <c r="CE13" s="10">
        <v>75</v>
      </c>
      <c r="CF13" s="10">
        <v>36</v>
      </c>
      <c r="CG13" s="10">
        <v>100</v>
      </c>
      <c r="CH13" s="10">
        <v>7.5</v>
      </c>
      <c r="CI13" s="6">
        <f>SUM(CB13:CH13)</f>
        <v>341.17500000000001</v>
      </c>
      <c r="CJ13" s="6">
        <f>(CI13-CB13)/2</f>
        <v>155.65</v>
      </c>
      <c r="CK13" s="10">
        <v>36</v>
      </c>
      <c r="CL13" s="10">
        <v>48</v>
      </c>
      <c r="CM13" s="10">
        <v>105</v>
      </c>
      <c r="CN13" s="10"/>
      <c r="CO13" s="10"/>
      <c r="CP13" s="10">
        <v>5</v>
      </c>
      <c r="CQ13" s="6">
        <f>SUM(CJ13:CP13)</f>
        <v>349.65</v>
      </c>
    </row>
    <row r="14" spans="1:95" x14ac:dyDescent="0.25">
      <c r="A14" s="22">
        <v>4</v>
      </c>
      <c r="B14" s="10" t="s">
        <v>337</v>
      </c>
      <c r="C14" s="6"/>
      <c r="D14" s="10" t="s">
        <v>154</v>
      </c>
      <c r="E14" s="6" t="s">
        <v>56</v>
      </c>
      <c r="F14" s="6"/>
      <c r="G14" s="6"/>
      <c r="H14" s="6"/>
      <c r="I14" s="6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6"/>
      <c r="AD14" s="10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6"/>
      <c r="CB14" s="6">
        <f>343/2</f>
        <v>171.5</v>
      </c>
      <c r="CC14" s="10">
        <v>48</v>
      </c>
      <c r="CD14" s="10">
        <v>80</v>
      </c>
      <c r="CE14" s="10">
        <v>150</v>
      </c>
      <c r="CF14" s="10">
        <v>150</v>
      </c>
      <c r="CG14" s="10">
        <v>200</v>
      </c>
      <c r="CH14" s="10">
        <v>64</v>
      </c>
      <c r="CI14" s="6">
        <f>SUM(CB14:CH14)</f>
        <v>863.5</v>
      </c>
      <c r="CJ14" s="6">
        <f>(CI14-CB14)/2</f>
        <v>346</v>
      </c>
      <c r="CK14" s="10"/>
      <c r="CL14" s="10"/>
      <c r="CM14" s="10"/>
      <c r="CN14" s="10"/>
      <c r="CO14" s="10"/>
      <c r="CP14" s="10"/>
      <c r="CQ14" s="6">
        <f>SUM(CJ14:CP14)</f>
        <v>346</v>
      </c>
    </row>
    <row r="15" spans="1:95" x14ac:dyDescent="0.25">
      <c r="A15">
        <v>5</v>
      </c>
      <c r="B15" s="10" t="s">
        <v>510</v>
      </c>
      <c r="C15" s="6"/>
      <c r="D15" s="10" t="s">
        <v>333</v>
      </c>
      <c r="E15" s="6" t="s">
        <v>568</v>
      </c>
      <c r="F15" s="6"/>
      <c r="G15" s="6"/>
      <c r="H15" s="6"/>
      <c r="I15" s="6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6"/>
      <c r="AD15" s="10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6"/>
      <c r="CB15" s="6"/>
      <c r="CC15" s="10"/>
      <c r="CD15" s="10"/>
      <c r="CE15" s="10"/>
      <c r="CF15" s="10"/>
      <c r="CG15" s="10"/>
      <c r="CH15" s="10"/>
      <c r="CI15" s="6"/>
      <c r="CJ15" s="6"/>
      <c r="CK15" s="10">
        <v>48</v>
      </c>
      <c r="CL15" s="10">
        <v>64</v>
      </c>
      <c r="CM15" s="10">
        <v>75</v>
      </c>
      <c r="CN15" s="10"/>
      <c r="CO15" s="10"/>
      <c r="CP15" s="10"/>
      <c r="CQ15" s="6">
        <f>SUM(CJ15:CP15)</f>
        <v>187</v>
      </c>
    </row>
    <row r="16" spans="1:95" x14ac:dyDescent="0.25">
      <c r="A16">
        <v>6</v>
      </c>
      <c r="B16" s="10" t="s">
        <v>51</v>
      </c>
      <c r="C16" s="6"/>
      <c r="D16" s="10" t="s">
        <v>162</v>
      </c>
      <c r="E16" s="6" t="s">
        <v>31</v>
      </c>
      <c r="F16" s="6"/>
      <c r="G16" s="6"/>
      <c r="H16" s="6"/>
      <c r="I16" s="6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6"/>
      <c r="AD16" s="10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>
        <v>36</v>
      </c>
      <c r="BE16" s="6"/>
      <c r="BF16" s="6"/>
      <c r="BG16" s="6"/>
      <c r="BH16" s="6"/>
      <c r="BI16" s="6"/>
      <c r="BJ16" s="6"/>
      <c r="BK16" s="6"/>
      <c r="BL16" s="6">
        <v>4</v>
      </c>
      <c r="BM16" s="6"/>
      <c r="BN16" s="6"/>
      <c r="BO16" s="6"/>
      <c r="BP16" s="6">
        <v>33.6</v>
      </c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6">
        <f>SUM(AX16:BZ16)</f>
        <v>73.599999999999994</v>
      </c>
      <c r="CB16" s="6">
        <f>(CA16-AX16)/2</f>
        <v>36.799999999999997</v>
      </c>
      <c r="CC16" s="10">
        <v>36</v>
      </c>
      <c r="CD16" s="10">
        <v>64</v>
      </c>
      <c r="CE16" s="10">
        <v>75</v>
      </c>
      <c r="CF16" s="10">
        <v>7.5</v>
      </c>
      <c r="CG16" s="10">
        <v>105</v>
      </c>
      <c r="CH16" s="10">
        <v>52</v>
      </c>
      <c r="CI16" s="6">
        <f>SUM(CB16:CH16)</f>
        <v>376.3</v>
      </c>
      <c r="CJ16" s="6">
        <f>(CI16-CB16)/2</f>
        <v>169.75</v>
      </c>
      <c r="CK16" s="10"/>
      <c r="CL16" s="10"/>
      <c r="CM16" s="10"/>
      <c r="CN16" s="10"/>
      <c r="CO16" s="10"/>
      <c r="CP16" s="10"/>
      <c r="CQ16" s="6">
        <f>SUM(CJ16:CP16)</f>
        <v>169.75</v>
      </c>
    </row>
    <row r="17" spans="1:95" x14ac:dyDescent="0.25">
      <c r="A17">
        <v>7</v>
      </c>
      <c r="B17" s="10" t="s">
        <v>260</v>
      </c>
      <c r="C17" s="6"/>
      <c r="D17" s="10" t="s">
        <v>502</v>
      </c>
      <c r="E17" s="6" t="s">
        <v>136</v>
      </c>
      <c r="F17" s="6"/>
      <c r="G17" s="6"/>
      <c r="H17" s="6"/>
      <c r="I17" s="6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6"/>
      <c r="AD17" s="10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6"/>
      <c r="CB17" s="6"/>
      <c r="CC17" s="10"/>
      <c r="CD17" s="10"/>
      <c r="CE17" s="10"/>
      <c r="CF17" s="10"/>
      <c r="CG17" s="10"/>
      <c r="CH17" s="10"/>
      <c r="CI17" s="6"/>
      <c r="CJ17" s="6"/>
      <c r="CK17" s="10">
        <v>2.4</v>
      </c>
      <c r="CL17" s="10">
        <v>3.2</v>
      </c>
      <c r="CM17" s="10">
        <v>75</v>
      </c>
      <c r="CN17" s="10">
        <v>4</v>
      </c>
      <c r="CO17" s="10">
        <v>2.4</v>
      </c>
      <c r="CP17" s="10">
        <v>50</v>
      </c>
      <c r="CQ17" s="6">
        <f>SUM(CJ17:CP17)</f>
        <v>137</v>
      </c>
    </row>
    <row r="18" spans="1:95" x14ac:dyDescent="0.25">
      <c r="A18">
        <v>8</v>
      </c>
      <c r="B18" s="10" t="s">
        <v>447</v>
      </c>
      <c r="C18" s="6"/>
      <c r="D18" s="10" t="s">
        <v>569</v>
      </c>
      <c r="E18" s="6" t="s">
        <v>568</v>
      </c>
      <c r="F18" s="6"/>
      <c r="G18" s="6"/>
      <c r="H18" s="6"/>
      <c r="I18" s="6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6"/>
      <c r="AD18" s="10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6"/>
      <c r="CB18" s="6"/>
      <c r="CC18" s="10"/>
      <c r="CD18" s="10"/>
      <c r="CE18" s="10"/>
      <c r="CF18" s="10"/>
      <c r="CG18" s="10"/>
      <c r="CH18" s="10"/>
      <c r="CI18" s="6"/>
      <c r="CJ18" s="6"/>
      <c r="CK18" s="10">
        <v>2.4</v>
      </c>
      <c r="CL18" s="10">
        <v>44.8</v>
      </c>
      <c r="CM18" s="10">
        <v>54</v>
      </c>
      <c r="CN18" s="10"/>
      <c r="CO18" s="10"/>
      <c r="CP18" s="10"/>
      <c r="CQ18" s="6">
        <f>SUM(CJ18:CP18)</f>
        <v>101.19999999999999</v>
      </c>
    </row>
    <row r="19" spans="1:95" x14ac:dyDescent="0.25">
      <c r="A19">
        <v>9</v>
      </c>
      <c r="B19" s="10" t="s">
        <v>18</v>
      </c>
      <c r="C19" s="6"/>
      <c r="D19" s="10" t="s">
        <v>502</v>
      </c>
      <c r="E19" s="6" t="s">
        <v>13</v>
      </c>
      <c r="F19" s="6"/>
      <c r="G19" s="6"/>
      <c r="H19" s="6"/>
      <c r="I19" s="6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6"/>
      <c r="AD19" s="10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6"/>
      <c r="CB19" s="6"/>
      <c r="CC19" s="10"/>
      <c r="CD19" s="10"/>
      <c r="CE19" s="10"/>
      <c r="CF19" s="10"/>
      <c r="CG19" s="10"/>
      <c r="CH19" s="10"/>
      <c r="CI19" s="6"/>
      <c r="CJ19" s="6"/>
      <c r="CK19" s="10">
        <v>36</v>
      </c>
      <c r="CL19" s="10">
        <v>3.2</v>
      </c>
      <c r="CM19" s="10">
        <v>7.5</v>
      </c>
      <c r="CN19" s="10">
        <v>36</v>
      </c>
      <c r="CO19" s="10"/>
      <c r="CP19" s="10"/>
      <c r="CQ19" s="6">
        <f>SUM(CJ19:CP19)</f>
        <v>82.7</v>
      </c>
    </row>
    <row r="20" spans="1:95" x14ac:dyDescent="0.25">
      <c r="A20">
        <v>10</v>
      </c>
      <c r="B20" s="10" t="s">
        <v>18</v>
      </c>
      <c r="C20" s="6"/>
      <c r="D20" s="10" t="s">
        <v>349</v>
      </c>
      <c r="E20" s="6" t="s">
        <v>468</v>
      </c>
      <c r="F20" s="6"/>
      <c r="G20" s="6"/>
      <c r="H20" s="6"/>
      <c r="I20" s="6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6"/>
      <c r="AD20" s="10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6"/>
      <c r="CB20" s="6"/>
      <c r="CC20" s="10">
        <v>2.4</v>
      </c>
      <c r="CD20" s="10"/>
      <c r="CE20" s="10"/>
      <c r="CF20" s="10"/>
      <c r="CG20" s="10"/>
      <c r="CH20" s="10"/>
      <c r="CI20" s="6">
        <f>SUM(CB20:CH20)</f>
        <v>2.4</v>
      </c>
      <c r="CJ20" s="6">
        <f>(CI20-CB20)/2</f>
        <v>1.2</v>
      </c>
      <c r="CK20" s="10">
        <v>36</v>
      </c>
      <c r="CL20" s="10"/>
      <c r="CM20" s="10"/>
      <c r="CN20" s="10"/>
      <c r="CO20" s="10"/>
      <c r="CP20" s="10"/>
      <c r="CQ20" s="6">
        <f>SUM(CJ20:CP20)</f>
        <v>37.200000000000003</v>
      </c>
    </row>
    <row r="21" spans="1:95" x14ac:dyDescent="0.25">
      <c r="A21">
        <v>11</v>
      </c>
      <c r="B21" s="10" t="s">
        <v>55</v>
      </c>
      <c r="C21" s="6"/>
      <c r="D21" s="10" t="s">
        <v>593</v>
      </c>
      <c r="E21" s="6" t="s">
        <v>147</v>
      </c>
      <c r="F21" s="6"/>
      <c r="G21" s="6"/>
      <c r="H21" s="6"/>
      <c r="I21" s="6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6"/>
      <c r="AD21" s="10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6"/>
      <c r="CB21" s="6"/>
      <c r="CC21" s="10"/>
      <c r="CD21" s="10"/>
      <c r="CE21" s="10"/>
      <c r="CF21" s="10"/>
      <c r="CG21" s="10"/>
      <c r="CH21" s="10"/>
      <c r="CI21" s="6"/>
      <c r="CJ21" s="6"/>
      <c r="CK21" s="10">
        <v>36</v>
      </c>
      <c r="CL21" s="10"/>
      <c r="CM21" s="10"/>
      <c r="CN21" s="10"/>
      <c r="CO21" s="10"/>
      <c r="CP21" s="10"/>
      <c r="CQ21" s="6">
        <f>SUM(CJ21:CP21)</f>
        <v>36</v>
      </c>
    </row>
    <row r="22" spans="1:95" x14ac:dyDescent="0.25">
      <c r="A22">
        <v>12</v>
      </c>
      <c r="B22" s="37" t="s">
        <v>47</v>
      </c>
      <c r="C22" s="6"/>
      <c r="D22" s="37" t="s">
        <v>392</v>
      </c>
      <c r="E22" s="38" t="s">
        <v>393</v>
      </c>
      <c r="F22" s="6"/>
      <c r="G22" s="6"/>
      <c r="H22" s="6"/>
      <c r="I22" s="6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6"/>
      <c r="AD22" s="10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6"/>
      <c r="CB22" s="6"/>
      <c r="CC22" s="10"/>
      <c r="CD22" s="10"/>
      <c r="CE22" s="10"/>
      <c r="CF22" s="10"/>
      <c r="CG22" s="10"/>
      <c r="CH22" s="10"/>
      <c r="CI22" s="6"/>
      <c r="CJ22" s="6"/>
      <c r="CK22" s="10">
        <v>36</v>
      </c>
      <c r="CL22" s="10"/>
      <c r="CM22" s="10"/>
      <c r="CN22" s="10"/>
      <c r="CO22" s="10"/>
      <c r="CP22" s="10"/>
      <c r="CQ22" s="6">
        <f>SUM(CJ22:CP22)</f>
        <v>36</v>
      </c>
    </row>
    <row r="23" spans="1:95" x14ac:dyDescent="0.25">
      <c r="A23">
        <v>13</v>
      </c>
      <c r="B23" s="10" t="s">
        <v>231</v>
      </c>
      <c r="C23" s="6"/>
      <c r="D23" s="10" t="s">
        <v>154</v>
      </c>
      <c r="E23" s="6" t="s">
        <v>178</v>
      </c>
      <c r="F23" s="6"/>
      <c r="G23" s="6"/>
      <c r="H23" s="6"/>
      <c r="I23" s="6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6"/>
      <c r="AD23" s="10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6"/>
      <c r="CB23" s="6"/>
      <c r="CC23" s="10">
        <v>36</v>
      </c>
      <c r="CD23" s="10"/>
      <c r="CE23" s="10"/>
      <c r="CF23" s="10"/>
      <c r="CG23" s="10"/>
      <c r="CH23" s="10"/>
      <c r="CI23" s="6">
        <f>SUM(CB23:CH23)</f>
        <v>36</v>
      </c>
      <c r="CJ23" s="6">
        <f>(CI23-CB23)/2</f>
        <v>18</v>
      </c>
      <c r="CK23" s="10"/>
      <c r="CL23" s="10"/>
      <c r="CM23" s="10"/>
      <c r="CN23" s="10"/>
      <c r="CO23" s="10"/>
      <c r="CP23" s="10"/>
      <c r="CQ23" s="6">
        <f>SUM(CJ23:CP23)</f>
        <v>18</v>
      </c>
    </row>
    <row r="24" spans="1:95" x14ac:dyDescent="0.25">
      <c r="A24">
        <v>14</v>
      </c>
      <c r="B24" s="10" t="s">
        <v>182</v>
      </c>
      <c r="C24" s="6"/>
      <c r="D24" s="10" t="s">
        <v>417</v>
      </c>
      <c r="E24" s="6" t="s">
        <v>147</v>
      </c>
      <c r="F24" s="6"/>
      <c r="G24" s="6"/>
      <c r="H24" s="6"/>
      <c r="I24" s="6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6"/>
      <c r="AD24" s="10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6"/>
      <c r="CB24" s="6"/>
      <c r="CC24" s="10">
        <v>36</v>
      </c>
      <c r="CD24" s="10"/>
      <c r="CE24" s="10"/>
      <c r="CF24" s="10"/>
      <c r="CG24" s="10"/>
      <c r="CH24" s="10"/>
      <c r="CI24" s="6">
        <f>SUM(CB24:CH24)</f>
        <v>36</v>
      </c>
      <c r="CJ24" s="6">
        <f>(CI24-CB24)/2</f>
        <v>18</v>
      </c>
      <c r="CK24" s="10"/>
      <c r="CL24" s="10"/>
      <c r="CM24" s="10"/>
      <c r="CN24" s="10"/>
      <c r="CO24" s="10"/>
      <c r="CP24" s="10"/>
      <c r="CQ24" s="6">
        <f>SUM(CJ24:CP24)</f>
        <v>18</v>
      </c>
    </row>
    <row r="25" spans="1:95" x14ac:dyDescent="0.25">
      <c r="A25">
        <v>15</v>
      </c>
      <c r="B25" s="10" t="s">
        <v>123</v>
      </c>
      <c r="C25" s="6"/>
      <c r="D25" s="10" t="s">
        <v>485</v>
      </c>
      <c r="E25" s="6" t="s">
        <v>22</v>
      </c>
      <c r="F25" s="6"/>
      <c r="G25" s="6"/>
      <c r="H25" s="6"/>
      <c r="I25" s="6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6"/>
      <c r="AD25" s="10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6"/>
      <c r="CB25" s="6"/>
      <c r="CC25" s="10"/>
      <c r="CD25" s="10">
        <v>3.2</v>
      </c>
      <c r="CE25" s="10"/>
      <c r="CF25" s="10"/>
      <c r="CG25" s="10"/>
      <c r="CH25" s="10"/>
      <c r="CI25" s="6">
        <f>SUM(CB25:CH25)</f>
        <v>3.2</v>
      </c>
      <c r="CJ25" s="6">
        <f>(CI25-CB25)/2</f>
        <v>1.6</v>
      </c>
      <c r="CK25" s="10"/>
      <c r="CL25" s="10"/>
      <c r="CM25" s="10"/>
      <c r="CN25" s="10"/>
      <c r="CO25" s="10"/>
      <c r="CP25" s="10"/>
      <c r="CQ25" s="6">
        <f>SUM(CJ25:CP25)</f>
        <v>1.6</v>
      </c>
    </row>
  </sheetData>
  <sortState xmlns:xlrd2="http://schemas.microsoft.com/office/spreadsheetml/2017/richdata2" ref="B11:CQ25">
    <sortCondition descending="1" ref="CQ11:CQ25"/>
  </sortState>
  <mergeCells count="5">
    <mergeCell ref="B8:C10"/>
    <mergeCell ref="CE9:CH9"/>
    <mergeCell ref="CM9:CP9"/>
    <mergeCell ref="D4:CQ5"/>
    <mergeCell ref="B1:CQ1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E28"/>
  <sheetViews>
    <sheetView zoomScale="80" zoomScaleNormal="80" workbookViewId="0">
      <selection activeCell="BB13" sqref="BB13"/>
    </sheetView>
  </sheetViews>
  <sheetFormatPr baseColWidth="10" defaultRowHeight="15" x14ac:dyDescent="0.25"/>
  <cols>
    <col min="1" max="1" width="3" bestFit="1" customWidth="1"/>
    <col min="2" max="2" width="15.7109375" bestFit="1" customWidth="1"/>
    <col min="4" max="4" width="12.7109375" bestFit="1" customWidth="1"/>
    <col min="5" max="5" width="19.28515625" bestFit="1" customWidth="1"/>
    <col min="6" max="6" width="6.42578125" hidden="1" customWidth="1"/>
    <col min="7" max="7" width="7.28515625" hidden="1" customWidth="1"/>
    <col min="8" max="10" width="6.28515625" hidden="1" customWidth="1"/>
    <col min="11" max="11" width="6.7109375" hidden="1" customWidth="1"/>
    <col min="12" max="13" width="7.28515625" style="7" hidden="1" customWidth="1"/>
    <col min="14" max="14" width="0" hidden="1" customWidth="1"/>
    <col min="15" max="15" width="0" style="7" hidden="1" customWidth="1"/>
    <col min="16" max="21" width="5.5703125" hidden="1" customWidth="1"/>
    <col min="22" max="22" width="7.7109375" hidden="1" customWidth="1"/>
    <col min="23" max="23" width="0" hidden="1" customWidth="1"/>
    <col min="24" max="30" width="5.5703125" hidden="1" customWidth="1"/>
    <col min="31" max="39" width="5.5703125" style="7" hidden="1" customWidth="1"/>
    <col min="40" max="40" width="6.85546875" style="7" hidden="1" customWidth="1"/>
    <col min="41" max="41" width="6.7109375" hidden="1" customWidth="1"/>
    <col min="42" max="42" width="7.7109375" hidden="1" customWidth="1"/>
    <col min="43" max="43" width="7.85546875" style="7" hidden="1" customWidth="1"/>
    <col min="44" max="44" width="8.140625" style="7" hidden="1" customWidth="1"/>
    <col min="45" max="45" width="7" style="7" hidden="1" customWidth="1"/>
    <col min="46" max="46" width="8.28515625" style="7" hidden="1" customWidth="1"/>
    <col min="47" max="47" width="7.42578125" style="7" hidden="1" customWidth="1"/>
    <col min="48" max="48" width="8.5703125" style="7" hidden="1" customWidth="1"/>
    <col min="51" max="51" width="10.7109375" style="7" customWidth="1"/>
    <col min="52" max="52" width="10" style="7" customWidth="1"/>
    <col min="53" max="53" width="7.85546875" style="7" customWidth="1"/>
    <col min="54" max="56" width="11.42578125" style="7"/>
  </cols>
  <sheetData>
    <row r="1" spans="1:57" ht="26.25" x14ac:dyDescent="0.4">
      <c r="B1" s="34" t="s">
        <v>3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</row>
    <row r="2" spans="1:57" ht="15.75" thickBot="1" x14ac:dyDescent="0.3">
      <c r="C2" s="7"/>
      <c r="D2" s="7"/>
      <c r="E2" s="7"/>
    </row>
    <row r="3" spans="1:57" ht="15.75" thickTop="1" x14ac:dyDescent="0.25">
      <c r="B3" s="1" t="s">
        <v>0</v>
      </c>
      <c r="C3" s="4" t="s">
        <v>14</v>
      </c>
    </row>
    <row r="4" spans="1:57" ht="14.65" customHeight="1" x14ac:dyDescent="0.25">
      <c r="B4" s="2" t="s">
        <v>1</v>
      </c>
      <c r="C4" s="5" t="s">
        <v>12</v>
      </c>
      <c r="D4" s="32" t="s">
        <v>492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</row>
    <row r="5" spans="1:57" ht="15" customHeight="1" thickBot="1" x14ac:dyDescent="0.3">
      <c r="B5" s="3" t="s">
        <v>2</v>
      </c>
      <c r="C5" s="15">
        <v>-40</v>
      </c>
      <c r="D5" s="32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</row>
    <row r="6" spans="1:57" ht="15.75" thickTop="1" x14ac:dyDescent="0.25"/>
    <row r="7" spans="1:57" ht="15.75" thickBot="1" x14ac:dyDescent="0.3"/>
    <row r="8" spans="1:57" ht="15.75" thickTop="1" x14ac:dyDescent="0.25">
      <c r="B8" s="25" t="s">
        <v>9</v>
      </c>
      <c r="C8" s="26"/>
      <c r="D8" s="1"/>
      <c r="E8" s="1"/>
      <c r="F8" s="4" t="s">
        <v>10</v>
      </c>
      <c r="G8" s="4" t="s">
        <v>66</v>
      </c>
      <c r="H8" s="4" t="s">
        <v>86</v>
      </c>
      <c r="I8" s="4" t="s">
        <v>92</v>
      </c>
      <c r="J8" s="4" t="s">
        <v>97</v>
      </c>
      <c r="K8" s="4" t="s">
        <v>10</v>
      </c>
      <c r="L8" s="4" t="s">
        <v>10</v>
      </c>
      <c r="M8" s="4" t="s">
        <v>107</v>
      </c>
      <c r="N8" s="1"/>
      <c r="O8" s="12">
        <v>44927</v>
      </c>
      <c r="P8" s="4" t="s">
        <v>10</v>
      </c>
      <c r="Q8" s="4" t="s">
        <v>115</v>
      </c>
      <c r="R8" s="4" t="s">
        <v>10</v>
      </c>
      <c r="S8" s="4" t="s">
        <v>115</v>
      </c>
      <c r="T8" s="4" t="s">
        <v>115</v>
      </c>
      <c r="U8" s="4" t="s">
        <v>10</v>
      </c>
      <c r="V8" s="4" t="s">
        <v>6</v>
      </c>
      <c r="W8" s="12">
        <v>45292</v>
      </c>
      <c r="X8" s="12" t="s">
        <v>10</v>
      </c>
      <c r="Y8" s="12" t="s">
        <v>10</v>
      </c>
      <c r="Z8" s="12" t="s">
        <v>10</v>
      </c>
      <c r="AA8" s="12" t="s">
        <v>10</v>
      </c>
      <c r="AB8" s="12" t="s">
        <v>10</v>
      </c>
      <c r="AC8" s="12" t="s">
        <v>115</v>
      </c>
      <c r="AD8" s="12" t="s">
        <v>10</v>
      </c>
      <c r="AE8" s="12" t="s">
        <v>115</v>
      </c>
      <c r="AF8" s="12" t="s">
        <v>151</v>
      </c>
      <c r="AG8" s="12" t="s">
        <v>151</v>
      </c>
      <c r="AH8" s="12" t="s">
        <v>115</v>
      </c>
      <c r="AI8" s="12" t="s">
        <v>10</v>
      </c>
      <c r="AJ8" s="12" t="s">
        <v>10</v>
      </c>
      <c r="AK8" s="12" t="s">
        <v>10</v>
      </c>
      <c r="AL8" s="12" t="s">
        <v>10</v>
      </c>
      <c r="AM8" s="12" t="s">
        <v>115</v>
      </c>
      <c r="AN8" s="12" t="s">
        <v>116</v>
      </c>
      <c r="AO8" s="12" t="s">
        <v>6</v>
      </c>
      <c r="AP8" s="12">
        <v>45658</v>
      </c>
      <c r="AQ8" s="12"/>
      <c r="AR8" s="12"/>
      <c r="AS8" s="17"/>
      <c r="AT8" s="18"/>
      <c r="AU8" s="18"/>
      <c r="AV8" s="19"/>
      <c r="AW8" s="12" t="s">
        <v>6</v>
      </c>
      <c r="AX8" s="12">
        <v>46023</v>
      </c>
      <c r="AY8" s="12"/>
      <c r="AZ8" s="12"/>
      <c r="BA8" s="17"/>
      <c r="BB8" s="18"/>
      <c r="BC8" s="18"/>
      <c r="BD8" s="19"/>
      <c r="BE8" s="12" t="s">
        <v>6</v>
      </c>
    </row>
    <row r="9" spans="1:57" x14ac:dyDescent="0.25">
      <c r="B9" s="27"/>
      <c r="C9" s="28"/>
      <c r="D9" s="2"/>
      <c r="E9" s="2"/>
      <c r="F9" s="8" t="s">
        <v>32</v>
      </c>
      <c r="G9" s="8" t="s">
        <v>67</v>
      </c>
      <c r="H9" s="8" t="s">
        <v>87</v>
      </c>
      <c r="I9" s="8" t="s">
        <v>93</v>
      </c>
      <c r="J9" s="8" t="s">
        <v>54</v>
      </c>
      <c r="K9" s="8" t="s">
        <v>32</v>
      </c>
      <c r="L9" s="8" t="s">
        <v>102</v>
      </c>
      <c r="M9" s="8" t="s">
        <v>108</v>
      </c>
      <c r="N9" s="2" t="s">
        <v>6</v>
      </c>
      <c r="O9" s="5"/>
      <c r="P9" s="8" t="s">
        <v>19</v>
      </c>
      <c r="Q9" s="8" t="s">
        <v>85</v>
      </c>
      <c r="R9" s="8" t="s">
        <v>81</v>
      </c>
      <c r="S9" s="8" t="s">
        <v>86</v>
      </c>
      <c r="T9" s="8" t="s">
        <v>92</v>
      </c>
      <c r="U9" s="8" t="s">
        <v>188</v>
      </c>
      <c r="V9" s="2"/>
      <c r="W9" s="5"/>
      <c r="X9" s="5" t="s">
        <v>81</v>
      </c>
      <c r="Y9" s="5" t="s">
        <v>167</v>
      </c>
      <c r="Z9" s="5" t="s">
        <v>195</v>
      </c>
      <c r="AA9" s="5" t="s">
        <v>19</v>
      </c>
      <c r="AB9" s="5" t="s">
        <v>43</v>
      </c>
      <c r="AC9" s="5" t="s">
        <v>86</v>
      </c>
      <c r="AD9" s="5" t="s">
        <v>188</v>
      </c>
      <c r="AE9" s="5" t="s">
        <v>267</v>
      </c>
      <c r="AF9" s="5" t="s">
        <v>86</v>
      </c>
      <c r="AG9" s="5" t="s">
        <v>85</v>
      </c>
      <c r="AH9" s="5" t="s">
        <v>85</v>
      </c>
      <c r="AI9" s="5" t="s">
        <v>195</v>
      </c>
      <c r="AJ9" s="5" t="s">
        <v>167</v>
      </c>
      <c r="AK9" s="5" t="s">
        <v>43</v>
      </c>
      <c r="AL9" s="5" t="s">
        <v>294</v>
      </c>
      <c r="AM9" s="5" t="s">
        <v>92</v>
      </c>
      <c r="AN9" s="5" t="s">
        <v>303</v>
      </c>
      <c r="AO9" s="5"/>
      <c r="AP9" s="5"/>
      <c r="AQ9" s="8" t="s">
        <v>10</v>
      </c>
      <c r="AR9" s="8" t="s">
        <v>151</v>
      </c>
      <c r="AS9" s="29" t="s">
        <v>305</v>
      </c>
      <c r="AT9" s="30"/>
      <c r="AU9" s="30"/>
      <c r="AV9" s="31"/>
      <c r="AW9" s="5"/>
      <c r="AX9" s="5"/>
      <c r="AY9" s="8" t="s">
        <v>10</v>
      </c>
      <c r="AZ9" s="8" t="s">
        <v>151</v>
      </c>
      <c r="BA9" s="29" t="s">
        <v>305</v>
      </c>
      <c r="BB9" s="30"/>
      <c r="BC9" s="30"/>
      <c r="BD9" s="31"/>
      <c r="BE9" s="5"/>
    </row>
    <row r="10" spans="1:57" x14ac:dyDescent="0.25">
      <c r="B10" s="27"/>
      <c r="C10" s="28"/>
      <c r="D10" s="2" t="s">
        <v>4</v>
      </c>
      <c r="E10" s="2" t="s">
        <v>5</v>
      </c>
      <c r="F10" s="9">
        <v>44653</v>
      </c>
      <c r="G10" s="9">
        <v>44696</v>
      </c>
      <c r="H10" s="9">
        <v>44730</v>
      </c>
      <c r="I10" s="9">
        <v>44737</v>
      </c>
      <c r="J10" s="9">
        <v>44759</v>
      </c>
      <c r="K10" s="9">
        <v>44779</v>
      </c>
      <c r="L10" s="9">
        <v>44814</v>
      </c>
      <c r="M10" s="9">
        <v>44828</v>
      </c>
      <c r="N10" s="2">
        <v>2022</v>
      </c>
      <c r="O10" s="5"/>
      <c r="P10" s="2" t="s">
        <v>127</v>
      </c>
      <c r="Q10" s="2" t="s">
        <v>129</v>
      </c>
      <c r="R10" s="2" t="s">
        <v>146</v>
      </c>
      <c r="S10" s="2" t="s">
        <v>164</v>
      </c>
      <c r="T10" s="2" t="s">
        <v>181</v>
      </c>
      <c r="U10" s="2" t="s">
        <v>189</v>
      </c>
      <c r="V10" s="2">
        <v>2023</v>
      </c>
      <c r="W10" s="13"/>
      <c r="X10" s="13" t="s">
        <v>196</v>
      </c>
      <c r="Y10" s="13" t="s">
        <v>196</v>
      </c>
      <c r="Z10" s="13" t="s">
        <v>196</v>
      </c>
      <c r="AA10" s="13" t="s">
        <v>233</v>
      </c>
      <c r="AB10" s="13" t="s">
        <v>246</v>
      </c>
      <c r="AC10" s="13" t="s">
        <v>264</v>
      </c>
      <c r="AD10" s="13" t="s">
        <v>268</v>
      </c>
      <c r="AE10" s="13" t="s">
        <v>268</v>
      </c>
      <c r="AF10" s="13" t="s">
        <v>269</v>
      </c>
      <c r="AG10" s="13" t="s">
        <v>269</v>
      </c>
      <c r="AH10" s="13" t="s">
        <v>277</v>
      </c>
      <c r="AI10" s="13" t="s">
        <v>283</v>
      </c>
      <c r="AJ10" s="13" t="s">
        <v>282</v>
      </c>
      <c r="AK10" s="13" t="s">
        <v>290</v>
      </c>
      <c r="AL10" s="13" t="s">
        <v>295</v>
      </c>
      <c r="AM10" s="13" t="s">
        <v>296</v>
      </c>
      <c r="AN10" s="13" t="s">
        <v>304</v>
      </c>
      <c r="AO10" s="13">
        <v>2024</v>
      </c>
      <c r="AP10" s="5"/>
      <c r="AQ10" s="5"/>
      <c r="AR10" s="5"/>
      <c r="AS10" s="5">
        <v>1</v>
      </c>
      <c r="AT10" s="5">
        <v>2</v>
      </c>
      <c r="AU10" s="5">
        <v>3</v>
      </c>
      <c r="AV10" s="5">
        <v>4</v>
      </c>
      <c r="AW10" s="5">
        <v>2025</v>
      </c>
      <c r="AX10" s="5"/>
      <c r="AY10" s="5"/>
      <c r="AZ10" s="5"/>
      <c r="BA10" s="5">
        <v>1</v>
      </c>
      <c r="BB10" s="5">
        <v>2</v>
      </c>
      <c r="BC10" s="5">
        <v>3</v>
      </c>
      <c r="BD10" s="5">
        <v>4</v>
      </c>
      <c r="BE10" s="5">
        <v>2026</v>
      </c>
    </row>
    <row r="11" spans="1:57" x14ac:dyDescent="0.25">
      <c r="A11">
        <v>1</v>
      </c>
      <c r="B11" s="6" t="s">
        <v>25</v>
      </c>
      <c r="C11" s="6"/>
      <c r="D11" s="6" t="s">
        <v>49</v>
      </c>
      <c r="E11" s="6" t="s">
        <v>69</v>
      </c>
      <c r="F11" s="6"/>
      <c r="G11" s="6"/>
      <c r="H11" s="6"/>
      <c r="I11" s="6"/>
      <c r="J11" s="6"/>
      <c r="K11" s="6"/>
      <c r="L11" s="10"/>
      <c r="M11" s="10"/>
      <c r="N11" s="6"/>
      <c r="O11" s="10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6"/>
      <c r="AP11" s="6">
        <v>110</v>
      </c>
      <c r="AQ11" s="10">
        <v>36</v>
      </c>
      <c r="AR11" s="10">
        <v>64</v>
      </c>
      <c r="AS11" s="10">
        <v>84</v>
      </c>
      <c r="AT11" s="10">
        <v>80</v>
      </c>
      <c r="AU11" s="10">
        <v>105</v>
      </c>
      <c r="AV11" s="10">
        <v>160</v>
      </c>
      <c r="AW11" s="6">
        <f>SUM(AP11:AV11)</f>
        <v>639</v>
      </c>
      <c r="AX11" s="6">
        <f>(AW11-AP11)/2</f>
        <v>264.5</v>
      </c>
      <c r="AY11" s="10">
        <v>36</v>
      </c>
      <c r="AZ11" s="10"/>
      <c r="BA11" s="10">
        <v>105</v>
      </c>
      <c r="BB11" s="10">
        <v>80</v>
      </c>
      <c r="BC11" s="10"/>
      <c r="BD11" s="10"/>
      <c r="BE11" s="6">
        <f t="shared" ref="BE11:BE28" si="0">SUM(AX11:BD11)</f>
        <v>485.5</v>
      </c>
    </row>
    <row r="12" spans="1:57" x14ac:dyDescent="0.25">
      <c r="A12">
        <v>2</v>
      </c>
      <c r="B12" s="6" t="s">
        <v>583</v>
      </c>
      <c r="C12" s="6"/>
      <c r="D12" s="6" t="s">
        <v>70</v>
      </c>
      <c r="E12" s="6" t="s">
        <v>22</v>
      </c>
      <c r="F12" s="6"/>
      <c r="G12" s="6"/>
      <c r="H12" s="6"/>
      <c r="I12" s="6"/>
      <c r="J12" s="6"/>
      <c r="K12" s="6"/>
      <c r="L12" s="10"/>
      <c r="M12" s="10"/>
      <c r="N12" s="6"/>
      <c r="O12" s="10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6"/>
      <c r="AP12" s="6"/>
      <c r="AQ12" s="10"/>
      <c r="AR12" s="10"/>
      <c r="AS12" s="10"/>
      <c r="AT12" s="10"/>
      <c r="AU12" s="10"/>
      <c r="AV12" s="10"/>
      <c r="AW12" s="6"/>
      <c r="AX12" s="6">
        <f>310.5/2</f>
        <v>155.25</v>
      </c>
      <c r="AY12" s="10">
        <v>36</v>
      </c>
      <c r="AZ12" s="10">
        <v>40</v>
      </c>
      <c r="BA12" s="10">
        <v>150</v>
      </c>
      <c r="BB12" s="10">
        <v>36</v>
      </c>
      <c r="BC12" s="10"/>
      <c r="BD12" s="10">
        <v>26</v>
      </c>
      <c r="BE12" s="6">
        <f t="shared" si="0"/>
        <v>443.25</v>
      </c>
    </row>
    <row r="13" spans="1:57" x14ac:dyDescent="0.25">
      <c r="A13">
        <v>3</v>
      </c>
      <c r="B13" s="6" t="s">
        <v>255</v>
      </c>
      <c r="C13" s="6"/>
      <c r="D13" s="6" t="s">
        <v>355</v>
      </c>
      <c r="E13" s="6" t="s">
        <v>38</v>
      </c>
      <c r="F13" s="6"/>
      <c r="G13" s="6"/>
      <c r="H13" s="6"/>
      <c r="I13" s="6"/>
      <c r="J13" s="6"/>
      <c r="K13" s="6"/>
      <c r="L13" s="10"/>
      <c r="M13" s="10"/>
      <c r="N13" s="6"/>
      <c r="O13" s="10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6"/>
      <c r="AP13" s="6">
        <f>337/2</f>
        <v>168.5</v>
      </c>
      <c r="AQ13" s="10">
        <v>48</v>
      </c>
      <c r="AR13" s="10">
        <v>64</v>
      </c>
      <c r="AS13" s="10">
        <v>120</v>
      </c>
      <c r="AT13" s="10">
        <v>150</v>
      </c>
      <c r="AU13" s="10"/>
      <c r="AV13" s="10"/>
      <c r="AW13" s="6">
        <f>SUM(AP13:AV13)</f>
        <v>550.5</v>
      </c>
      <c r="AX13" s="6">
        <f>(AW13-AP13)/2</f>
        <v>191</v>
      </c>
      <c r="AY13" s="10">
        <v>48</v>
      </c>
      <c r="AZ13" s="10">
        <v>80</v>
      </c>
      <c r="BA13" s="10"/>
      <c r="BB13" s="10"/>
      <c r="BC13" s="10"/>
      <c r="BD13" s="10">
        <v>50</v>
      </c>
      <c r="BE13" s="6">
        <f t="shared" si="0"/>
        <v>369</v>
      </c>
    </row>
    <row r="14" spans="1:57" x14ac:dyDescent="0.25">
      <c r="A14" s="22">
        <v>4</v>
      </c>
      <c r="B14" s="6" t="s">
        <v>405</v>
      </c>
      <c r="C14" s="6"/>
      <c r="D14" s="6" t="s">
        <v>278</v>
      </c>
      <c r="E14" s="6" t="s">
        <v>406</v>
      </c>
      <c r="F14" s="6"/>
      <c r="G14" s="6"/>
      <c r="H14" s="6"/>
      <c r="I14" s="6"/>
      <c r="J14" s="6"/>
      <c r="K14" s="6"/>
      <c r="L14" s="10"/>
      <c r="M14" s="10"/>
      <c r="N14" s="6"/>
      <c r="O14" s="10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6"/>
      <c r="AP14" s="6">
        <v>43</v>
      </c>
      <c r="AQ14" s="10">
        <v>36</v>
      </c>
      <c r="AR14" s="10">
        <v>3.2</v>
      </c>
      <c r="AS14" s="10">
        <v>6</v>
      </c>
      <c r="AT14" s="10">
        <v>4</v>
      </c>
      <c r="AU14" s="10">
        <v>75</v>
      </c>
      <c r="AV14" s="10">
        <v>84</v>
      </c>
      <c r="AW14" s="6">
        <f>SUM(AP14:AV14)</f>
        <v>251.2</v>
      </c>
      <c r="AX14" s="6">
        <f>(AW14-AP14)/2</f>
        <v>104.1</v>
      </c>
      <c r="AY14" s="10">
        <v>36</v>
      </c>
      <c r="AZ14" s="10">
        <v>48</v>
      </c>
      <c r="BA14" s="10">
        <v>54</v>
      </c>
      <c r="BB14" s="10"/>
      <c r="BC14" s="10"/>
      <c r="BD14" s="10"/>
      <c r="BE14" s="6">
        <f t="shared" si="0"/>
        <v>242.1</v>
      </c>
    </row>
    <row r="15" spans="1:57" x14ac:dyDescent="0.25">
      <c r="A15">
        <v>5</v>
      </c>
      <c r="B15" s="6" t="s">
        <v>103</v>
      </c>
      <c r="C15" s="6"/>
      <c r="D15" s="6" t="s">
        <v>444</v>
      </c>
      <c r="E15" s="6" t="s">
        <v>83</v>
      </c>
      <c r="F15" s="6"/>
      <c r="G15" s="6"/>
      <c r="H15" s="6"/>
      <c r="I15" s="6"/>
      <c r="J15" s="6"/>
      <c r="K15" s="6"/>
      <c r="L15" s="10"/>
      <c r="M15" s="10"/>
      <c r="N15" s="6"/>
      <c r="O15" s="10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6"/>
      <c r="AP15" s="6"/>
      <c r="AQ15" s="10"/>
      <c r="AR15" s="10"/>
      <c r="AS15" s="10">
        <v>56</v>
      </c>
      <c r="AT15" s="10">
        <v>7.5</v>
      </c>
      <c r="AU15" s="10">
        <v>8</v>
      </c>
      <c r="AV15" s="10"/>
      <c r="AW15" s="6">
        <f>SUM(AP15:AV15)</f>
        <v>71.5</v>
      </c>
      <c r="AX15" s="6">
        <f>(AW15-AP15)/2</f>
        <v>35.75</v>
      </c>
      <c r="AY15" s="10">
        <v>60</v>
      </c>
      <c r="AZ15" s="10">
        <v>40</v>
      </c>
      <c r="BA15" s="10">
        <v>54</v>
      </c>
      <c r="BB15" s="10">
        <v>36</v>
      </c>
      <c r="BC15" s="10"/>
      <c r="BD15" s="10"/>
      <c r="BE15" s="6">
        <f t="shared" si="0"/>
        <v>225.75</v>
      </c>
    </row>
    <row r="16" spans="1:57" x14ac:dyDescent="0.25">
      <c r="A16">
        <v>6</v>
      </c>
      <c r="B16" s="6" t="s">
        <v>27</v>
      </c>
      <c r="C16" s="6"/>
      <c r="D16" s="6" t="s">
        <v>242</v>
      </c>
      <c r="E16" s="6" t="s">
        <v>63</v>
      </c>
      <c r="F16" s="6"/>
      <c r="G16" s="6"/>
      <c r="H16" s="6"/>
      <c r="I16" s="6"/>
      <c r="J16" s="6"/>
      <c r="K16" s="6"/>
      <c r="L16" s="10"/>
      <c r="M16" s="10"/>
      <c r="N16" s="6"/>
      <c r="O16" s="10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6"/>
      <c r="AP16" s="6"/>
      <c r="AQ16" s="10"/>
      <c r="AR16" s="10"/>
      <c r="AS16" s="10"/>
      <c r="AT16" s="10"/>
      <c r="AU16" s="10"/>
      <c r="AV16" s="10"/>
      <c r="AW16" s="6"/>
      <c r="AX16" s="6"/>
      <c r="AY16" s="10">
        <v>48</v>
      </c>
      <c r="AZ16" s="10">
        <v>80</v>
      </c>
      <c r="BA16" s="10">
        <v>75</v>
      </c>
      <c r="BB16" s="10">
        <v>4</v>
      </c>
      <c r="BC16" s="10"/>
      <c r="BD16" s="10">
        <v>12</v>
      </c>
      <c r="BE16" s="6">
        <f t="shared" si="0"/>
        <v>219</v>
      </c>
    </row>
    <row r="17" spans="1:57" x14ac:dyDescent="0.25">
      <c r="A17">
        <v>7</v>
      </c>
      <c r="B17" s="6" t="s">
        <v>450</v>
      </c>
      <c r="C17" s="6"/>
      <c r="D17" s="6" t="s">
        <v>595</v>
      </c>
      <c r="E17" s="6" t="s">
        <v>34</v>
      </c>
      <c r="F17" s="6"/>
      <c r="G17" s="6"/>
      <c r="H17" s="6"/>
      <c r="I17" s="6"/>
      <c r="J17" s="6"/>
      <c r="K17" s="6"/>
      <c r="L17" s="10"/>
      <c r="M17" s="10"/>
      <c r="N17" s="6"/>
      <c r="O17" s="10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6"/>
      <c r="AP17" s="6"/>
      <c r="AQ17" s="10"/>
      <c r="AR17" s="10"/>
      <c r="AS17" s="10"/>
      <c r="AT17" s="10"/>
      <c r="AU17" s="10"/>
      <c r="AV17" s="10"/>
      <c r="AW17" s="6"/>
      <c r="AX17" s="6">
        <f>232/2</f>
        <v>116</v>
      </c>
      <c r="AY17" s="10">
        <v>33.6</v>
      </c>
      <c r="AZ17" s="10">
        <v>40</v>
      </c>
      <c r="BA17" s="10"/>
      <c r="BB17" s="10"/>
      <c r="BC17" s="10"/>
      <c r="BD17" s="10"/>
      <c r="BE17" s="6">
        <f t="shared" si="0"/>
        <v>189.6</v>
      </c>
    </row>
    <row r="18" spans="1:57" x14ac:dyDescent="0.25">
      <c r="A18">
        <v>8</v>
      </c>
      <c r="B18" s="6" t="s">
        <v>560</v>
      </c>
      <c r="C18" s="6"/>
      <c r="D18" s="6" t="s">
        <v>252</v>
      </c>
      <c r="E18" s="6" t="s">
        <v>77</v>
      </c>
      <c r="F18" s="6"/>
      <c r="G18" s="6"/>
      <c r="H18" s="6"/>
      <c r="I18" s="6"/>
      <c r="J18" s="6"/>
      <c r="K18" s="6"/>
      <c r="L18" s="10"/>
      <c r="M18" s="10"/>
      <c r="N18" s="6"/>
      <c r="O18" s="10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6"/>
      <c r="AP18" s="6"/>
      <c r="AQ18" s="10"/>
      <c r="AR18" s="10"/>
      <c r="AS18" s="10"/>
      <c r="AT18" s="10"/>
      <c r="AU18" s="10"/>
      <c r="AV18" s="10"/>
      <c r="AW18" s="6"/>
      <c r="AX18" s="6"/>
      <c r="AY18" s="10">
        <v>48</v>
      </c>
      <c r="AZ18" s="10">
        <v>56</v>
      </c>
      <c r="BA18" s="10">
        <v>75</v>
      </c>
      <c r="BB18" s="10"/>
      <c r="BC18" s="10"/>
      <c r="BD18" s="10">
        <v>5</v>
      </c>
      <c r="BE18" s="6">
        <f t="shared" si="0"/>
        <v>184</v>
      </c>
    </row>
    <row r="19" spans="1:57" x14ac:dyDescent="0.25">
      <c r="A19">
        <v>9</v>
      </c>
      <c r="B19" s="6" t="s">
        <v>446</v>
      </c>
      <c r="C19" s="6"/>
      <c r="D19" s="6" t="s">
        <v>524</v>
      </c>
      <c r="E19" s="6" t="s">
        <v>63</v>
      </c>
      <c r="F19" s="6"/>
      <c r="G19" s="6"/>
      <c r="H19" s="6"/>
      <c r="I19" s="6"/>
      <c r="J19" s="6"/>
      <c r="K19" s="6"/>
      <c r="L19" s="10"/>
      <c r="M19" s="10"/>
      <c r="N19" s="6"/>
      <c r="O19" s="10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6"/>
      <c r="AP19" s="6"/>
      <c r="AQ19" s="10"/>
      <c r="AR19" s="10"/>
      <c r="AS19" s="10"/>
      <c r="AT19" s="10"/>
      <c r="AU19" s="10"/>
      <c r="AV19" s="10"/>
      <c r="AW19" s="6"/>
      <c r="AX19" s="6"/>
      <c r="AY19" s="10">
        <v>33.6</v>
      </c>
      <c r="AZ19" s="10">
        <v>56</v>
      </c>
      <c r="BA19" s="10">
        <v>7.5</v>
      </c>
      <c r="BB19" s="10">
        <v>56</v>
      </c>
      <c r="BC19" s="10"/>
      <c r="BD19" s="10"/>
      <c r="BE19" s="6">
        <f t="shared" si="0"/>
        <v>153.1</v>
      </c>
    </row>
    <row r="20" spans="1:57" x14ac:dyDescent="0.25">
      <c r="A20">
        <v>10</v>
      </c>
      <c r="B20" s="6" t="s">
        <v>505</v>
      </c>
      <c r="C20" s="6"/>
      <c r="D20" s="6" t="s">
        <v>506</v>
      </c>
      <c r="E20" s="6" t="s">
        <v>84</v>
      </c>
      <c r="F20" s="6"/>
      <c r="G20" s="6"/>
      <c r="H20" s="6"/>
      <c r="I20" s="6"/>
      <c r="J20" s="6"/>
      <c r="K20" s="6"/>
      <c r="L20" s="10"/>
      <c r="M20" s="10"/>
      <c r="N20" s="6"/>
      <c r="O20" s="10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6"/>
      <c r="AP20" s="6"/>
      <c r="AQ20" s="10"/>
      <c r="AR20" s="10"/>
      <c r="AS20" s="10"/>
      <c r="AT20" s="10"/>
      <c r="AU20" s="10"/>
      <c r="AV20" s="10"/>
      <c r="AW20" s="6"/>
      <c r="AX20" s="6"/>
      <c r="AY20" s="10">
        <v>42</v>
      </c>
      <c r="AZ20" s="10"/>
      <c r="BA20" s="10">
        <v>39</v>
      </c>
      <c r="BB20" s="10"/>
      <c r="BC20" s="10"/>
      <c r="BD20" s="10"/>
      <c r="BE20" s="6">
        <f t="shared" si="0"/>
        <v>81</v>
      </c>
    </row>
    <row r="21" spans="1:57" x14ac:dyDescent="0.25">
      <c r="A21">
        <v>11</v>
      </c>
      <c r="B21" s="6" t="s">
        <v>573</v>
      </c>
      <c r="C21" s="6"/>
      <c r="D21" s="6" t="s">
        <v>49</v>
      </c>
      <c r="E21" s="6" t="s">
        <v>490</v>
      </c>
      <c r="F21" s="6"/>
      <c r="G21" s="6"/>
      <c r="H21" s="6"/>
      <c r="I21" s="6"/>
      <c r="J21" s="6"/>
      <c r="K21" s="6"/>
      <c r="L21" s="10"/>
      <c r="M21" s="10"/>
      <c r="N21" s="6"/>
      <c r="O21" s="10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6"/>
      <c r="AP21" s="6"/>
      <c r="AQ21" s="10"/>
      <c r="AR21" s="10"/>
      <c r="AS21" s="10"/>
      <c r="AT21" s="10"/>
      <c r="AU21" s="10"/>
      <c r="AV21" s="10"/>
      <c r="AW21" s="6"/>
      <c r="AX21" s="6"/>
      <c r="AY21" s="10">
        <v>36</v>
      </c>
      <c r="AZ21" s="10"/>
      <c r="BA21" s="10">
        <v>7.5</v>
      </c>
      <c r="BB21" s="10"/>
      <c r="BC21" s="10"/>
      <c r="BD21" s="10"/>
      <c r="BE21" s="6">
        <f t="shared" si="0"/>
        <v>43.5</v>
      </c>
    </row>
    <row r="22" spans="1:57" x14ac:dyDescent="0.25">
      <c r="A22">
        <v>12</v>
      </c>
      <c r="B22" s="6" t="s">
        <v>182</v>
      </c>
      <c r="C22" s="6"/>
      <c r="D22" s="6" t="s">
        <v>17</v>
      </c>
      <c r="E22" s="6" t="s">
        <v>147</v>
      </c>
      <c r="F22" s="6"/>
      <c r="G22" s="6"/>
      <c r="H22" s="6"/>
      <c r="I22" s="6"/>
      <c r="J22" s="6"/>
      <c r="K22" s="6"/>
      <c r="L22" s="10"/>
      <c r="M22" s="10"/>
      <c r="N22" s="6"/>
      <c r="O22" s="10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6"/>
      <c r="AP22" s="6"/>
      <c r="AQ22" s="10"/>
      <c r="AR22" s="10"/>
      <c r="AS22" s="10"/>
      <c r="AT22" s="10"/>
      <c r="AU22" s="10"/>
      <c r="AV22" s="10"/>
      <c r="AW22" s="6"/>
      <c r="AX22" s="6"/>
      <c r="AY22" s="10">
        <v>36</v>
      </c>
      <c r="AZ22" s="10"/>
      <c r="BA22" s="10"/>
      <c r="BB22" s="10"/>
      <c r="BC22" s="10"/>
      <c r="BD22" s="10"/>
      <c r="BE22" s="6">
        <f t="shared" si="0"/>
        <v>36</v>
      </c>
    </row>
    <row r="23" spans="1:57" x14ac:dyDescent="0.25">
      <c r="A23">
        <v>13</v>
      </c>
      <c r="B23" s="6" t="s">
        <v>507</v>
      </c>
      <c r="C23" s="6"/>
      <c r="D23" s="6" t="s">
        <v>365</v>
      </c>
      <c r="E23" s="6" t="s">
        <v>84</v>
      </c>
      <c r="F23" s="6"/>
      <c r="G23" s="6"/>
      <c r="H23" s="6"/>
      <c r="I23" s="6"/>
      <c r="J23" s="6"/>
      <c r="K23" s="6"/>
      <c r="L23" s="10"/>
      <c r="M23" s="10"/>
      <c r="N23" s="6"/>
      <c r="O23" s="10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6"/>
      <c r="AP23" s="6"/>
      <c r="AQ23" s="10"/>
      <c r="AR23" s="10"/>
      <c r="AS23" s="10"/>
      <c r="AT23" s="10"/>
      <c r="AU23" s="10"/>
      <c r="AV23" s="10"/>
      <c r="AW23" s="6"/>
      <c r="AX23" s="6"/>
      <c r="AY23" s="10">
        <v>30</v>
      </c>
      <c r="AZ23" s="10"/>
      <c r="BA23" s="10"/>
      <c r="BB23" s="10"/>
      <c r="BC23" s="10"/>
      <c r="BD23" s="10"/>
      <c r="BE23" s="6">
        <f t="shared" si="0"/>
        <v>30</v>
      </c>
    </row>
    <row r="24" spans="1:57" x14ac:dyDescent="0.25">
      <c r="A24">
        <v>14</v>
      </c>
      <c r="B24" s="6" t="s">
        <v>45</v>
      </c>
      <c r="C24" s="6"/>
      <c r="D24" s="6" t="s">
        <v>606</v>
      </c>
      <c r="E24" s="6" t="s">
        <v>35</v>
      </c>
      <c r="F24" s="6"/>
      <c r="G24" s="6"/>
      <c r="H24" s="6"/>
      <c r="I24" s="6"/>
      <c r="J24" s="6"/>
      <c r="K24" s="6"/>
      <c r="L24" s="10"/>
      <c r="M24" s="10"/>
      <c r="N24" s="6"/>
      <c r="O24" s="10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6"/>
      <c r="AP24" s="6"/>
      <c r="AQ24" s="10"/>
      <c r="AR24" s="10"/>
      <c r="AS24" s="10"/>
      <c r="AT24" s="10"/>
      <c r="AU24" s="10"/>
      <c r="AV24" s="10"/>
      <c r="AW24" s="6"/>
      <c r="AX24" s="6">
        <f>40.8/2</f>
        <v>20.399999999999999</v>
      </c>
      <c r="AY24" s="10"/>
      <c r="AZ24" s="10"/>
      <c r="BA24" s="10"/>
      <c r="BB24" s="10"/>
      <c r="BC24" s="10"/>
      <c r="BD24" s="10"/>
      <c r="BE24" s="6">
        <f t="shared" si="0"/>
        <v>20.399999999999999</v>
      </c>
    </row>
    <row r="25" spans="1:57" x14ac:dyDescent="0.25">
      <c r="A25">
        <v>15</v>
      </c>
      <c r="B25" s="6" t="s">
        <v>122</v>
      </c>
      <c r="C25" s="6"/>
      <c r="D25" s="6" t="s">
        <v>357</v>
      </c>
      <c r="E25" s="6" t="s">
        <v>34</v>
      </c>
      <c r="F25" s="6"/>
      <c r="G25" s="6"/>
      <c r="H25" s="6"/>
      <c r="I25" s="6"/>
      <c r="J25" s="6"/>
      <c r="K25" s="6"/>
      <c r="L25" s="10"/>
      <c r="M25" s="10"/>
      <c r="N25" s="6"/>
      <c r="O25" s="10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6"/>
      <c r="AP25" s="6">
        <f>18/2</f>
        <v>9</v>
      </c>
      <c r="AQ25" s="10">
        <v>2.4</v>
      </c>
      <c r="AR25" s="10">
        <v>3.2</v>
      </c>
      <c r="AS25" s="10">
        <v>2.4</v>
      </c>
      <c r="AT25" s="10">
        <v>3.2</v>
      </c>
      <c r="AU25" s="10">
        <v>6</v>
      </c>
      <c r="AV25" s="10"/>
      <c r="AW25" s="6">
        <f>SUM(AP25:AV25)</f>
        <v>26.2</v>
      </c>
      <c r="AX25" s="6">
        <f>(AW25-AP25)/2</f>
        <v>8.6</v>
      </c>
      <c r="AY25" s="10">
        <v>2.4</v>
      </c>
      <c r="AZ25" s="10"/>
      <c r="BA25" s="10"/>
      <c r="BB25" s="10"/>
      <c r="BC25" s="10"/>
      <c r="BD25" s="10"/>
      <c r="BE25" s="6">
        <f t="shared" si="0"/>
        <v>11</v>
      </c>
    </row>
    <row r="26" spans="1:57" x14ac:dyDescent="0.25">
      <c r="A26">
        <v>16</v>
      </c>
      <c r="B26" s="6" t="s">
        <v>508</v>
      </c>
      <c r="C26" s="6"/>
      <c r="D26" s="6" t="s">
        <v>509</v>
      </c>
      <c r="E26" s="6" t="s">
        <v>84</v>
      </c>
      <c r="F26" s="6"/>
      <c r="G26" s="6"/>
      <c r="H26" s="6"/>
      <c r="I26" s="6"/>
      <c r="J26" s="6"/>
      <c r="K26" s="6"/>
      <c r="L26" s="10"/>
      <c r="M26" s="10"/>
      <c r="N26" s="6"/>
      <c r="O26" s="1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6"/>
      <c r="AP26" s="6"/>
      <c r="AQ26" s="10"/>
      <c r="AR26" s="10"/>
      <c r="AS26" s="10"/>
      <c r="AT26" s="10"/>
      <c r="AU26" s="10"/>
      <c r="AV26" s="10"/>
      <c r="AW26" s="6"/>
      <c r="AX26" s="6"/>
      <c r="AY26" s="10">
        <v>3</v>
      </c>
      <c r="AZ26" s="10">
        <v>4</v>
      </c>
      <c r="BA26" s="10"/>
      <c r="BB26" s="10"/>
      <c r="BC26" s="10"/>
      <c r="BD26" s="10"/>
      <c r="BE26" s="6">
        <f t="shared" si="0"/>
        <v>7</v>
      </c>
    </row>
    <row r="27" spans="1:57" x14ac:dyDescent="0.25">
      <c r="A27">
        <v>17</v>
      </c>
      <c r="B27" s="6" t="s">
        <v>18</v>
      </c>
      <c r="C27" s="6"/>
      <c r="D27" s="6" t="s">
        <v>48</v>
      </c>
      <c r="E27" s="6" t="s">
        <v>411</v>
      </c>
      <c r="F27" s="6"/>
      <c r="G27" s="6"/>
      <c r="H27" s="6"/>
      <c r="I27" s="6"/>
      <c r="J27" s="6"/>
      <c r="K27" s="6"/>
      <c r="L27" s="10"/>
      <c r="M27" s="10"/>
      <c r="N27" s="6"/>
      <c r="O27" s="1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6"/>
      <c r="AP27" s="6"/>
      <c r="AQ27" s="10"/>
      <c r="AR27" s="10"/>
      <c r="AS27" s="10"/>
      <c r="AT27" s="10"/>
      <c r="AU27" s="10"/>
      <c r="AV27" s="10"/>
      <c r="AW27" s="6"/>
      <c r="AX27" s="6"/>
      <c r="AY27" s="10"/>
      <c r="AZ27" s="10">
        <v>4</v>
      </c>
      <c r="BA27" s="10"/>
      <c r="BB27" s="10"/>
      <c r="BC27" s="10"/>
      <c r="BD27" s="10"/>
      <c r="BE27" s="6">
        <f t="shared" si="0"/>
        <v>4</v>
      </c>
    </row>
    <row r="28" spans="1:57" x14ac:dyDescent="0.25">
      <c r="A28">
        <v>18</v>
      </c>
      <c r="B28" s="6" t="s">
        <v>41</v>
      </c>
      <c r="C28" s="6"/>
      <c r="D28" s="6" t="s">
        <v>257</v>
      </c>
      <c r="E28" s="6" t="s">
        <v>77</v>
      </c>
      <c r="F28" s="6"/>
      <c r="G28" s="6"/>
      <c r="H28" s="6"/>
      <c r="I28" s="6"/>
      <c r="J28" s="6"/>
      <c r="K28" s="6"/>
      <c r="L28" s="10"/>
      <c r="M28" s="10"/>
      <c r="N28" s="6"/>
      <c r="O28" s="10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6"/>
      <c r="AP28" s="6"/>
      <c r="AQ28" s="10"/>
      <c r="AR28" s="10"/>
      <c r="AS28" s="10"/>
      <c r="AT28" s="10"/>
      <c r="AU28" s="10"/>
      <c r="AV28" s="10"/>
      <c r="AW28" s="6"/>
      <c r="AX28" s="6"/>
      <c r="AY28" s="10">
        <v>2.4</v>
      </c>
      <c r="AZ28" s="10"/>
      <c r="BA28" s="10"/>
      <c r="BB28" s="10"/>
      <c r="BC28" s="10"/>
      <c r="BD28" s="10"/>
      <c r="BE28" s="6">
        <f t="shared" si="0"/>
        <v>2.4</v>
      </c>
    </row>
  </sheetData>
  <sortState xmlns:xlrd2="http://schemas.microsoft.com/office/spreadsheetml/2017/richdata2" ref="B11:BE28">
    <sortCondition descending="1" ref="BE11:BE28"/>
  </sortState>
  <mergeCells count="5">
    <mergeCell ref="B8:C10"/>
    <mergeCell ref="AS9:AV9"/>
    <mergeCell ref="BA9:BD9"/>
    <mergeCell ref="D4:BE5"/>
    <mergeCell ref="B1:BE1"/>
  </mergeCells>
  <phoneticPr fontId="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I35"/>
  <sheetViews>
    <sheetView zoomScale="80" zoomScaleNormal="80" workbookViewId="0">
      <selection activeCell="BP27" sqref="BP27"/>
    </sheetView>
  </sheetViews>
  <sheetFormatPr baseColWidth="10" defaultRowHeight="15" x14ac:dyDescent="0.25"/>
  <cols>
    <col min="1" max="1" width="3" bestFit="1" customWidth="1"/>
    <col min="2" max="2" width="15.42578125" bestFit="1" customWidth="1"/>
    <col min="4" max="4" width="14.140625" bestFit="1" customWidth="1"/>
    <col min="5" max="5" width="19.28515625" bestFit="1" customWidth="1"/>
    <col min="6" max="6" width="7.28515625" hidden="1" customWidth="1"/>
    <col min="7" max="8" width="0" hidden="1" customWidth="1"/>
    <col min="9" max="9" width="6.85546875" style="7" hidden="1" customWidth="1"/>
    <col min="10" max="29" width="5.5703125" style="7" hidden="1" customWidth="1"/>
    <col min="30" max="30" width="6.28515625" style="7" hidden="1" customWidth="1"/>
    <col min="31" max="31" width="0" hidden="1" customWidth="1"/>
    <col min="32" max="35" width="5.5703125" hidden="1" customWidth="1"/>
    <col min="36" max="43" width="5.5703125" style="7" hidden="1" customWidth="1"/>
    <col min="44" max="44" width="6.85546875" style="7" hidden="1" customWidth="1"/>
    <col min="45" max="45" width="6.7109375" hidden="1" customWidth="1"/>
    <col min="46" max="46" width="7.85546875" hidden="1" customWidth="1"/>
    <col min="47" max="47" width="7.140625" style="7" hidden="1" customWidth="1"/>
    <col min="48" max="49" width="7.5703125" style="7" hidden="1" customWidth="1"/>
    <col min="50" max="50" width="7.85546875" style="7" hidden="1" customWidth="1"/>
    <col min="51" max="51" width="7.28515625" style="7" hidden="1" customWidth="1"/>
    <col min="52" max="52" width="7.42578125" style="7" hidden="1" customWidth="1"/>
    <col min="55" max="55" width="8.42578125" style="7" customWidth="1"/>
    <col min="56" max="56" width="8.5703125" style="7" customWidth="1"/>
    <col min="57" max="57" width="8.42578125" style="7" customWidth="1"/>
    <col min="58" max="60" width="11.42578125" style="7"/>
  </cols>
  <sheetData>
    <row r="1" spans="1:61" ht="26.25" x14ac:dyDescent="0.4">
      <c r="B1" s="34" t="s">
        <v>3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</row>
    <row r="2" spans="1:61" ht="15.75" thickBot="1" x14ac:dyDescent="0.3">
      <c r="C2" s="7"/>
      <c r="D2" s="7"/>
      <c r="E2" s="7"/>
    </row>
    <row r="3" spans="1:61" ht="15.75" thickTop="1" x14ac:dyDescent="0.25">
      <c r="B3" s="1" t="s">
        <v>0</v>
      </c>
      <c r="C3" s="4" t="s">
        <v>14</v>
      </c>
    </row>
    <row r="4" spans="1:61" ht="14.65" customHeight="1" x14ac:dyDescent="0.25">
      <c r="B4" s="2" t="s">
        <v>1</v>
      </c>
      <c r="C4" s="5" t="s">
        <v>12</v>
      </c>
      <c r="D4" s="32" t="s">
        <v>492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</row>
    <row r="5" spans="1:61" ht="15" customHeight="1" thickBot="1" x14ac:dyDescent="0.3">
      <c r="B5" s="3" t="s">
        <v>2</v>
      </c>
      <c r="C5" s="15">
        <v>-45</v>
      </c>
      <c r="D5" s="32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</row>
    <row r="6" spans="1:61" ht="15.75" thickTop="1" x14ac:dyDescent="0.25"/>
    <row r="7" spans="1:61" ht="15.75" thickBot="1" x14ac:dyDescent="0.3"/>
    <row r="8" spans="1:61" ht="15.75" thickTop="1" x14ac:dyDescent="0.25">
      <c r="B8" s="25" t="s">
        <v>9</v>
      </c>
      <c r="C8" s="26"/>
      <c r="D8" s="1"/>
      <c r="E8" s="1"/>
      <c r="F8" s="4" t="s">
        <v>10</v>
      </c>
      <c r="G8" s="4"/>
      <c r="H8" s="1"/>
      <c r="I8" s="12">
        <v>44927</v>
      </c>
      <c r="J8" s="4" t="s">
        <v>10</v>
      </c>
      <c r="K8" s="4" t="s">
        <v>115</v>
      </c>
      <c r="L8" s="4" t="s">
        <v>10</v>
      </c>
      <c r="M8" s="4" t="s">
        <v>10</v>
      </c>
      <c r="N8" s="4" t="s">
        <v>10</v>
      </c>
      <c r="O8" s="4" t="s">
        <v>151</v>
      </c>
      <c r="P8" s="4" t="s">
        <v>151</v>
      </c>
      <c r="Q8" s="4" t="s">
        <v>114</v>
      </c>
      <c r="R8" s="4" t="s">
        <v>10</v>
      </c>
      <c r="S8" s="4" t="s">
        <v>115</v>
      </c>
      <c r="T8" s="4" t="s">
        <v>10</v>
      </c>
      <c r="U8" s="4" t="s">
        <v>112</v>
      </c>
      <c r="V8" s="4" t="s">
        <v>10</v>
      </c>
      <c r="W8" s="4" t="s">
        <v>10</v>
      </c>
      <c r="X8" s="4" t="s">
        <v>10</v>
      </c>
      <c r="Y8" s="4" t="s">
        <v>115</v>
      </c>
      <c r="Z8" s="4" t="s">
        <v>10</v>
      </c>
      <c r="AA8" s="4" t="s">
        <v>10</v>
      </c>
      <c r="AB8" s="4" t="s">
        <v>10</v>
      </c>
      <c r="AC8" s="4" t="s">
        <v>116</v>
      </c>
      <c r="AD8" s="4" t="s">
        <v>6</v>
      </c>
      <c r="AE8" s="12">
        <v>45292</v>
      </c>
      <c r="AF8" s="12" t="s">
        <v>10</v>
      </c>
      <c r="AG8" s="12" t="s">
        <v>10</v>
      </c>
      <c r="AH8" s="12" t="s">
        <v>10</v>
      </c>
      <c r="AI8" s="12" t="s">
        <v>115</v>
      </c>
      <c r="AJ8" s="12" t="s">
        <v>115</v>
      </c>
      <c r="AK8" s="12" t="s">
        <v>151</v>
      </c>
      <c r="AL8" s="12" t="s">
        <v>151</v>
      </c>
      <c r="AM8" s="12" t="s">
        <v>115</v>
      </c>
      <c r="AN8" s="12" t="s">
        <v>10</v>
      </c>
      <c r="AO8" s="12" t="s">
        <v>10</v>
      </c>
      <c r="AP8" s="12" t="s">
        <v>10</v>
      </c>
      <c r="AQ8" s="12" t="s">
        <v>115</v>
      </c>
      <c r="AR8" s="12" t="s">
        <v>116</v>
      </c>
      <c r="AS8" s="12" t="s">
        <v>6</v>
      </c>
      <c r="AT8" s="12">
        <v>45658</v>
      </c>
      <c r="AU8" s="12"/>
      <c r="AV8" s="12"/>
      <c r="AW8" s="17"/>
      <c r="AX8" s="18"/>
      <c r="AY8" s="18"/>
      <c r="AZ8" s="19"/>
      <c r="BA8" s="12" t="s">
        <v>6</v>
      </c>
      <c r="BB8" s="12">
        <v>46023</v>
      </c>
      <c r="BC8" s="12"/>
      <c r="BD8" s="12"/>
      <c r="BE8" s="17"/>
      <c r="BF8" s="18"/>
      <c r="BG8" s="18"/>
      <c r="BH8" s="19"/>
      <c r="BI8" s="12" t="s">
        <v>6</v>
      </c>
    </row>
    <row r="9" spans="1:61" x14ac:dyDescent="0.25">
      <c r="B9" s="27"/>
      <c r="C9" s="28"/>
      <c r="D9" s="2"/>
      <c r="E9" s="2"/>
      <c r="F9" s="8" t="s">
        <v>76</v>
      </c>
      <c r="G9" s="8"/>
      <c r="H9" s="2" t="s">
        <v>6</v>
      </c>
      <c r="I9" s="5"/>
      <c r="J9" s="5" t="s">
        <v>99</v>
      </c>
      <c r="K9" s="8" t="s">
        <v>85</v>
      </c>
      <c r="L9" s="8" t="s">
        <v>81</v>
      </c>
      <c r="M9" s="8" t="s">
        <v>102</v>
      </c>
      <c r="N9" s="8" t="s">
        <v>43</v>
      </c>
      <c r="O9" s="8" t="s">
        <v>92</v>
      </c>
      <c r="P9" s="8" t="s">
        <v>85</v>
      </c>
      <c r="Q9" s="8" t="s">
        <v>159</v>
      </c>
      <c r="R9" s="8" t="s">
        <v>76</v>
      </c>
      <c r="S9" s="8" t="s">
        <v>86</v>
      </c>
      <c r="T9" s="8" t="s">
        <v>32</v>
      </c>
      <c r="U9" s="8" t="s">
        <v>170</v>
      </c>
      <c r="V9" s="8" t="s">
        <v>102</v>
      </c>
      <c r="W9" s="8" t="s">
        <v>81</v>
      </c>
      <c r="X9" s="8" t="s">
        <v>19</v>
      </c>
      <c r="Y9" s="8" t="s">
        <v>92</v>
      </c>
      <c r="Z9" s="8" t="s">
        <v>76</v>
      </c>
      <c r="AA9" s="8" t="s">
        <v>11</v>
      </c>
      <c r="AB9" s="8" t="s">
        <v>192</v>
      </c>
      <c r="AC9" s="8"/>
      <c r="AD9" s="5"/>
      <c r="AE9" s="5"/>
      <c r="AF9" s="5" t="s">
        <v>195</v>
      </c>
      <c r="AG9" s="5" t="s">
        <v>81</v>
      </c>
      <c r="AH9" s="5" t="s">
        <v>32</v>
      </c>
      <c r="AI9" s="5" t="s">
        <v>86</v>
      </c>
      <c r="AJ9" s="5" t="s">
        <v>267</v>
      </c>
      <c r="AK9" s="5" t="s">
        <v>85</v>
      </c>
      <c r="AL9" s="5" t="s">
        <v>92</v>
      </c>
      <c r="AM9" s="5" t="s">
        <v>85</v>
      </c>
      <c r="AN9" s="5" t="s">
        <v>195</v>
      </c>
      <c r="AO9" s="5" t="s">
        <v>32</v>
      </c>
      <c r="AP9" s="5" t="s">
        <v>76</v>
      </c>
      <c r="AQ9" s="5" t="s">
        <v>92</v>
      </c>
      <c r="AR9" s="5" t="s">
        <v>303</v>
      </c>
      <c r="AS9" s="5"/>
      <c r="AT9" s="5"/>
      <c r="AU9" s="8" t="s">
        <v>10</v>
      </c>
      <c r="AV9" s="8" t="s">
        <v>151</v>
      </c>
      <c r="AW9" s="29" t="s">
        <v>305</v>
      </c>
      <c r="AX9" s="30"/>
      <c r="AY9" s="30"/>
      <c r="AZ9" s="31"/>
      <c r="BA9" s="5"/>
      <c r="BB9" s="5"/>
      <c r="BC9" s="8" t="s">
        <v>10</v>
      </c>
      <c r="BD9" s="8" t="s">
        <v>151</v>
      </c>
      <c r="BE9" s="29" t="s">
        <v>305</v>
      </c>
      <c r="BF9" s="30"/>
      <c r="BG9" s="30"/>
      <c r="BH9" s="31"/>
      <c r="BI9" s="5"/>
    </row>
    <row r="10" spans="1:61" x14ac:dyDescent="0.25">
      <c r="B10" s="27"/>
      <c r="C10" s="28"/>
      <c r="D10" s="2" t="s">
        <v>4</v>
      </c>
      <c r="E10" s="2" t="s">
        <v>5</v>
      </c>
      <c r="F10" s="9">
        <v>44814</v>
      </c>
      <c r="G10" s="9"/>
      <c r="H10" s="2">
        <v>2022</v>
      </c>
      <c r="I10" s="5"/>
      <c r="J10" s="5" t="s">
        <v>124</v>
      </c>
      <c r="K10" s="2" t="s">
        <v>129</v>
      </c>
      <c r="L10" s="2" t="s">
        <v>146</v>
      </c>
      <c r="M10" s="2" t="s">
        <v>145</v>
      </c>
      <c r="N10" s="2" t="s">
        <v>148</v>
      </c>
      <c r="O10" s="2" t="s">
        <v>156</v>
      </c>
      <c r="P10" s="2" t="s">
        <v>158</v>
      </c>
      <c r="Q10" s="2" t="s">
        <v>160</v>
      </c>
      <c r="R10" s="2" t="s">
        <v>160</v>
      </c>
      <c r="S10" s="2" t="s">
        <v>164</v>
      </c>
      <c r="T10" s="2" t="s">
        <v>169</v>
      </c>
      <c r="U10" s="2" t="s">
        <v>171</v>
      </c>
      <c r="V10" s="2" t="s">
        <v>172</v>
      </c>
      <c r="W10" s="2" t="s">
        <v>172</v>
      </c>
      <c r="X10" s="2" t="s">
        <v>175</v>
      </c>
      <c r="Y10" s="2" t="s">
        <v>181</v>
      </c>
      <c r="Z10" s="2" t="s">
        <v>187</v>
      </c>
      <c r="AA10" s="5" t="s">
        <v>190</v>
      </c>
      <c r="AB10" s="2" t="s">
        <v>190</v>
      </c>
      <c r="AC10" s="2" t="s">
        <v>194</v>
      </c>
      <c r="AD10" s="5">
        <v>2023</v>
      </c>
      <c r="AE10" s="13"/>
      <c r="AF10" s="13" t="s">
        <v>196</v>
      </c>
      <c r="AG10" s="13" t="s">
        <v>196</v>
      </c>
      <c r="AH10" s="13" t="s">
        <v>246</v>
      </c>
      <c r="AI10" s="13" t="s">
        <v>264</v>
      </c>
      <c r="AJ10" s="13" t="s">
        <v>268</v>
      </c>
      <c r="AK10" s="13" t="s">
        <v>269</v>
      </c>
      <c r="AL10" s="13" t="s">
        <v>273</v>
      </c>
      <c r="AM10" s="13" t="s">
        <v>277</v>
      </c>
      <c r="AN10" s="13" t="s">
        <v>283</v>
      </c>
      <c r="AO10" s="13" t="s">
        <v>287</v>
      </c>
      <c r="AP10" s="13" t="s">
        <v>290</v>
      </c>
      <c r="AQ10" s="13" t="s">
        <v>296</v>
      </c>
      <c r="AR10" s="13" t="s">
        <v>304</v>
      </c>
      <c r="AS10" s="13">
        <v>2024</v>
      </c>
      <c r="AT10" s="5"/>
      <c r="AU10" s="5"/>
      <c r="AV10" s="5"/>
      <c r="AW10" s="5">
        <v>1</v>
      </c>
      <c r="AX10" s="5">
        <v>2</v>
      </c>
      <c r="AY10" s="5">
        <v>3</v>
      </c>
      <c r="AZ10" s="5">
        <v>4</v>
      </c>
      <c r="BA10" s="5">
        <v>2025</v>
      </c>
      <c r="BB10" s="5"/>
      <c r="BC10" s="5"/>
      <c r="BD10" s="5"/>
      <c r="BE10" s="5">
        <v>1</v>
      </c>
      <c r="BF10" s="5">
        <v>2</v>
      </c>
      <c r="BG10" s="5">
        <v>3</v>
      </c>
      <c r="BH10" s="5">
        <v>4</v>
      </c>
      <c r="BI10" s="5">
        <v>2026</v>
      </c>
    </row>
    <row r="11" spans="1:61" x14ac:dyDescent="0.25">
      <c r="A11">
        <v>1</v>
      </c>
      <c r="B11" s="6" t="s">
        <v>319</v>
      </c>
      <c r="C11" s="6"/>
      <c r="D11" s="6" t="s">
        <v>525</v>
      </c>
      <c r="E11" s="6" t="s">
        <v>526</v>
      </c>
      <c r="F11" s="6"/>
      <c r="G11" s="6"/>
      <c r="H11" s="6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6"/>
      <c r="AF11" s="6"/>
      <c r="AG11" s="6"/>
      <c r="AH11" s="6"/>
      <c r="AI11" s="6"/>
      <c r="AJ11" s="10"/>
      <c r="AK11" s="10"/>
      <c r="AL11" s="10"/>
      <c r="AM11" s="10"/>
      <c r="AN11" s="10"/>
      <c r="AO11" s="10"/>
      <c r="AP11" s="10"/>
      <c r="AQ11" s="10"/>
      <c r="AR11" s="10"/>
      <c r="AS11" s="6"/>
      <c r="AT11" s="6"/>
      <c r="AU11" s="10"/>
      <c r="AV11" s="10"/>
      <c r="AW11" s="10"/>
      <c r="AX11" s="10"/>
      <c r="AY11" s="10"/>
      <c r="AZ11" s="10"/>
      <c r="BA11" s="6"/>
      <c r="BB11" s="6">
        <f>200/2</f>
        <v>100</v>
      </c>
      <c r="BC11" s="10">
        <v>48</v>
      </c>
      <c r="BD11" s="10">
        <v>64</v>
      </c>
      <c r="BE11" s="10">
        <v>75</v>
      </c>
      <c r="BF11" s="10">
        <v>70</v>
      </c>
      <c r="BG11" s="10">
        <v>33.6</v>
      </c>
      <c r="BH11" s="10"/>
      <c r="BI11" s="6">
        <f t="shared" ref="BI11:BI35" si="0">SUM(BB11:BH11)</f>
        <v>390.6</v>
      </c>
    </row>
    <row r="12" spans="1:61" x14ac:dyDescent="0.25">
      <c r="A12">
        <v>2</v>
      </c>
      <c r="B12" s="6" t="s">
        <v>548</v>
      </c>
      <c r="C12" s="6"/>
      <c r="D12" s="6" t="s">
        <v>49</v>
      </c>
      <c r="E12" s="6" t="s">
        <v>420</v>
      </c>
      <c r="F12" s="6"/>
      <c r="G12" s="6"/>
      <c r="H12" s="6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6"/>
      <c r="AF12" s="6"/>
      <c r="AG12" s="6"/>
      <c r="AH12" s="6"/>
      <c r="AI12" s="6"/>
      <c r="AJ12" s="10"/>
      <c r="AK12" s="10"/>
      <c r="AL12" s="10"/>
      <c r="AM12" s="10"/>
      <c r="AN12" s="10"/>
      <c r="AO12" s="10"/>
      <c r="AP12" s="10"/>
      <c r="AQ12" s="10"/>
      <c r="AR12" s="10"/>
      <c r="AS12" s="6"/>
      <c r="AT12" s="6"/>
      <c r="AU12" s="10"/>
      <c r="AV12" s="10"/>
      <c r="AW12" s="10"/>
      <c r="AX12" s="10"/>
      <c r="AY12" s="10"/>
      <c r="AZ12" s="10"/>
      <c r="BA12" s="6"/>
      <c r="BB12" s="6">
        <f>170/2</f>
        <v>85</v>
      </c>
      <c r="BC12" s="10">
        <v>48</v>
      </c>
      <c r="BD12" s="10">
        <v>80</v>
      </c>
      <c r="BE12" s="10">
        <v>75</v>
      </c>
      <c r="BF12" s="10">
        <v>50</v>
      </c>
      <c r="BG12" s="10">
        <v>48</v>
      </c>
      <c r="BH12" s="10"/>
      <c r="BI12" s="6">
        <f t="shared" si="0"/>
        <v>386</v>
      </c>
    </row>
    <row r="13" spans="1:61" x14ac:dyDescent="0.25">
      <c r="A13">
        <v>3</v>
      </c>
      <c r="B13" s="6" t="s">
        <v>481</v>
      </c>
      <c r="C13" s="6"/>
      <c r="D13" s="6" t="s">
        <v>482</v>
      </c>
      <c r="E13" s="6" t="s">
        <v>34</v>
      </c>
      <c r="F13" s="6"/>
      <c r="G13" s="6"/>
      <c r="H13" s="6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6"/>
      <c r="AF13" s="6"/>
      <c r="AG13" s="6"/>
      <c r="AH13" s="6"/>
      <c r="AI13" s="6"/>
      <c r="AJ13" s="10"/>
      <c r="AK13" s="10"/>
      <c r="AL13" s="10"/>
      <c r="AM13" s="10"/>
      <c r="AN13" s="10"/>
      <c r="AO13" s="10"/>
      <c r="AP13" s="10"/>
      <c r="AQ13" s="10"/>
      <c r="AR13" s="10"/>
      <c r="AS13" s="6"/>
      <c r="AT13" s="6"/>
      <c r="AU13" s="10">
        <v>33.6</v>
      </c>
      <c r="AV13" s="10">
        <v>44.8</v>
      </c>
      <c r="AW13" s="10">
        <v>75</v>
      </c>
      <c r="AX13" s="10"/>
      <c r="AY13" s="10"/>
      <c r="AZ13" s="10"/>
      <c r="BA13" s="6">
        <f>SUM(AT13:AZ13)</f>
        <v>153.4</v>
      </c>
      <c r="BB13" s="6">
        <f>(BA13-AT13)/2</f>
        <v>76.7</v>
      </c>
      <c r="BC13" s="10">
        <v>33.6</v>
      </c>
      <c r="BD13" s="10">
        <v>40</v>
      </c>
      <c r="BE13" s="10">
        <v>150</v>
      </c>
      <c r="BF13" s="10"/>
      <c r="BG13" s="10"/>
      <c r="BH13" s="10">
        <v>50</v>
      </c>
      <c r="BI13" s="6">
        <f t="shared" si="0"/>
        <v>350.3</v>
      </c>
    </row>
    <row r="14" spans="1:61" x14ac:dyDescent="0.25">
      <c r="A14">
        <v>4</v>
      </c>
      <c r="B14" s="6" t="s">
        <v>132</v>
      </c>
      <c r="C14" s="6"/>
      <c r="D14" s="6" t="s">
        <v>414</v>
      </c>
      <c r="E14" s="6" t="s">
        <v>411</v>
      </c>
      <c r="F14" s="6"/>
      <c r="G14" s="6"/>
      <c r="H14" s="6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6"/>
      <c r="AF14" s="6"/>
      <c r="AG14" s="6"/>
      <c r="AH14" s="6"/>
      <c r="AI14" s="6"/>
      <c r="AJ14" s="10"/>
      <c r="AK14" s="10"/>
      <c r="AL14" s="10"/>
      <c r="AM14" s="10"/>
      <c r="AN14" s="10"/>
      <c r="AO14" s="10"/>
      <c r="AP14" s="10"/>
      <c r="AQ14" s="10"/>
      <c r="AR14" s="10"/>
      <c r="AS14" s="6"/>
      <c r="AT14" s="6"/>
      <c r="AU14" s="10">
        <v>36</v>
      </c>
      <c r="AV14" s="10">
        <v>48</v>
      </c>
      <c r="AW14" s="10">
        <v>150</v>
      </c>
      <c r="AX14" s="10"/>
      <c r="AY14" s="10"/>
      <c r="AZ14" s="10"/>
      <c r="BA14" s="6">
        <f>SUM(AT14:AZ14)</f>
        <v>234</v>
      </c>
      <c r="BB14" s="6">
        <f>(BA14-AT14)/2</f>
        <v>117</v>
      </c>
      <c r="BC14" s="10">
        <v>36</v>
      </c>
      <c r="BD14" s="10">
        <v>80</v>
      </c>
      <c r="BE14" s="10">
        <v>105</v>
      </c>
      <c r="BF14" s="10"/>
      <c r="BG14" s="10"/>
      <c r="BH14" s="10"/>
      <c r="BI14" s="6">
        <f t="shared" si="0"/>
        <v>338</v>
      </c>
    </row>
    <row r="15" spans="1:61" x14ac:dyDescent="0.25">
      <c r="A15">
        <v>5</v>
      </c>
      <c r="B15" s="6" t="s">
        <v>356</v>
      </c>
      <c r="C15" s="6"/>
      <c r="D15" s="6" t="s">
        <v>16</v>
      </c>
      <c r="E15" s="6" t="s">
        <v>34</v>
      </c>
      <c r="F15" s="6"/>
      <c r="G15" s="6"/>
      <c r="H15" s="6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6"/>
      <c r="AF15" s="6"/>
      <c r="AG15" s="6"/>
      <c r="AH15" s="6"/>
      <c r="AI15" s="6"/>
      <c r="AJ15" s="10"/>
      <c r="AK15" s="10"/>
      <c r="AL15" s="10"/>
      <c r="AM15" s="10"/>
      <c r="AN15" s="10"/>
      <c r="AO15" s="10"/>
      <c r="AP15" s="10"/>
      <c r="AQ15" s="10"/>
      <c r="AR15" s="10"/>
      <c r="AS15" s="6"/>
      <c r="AT15" s="6"/>
      <c r="AU15" s="10"/>
      <c r="AV15" s="10"/>
      <c r="AW15" s="10"/>
      <c r="AX15" s="10"/>
      <c r="AY15" s="10"/>
      <c r="AZ15" s="10"/>
      <c r="BA15" s="6"/>
      <c r="BB15" s="6">
        <v>192.7</v>
      </c>
      <c r="BC15" s="10">
        <v>2.4</v>
      </c>
      <c r="BD15" s="10">
        <v>32</v>
      </c>
      <c r="BE15" s="10">
        <v>54</v>
      </c>
      <c r="BF15" s="10"/>
      <c r="BG15" s="10"/>
      <c r="BH15" s="10">
        <v>26</v>
      </c>
      <c r="BI15" s="6">
        <f t="shared" si="0"/>
        <v>307.10000000000002</v>
      </c>
    </row>
    <row r="16" spans="1:61" x14ac:dyDescent="0.25">
      <c r="A16">
        <v>6</v>
      </c>
      <c r="B16" s="6" t="s">
        <v>260</v>
      </c>
      <c r="C16" s="6"/>
      <c r="D16" s="6" t="s">
        <v>57</v>
      </c>
      <c r="E16" s="6" t="s">
        <v>136</v>
      </c>
      <c r="F16" s="6"/>
      <c r="G16" s="6"/>
      <c r="H16" s="6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6"/>
      <c r="AF16" s="6"/>
      <c r="AG16" s="6"/>
      <c r="AH16" s="6"/>
      <c r="AI16" s="6"/>
      <c r="AJ16" s="10"/>
      <c r="AK16" s="10"/>
      <c r="AL16" s="10"/>
      <c r="AM16" s="10"/>
      <c r="AN16" s="10"/>
      <c r="AO16" s="10"/>
      <c r="AP16" s="10"/>
      <c r="AQ16" s="10"/>
      <c r="AR16" s="10"/>
      <c r="AS16" s="6"/>
      <c r="AT16" s="6">
        <f>115.15/2</f>
        <v>57.575000000000003</v>
      </c>
      <c r="AU16" s="10">
        <v>36</v>
      </c>
      <c r="AV16" s="10">
        <v>48</v>
      </c>
      <c r="AW16" s="10">
        <v>140</v>
      </c>
      <c r="AX16" s="10">
        <v>80</v>
      </c>
      <c r="AY16" s="10">
        <v>120</v>
      </c>
      <c r="AZ16" s="10">
        <v>60</v>
      </c>
      <c r="BA16" s="6">
        <f>SUM(AT16:AZ16)</f>
        <v>541.57500000000005</v>
      </c>
      <c r="BB16" s="6">
        <f>(BA16-AT16)/2</f>
        <v>242.00000000000003</v>
      </c>
      <c r="BC16" s="10"/>
      <c r="BD16" s="10"/>
      <c r="BE16" s="10"/>
      <c r="BF16" s="10"/>
      <c r="BG16" s="10"/>
      <c r="BH16" s="10"/>
      <c r="BI16" s="6">
        <f t="shared" si="0"/>
        <v>242.00000000000003</v>
      </c>
    </row>
    <row r="17" spans="1:61" x14ac:dyDescent="0.25">
      <c r="A17">
        <v>7</v>
      </c>
      <c r="B17" s="6" t="s">
        <v>41</v>
      </c>
      <c r="C17" s="6"/>
      <c r="D17" s="6" t="s">
        <v>57</v>
      </c>
      <c r="E17" s="6" t="s">
        <v>491</v>
      </c>
      <c r="F17" s="6"/>
      <c r="G17" s="6"/>
      <c r="H17" s="6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6"/>
      <c r="AF17" s="6"/>
      <c r="AG17" s="6"/>
      <c r="AH17" s="6"/>
      <c r="AI17" s="6"/>
      <c r="AJ17" s="10"/>
      <c r="AK17" s="10"/>
      <c r="AL17" s="10"/>
      <c r="AM17" s="10"/>
      <c r="AN17" s="10"/>
      <c r="AO17" s="10"/>
      <c r="AP17" s="10"/>
      <c r="AQ17" s="10"/>
      <c r="AR17" s="10"/>
      <c r="AS17" s="6"/>
      <c r="AT17" s="6"/>
      <c r="AU17" s="10"/>
      <c r="AV17" s="10"/>
      <c r="AW17" s="10">
        <v>6</v>
      </c>
      <c r="AX17" s="10">
        <v>4</v>
      </c>
      <c r="AY17" s="10"/>
      <c r="AZ17" s="10"/>
      <c r="BA17" s="6"/>
      <c r="BB17" s="6">
        <v>58</v>
      </c>
      <c r="BC17" s="10">
        <v>33.6</v>
      </c>
      <c r="BD17" s="10">
        <v>44.8</v>
      </c>
      <c r="BE17" s="10">
        <v>7.5</v>
      </c>
      <c r="BF17" s="10"/>
      <c r="BG17" s="10"/>
      <c r="BH17" s="10"/>
      <c r="BI17" s="6">
        <f t="shared" si="0"/>
        <v>143.89999999999998</v>
      </c>
    </row>
    <row r="18" spans="1:61" x14ac:dyDescent="0.25">
      <c r="A18" s="22">
        <v>8</v>
      </c>
      <c r="B18" s="6" t="s">
        <v>560</v>
      </c>
      <c r="C18" s="6"/>
      <c r="D18" s="6" t="s">
        <v>252</v>
      </c>
      <c r="E18" s="6" t="s">
        <v>77</v>
      </c>
      <c r="F18" s="6"/>
      <c r="G18" s="6"/>
      <c r="H18" s="6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6"/>
      <c r="AF18" s="6"/>
      <c r="AG18" s="6"/>
      <c r="AH18" s="6"/>
      <c r="AI18" s="6"/>
      <c r="AJ18" s="10"/>
      <c r="AK18" s="10"/>
      <c r="AL18" s="10"/>
      <c r="AM18" s="10"/>
      <c r="AN18" s="10"/>
      <c r="AO18" s="10"/>
      <c r="AP18" s="10"/>
      <c r="AQ18" s="10"/>
      <c r="AR18" s="10"/>
      <c r="AS18" s="6"/>
      <c r="AT18" s="6"/>
      <c r="AU18" s="10"/>
      <c r="AV18" s="10"/>
      <c r="AW18" s="10"/>
      <c r="AX18" s="10"/>
      <c r="AY18" s="10"/>
      <c r="AZ18" s="10"/>
      <c r="BA18" s="6"/>
      <c r="BB18" s="6"/>
      <c r="BC18" s="10">
        <v>36</v>
      </c>
      <c r="BD18" s="10"/>
      <c r="BE18" s="10">
        <v>100</v>
      </c>
      <c r="BF18" s="10"/>
      <c r="BG18" s="10"/>
      <c r="BH18" s="10"/>
      <c r="BI18" s="6">
        <f t="shared" si="0"/>
        <v>136</v>
      </c>
    </row>
    <row r="19" spans="1:61" x14ac:dyDescent="0.25">
      <c r="A19">
        <v>9</v>
      </c>
      <c r="B19" s="6" t="s">
        <v>405</v>
      </c>
      <c r="C19" s="6"/>
      <c r="D19" s="6" t="s">
        <v>278</v>
      </c>
      <c r="E19" s="6" t="s">
        <v>406</v>
      </c>
      <c r="F19" s="6"/>
      <c r="G19" s="6"/>
      <c r="H19" s="6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6"/>
      <c r="AF19" s="6"/>
      <c r="AG19" s="6"/>
      <c r="AH19" s="6"/>
      <c r="AI19" s="6"/>
      <c r="AJ19" s="10"/>
      <c r="AK19" s="10"/>
      <c r="AL19" s="10"/>
      <c r="AM19" s="10"/>
      <c r="AN19" s="10"/>
      <c r="AO19" s="10"/>
      <c r="AP19" s="10"/>
      <c r="AQ19" s="10"/>
      <c r="AR19" s="10"/>
      <c r="AS19" s="6"/>
      <c r="AT19" s="6"/>
      <c r="AU19" s="10">
        <v>36</v>
      </c>
      <c r="AV19" s="10"/>
      <c r="AW19" s="10">
        <v>100</v>
      </c>
      <c r="AX19" s="10"/>
      <c r="AY19" s="10"/>
      <c r="AZ19" s="10"/>
      <c r="BA19" s="6">
        <f>SUM(AT19:AZ19)</f>
        <v>136</v>
      </c>
      <c r="BB19" s="6">
        <f>(BA19-AT19)/2</f>
        <v>68</v>
      </c>
      <c r="BC19" s="10">
        <v>36</v>
      </c>
      <c r="BD19" s="10"/>
      <c r="BE19" s="10"/>
      <c r="BF19" s="10"/>
      <c r="BG19" s="10"/>
      <c r="BH19" s="10"/>
      <c r="BI19" s="6">
        <f t="shared" si="0"/>
        <v>104</v>
      </c>
    </row>
    <row r="20" spans="1:61" x14ac:dyDescent="0.25">
      <c r="A20">
        <v>10</v>
      </c>
      <c r="B20" s="6" t="s">
        <v>25</v>
      </c>
      <c r="C20" s="6"/>
      <c r="D20" s="6" t="s">
        <v>49</v>
      </c>
      <c r="E20" s="6" t="s">
        <v>69</v>
      </c>
      <c r="F20" s="6"/>
      <c r="G20" s="6"/>
      <c r="H20" s="6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6"/>
      <c r="AF20" s="6"/>
      <c r="AG20" s="6"/>
      <c r="AH20" s="6"/>
      <c r="AI20" s="6"/>
      <c r="AJ20" s="10"/>
      <c r="AK20" s="10"/>
      <c r="AL20" s="10"/>
      <c r="AM20" s="10"/>
      <c r="AN20" s="10"/>
      <c r="AO20" s="10"/>
      <c r="AP20" s="10"/>
      <c r="AQ20" s="10"/>
      <c r="AR20" s="10"/>
      <c r="AS20" s="6"/>
      <c r="AT20" s="6"/>
      <c r="AU20" s="10"/>
      <c r="AV20" s="10"/>
      <c r="AW20" s="10"/>
      <c r="AX20" s="10"/>
      <c r="AY20" s="10"/>
      <c r="AZ20" s="10"/>
      <c r="BA20" s="6"/>
      <c r="BB20" s="6"/>
      <c r="BC20" s="10">
        <v>48</v>
      </c>
      <c r="BD20" s="10">
        <v>56</v>
      </c>
      <c r="BE20" s="10"/>
      <c r="BF20" s="10"/>
      <c r="BG20" s="10"/>
      <c r="BH20" s="10"/>
      <c r="BI20" s="6">
        <f t="shared" si="0"/>
        <v>104</v>
      </c>
    </row>
    <row r="21" spans="1:61" x14ac:dyDescent="0.25">
      <c r="A21">
        <v>11</v>
      </c>
      <c r="B21" s="6" t="s">
        <v>255</v>
      </c>
      <c r="C21" s="6"/>
      <c r="D21" s="6" t="s">
        <v>355</v>
      </c>
      <c r="E21" s="6" t="s">
        <v>38</v>
      </c>
      <c r="F21" s="6"/>
      <c r="G21" s="6"/>
      <c r="H21" s="6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6"/>
      <c r="AF21" s="6"/>
      <c r="AG21" s="6"/>
      <c r="AH21" s="6"/>
      <c r="AI21" s="6"/>
      <c r="AJ21" s="10"/>
      <c r="AK21" s="10"/>
      <c r="AL21" s="10"/>
      <c r="AM21" s="10"/>
      <c r="AN21" s="10"/>
      <c r="AO21" s="10"/>
      <c r="AP21" s="10"/>
      <c r="AQ21" s="10"/>
      <c r="AR21" s="10"/>
      <c r="AS21" s="6"/>
      <c r="AT21" s="6"/>
      <c r="AU21" s="10"/>
      <c r="AV21" s="10"/>
      <c r="AW21" s="10">
        <v>6</v>
      </c>
      <c r="AX21" s="10">
        <v>200</v>
      </c>
      <c r="AY21" s="10"/>
      <c r="AZ21" s="10"/>
      <c r="BA21" s="6">
        <f>SUM(AT21:AZ21)</f>
        <v>206</v>
      </c>
      <c r="BB21" s="6">
        <f>(BA21-AT21)/2</f>
        <v>103</v>
      </c>
      <c r="BC21" s="10"/>
      <c r="BD21" s="10"/>
      <c r="BE21" s="10"/>
      <c r="BF21" s="10"/>
      <c r="BG21" s="10"/>
      <c r="BH21" s="10"/>
      <c r="BI21" s="6">
        <f t="shared" si="0"/>
        <v>103</v>
      </c>
    </row>
    <row r="22" spans="1:61" x14ac:dyDescent="0.25">
      <c r="A22">
        <v>12</v>
      </c>
      <c r="B22" s="6" t="s">
        <v>247</v>
      </c>
      <c r="C22" s="6"/>
      <c r="D22" s="6" t="s">
        <v>248</v>
      </c>
      <c r="E22" s="6" t="s">
        <v>249</v>
      </c>
      <c r="F22" s="6"/>
      <c r="G22" s="6"/>
      <c r="H22" s="6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6"/>
      <c r="AF22" s="6"/>
      <c r="AG22" s="6"/>
      <c r="AH22" s="6"/>
      <c r="AI22" s="6"/>
      <c r="AJ22" s="10"/>
      <c r="AK22" s="10"/>
      <c r="AL22" s="10"/>
      <c r="AM22" s="10"/>
      <c r="AN22" s="10"/>
      <c r="AO22" s="10"/>
      <c r="AP22" s="10"/>
      <c r="AQ22" s="10"/>
      <c r="AR22" s="10"/>
      <c r="AS22" s="6"/>
      <c r="AT22" s="6">
        <v>24</v>
      </c>
      <c r="AU22" s="10">
        <v>36</v>
      </c>
      <c r="AV22" s="10">
        <v>48</v>
      </c>
      <c r="AW22" s="10">
        <v>120</v>
      </c>
      <c r="AX22" s="10"/>
      <c r="AY22" s="10"/>
      <c r="AZ22" s="10"/>
      <c r="BA22" s="6">
        <f>SUM(AT22:AZ22)</f>
        <v>228</v>
      </c>
      <c r="BB22" s="6">
        <f>(BA22-AT22)/2</f>
        <v>102</v>
      </c>
      <c r="BC22" s="10"/>
      <c r="BD22" s="10"/>
      <c r="BE22" s="10"/>
      <c r="BF22" s="10"/>
      <c r="BG22" s="10"/>
      <c r="BH22" s="10"/>
      <c r="BI22" s="6">
        <f t="shared" si="0"/>
        <v>102</v>
      </c>
    </row>
    <row r="23" spans="1:61" x14ac:dyDescent="0.25">
      <c r="A23">
        <v>13</v>
      </c>
      <c r="B23" s="6" t="s">
        <v>596</v>
      </c>
      <c r="C23" s="6"/>
      <c r="D23" s="6" t="s">
        <v>135</v>
      </c>
      <c r="E23" s="6" t="s">
        <v>35</v>
      </c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6"/>
      <c r="AF23" s="6"/>
      <c r="AG23" s="6"/>
      <c r="AH23" s="6"/>
      <c r="AI23" s="6"/>
      <c r="AJ23" s="10"/>
      <c r="AK23" s="10"/>
      <c r="AL23" s="10"/>
      <c r="AM23" s="10"/>
      <c r="AN23" s="10"/>
      <c r="AO23" s="10"/>
      <c r="AP23" s="10"/>
      <c r="AQ23" s="10"/>
      <c r="AR23" s="10"/>
      <c r="AS23" s="6"/>
      <c r="AT23" s="6"/>
      <c r="AU23" s="10"/>
      <c r="AV23" s="10"/>
      <c r="AW23" s="10"/>
      <c r="AX23" s="10"/>
      <c r="AY23" s="10"/>
      <c r="AZ23" s="10"/>
      <c r="BA23" s="6"/>
      <c r="BB23" s="6"/>
      <c r="BC23" s="10">
        <v>48</v>
      </c>
      <c r="BD23" s="10"/>
      <c r="BE23" s="10">
        <v>54</v>
      </c>
      <c r="BF23" s="10"/>
      <c r="BG23" s="10"/>
      <c r="BH23" s="10"/>
      <c r="BI23" s="6">
        <f t="shared" si="0"/>
        <v>102</v>
      </c>
    </row>
    <row r="24" spans="1:61" x14ac:dyDescent="0.25">
      <c r="A24">
        <v>14</v>
      </c>
      <c r="B24" s="6" t="s">
        <v>214</v>
      </c>
      <c r="C24" s="6"/>
      <c r="D24" s="6" t="s">
        <v>512</v>
      </c>
      <c r="E24" s="6" t="s">
        <v>69</v>
      </c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6"/>
      <c r="AF24" s="6"/>
      <c r="AG24" s="6"/>
      <c r="AH24" s="6"/>
      <c r="AI24" s="6"/>
      <c r="AJ24" s="10"/>
      <c r="AK24" s="10"/>
      <c r="AL24" s="10"/>
      <c r="AM24" s="10"/>
      <c r="AN24" s="10"/>
      <c r="AO24" s="10"/>
      <c r="AP24" s="10"/>
      <c r="AQ24" s="10"/>
      <c r="AR24" s="10"/>
      <c r="AS24" s="6"/>
      <c r="AT24" s="6"/>
      <c r="AU24" s="10"/>
      <c r="AV24" s="10"/>
      <c r="AW24" s="10"/>
      <c r="AX24" s="10"/>
      <c r="AY24" s="10"/>
      <c r="AZ24" s="10"/>
      <c r="BA24" s="6"/>
      <c r="BB24" s="6">
        <v>20</v>
      </c>
      <c r="BC24" s="10">
        <v>2.4</v>
      </c>
      <c r="BD24" s="10">
        <v>40</v>
      </c>
      <c r="BE24" s="10">
        <v>7.5</v>
      </c>
      <c r="BF24" s="10">
        <v>5</v>
      </c>
      <c r="BG24" s="10">
        <v>2.4</v>
      </c>
      <c r="BH24" s="10"/>
      <c r="BI24" s="6">
        <f t="shared" si="0"/>
        <v>77.300000000000011</v>
      </c>
    </row>
    <row r="25" spans="1:61" x14ac:dyDescent="0.25">
      <c r="A25">
        <v>15</v>
      </c>
      <c r="B25" s="6" t="s">
        <v>612</v>
      </c>
      <c r="C25" s="6"/>
      <c r="D25" s="6" t="s">
        <v>166</v>
      </c>
      <c r="E25" s="6" t="s">
        <v>13</v>
      </c>
      <c r="F25" s="6"/>
      <c r="G25" s="6"/>
      <c r="H25" s="6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6"/>
      <c r="AF25" s="6"/>
      <c r="AG25" s="6"/>
      <c r="AH25" s="6"/>
      <c r="AI25" s="6"/>
      <c r="AJ25" s="10"/>
      <c r="AK25" s="10"/>
      <c r="AL25" s="10"/>
      <c r="AM25" s="10"/>
      <c r="AN25" s="10"/>
      <c r="AO25" s="10"/>
      <c r="AP25" s="10"/>
      <c r="AQ25" s="10"/>
      <c r="AR25" s="10"/>
      <c r="AS25" s="6"/>
      <c r="AT25" s="6"/>
      <c r="AU25" s="10"/>
      <c r="AV25" s="10"/>
      <c r="AW25" s="10"/>
      <c r="AX25" s="10"/>
      <c r="AY25" s="10"/>
      <c r="AZ25" s="10"/>
      <c r="BA25" s="6"/>
      <c r="BB25" s="6">
        <f>21.75/2</f>
        <v>10.875</v>
      </c>
      <c r="BC25" s="10">
        <v>36</v>
      </c>
      <c r="BD25" s="10">
        <v>4</v>
      </c>
      <c r="BE25" s="10">
        <v>7.5</v>
      </c>
      <c r="BF25" s="10"/>
      <c r="BG25" s="10"/>
      <c r="BH25" s="10"/>
      <c r="BI25" s="6">
        <f t="shared" si="0"/>
        <v>58.375</v>
      </c>
    </row>
    <row r="26" spans="1:61" x14ac:dyDescent="0.25">
      <c r="A26">
        <v>16</v>
      </c>
      <c r="B26" s="16" t="s">
        <v>205</v>
      </c>
      <c r="C26" s="6"/>
      <c r="D26" s="6" t="s">
        <v>399</v>
      </c>
      <c r="E26" s="6" t="s">
        <v>133</v>
      </c>
      <c r="F26" s="6"/>
      <c r="G26" s="6"/>
      <c r="H26" s="6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6"/>
      <c r="AF26" s="6"/>
      <c r="AG26" s="6"/>
      <c r="AH26" s="6"/>
      <c r="AI26" s="6"/>
      <c r="AJ26" s="10"/>
      <c r="AK26" s="10"/>
      <c r="AL26" s="10"/>
      <c r="AM26" s="10"/>
      <c r="AN26" s="10"/>
      <c r="AO26" s="10"/>
      <c r="AP26" s="10"/>
      <c r="AQ26" s="10"/>
      <c r="AR26" s="10"/>
      <c r="AS26" s="6"/>
      <c r="AT26" s="6"/>
      <c r="AU26" s="10"/>
      <c r="AV26" s="10"/>
      <c r="AW26" s="10"/>
      <c r="AX26" s="10"/>
      <c r="AY26" s="10"/>
      <c r="AZ26" s="10"/>
      <c r="BA26" s="6"/>
      <c r="BB26" s="6"/>
      <c r="BC26" s="10"/>
      <c r="BD26" s="10">
        <v>56</v>
      </c>
      <c r="BE26" s="10"/>
      <c r="BF26" s="10"/>
      <c r="BG26" s="10"/>
      <c r="BH26" s="10"/>
      <c r="BI26" s="6">
        <f t="shared" si="0"/>
        <v>56</v>
      </c>
    </row>
    <row r="27" spans="1:61" x14ac:dyDescent="0.25">
      <c r="A27">
        <v>17</v>
      </c>
      <c r="B27" s="6" t="s">
        <v>62</v>
      </c>
      <c r="C27" s="6"/>
      <c r="D27" s="6" t="s">
        <v>511</v>
      </c>
      <c r="E27" s="6" t="s">
        <v>91</v>
      </c>
      <c r="F27" s="6"/>
      <c r="G27" s="6"/>
      <c r="H27" s="6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6"/>
      <c r="AF27" s="6"/>
      <c r="AG27" s="6"/>
      <c r="AH27" s="6"/>
      <c r="AI27" s="6"/>
      <c r="AJ27" s="10"/>
      <c r="AK27" s="10"/>
      <c r="AL27" s="10"/>
      <c r="AM27" s="10"/>
      <c r="AN27" s="10"/>
      <c r="AO27" s="10"/>
      <c r="AP27" s="10"/>
      <c r="AQ27" s="10"/>
      <c r="AR27" s="10"/>
      <c r="AS27" s="6"/>
      <c r="AT27" s="6"/>
      <c r="AU27" s="10"/>
      <c r="AV27" s="10"/>
      <c r="AW27" s="10"/>
      <c r="AX27" s="10"/>
      <c r="AY27" s="10"/>
      <c r="AZ27" s="10"/>
      <c r="BA27" s="6"/>
      <c r="BB27" s="6"/>
      <c r="BC27" s="10">
        <v>48</v>
      </c>
      <c r="BD27" s="10"/>
      <c r="BE27" s="10"/>
      <c r="BF27" s="10"/>
      <c r="BG27" s="10"/>
      <c r="BH27" s="10"/>
      <c r="BI27" s="6">
        <f t="shared" si="0"/>
        <v>48</v>
      </c>
    </row>
    <row r="28" spans="1:61" x14ac:dyDescent="0.25">
      <c r="A28">
        <v>18</v>
      </c>
      <c r="B28" s="6" t="s">
        <v>446</v>
      </c>
      <c r="C28" s="6"/>
      <c r="D28" s="6" t="s">
        <v>524</v>
      </c>
      <c r="E28" s="6" t="s">
        <v>63</v>
      </c>
      <c r="F28" s="6"/>
      <c r="G28" s="6"/>
      <c r="H28" s="6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6"/>
      <c r="AF28" s="6"/>
      <c r="AG28" s="6"/>
      <c r="AH28" s="6"/>
      <c r="AI28" s="6"/>
      <c r="AJ28" s="10"/>
      <c r="AK28" s="10"/>
      <c r="AL28" s="10"/>
      <c r="AM28" s="10"/>
      <c r="AN28" s="10"/>
      <c r="AO28" s="10"/>
      <c r="AP28" s="10"/>
      <c r="AQ28" s="10"/>
      <c r="AR28" s="10"/>
      <c r="AS28" s="6"/>
      <c r="AT28" s="6"/>
      <c r="AU28" s="10"/>
      <c r="AV28" s="10"/>
      <c r="AW28" s="10"/>
      <c r="AX28" s="10"/>
      <c r="AY28" s="10"/>
      <c r="AZ28" s="10"/>
      <c r="BA28" s="6"/>
      <c r="BB28" s="6"/>
      <c r="BC28" s="10">
        <v>48</v>
      </c>
      <c r="BD28" s="10"/>
      <c r="BE28" s="10"/>
      <c r="BF28" s="10"/>
      <c r="BG28" s="10"/>
      <c r="BH28" s="10"/>
      <c r="BI28" s="6">
        <f t="shared" si="0"/>
        <v>48</v>
      </c>
    </row>
    <row r="29" spans="1:61" x14ac:dyDescent="0.25">
      <c r="A29">
        <v>19</v>
      </c>
      <c r="B29" s="6" t="s">
        <v>566</v>
      </c>
      <c r="C29" s="6"/>
      <c r="D29" s="6" t="s">
        <v>15</v>
      </c>
      <c r="E29" s="6" t="s">
        <v>149</v>
      </c>
      <c r="F29" s="6"/>
      <c r="G29" s="6"/>
      <c r="H29" s="6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6"/>
      <c r="AF29" s="6"/>
      <c r="AG29" s="6"/>
      <c r="AH29" s="6"/>
      <c r="AI29" s="6"/>
      <c r="AJ29" s="10"/>
      <c r="AK29" s="10"/>
      <c r="AL29" s="10"/>
      <c r="AM29" s="10"/>
      <c r="AN29" s="10"/>
      <c r="AO29" s="10"/>
      <c r="AP29" s="10"/>
      <c r="AQ29" s="10"/>
      <c r="AR29" s="10"/>
      <c r="AS29" s="6"/>
      <c r="AT29" s="6"/>
      <c r="AU29" s="10"/>
      <c r="AV29" s="10"/>
      <c r="AW29" s="10"/>
      <c r="AX29" s="10"/>
      <c r="AY29" s="10"/>
      <c r="AZ29" s="10"/>
      <c r="BA29" s="6"/>
      <c r="BB29" s="6"/>
      <c r="BC29" s="10">
        <v>33.6</v>
      </c>
      <c r="BD29" s="10"/>
      <c r="BE29" s="10">
        <v>2.4</v>
      </c>
      <c r="BF29" s="10"/>
      <c r="BG29" s="10"/>
      <c r="BH29" s="10"/>
      <c r="BI29" s="6">
        <f t="shared" si="0"/>
        <v>36</v>
      </c>
    </row>
    <row r="30" spans="1:61" x14ac:dyDescent="0.25">
      <c r="A30">
        <v>20</v>
      </c>
      <c r="B30" s="6" t="s">
        <v>27</v>
      </c>
      <c r="C30" s="6"/>
      <c r="D30" s="6" t="s">
        <v>242</v>
      </c>
      <c r="E30" s="6" t="s">
        <v>63</v>
      </c>
      <c r="F30" s="6"/>
      <c r="G30" s="6"/>
      <c r="H30" s="6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6"/>
      <c r="AF30" s="6"/>
      <c r="AG30" s="6"/>
      <c r="AH30" s="6"/>
      <c r="AI30" s="6"/>
      <c r="AJ30" s="10"/>
      <c r="AK30" s="10"/>
      <c r="AL30" s="10"/>
      <c r="AM30" s="10"/>
      <c r="AN30" s="10"/>
      <c r="AO30" s="10"/>
      <c r="AP30" s="10"/>
      <c r="AQ30" s="10"/>
      <c r="AR30" s="10"/>
      <c r="AS30" s="6"/>
      <c r="AT30" s="6"/>
      <c r="AU30" s="10"/>
      <c r="AV30" s="10"/>
      <c r="AW30" s="10"/>
      <c r="AX30" s="10"/>
      <c r="AY30" s="10"/>
      <c r="AZ30" s="10"/>
      <c r="BA30" s="6"/>
      <c r="BB30" s="6"/>
      <c r="BC30" s="10">
        <v>24</v>
      </c>
      <c r="BD30" s="10"/>
      <c r="BE30" s="10"/>
      <c r="BF30" s="10"/>
      <c r="BG30" s="10"/>
      <c r="BH30" s="10"/>
      <c r="BI30" s="6">
        <f t="shared" si="0"/>
        <v>24</v>
      </c>
    </row>
    <row r="31" spans="1:61" x14ac:dyDescent="0.25">
      <c r="A31">
        <v>21</v>
      </c>
      <c r="B31" s="6" t="s">
        <v>341</v>
      </c>
      <c r="C31" s="6"/>
      <c r="D31" s="6" t="s">
        <v>342</v>
      </c>
      <c r="E31" s="6" t="s">
        <v>311</v>
      </c>
      <c r="F31" s="6"/>
      <c r="G31" s="6"/>
      <c r="H31" s="6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6"/>
      <c r="AF31" s="6"/>
      <c r="AG31" s="6"/>
      <c r="AH31" s="6"/>
      <c r="AI31" s="6"/>
      <c r="AJ31" s="10"/>
      <c r="AK31" s="10"/>
      <c r="AL31" s="10"/>
      <c r="AM31" s="10"/>
      <c r="AN31" s="10"/>
      <c r="AO31" s="10"/>
      <c r="AP31" s="10"/>
      <c r="AQ31" s="10"/>
      <c r="AR31" s="10"/>
      <c r="AS31" s="6"/>
      <c r="AT31" s="6"/>
      <c r="AU31" s="10">
        <v>36</v>
      </c>
      <c r="AV31" s="10"/>
      <c r="AW31" s="10"/>
      <c r="AX31" s="10"/>
      <c r="AY31" s="10"/>
      <c r="AZ31" s="10"/>
      <c r="BA31" s="6">
        <f>SUM(AT31:AZ31)</f>
        <v>36</v>
      </c>
      <c r="BB31" s="6">
        <f>(BA31-AT31)/2</f>
        <v>18</v>
      </c>
      <c r="BC31" s="10"/>
      <c r="BD31" s="10"/>
      <c r="BE31" s="10"/>
      <c r="BF31" s="10"/>
      <c r="BG31" s="10"/>
      <c r="BH31" s="10"/>
      <c r="BI31" s="6">
        <f t="shared" si="0"/>
        <v>18</v>
      </c>
    </row>
    <row r="32" spans="1:61" x14ac:dyDescent="0.25">
      <c r="A32">
        <v>22</v>
      </c>
      <c r="B32" s="6" t="s">
        <v>456</v>
      </c>
      <c r="C32" s="6"/>
      <c r="D32" s="6" t="s">
        <v>17</v>
      </c>
      <c r="E32" s="6" t="s">
        <v>98</v>
      </c>
      <c r="F32" s="6"/>
      <c r="G32" s="6"/>
      <c r="H32" s="6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6"/>
      <c r="AF32" s="6"/>
      <c r="AG32" s="6"/>
      <c r="AH32" s="6"/>
      <c r="AI32" s="6"/>
      <c r="AJ32" s="10"/>
      <c r="AK32" s="10"/>
      <c r="AL32" s="10"/>
      <c r="AM32" s="10"/>
      <c r="AN32" s="10"/>
      <c r="AO32" s="10"/>
      <c r="AP32" s="10"/>
      <c r="AQ32" s="10"/>
      <c r="AR32" s="10"/>
      <c r="AS32" s="6"/>
      <c r="AT32" s="6"/>
      <c r="AU32" s="10">
        <v>36</v>
      </c>
      <c r="AV32" s="10"/>
      <c r="AW32" s="10"/>
      <c r="AX32" s="10"/>
      <c r="AY32" s="10"/>
      <c r="AZ32" s="10"/>
      <c r="BA32" s="6">
        <f>SUM(AT32:AZ32)</f>
        <v>36</v>
      </c>
      <c r="BB32" s="6">
        <f>(BA32-AT32)/2</f>
        <v>18</v>
      </c>
      <c r="BC32" s="10"/>
      <c r="BD32" s="10"/>
      <c r="BE32" s="10"/>
      <c r="BF32" s="10"/>
      <c r="BG32" s="10"/>
      <c r="BH32" s="10"/>
      <c r="BI32" s="6">
        <f t="shared" si="0"/>
        <v>18</v>
      </c>
    </row>
    <row r="33" spans="1:61" x14ac:dyDescent="0.25">
      <c r="A33">
        <v>23</v>
      </c>
      <c r="B33" s="6" t="s">
        <v>527</v>
      </c>
      <c r="C33" s="6"/>
      <c r="D33" s="6" t="s">
        <v>528</v>
      </c>
      <c r="E33" s="6" t="s">
        <v>529</v>
      </c>
      <c r="F33" s="6"/>
      <c r="G33" s="6"/>
      <c r="H33" s="6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6"/>
      <c r="AF33" s="6"/>
      <c r="AG33" s="6"/>
      <c r="AH33" s="6"/>
      <c r="AI33" s="6"/>
      <c r="AJ33" s="10"/>
      <c r="AK33" s="10"/>
      <c r="AL33" s="10"/>
      <c r="AM33" s="10"/>
      <c r="AN33" s="10"/>
      <c r="AO33" s="10"/>
      <c r="AP33" s="10"/>
      <c r="AQ33" s="10"/>
      <c r="AR33" s="10"/>
      <c r="AS33" s="6"/>
      <c r="AT33" s="6"/>
      <c r="AU33" s="10"/>
      <c r="AV33" s="10"/>
      <c r="AW33" s="10"/>
      <c r="AX33" s="10"/>
      <c r="AY33" s="10"/>
      <c r="AZ33" s="10"/>
      <c r="BA33" s="6"/>
      <c r="BB33" s="6"/>
      <c r="BC33" s="10">
        <v>2.4</v>
      </c>
      <c r="BD33" s="10"/>
      <c r="BE33" s="10">
        <v>7.5</v>
      </c>
      <c r="BF33" s="10"/>
      <c r="BG33" s="10"/>
      <c r="BH33" s="10"/>
      <c r="BI33" s="6">
        <f t="shared" si="0"/>
        <v>9.9</v>
      </c>
    </row>
    <row r="34" spans="1:61" x14ac:dyDescent="0.25">
      <c r="A34">
        <v>24</v>
      </c>
      <c r="B34" s="6" t="s">
        <v>644</v>
      </c>
      <c r="C34" s="6"/>
      <c r="D34" s="6" t="s">
        <v>645</v>
      </c>
      <c r="E34" s="6" t="s">
        <v>316</v>
      </c>
      <c r="BA34" s="6"/>
      <c r="BB34" s="6"/>
      <c r="BC34" s="10"/>
      <c r="BD34" s="10"/>
      <c r="BE34" s="10">
        <v>5</v>
      </c>
      <c r="BF34" s="10"/>
      <c r="BG34" s="10"/>
      <c r="BH34" s="10"/>
      <c r="BI34" s="6">
        <f t="shared" si="0"/>
        <v>5</v>
      </c>
    </row>
    <row r="35" spans="1:61" x14ac:dyDescent="0.25">
      <c r="A35">
        <v>25</v>
      </c>
      <c r="B35" s="6" t="s">
        <v>634</v>
      </c>
      <c r="C35" s="6"/>
      <c r="D35" s="6" t="s">
        <v>57</v>
      </c>
      <c r="E35" s="6" t="s">
        <v>35</v>
      </c>
      <c r="BA35" s="6"/>
      <c r="BB35" s="6"/>
      <c r="BC35" s="10"/>
      <c r="BD35" s="10">
        <v>4</v>
      </c>
      <c r="BE35" s="10"/>
      <c r="BF35" s="10"/>
      <c r="BG35" s="10"/>
      <c r="BH35" s="10"/>
      <c r="BI35" s="6">
        <f t="shared" si="0"/>
        <v>4</v>
      </c>
    </row>
  </sheetData>
  <sortState xmlns:xlrd2="http://schemas.microsoft.com/office/spreadsheetml/2017/richdata2" ref="B11:BI35">
    <sortCondition descending="1" ref="BI11:BI35"/>
  </sortState>
  <mergeCells count="5">
    <mergeCell ref="B8:C10"/>
    <mergeCell ref="AW9:AZ9"/>
    <mergeCell ref="BE9:BH9"/>
    <mergeCell ref="D4:BI5"/>
    <mergeCell ref="B1:BI1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C44"/>
  <sheetViews>
    <sheetView zoomScale="80" zoomScaleNormal="80" workbookViewId="0">
      <selection activeCell="CH26" sqref="CH26"/>
    </sheetView>
  </sheetViews>
  <sheetFormatPr baseColWidth="10" defaultRowHeight="15" x14ac:dyDescent="0.25"/>
  <cols>
    <col min="1" max="1" width="3.140625" bestFit="1" customWidth="1"/>
    <col min="2" max="2" width="13.42578125" bestFit="1" customWidth="1"/>
    <col min="3" max="3" width="11.42578125" bestFit="1" customWidth="1"/>
    <col min="4" max="4" width="14.28515625" bestFit="1" customWidth="1"/>
    <col min="5" max="5" width="19.28515625" bestFit="1" customWidth="1"/>
    <col min="6" max="7" width="6.42578125" hidden="1" customWidth="1"/>
    <col min="8" max="9" width="7.28515625" hidden="1" customWidth="1"/>
    <col min="10" max="12" width="6.28515625" hidden="1" customWidth="1"/>
    <col min="13" max="14" width="6.7109375" hidden="1" customWidth="1"/>
    <col min="15" max="15" width="7.28515625" style="7" hidden="1" customWidth="1"/>
    <col min="16" max="17" width="7.28515625" hidden="1" customWidth="1"/>
    <col min="18" max="19" width="6.42578125" hidden="1" customWidth="1"/>
    <col min="20" max="21" width="6.7109375" hidden="1" customWidth="1"/>
    <col min="22" max="22" width="0" hidden="1" customWidth="1"/>
    <col min="23" max="23" width="0" style="7" hidden="1" customWidth="1"/>
    <col min="24" max="24" width="5.5703125" style="7" hidden="1" customWidth="1"/>
    <col min="25" max="40" width="5.5703125" hidden="1" customWidth="1"/>
    <col min="41" max="41" width="5.85546875" hidden="1" customWidth="1"/>
    <col min="42" max="42" width="6.85546875" hidden="1" customWidth="1"/>
    <col min="43" max="50" width="5.5703125" hidden="1" customWidth="1"/>
    <col min="51" max="63" width="5.5703125" style="7" hidden="1" customWidth="1"/>
    <col min="64" max="64" width="6.85546875" style="7" hidden="1" customWidth="1"/>
    <col min="65" max="65" width="6.7109375" hidden="1" customWidth="1"/>
    <col min="66" max="66" width="7.7109375" hidden="1" customWidth="1"/>
    <col min="67" max="67" width="6.7109375" style="7" hidden="1" customWidth="1"/>
    <col min="68" max="68" width="7.5703125" style="7" hidden="1" customWidth="1"/>
    <col min="69" max="69" width="6.7109375" style="7" hidden="1" customWidth="1"/>
    <col min="70" max="70" width="8.28515625" style="7" hidden="1" customWidth="1"/>
    <col min="71" max="71" width="8.140625" style="7" hidden="1" customWidth="1"/>
    <col min="72" max="72" width="6.28515625" style="7" hidden="1" customWidth="1"/>
    <col min="75" max="75" width="6.140625" style="7" customWidth="1"/>
    <col min="76" max="76" width="7.140625" style="7" customWidth="1"/>
    <col min="77" max="77" width="8.5703125" style="7" customWidth="1"/>
    <col min="78" max="80" width="11.42578125" style="7"/>
  </cols>
  <sheetData>
    <row r="1" spans="1:81" ht="26.25" x14ac:dyDescent="0.4">
      <c r="B1" s="34" t="s">
        <v>3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</row>
    <row r="2" spans="1:81" ht="15.75" thickBot="1" x14ac:dyDescent="0.3">
      <c r="C2" s="7"/>
      <c r="D2" s="7"/>
      <c r="E2" s="7"/>
    </row>
    <row r="3" spans="1:81" ht="15.75" thickTop="1" x14ac:dyDescent="0.25">
      <c r="B3" s="1" t="s">
        <v>0</v>
      </c>
      <c r="C3" s="4" t="s">
        <v>14</v>
      </c>
    </row>
    <row r="4" spans="1:81" ht="14.65" customHeight="1" x14ac:dyDescent="0.25">
      <c r="B4" s="2" t="s">
        <v>1</v>
      </c>
      <c r="C4" s="5" t="s">
        <v>12</v>
      </c>
      <c r="D4" s="32" t="s">
        <v>492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</row>
    <row r="5" spans="1:81" ht="15" customHeight="1" thickBot="1" x14ac:dyDescent="0.3">
      <c r="B5" s="3" t="s">
        <v>2</v>
      </c>
      <c r="C5" s="15">
        <v>-50</v>
      </c>
      <c r="D5" s="32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</row>
    <row r="6" spans="1:81" ht="15.75" thickTop="1" x14ac:dyDescent="0.25"/>
    <row r="7" spans="1:81" ht="15.75" thickBot="1" x14ac:dyDescent="0.3"/>
    <row r="8" spans="1:81" ht="15.75" thickTop="1" x14ac:dyDescent="0.25">
      <c r="B8" s="25" t="s">
        <v>9</v>
      </c>
      <c r="C8" s="26"/>
      <c r="D8" s="1"/>
      <c r="E8" s="1"/>
      <c r="F8" s="4" t="s">
        <v>10</v>
      </c>
      <c r="G8" s="4" t="s">
        <v>53</v>
      </c>
      <c r="H8" s="4" t="s">
        <v>66</v>
      </c>
      <c r="I8" s="4" t="s">
        <v>10</v>
      </c>
      <c r="J8" s="4" t="s">
        <v>85</v>
      </c>
      <c r="K8" s="4" t="s">
        <v>92</v>
      </c>
      <c r="L8" s="4" t="s">
        <v>97</v>
      </c>
      <c r="M8" s="4" t="s">
        <v>10</v>
      </c>
      <c r="N8" s="4" t="s">
        <v>10</v>
      </c>
      <c r="O8" s="4" t="s">
        <v>10</v>
      </c>
      <c r="P8" s="4" t="s">
        <v>10</v>
      </c>
      <c r="Q8" s="4" t="s">
        <v>107</v>
      </c>
      <c r="R8" s="4" t="s">
        <v>10</v>
      </c>
      <c r="S8" s="4" t="s">
        <v>10</v>
      </c>
      <c r="T8" s="4" t="s">
        <v>112</v>
      </c>
      <c r="U8" s="4" t="s">
        <v>115</v>
      </c>
      <c r="V8" s="1"/>
      <c r="W8" s="12">
        <v>44927</v>
      </c>
      <c r="X8" s="12" t="s">
        <v>10</v>
      </c>
      <c r="Y8" s="4" t="s">
        <v>10</v>
      </c>
      <c r="Z8" s="4" t="s">
        <v>115</v>
      </c>
      <c r="AA8" s="4" t="s">
        <v>10</v>
      </c>
      <c r="AB8" s="4" t="s">
        <v>10</v>
      </c>
      <c r="AC8" s="4" t="s">
        <v>151</v>
      </c>
      <c r="AD8" s="4" t="s">
        <v>151</v>
      </c>
      <c r="AE8" s="4" t="s">
        <v>114</v>
      </c>
      <c r="AF8" s="4" t="s">
        <v>10</v>
      </c>
      <c r="AG8" s="4" t="s">
        <v>115</v>
      </c>
      <c r="AH8" s="4" t="s">
        <v>10</v>
      </c>
      <c r="AI8" s="4" t="s">
        <v>10</v>
      </c>
      <c r="AJ8" s="4" t="s">
        <v>10</v>
      </c>
      <c r="AK8" s="4" t="s">
        <v>115</v>
      </c>
      <c r="AL8" s="4" t="s">
        <v>10</v>
      </c>
      <c r="AM8" s="4" t="s">
        <v>10</v>
      </c>
      <c r="AN8" s="4" t="s">
        <v>116</v>
      </c>
      <c r="AO8" s="4" t="s">
        <v>6</v>
      </c>
      <c r="AP8" s="12">
        <v>45292</v>
      </c>
      <c r="AQ8" s="12" t="s">
        <v>10</v>
      </c>
      <c r="AR8" s="12" t="s">
        <v>10</v>
      </c>
      <c r="AS8" s="12" t="s">
        <v>10</v>
      </c>
      <c r="AT8" s="12" t="s">
        <v>10</v>
      </c>
      <c r="AU8" s="12" t="s">
        <v>10</v>
      </c>
      <c r="AV8" s="12" t="s">
        <v>10</v>
      </c>
      <c r="AW8" s="12" t="s">
        <v>10</v>
      </c>
      <c r="AX8" s="12" t="s">
        <v>115</v>
      </c>
      <c r="AY8" s="12" t="s">
        <v>115</v>
      </c>
      <c r="AZ8" s="12" t="s">
        <v>151</v>
      </c>
      <c r="BA8" s="12" t="s">
        <v>151</v>
      </c>
      <c r="BB8" s="12" t="s">
        <v>151</v>
      </c>
      <c r="BC8" s="12" t="s">
        <v>115</v>
      </c>
      <c r="BD8" s="12" t="s">
        <v>10</v>
      </c>
      <c r="BE8" s="12" t="s">
        <v>10</v>
      </c>
      <c r="BF8" s="12" t="s">
        <v>10</v>
      </c>
      <c r="BG8" s="12" t="s">
        <v>10</v>
      </c>
      <c r="BH8" s="12" t="s">
        <v>10</v>
      </c>
      <c r="BI8" s="12" t="s">
        <v>10</v>
      </c>
      <c r="BJ8" s="12" t="s">
        <v>115</v>
      </c>
      <c r="BK8" s="12" t="s">
        <v>114</v>
      </c>
      <c r="BL8" s="12" t="s">
        <v>116</v>
      </c>
      <c r="BM8" s="12" t="s">
        <v>6</v>
      </c>
      <c r="BN8" s="12">
        <v>45658</v>
      </c>
      <c r="BO8" s="12"/>
      <c r="BP8" s="12"/>
      <c r="BQ8" s="17"/>
      <c r="BR8" s="18"/>
      <c r="BS8" s="18"/>
      <c r="BT8" s="19"/>
      <c r="BU8" s="12" t="s">
        <v>6</v>
      </c>
      <c r="BV8" s="12">
        <v>46023</v>
      </c>
      <c r="BW8" s="12"/>
      <c r="BX8" s="12"/>
      <c r="BY8" s="17"/>
      <c r="BZ8" s="18"/>
      <c r="CA8" s="18"/>
      <c r="CB8" s="19"/>
      <c r="CC8" s="12" t="s">
        <v>6</v>
      </c>
    </row>
    <row r="9" spans="1:81" x14ac:dyDescent="0.25">
      <c r="B9" s="27"/>
      <c r="C9" s="28"/>
      <c r="D9" s="2"/>
      <c r="E9" s="2"/>
      <c r="F9" s="8" t="s">
        <v>32</v>
      </c>
      <c r="G9" s="8" t="s">
        <v>54</v>
      </c>
      <c r="H9" s="8" t="s">
        <v>67</v>
      </c>
      <c r="I9" s="8" t="s">
        <v>73</v>
      </c>
      <c r="J9" s="8" t="s">
        <v>83</v>
      </c>
      <c r="K9" s="8" t="s">
        <v>93</v>
      </c>
      <c r="L9" s="8" t="s">
        <v>54</v>
      </c>
      <c r="M9" s="8" t="s">
        <v>32</v>
      </c>
      <c r="N9" s="8" t="s">
        <v>19</v>
      </c>
      <c r="O9" s="8" t="s">
        <v>76</v>
      </c>
      <c r="P9" s="8" t="s">
        <v>102</v>
      </c>
      <c r="Q9" s="8" t="s">
        <v>108</v>
      </c>
      <c r="R9" s="8" t="s">
        <v>73</v>
      </c>
      <c r="S9" s="8" t="s">
        <v>102</v>
      </c>
      <c r="T9" s="8" t="s">
        <v>113</v>
      </c>
      <c r="U9" s="8" t="s">
        <v>116</v>
      </c>
      <c r="V9" s="2" t="s">
        <v>6</v>
      </c>
      <c r="W9" s="5"/>
      <c r="X9" s="5" t="s">
        <v>32</v>
      </c>
      <c r="Y9" s="8" t="s">
        <v>11</v>
      </c>
      <c r="Z9" s="8" t="s">
        <v>85</v>
      </c>
      <c r="AA9" s="8" t="s">
        <v>81</v>
      </c>
      <c r="AB9" s="8" t="s">
        <v>102</v>
      </c>
      <c r="AC9" s="8" t="s">
        <v>86</v>
      </c>
      <c r="AD9" s="8" t="s">
        <v>92</v>
      </c>
      <c r="AE9" s="8" t="s">
        <v>159</v>
      </c>
      <c r="AF9" s="8" t="s">
        <v>76</v>
      </c>
      <c r="AG9" s="8" t="s">
        <v>86</v>
      </c>
      <c r="AH9" s="8" t="s">
        <v>32</v>
      </c>
      <c r="AI9" s="8" t="s">
        <v>81</v>
      </c>
      <c r="AJ9" s="8" t="s">
        <v>102</v>
      </c>
      <c r="AK9" s="8" t="s">
        <v>92</v>
      </c>
      <c r="AL9" s="8" t="s">
        <v>76</v>
      </c>
      <c r="AM9" s="8" t="s">
        <v>188</v>
      </c>
      <c r="AN9" s="8"/>
      <c r="AO9" s="2"/>
      <c r="AP9" s="5"/>
      <c r="AQ9" s="5" t="s">
        <v>99</v>
      </c>
      <c r="AR9" s="5" t="s">
        <v>76</v>
      </c>
      <c r="AS9" s="5" t="s">
        <v>195</v>
      </c>
      <c r="AT9" s="5" t="s">
        <v>192</v>
      </c>
      <c r="AU9" s="5" t="s">
        <v>19</v>
      </c>
      <c r="AV9" s="5" t="s">
        <v>32</v>
      </c>
      <c r="AW9" s="5" t="s">
        <v>43</v>
      </c>
      <c r="AX9" s="5" t="s">
        <v>86</v>
      </c>
      <c r="AY9" s="5" t="s">
        <v>267</v>
      </c>
      <c r="AZ9" s="5" t="s">
        <v>86</v>
      </c>
      <c r="BA9" s="5" t="s">
        <v>85</v>
      </c>
      <c r="BB9" s="5" t="s">
        <v>92</v>
      </c>
      <c r="BC9" s="5" t="s">
        <v>85</v>
      </c>
      <c r="BD9" s="5" t="s">
        <v>19</v>
      </c>
      <c r="BE9" s="5" t="s">
        <v>195</v>
      </c>
      <c r="BF9" s="5" t="s">
        <v>32</v>
      </c>
      <c r="BG9" s="5" t="s">
        <v>192</v>
      </c>
      <c r="BH9" s="5" t="s">
        <v>43</v>
      </c>
      <c r="BI9" s="5" t="s">
        <v>76</v>
      </c>
      <c r="BJ9" s="5" t="s">
        <v>92</v>
      </c>
      <c r="BK9" s="5" t="s">
        <v>301</v>
      </c>
      <c r="BL9" s="5" t="s">
        <v>303</v>
      </c>
      <c r="BM9" s="5"/>
      <c r="BN9" s="5"/>
      <c r="BO9" s="8" t="s">
        <v>10</v>
      </c>
      <c r="BP9" s="8" t="s">
        <v>151</v>
      </c>
      <c r="BQ9" s="29" t="s">
        <v>305</v>
      </c>
      <c r="BR9" s="30"/>
      <c r="BS9" s="30"/>
      <c r="BT9" s="31"/>
      <c r="BU9" s="5"/>
      <c r="BV9" s="5"/>
      <c r="BW9" s="8" t="s">
        <v>10</v>
      </c>
      <c r="BX9" s="8" t="s">
        <v>151</v>
      </c>
      <c r="BY9" s="29" t="s">
        <v>305</v>
      </c>
      <c r="BZ9" s="30"/>
      <c r="CA9" s="30"/>
      <c r="CB9" s="31"/>
      <c r="CC9" s="5"/>
    </row>
    <row r="10" spans="1:81" x14ac:dyDescent="0.25">
      <c r="B10" s="27"/>
      <c r="C10" s="28"/>
      <c r="D10" s="2" t="s">
        <v>4</v>
      </c>
      <c r="E10" s="2" t="s">
        <v>5</v>
      </c>
      <c r="F10" s="9">
        <v>44653</v>
      </c>
      <c r="G10" s="9">
        <v>44681</v>
      </c>
      <c r="H10" s="9">
        <v>44696</v>
      </c>
      <c r="I10" s="9">
        <v>44709</v>
      </c>
      <c r="J10" s="9">
        <v>44730</v>
      </c>
      <c r="K10" s="9">
        <v>44737</v>
      </c>
      <c r="L10" s="9">
        <v>44759</v>
      </c>
      <c r="M10" s="9">
        <v>44779</v>
      </c>
      <c r="N10" s="9">
        <v>44793</v>
      </c>
      <c r="O10" s="9">
        <v>44814</v>
      </c>
      <c r="P10" s="9">
        <v>44814</v>
      </c>
      <c r="Q10" s="9">
        <v>44828</v>
      </c>
      <c r="R10" s="9">
        <v>44849</v>
      </c>
      <c r="S10" s="9">
        <v>44856</v>
      </c>
      <c r="T10" s="9">
        <v>44869</v>
      </c>
      <c r="U10" s="9">
        <v>44905</v>
      </c>
      <c r="V10" s="2">
        <v>2022</v>
      </c>
      <c r="W10" s="5"/>
      <c r="X10" s="5" t="s">
        <v>120</v>
      </c>
      <c r="Y10" s="14" t="s">
        <v>118</v>
      </c>
      <c r="Z10" s="2" t="s">
        <v>129</v>
      </c>
      <c r="AA10" s="2" t="s">
        <v>146</v>
      </c>
      <c r="AB10" s="2" t="s">
        <v>145</v>
      </c>
      <c r="AC10" s="2" t="s">
        <v>152</v>
      </c>
      <c r="AD10" s="2" t="s">
        <v>156</v>
      </c>
      <c r="AE10" s="2" t="s">
        <v>160</v>
      </c>
      <c r="AF10" s="2" t="s">
        <v>160</v>
      </c>
      <c r="AG10" s="2" t="s">
        <v>164</v>
      </c>
      <c r="AH10" s="2" t="s">
        <v>169</v>
      </c>
      <c r="AI10" s="2" t="s">
        <v>172</v>
      </c>
      <c r="AJ10" s="2" t="s">
        <v>172</v>
      </c>
      <c r="AK10" s="2" t="s">
        <v>181</v>
      </c>
      <c r="AL10" s="2" t="s">
        <v>187</v>
      </c>
      <c r="AM10" s="2" t="s">
        <v>189</v>
      </c>
      <c r="AN10" s="2" t="s">
        <v>194</v>
      </c>
      <c r="AO10" s="14">
        <v>2023</v>
      </c>
      <c r="AP10" s="13"/>
      <c r="AQ10" s="13" t="s">
        <v>196</v>
      </c>
      <c r="AR10" s="13" t="s">
        <v>196</v>
      </c>
      <c r="AS10" s="13" t="s">
        <v>196</v>
      </c>
      <c r="AT10" s="13" t="s">
        <v>196</v>
      </c>
      <c r="AU10" s="13" t="s">
        <v>233</v>
      </c>
      <c r="AV10" s="13" t="s">
        <v>246</v>
      </c>
      <c r="AW10" s="13" t="s">
        <v>246</v>
      </c>
      <c r="AX10" s="13" t="s">
        <v>264</v>
      </c>
      <c r="AY10" s="13" t="s">
        <v>268</v>
      </c>
      <c r="AZ10" s="13" t="s">
        <v>269</v>
      </c>
      <c r="BA10" s="13" t="s">
        <v>269</v>
      </c>
      <c r="BB10" s="13" t="s">
        <v>273</v>
      </c>
      <c r="BC10" s="13" t="s">
        <v>277</v>
      </c>
      <c r="BD10" s="13" t="s">
        <v>283</v>
      </c>
      <c r="BE10" s="13" t="s">
        <v>283</v>
      </c>
      <c r="BF10" s="13" t="s">
        <v>287</v>
      </c>
      <c r="BG10" s="13" t="s">
        <v>287</v>
      </c>
      <c r="BH10" s="13" t="s">
        <v>290</v>
      </c>
      <c r="BI10" s="13" t="s">
        <v>290</v>
      </c>
      <c r="BJ10" s="13" t="s">
        <v>296</v>
      </c>
      <c r="BK10" s="13" t="s">
        <v>302</v>
      </c>
      <c r="BL10" s="13" t="s">
        <v>304</v>
      </c>
      <c r="BM10" s="13">
        <v>2024</v>
      </c>
      <c r="BN10" s="5"/>
      <c r="BO10" s="5"/>
      <c r="BP10" s="5"/>
      <c r="BQ10" s="5">
        <v>1</v>
      </c>
      <c r="BR10" s="5">
        <v>2</v>
      </c>
      <c r="BS10" s="5">
        <v>3</v>
      </c>
      <c r="BT10" s="5">
        <v>4</v>
      </c>
      <c r="BU10" s="5">
        <v>2025</v>
      </c>
      <c r="BV10" s="5"/>
      <c r="BW10" s="5"/>
      <c r="BX10" s="5"/>
      <c r="BY10" s="5">
        <v>1</v>
      </c>
      <c r="BZ10" s="5">
        <v>2</v>
      </c>
      <c r="CA10" s="5">
        <v>3</v>
      </c>
      <c r="CB10" s="5">
        <v>4</v>
      </c>
      <c r="CC10" s="5">
        <v>2026</v>
      </c>
    </row>
    <row r="11" spans="1:81" x14ac:dyDescent="0.25">
      <c r="A11">
        <v>1</v>
      </c>
      <c r="B11" s="16" t="s">
        <v>519</v>
      </c>
      <c r="C11" s="6"/>
      <c r="D11" s="6" t="s">
        <v>520</v>
      </c>
      <c r="E11" s="6" t="s">
        <v>323</v>
      </c>
      <c r="F11" s="6"/>
      <c r="G11" s="6"/>
      <c r="H11" s="6"/>
      <c r="I11" s="6"/>
      <c r="J11" s="6"/>
      <c r="K11" s="6"/>
      <c r="L11" s="6"/>
      <c r="M11" s="6"/>
      <c r="N11" s="6"/>
      <c r="O11" s="10"/>
      <c r="P11" s="6"/>
      <c r="Q11" s="6"/>
      <c r="R11" s="6"/>
      <c r="S11" s="6"/>
      <c r="T11" s="6"/>
      <c r="U11" s="6"/>
      <c r="V11" s="6"/>
      <c r="W11" s="10"/>
      <c r="X11" s="10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6"/>
      <c r="BN11" s="6"/>
      <c r="BO11" s="10"/>
      <c r="BP11" s="10"/>
      <c r="BQ11" s="10"/>
      <c r="BR11" s="10"/>
      <c r="BS11" s="10"/>
      <c r="BT11" s="10"/>
      <c r="BU11" s="6"/>
      <c r="BV11" s="6">
        <v>142.75</v>
      </c>
      <c r="BW11" s="10">
        <v>60</v>
      </c>
      <c r="BX11" s="10">
        <v>80</v>
      </c>
      <c r="BY11" s="10">
        <v>75</v>
      </c>
      <c r="BZ11" s="10">
        <v>100</v>
      </c>
      <c r="CA11" s="10">
        <v>48</v>
      </c>
      <c r="CB11" s="10">
        <v>5</v>
      </c>
      <c r="CC11" s="6">
        <f t="shared" ref="CC11:CC44" si="0">SUM(BV11:CB11)</f>
        <v>510.75</v>
      </c>
    </row>
    <row r="12" spans="1:81" x14ac:dyDescent="0.25">
      <c r="A12">
        <v>2</v>
      </c>
      <c r="B12" s="6" t="s">
        <v>343</v>
      </c>
      <c r="C12" s="6"/>
      <c r="D12" s="6" t="s">
        <v>344</v>
      </c>
      <c r="E12" s="6" t="s">
        <v>23</v>
      </c>
      <c r="F12" s="6"/>
      <c r="G12" s="6"/>
      <c r="H12" s="6"/>
      <c r="I12" s="6"/>
      <c r="J12" s="6"/>
      <c r="K12" s="6"/>
      <c r="L12" s="6"/>
      <c r="M12" s="6"/>
      <c r="N12" s="6"/>
      <c r="O12" s="10"/>
      <c r="P12" s="6"/>
      <c r="Q12" s="6"/>
      <c r="R12" s="6"/>
      <c r="S12" s="6"/>
      <c r="T12" s="6"/>
      <c r="U12" s="6"/>
      <c r="V12" s="6"/>
      <c r="W12" s="10"/>
      <c r="X12" s="10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6"/>
      <c r="BN12" s="6">
        <v>134.5</v>
      </c>
      <c r="BO12" s="10">
        <v>36</v>
      </c>
      <c r="BP12" s="10">
        <v>56</v>
      </c>
      <c r="BQ12" s="10">
        <v>54</v>
      </c>
      <c r="BR12" s="10">
        <v>75</v>
      </c>
      <c r="BS12" s="10">
        <v>30</v>
      </c>
      <c r="BT12" s="10"/>
      <c r="BU12" s="6">
        <f>SUM(BN12:BT12)</f>
        <v>385.5</v>
      </c>
      <c r="BV12" s="6">
        <f>(BU12-BN12)/2</f>
        <v>125.5</v>
      </c>
      <c r="BW12" s="10">
        <v>48</v>
      </c>
      <c r="BX12" s="10">
        <v>56</v>
      </c>
      <c r="BY12" s="10">
        <v>150</v>
      </c>
      <c r="BZ12" s="10">
        <v>48</v>
      </c>
      <c r="CA12" s="10"/>
      <c r="CB12" s="10">
        <v>50</v>
      </c>
      <c r="CC12" s="6">
        <f t="shared" si="0"/>
        <v>477.5</v>
      </c>
    </row>
    <row r="13" spans="1:81" x14ac:dyDescent="0.25">
      <c r="A13">
        <v>3</v>
      </c>
      <c r="B13" s="6" t="s">
        <v>62</v>
      </c>
      <c r="C13" s="6"/>
      <c r="D13" s="6" t="s">
        <v>511</v>
      </c>
      <c r="E13" s="6" t="s">
        <v>91</v>
      </c>
      <c r="F13" s="6"/>
      <c r="G13" s="6"/>
      <c r="H13" s="6"/>
      <c r="I13" s="6"/>
      <c r="J13" s="6"/>
      <c r="K13" s="6"/>
      <c r="L13" s="6"/>
      <c r="M13" s="6"/>
      <c r="N13" s="6"/>
      <c r="O13" s="10"/>
      <c r="P13" s="6"/>
      <c r="Q13" s="6"/>
      <c r="R13" s="6"/>
      <c r="S13" s="6"/>
      <c r="T13" s="6"/>
      <c r="U13" s="6"/>
      <c r="V13" s="6"/>
      <c r="W13" s="10"/>
      <c r="X13" s="10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6"/>
      <c r="BN13" s="6"/>
      <c r="BO13" s="10"/>
      <c r="BP13" s="10"/>
      <c r="BQ13" s="10"/>
      <c r="BR13" s="10"/>
      <c r="BS13" s="10"/>
      <c r="BT13" s="10"/>
      <c r="BU13" s="6"/>
      <c r="BV13" s="6">
        <f>282.5/2</f>
        <v>141.25</v>
      </c>
      <c r="BW13" s="10">
        <v>36</v>
      </c>
      <c r="BX13" s="10">
        <v>64</v>
      </c>
      <c r="BY13" s="10">
        <v>75</v>
      </c>
      <c r="BZ13" s="10"/>
      <c r="CA13" s="10"/>
      <c r="CB13" s="10">
        <v>5</v>
      </c>
      <c r="CC13" s="6">
        <f t="shared" si="0"/>
        <v>321.25</v>
      </c>
    </row>
    <row r="14" spans="1:81" x14ac:dyDescent="0.25">
      <c r="A14">
        <v>4</v>
      </c>
      <c r="B14" s="16" t="s">
        <v>26</v>
      </c>
      <c r="C14" s="6"/>
      <c r="D14" s="6" t="s">
        <v>49</v>
      </c>
      <c r="E14" s="6" t="s">
        <v>117</v>
      </c>
      <c r="F14" s="6"/>
      <c r="G14" s="6"/>
      <c r="H14" s="6"/>
      <c r="I14" s="6"/>
      <c r="J14" s="6"/>
      <c r="K14" s="6"/>
      <c r="L14" s="6"/>
      <c r="M14" s="6"/>
      <c r="N14" s="6"/>
      <c r="O14" s="10"/>
      <c r="P14" s="6"/>
      <c r="Q14" s="6"/>
      <c r="R14" s="6"/>
      <c r="S14" s="6"/>
      <c r="T14" s="6"/>
      <c r="U14" s="6"/>
      <c r="V14" s="6"/>
      <c r="W14" s="10"/>
      <c r="X14" s="10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6">
        <v>219</v>
      </c>
      <c r="BN14" s="6">
        <f>BM14/2</f>
        <v>109.5</v>
      </c>
      <c r="BO14" s="10">
        <v>36</v>
      </c>
      <c r="BP14" s="10">
        <v>40</v>
      </c>
      <c r="BQ14" s="10">
        <v>7.5</v>
      </c>
      <c r="BR14" s="10">
        <v>10</v>
      </c>
      <c r="BS14" s="10">
        <v>36</v>
      </c>
      <c r="BT14" s="10">
        <v>75</v>
      </c>
      <c r="BU14" s="6">
        <f>SUM(BN14:BT14)</f>
        <v>314</v>
      </c>
      <c r="BV14" s="6">
        <f>(BU14-BN14)/2</f>
        <v>102.25</v>
      </c>
      <c r="BW14" s="10">
        <v>36</v>
      </c>
      <c r="BX14" s="10">
        <v>56</v>
      </c>
      <c r="BY14" s="10">
        <v>54</v>
      </c>
      <c r="BZ14" s="10">
        <v>36</v>
      </c>
      <c r="CA14" s="10"/>
      <c r="CB14" s="10">
        <v>5</v>
      </c>
      <c r="CC14" s="6">
        <f t="shared" si="0"/>
        <v>289.25</v>
      </c>
    </row>
    <row r="15" spans="1:81" x14ac:dyDescent="0.25">
      <c r="A15">
        <v>5</v>
      </c>
      <c r="B15" s="16" t="s">
        <v>415</v>
      </c>
      <c r="C15" s="6"/>
      <c r="D15" s="6" t="s">
        <v>416</v>
      </c>
      <c r="E15" s="6" t="s">
        <v>411</v>
      </c>
      <c r="F15" s="6"/>
      <c r="G15" s="6"/>
      <c r="H15" s="6"/>
      <c r="I15" s="6"/>
      <c r="J15" s="6"/>
      <c r="K15" s="6"/>
      <c r="L15" s="6"/>
      <c r="M15" s="6"/>
      <c r="N15" s="6"/>
      <c r="O15" s="10"/>
      <c r="P15" s="6"/>
      <c r="Q15" s="6"/>
      <c r="R15" s="6"/>
      <c r="S15" s="6"/>
      <c r="T15" s="6"/>
      <c r="U15" s="6"/>
      <c r="V15" s="6"/>
      <c r="W15" s="10"/>
      <c r="X15" s="10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6"/>
      <c r="BN15" s="6"/>
      <c r="BO15" s="10">
        <v>36</v>
      </c>
      <c r="BP15" s="10">
        <v>4</v>
      </c>
      <c r="BQ15" s="10">
        <v>7.5</v>
      </c>
      <c r="BR15" s="10"/>
      <c r="BS15" s="10"/>
      <c r="BT15" s="10"/>
      <c r="BU15" s="6">
        <f>SUM(BN15:BT15)</f>
        <v>47.5</v>
      </c>
      <c r="BV15" s="6">
        <f>(BU15-BN15)/2</f>
        <v>23.75</v>
      </c>
      <c r="BW15" s="10">
        <v>36</v>
      </c>
      <c r="BX15" s="10">
        <v>80</v>
      </c>
      <c r="BY15" s="10">
        <v>105</v>
      </c>
      <c r="BZ15" s="10"/>
      <c r="CA15" s="10"/>
      <c r="CB15" s="10"/>
      <c r="CC15" s="6">
        <f t="shared" si="0"/>
        <v>244.75</v>
      </c>
    </row>
    <row r="16" spans="1:81" x14ac:dyDescent="0.25">
      <c r="A16">
        <v>6</v>
      </c>
      <c r="B16" s="16" t="s">
        <v>363</v>
      </c>
      <c r="C16" s="6"/>
      <c r="D16" s="6" t="s">
        <v>364</v>
      </c>
      <c r="E16" s="6" t="s">
        <v>34</v>
      </c>
      <c r="F16" s="6"/>
      <c r="G16" s="6"/>
      <c r="H16" s="6"/>
      <c r="I16" s="6"/>
      <c r="J16" s="6"/>
      <c r="K16" s="6"/>
      <c r="L16" s="6"/>
      <c r="M16" s="6"/>
      <c r="N16" s="6"/>
      <c r="O16" s="10"/>
      <c r="P16" s="6"/>
      <c r="Q16" s="6"/>
      <c r="R16" s="6"/>
      <c r="S16" s="6"/>
      <c r="T16" s="6"/>
      <c r="U16" s="6"/>
      <c r="V16" s="6"/>
      <c r="W16" s="10"/>
      <c r="X16" s="10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6"/>
      <c r="BN16" s="6">
        <f>726/2</f>
        <v>363</v>
      </c>
      <c r="BO16" s="10">
        <v>24</v>
      </c>
      <c r="BP16" s="10">
        <v>4</v>
      </c>
      <c r="BQ16" s="10">
        <v>50</v>
      </c>
      <c r="BR16" s="10"/>
      <c r="BS16" s="10"/>
      <c r="BT16" s="10"/>
      <c r="BU16" s="6"/>
      <c r="BV16" s="6">
        <v>153.5</v>
      </c>
      <c r="BW16" s="10">
        <v>48</v>
      </c>
      <c r="BX16" s="10"/>
      <c r="BY16" s="10">
        <v>7.5</v>
      </c>
      <c r="BZ16" s="10"/>
      <c r="CA16" s="10"/>
      <c r="CB16" s="10"/>
      <c r="CC16" s="6">
        <f t="shared" si="0"/>
        <v>209</v>
      </c>
    </row>
    <row r="17" spans="1:81" x14ac:dyDescent="0.25">
      <c r="A17">
        <v>7</v>
      </c>
      <c r="B17" s="16" t="s">
        <v>567</v>
      </c>
      <c r="C17" s="6"/>
      <c r="D17" s="6" t="s">
        <v>48</v>
      </c>
      <c r="E17" s="6" t="s">
        <v>420</v>
      </c>
      <c r="F17" s="6"/>
      <c r="G17" s="6"/>
      <c r="H17" s="6"/>
      <c r="I17" s="6"/>
      <c r="J17" s="6"/>
      <c r="K17" s="6"/>
      <c r="L17" s="6"/>
      <c r="M17" s="6"/>
      <c r="N17" s="6"/>
      <c r="O17" s="10"/>
      <c r="P17" s="6"/>
      <c r="Q17" s="6"/>
      <c r="R17" s="6"/>
      <c r="S17" s="6"/>
      <c r="T17" s="6"/>
      <c r="U17" s="6"/>
      <c r="V17" s="6"/>
      <c r="W17" s="10"/>
      <c r="X17" s="10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6"/>
      <c r="BN17" s="6"/>
      <c r="BO17" s="10">
        <v>36</v>
      </c>
      <c r="BP17" s="10">
        <v>48</v>
      </c>
      <c r="BQ17" s="10">
        <v>5</v>
      </c>
      <c r="BR17" s="10">
        <v>36</v>
      </c>
      <c r="BS17" s="10">
        <v>3.2</v>
      </c>
      <c r="BT17" s="10">
        <v>100</v>
      </c>
      <c r="BU17" s="6">
        <f>SUM(BN17:BT17)</f>
        <v>228.2</v>
      </c>
      <c r="BV17" s="6">
        <f>(BU17-BN17)/2</f>
        <v>114.1</v>
      </c>
      <c r="BW17" s="10">
        <v>36</v>
      </c>
      <c r="BX17" s="10"/>
      <c r="BY17" s="10">
        <v>7.5</v>
      </c>
      <c r="BZ17" s="10">
        <v>36</v>
      </c>
      <c r="CA17" s="10"/>
      <c r="CB17" s="10"/>
      <c r="CC17" s="6">
        <f t="shared" si="0"/>
        <v>193.6</v>
      </c>
    </row>
    <row r="18" spans="1:81" x14ac:dyDescent="0.25">
      <c r="A18" s="22">
        <v>8</v>
      </c>
      <c r="B18" s="16" t="s">
        <v>201</v>
      </c>
      <c r="C18" s="6"/>
      <c r="D18" s="6" t="s">
        <v>242</v>
      </c>
      <c r="E18" s="6" t="s">
        <v>133</v>
      </c>
      <c r="F18" s="6"/>
      <c r="G18" s="6"/>
      <c r="H18" s="6"/>
      <c r="I18" s="6"/>
      <c r="J18" s="6"/>
      <c r="K18" s="6"/>
      <c r="L18" s="6"/>
      <c r="M18" s="6"/>
      <c r="N18" s="6"/>
      <c r="O18" s="10"/>
      <c r="P18" s="6"/>
      <c r="Q18" s="6"/>
      <c r="R18" s="6"/>
      <c r="S18" s="6"/>
      <c r="T18" s="6"/>
      <c r="U18" s="6"/>
      <c r="V18" s="6"/>
      <c r="W18" s="10"/>
      <c r="X18" s="10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6"/>
      <c r="BN18" s="6"/>
      <c r="BO18" s="10">
        <v>60</v>
      </c>
      <c r="BP18" s="10">
        <v>3.2</v>
      </c>
      <c r="BQ18" s="10">
        <v>7.5</v>
      </c>
      <c r="BR18" s="10">
        <v>150</v>
      </c>
      <c r="BS18" s="10">
        <v>140</v>
      </c>
      <c r="BT18" s="10"/>
      <c r="BU18" s="6">
        <f>SUM(BN18:BT18)</f>
        <v>360.7</v>
      </c>
      <c r="BV18" s="6">
        <f>(BU18-BN18)/2</f>
        <v>180.35</v>
      </c>
      <c r="BW18" s="10"/>
      <c r="BX18" s="10"/>
      <c r="BY18" s="10"/>
      <c r="BZ18" s="10"/>
      <c r="CA18" s="10"/>
      <c r="CB18" s="10"/>
      <c r="CC18" s="6">
        <f t="shared" si="0"/>
        <v>180.35</v>
      </c>
    </row>
    <row r="19" spans="1:81" x14ac:dyDescent="0.25">
      <c r="A19">
        <v>9</v>
      </c>
      <c r="B19" s="16" t="s">
        <v>222</v>
      </c>
      <c r="C19" s="16"/>
      <c r="D19" s="6" t="s">
        <v>104</v>
      </c>
      <c r="E19" s="6" t="s">
        <v>174</v>
      </c>
      <c r="F19" s="6"/>
      <c r="G19" s="6"/>
      <c r="H19" s="6"/>
      <c r="I19" s="6"/>
      <c r="J19" s="6"/>
      <c r="K19" s="6"/>
      <c r="L19" s="6"/>
      <c r="M19" s="6"/>
      <c r="N19" s="6"/>
      <c r="O19" s="10"/>
      <c r="P19" s="6"/>
      <c r="Q19" s="6"/>
      <c r="R19" s="6"/>
      <c r="S19" s="6"/>
      <c r="T19" s="6"/>
      <c r="U19" s="6"/>
      <c r="V19" s="6"/>
      <c r="W19" s="10"/>
      <c r="X19" s="10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6"/>
      <c r="BN19" s="6">
        <f>173.5/2</f>
        <v>86.75</v>
      </c>
      <c r="BO19" s="10">
        <v>48</v>
      </c>
      <c r="BP19" s="10">
        <v>56</v>
      </c>
      <c r="BQ19" s="10">
        <v>54</v>
      </c>
      <c r="BR19" s="10">
        <v>56</v>
      </c>
      <c r="BS19" s="10">
        <v>54</v>
      </c>
      <c r="BT19" s="10">
        <v>56</v>
      </c>
      <c r="BU19" s="6">
        <f>SUM(BN19:BT19)</f>
        <v>410.75</v>
      </c>
      <c r="BV19" s="6">
        <f>(BU19-BN19)/2</f>
        <v>162</v>
      </c>
      <c r="BW19" s="10"/>
      <c r="BX19" s="10"/>
      <c r="BY19" s="10"/>
      <c r="BZ19" s="10"/>
      <c r="CA19" s="10"/>
      <c r="CB19" s="10"/>
      <c r="CC19" s="6">
        <f t="shared" si="0"/>
        <v>162</v>
      </c>
    </row>
    <row r="20" spans="1:81" x14ac:dyDescent="0.25">
      <c r="A20">
        <v>10</v>
      </c>
      <c r="B20" s="10" t="s">
        <v>211</v>
      </c>
      <c r="C20" s="6"/>
      <c r="D20" s="6" t="s">
        <v>352</v>
      </c>
      <c r="E20" s="6" t="s">
        <v>8</v>
      </c>
      <c r="F20" s="6"/>
      <c r="G20" s="6"/>
      <c r="H20" s="6"/>
      <c r="I20" s="6"/>
      <c r="J20" s="6"/>
      <c r="K20" s="6"/>
      <c r="L20" s="6"/>
      <c r="M20" s="6"/>
      <c r="N20" s="6"/>
      <c r="O20" s="10"/>
      <c r="P20" s="6"/>
      <c r="Q20" s="6"/>
      <c r="R20" s="6"/>
      <c r="S20" s="6"/>
      <c r="T20" s="6"/>
      <c r="U20" s="6"/>
      <c r="V20" s="6"/>
      <c r="W20" s="10"/>
      <c r="X20" s="10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6"/>
      <c r="BN20" s="6"/>
      <c r="BO20" s="10"/>
      <c r="BP20" s="10"/>
      <c r="BQ20" s="10"/>
      <c r="BR20" s="10"/>
      <c r="BS20" s="10"/>
      <c r="BT20" s="10"/>
      <c r="BU20" s="6"/>
      <c r="BV20" s="6">
        <v>48.5</v>
      </c>
      <c r="BW20" s="10">
        <v>36</v>
      </c>
      <c r="BX20" s="10">
        <v>44.8</v>
      </c>
      <c r="BY20" s="10">
        <v>7.5</v>
      </c>
      <c r="BZ20" s="10"/>
      <c r="CA20" s="10"/>
      <c r="CB20" s="10"/>
      <c r="CC20" s="6">
        <f t="shared" si="0"/>
        <v>136.80000000000001</v>
      </c>
    </row>
    <row r="21" spans="1:81" x14ac:dyDescent="0.25">
      <c r="A21">
        <v>11</v>
      </c>
      <c r="B21" s="16" t="s">
        <v>205</v>
      </c>
      <c r="C21" s="6"/>
      <c r="D21" s="6" t="s">
        <v>399</v>
      </c>
      <c r="E21" s="6" t="s">
        <v>133</v>
      </c>
      <c r="F21" s="6"/>
      <c r="G21" s="6"/>
      <c r="H21" s="6"/>
      <c r="I21" s="6"/>
      <c r="J21" s="6"/>
      <c r="K21" s="6"/>
      <c r="L21" s="6"/>
      <c r="M21" s="6"/>
      <c r="N21" s="6"/>
      <c r="O21" s="10"/>
      <c r="P21" s="6"/>
      <c r="Q21" s="6"/>
      <c r="R21" s="6"/>
      <c r="S21" s="6"/>
      <c r="T21" s="6"/>
      <c r="U21" s="6"/>
      <c r="V21" s="6"/>
      <c r="W21" s="10"/>
      <c r="X21" s="10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6"/>
      <c r="BN21" s="6"/>
      <c r="BO21" s="10">
        <v>3</v>
      </c>
      <c r="BP21" s="10"/>
      <c r="BQ21" s="10">
        <v>54</v>
      </c>
      <c r="BR21" s="10">
        <v>105</v>
      </c>
      <c r="BS21" s="10">
        <v>100</v>
      </c>
      <c r="BT21" s="10"/>
      <c r="BU21" s="6">
        <f>SUM(BN21:BT21)</f>
        <v>262</v>
      </c>
      <c r="BV21" s="6">
        <f>(BU21-BN21)/2</f>
        <v>131</v>
      </c>
      <c r="BW21" s="10"/>
      <c r="BX21" s="10"/>
      <c r="BY21" s="10"/>
      <c r="BZ21" s="10"/>
      <c r="CA21" s="10"/>
      <c r="CB21" s="10"/>
      <c r="CC21" s="6">
        <f t="shared" si="0"/>
        <v>131</v>
      </c>
    </row>
    <row r="22" spans="1:81" x14ac:dyDescent="0.25">
      <c r="A22">
        <v>12</v>
      </c>
      <c r="B22" s="16" t="s">
        <v>341</v>
      </c>
      <c r="C22" s="6"/>
      <c r="D22" s="6" t="s">
        <v>342</v>
      </c>
      <c r="E22" s="6" t="s">
        <v>311</v>
      </c>
      <c r="F22" s="6"/>
      <c r="G22" s="6"/>
      <c r="H22" s="6"/>
      <c r="I22" s="6"/>
      <c r="J22" s="6"/>
      <c r="K22" s="6"/>
      <c r="L22" s="6"/>
      <c r="M22" s="6"/>
      <c r="N22" s="6"/>
      <c r="O22" s="10"/>
      <c r="P22" s="6"/>
      <c r="Q22" s="6"/>
      <c r="R22" s="6"/>
      <c r="S22" s="6"/>
      <c r="T22" s="6"/>
      <c r="U22" s="6"/>
      <c r="V22" s="6"/>
      <c r="W22" s="10"/>
      <c r="X22" s="10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6"/>
      <c r="BN22" s="6"/>
      <c r="BO22" s="10"/>
      <c r="BP22" s="10"/>
      <c r="BQ22" s="10">
        <v>5</v>
      </c>
      <c r="BR22" s="10">
        <v>7.5</v>
      </c>
      <c r="BS22" s="10">
        <v>7.5</v>
      </c>
      <c r="BT22" s="10"/>
      <c r="BU22" s="6">
        <f>SUM(BN22:BT22)</f>
        <v>20</v>
      </c>
      <c r="BV22" s="6">
        <f>(BU22-BN22)/2</f>
        <v>10</v>
      </c>
      <c r="BW22" s="10">
        <v>30</v>
      </c>
      <c r="BX22" s="10"/>
      <c r="BY22" s="10">
        <v>39</v>
      </c>
      <c r="BZ22" s="10">
        <v>50</v>
      </c>
      <c r="CA22" s="10"/>
      <c r="CB22" s="10"/>
      <c r="CC22" s="6">
        <f t="shared" si="0"/>
        <v>129</v>
      </c>
    </row>
    <row r="23" spans="1:81" x14ac:dyDescent="0.25">
      <c r="A23">
        <v>13</v>
      </c>
      <c r="B23" s="16" t="s">
        <v>527</v>
      </c>
      <c r="C23" s="6"/>
      <c r="D23" s="6" t="s">
        <v>528</v>
      </c>
      <c r="E23" s="6" t="s">
        <v>529</v>
      </c>
      <c r="F23" s="6"/>
      <c r="G23" s="6"/>
      <c r="H23" s="6"/>
      <c r="I23" s="6"/>
      <c r="J23" s="6"/>
      <c r="K23" s="6"/>
      <c r="L23" s="6"/>
      <c r="M23" s="6"/>
      <c r="N23" s="6"/>
      <c r="O23" s="10"/>
      <c r="P23" s="6"/>
      <c r="Q23" s="6"/>
      <c r="R23" s="6"/>
      <c r="S23" s="6"/>
      <c r="T23" s="6"/>
      <c r="U23" s="6"/>
      <c r="V23" s="6"/>
      <c r="W23" s="10"/>
      <c r="X23" s="10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6"/>
      <c r="BN23" s="6"/>
      <c r="BO23" s="10"/>
      <c r="BP23" s="10"/>
      <c r="BQ23" s="10"/>
      <c r="BR23" s="10"/>
      <c r="BS23" s="10"/>
      <c r="BT23" s="10"/>
      <c r="BU23" s="6"/>
      <c r="BV23" s="6"/>
      <c r="BW23" s="10">
        <v>2.4</v>
      </c>
      <c r="BX23" s="10">
        <v>40</v>
      </c>
      <c r="BY23" s="10">
        <v>70</v>
      </c>
      <c r="BZ23" s="10"/>
      <c r="CA23" s="10"/>
      <c r="CB23" s="10"/>
      <c r="CC23" s="6">
        <f t="shared" si="0"/>
        <v>112.4</v>
      </c>
    </row>
    <row r="24" spans="1:81" x14ac:dyDescent="0.25">
      <c r="A24">
        <v>14</v>
      </c>
      <c r="B24" s="16" t="s">
        <v>223</v>
      </c>
      <c r="C24" s="6"/>
      <c r="D24" s="6" t="s">
        <v>504</v>
      </c>
      <c r="E24" s="6" t="s">
        <v>136</v>
      </c>
      <c r="F24" s="6"/>
      <c r="G24" s="6"/>
      <c r="H24" s="6"/>
      <c r="I24" s="6"/>
      <c r="J24" s="6"/>
      <c r="K24" s="6"/>
      <c r="L24" s="6"/>
      <c r="M24" s="6"/>
      <c r="N24" s="6"/>
      <c r="O24" s="10"/>
      <c r="P24" s="6"/>
      <c r="Q24" s="6"/>
      <c r="R24" s="6"/>
      <c r="S24" s="6"/>
      <c r="T24" s="6"/>
      <c r="U24" s="6"/>
      <c r="V24" s="6"/>
      <c r="W24" s="10"/>
      <c r="X24" s="10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6"/>
      <c r="BN24" s="6"/>
      <c r="BO24" s="10"/>
      <c r="BP24" s="10"/>
      <c r="BQ24" s="10"/>
      <c r="BR24" s="10"/>
      <c r="BS24" s="10"/>
      <c r="BT24" s="10"/>
      <c r="BU24" s="6"/>
      <c r="BV24" s="6"/>
      <c r="BW24" s="10">
        <v>36</v>
      </c>
      <c r="BX24" s="10">
        <v>4</v>
      </c>
      <c r="BY24" s="10">
        <v>7.5</v>
      </c>
      <c r="BZ24" s="10">
        <v>50</v>
      </c>
      <c r="CA24" s="10">
        <v>2.4</v>
      </c>
      <c r="CB24" s="10"/>
      <c r="CC24" s="6">
        <f t="shared" si="0"/>
        <v>99.9</v>
      </c>
    </row>
    <row r="25" spans="1:81" x14ac:dyDescent="0.25">
      <c r="A25">
        <v>15</v>
      </c>
      <c r="B25" s="16" t="s">
        <v>25</v>
      </c>
      <c r="C25" s="6"/>
      <c r="D25" s="6" t="s">
        <v>70</v>
      </c>
      <c r="E25" s="6" t="s">
        <v>377</v>
      </c>
      <c r="F25" s="6"/>
      <c r="G25" s="6"/>
      <c r="H25" s="6"/>
      <c r="I25" s="6"/>
      <c r="J25" s="6"/>
      <c r="K25" s="6"/>
      <c r="L25" s="6"/>
      <c r="M25" s="6"/>
      <c r="N25" s="6"/>
      <c r="O25" s="10"/>
      <c r="P25" s="6"/>
      <c r="Q25" s="6"/>
      <c r="R25" s="6"/>
      <c r="S25" s="6"/>
      <c r="T25" s="6"/>
      <c r="U25" s="6"/>
      <c r="V25" s="6"/>
      <c r="W25" s="10"/>
      <c r="X25" s="10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6"/>
      <c r="BN25" s="6"/>
      <c r="BO25" s="10">
        <v>36</v>
      </c>
      <c r="BP25" s="10">
        <v>64</v>
      </c>
      <c r="BQ25" s="10">
        <v>7.5</v>
      </c>
      <c r="BR25" s="10">
        <v>75</v>
      </c>
      <c r="BS25" s="10">
        <v>10</v>
      </c>
      <c r="BT25" s="10"/>
      <c r="BU25" s="6">
        <f>SUM(BN25:BT25)</f>
        <v>192.5</v>
      </c>
      <c r="BV25" s="6">
        <f>(BU25-BN25)/2</f>
        <v>96.25</v>
      </c>
      <c r="BW25" s="10"/>
      <c r="BX25" s="10"/>
      <c r="BY25" s="10"/>
      <c r="BZ25" s="10"/>
      <c r="CA25" s="10"/>
      <c r="CB25" s="10"/>
      <c r="CC25" s="6">
        <f t="shared" si="0"/>
        <v>96.25</v>
      </c>
    </row>
    <row r="26" spans="1:81" x14ac:dyDescent="0.25">
      <c r="A26">
        <v>16</v>
      </c>
      <c r="B26" s="16" t="s">
        <v>530</v>
      </c>
      <c r="C26" s="6"/>
      <c r="D26" s="6" t="s">
        <v>531</v>
      </c>
      <c r="E26" s="6" t="s">
        <v>56</v>
      </c>
      <c r="F26" s="6"/>
      <c r="G26" s="6"/>
      <c r="H26" s="6"/>
      <c r="I26" s="6"/>
      <c r="J26" s="6"/>
      <c r="K26" s="6"/>
      <c r="L26" s="6"/>
      <c r="M26" s="6"/>
      <c r="N26" s="6"/>
      <c r="O26" s="10"/>
      <c r="P26" s="6"/>
      <c r="Q26" s="6"/>
      <c r="R26" s="6"/>
      <c r="S26" s="6"/>
      <c r="T26" s="6"/>
      <c r="U26" s="6"/>
      <c r="V26" s="6"/>
      <c r="W26" s="10"/>
      <c r="X26" s="10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6"/>
      <c r="BN26" s="6"/>
      <c r="BO26" s="10"/>
      <c r="BP26" s="10"/>
      <c r="BQ26" s="10"/>
      <c r="BR26" s="10"/>
      <c r="BS26" s="10"/>
      <c r="BT26" s="10"/>
      <c r="BU26" s="6"/>
      <c r="BV26" s="6"/>
      <c r="BW26" s="10">
        <v>42</v>
      </c>
      <c r="BX26" s="10"/>
      <c r="BY26" s="10">
        <v>54</v>
      </c>
      <c r="BZ26" s="10"/>
      <c r="CA26" s="10"/>
      <c r="CB26" s="10"/>
      <c r="CC26" s="6">
        <f t="shared" si="0"/>
        <v>96</v>
      </c>
    </row>
    <row r="27" spans="1:81" x14ac:dyDescent="0.25">
      <c r="A27">
        <v>17</v>
      </c>
      <c r="B27" s="16" t="s">
        <v>599</v>
      </c>
      <c r="C27" s="6"/>
      <c r="D27" s="6" t="s">
        <v>600</v>
      </c>
      <c r="E27" s="6" t="s">
        <v>35</v>
      </c>
      <c r="F27" s="6"/>
      <c r="G27" s="6"/>
      <c r="H27" s="6"/>
      <c r="I27" s="6"/>
      <c r="J27" s="6"/>
      <c r="K27" s="6"/>
      <c r="L27" s="6"/>
      <c r="M27" s="6"/>
      <c r="N27" s="6"/>
      <c r="O27" s="10"/>
      <c r="P27" s="6"/>
      <c r="Q27" s="6"/>
      <c r="R27" s="6"/>
      <c r="S27" s="6"/>
      <c r="T27" s="6"/>
      <c r="U27" s="6"/>
      <c r="V27" s="6"/>
      <c r="W27" s="10"/>
      <c r="X27" s="10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6"/>
      <c r="BN27" s="6"/>
      <c r="BO27" s="10"/>
      <c r="BP27" s="10"/>
      <c r="BQ27" s="10"/>
      <c r="BR27" s="10"/>
      <c r="BS27" s="10"/>
      <c r="BT27" s="10"/>
      <c r="BU27" s="6"/>
      <c r="BV27" s="6"/>
      <c r="BW27" s="10">
        <v>2.4</v>
      </c>
      <c r="BX27" s="10">
        <v>40</v>
      </c>
      <c r="BY27" s="10">
        <v>39</v>
      </c>
      <c r="BZ27" s="10"/>
      <c r="CA27" s="10"/>
      <c r="CB27" s="10"/>
      <c r="CC27" s="6">
        <f t="shared" si="0"/>
        <v>81.400000000000006</v>
      </c>
    </row>
    <row r="28" spans="1:81" x14ac:dyDescent="0.25">
      <c r="A28">
        <v>18</v>
      </c>
      <c r="B28" s="16" t="s">
        <v>597</v>
      </c>
      <c r="C28" s="6"/>
      <c r="D28" s="6" t="s">
        <v>598</v>
      </c>
      <c r="E28" s="6" t="s">
        <v>95</v>
      </c>
      <c r="F28" s="6"/>
      <c r="G28" s="6"/>
      <c r="H28" s="6"/>
      <c r="I28" s="6"/>
      <c r="J28" s="6"/>
      <c r="K28" s="6"/>
      <c r="L28" s="6"/>
      <c r="M28" s="6"/>
      <c r="N28" s="6"/>
      <c r="O28" s="10"/>
      <c r="P28" s="6"/>
      <c r="Q28" s="6"/>
      <c r="R28" s="6"/>
      <c r="S28" s="6"/>
      <c r="T28" s="6"/>
      <c r="U28" s="6"/>
      <c r="V28" s="6"/>
      <c r="W28" s="10"/>
      <c r="X28" s="10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6"/>
      <c r="BN28" s="6"/>
      <c r="BO28" s="10"/>
      <c r="BP28" s="10"/>
      <c r="BQ28" s="10"/>
      <c r="BR28" s="10"/>
      <c r="BS28" s="10"/>
      <c r="BT28" s="10"/>
      <c r="BU28" s="6"/>
      <c r="BV28" s="6"/>
      <c r="BW28" s="10">
        <v>33.6</v>
      </c>
      <c r="BX28" s="10">
        <v>28.8</v>
      </c>
      <c r="BY28" s="10"/>
      <c r="BZ28" s="10"/>
      <c r="CA28" s="10"/>
      <c r="CB28" s="10"/>
      <c r="CC28" s="6">
        <f t="shared" si="0"/>
        <v>62.400000000000006</v>
      </c>
    </row>
    <row r="29" spans="1:81" x14ac:dyDescent="0.25">
      <c r="A29">
        <v>19</v>
      </c>
      <c r="B29" s="16" t="s">
        <v>315</v>
      </c>
      <c r="C29" s="16"/>
      <c r="D29" s="6" t="s">
        <v>94</v>
      </c>
      <c r="E29" s="6" t="s">
        <v>316</v>
      </c>
      <c r="F29" s="6"/>
      <c r="G29" s="6"/>
      <c r="H29" s="6"/>
      <c r="I29" s="6"/>
      <c r="J29" s="6"/>
      <c r="K29" s="6"/>
      <c r="L29" s="6"/>
      <c r="M29" s="6"/>
      <c r="N29" s="6"/>
      <c r="O29" s="10"/>
      <c r="P29" s="6"/>
      <c r="Q29" s="6"/>
      <c r="R29" s="6"/>
      <c r="S29" s="6"/>
      <c r="T29" s="6"/>
      <c r="U29" s="6"/>
      <c r="V29" s="6"/>
      <c r="W29" s="10"/>
      <c r="X29" s="10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6"/>
      <c r="BN29" s="6"/>
      <c r="BO29" s="10">
        <v>30</v>
      </c>
      <c r="BP29" s="10"/>
      <c r="BQ29" s="10">
        <v>5</v>
      </c>
      <c r="BR29" s="10">
        <v>4</v>
      </c>
      <c r="BS29" s="10"/>
      <c r="BT29" s="10"/>
      <c r="BU29" s="6">
        <f>SUM(BN29:BT29)</f>
        <v>39</v>
      </c>
      <c r="BV29" s="6">
        <f>(BU29-BN29)/2</f>
        <v>19.5</v>
      </c>
      <c r="BW29" s="10"/>
      <c r="BX29" s="10">
        <v>40</v>
      </c>
      <c r="BY29" s="10"/>
      <c r="BZ29" s="10"/>
      <c r="CA29" s="10"/>
      <c r="CB29" s="10"/>
      <c r="CC29" s="6">
        <f t="shared" si="0"/>
        <v>59.5</v>
      </c>
    </row>
    <row r="30" spans="1:81" x14ac:dyDescent="0.25">
      <c r="A30">
        <v>20</v>
      </c>
      <c r="B30" s="16" t="s">
        <v>586</v>
      </c>
      <c r="C30" s="6"/>
      <c r="D30" s="6" t="s">
        <v>423</v>
      </c>
      <c r="E30" s="6" t="s">
        <v>613</v>
      </c>
      <c r="F30" s="6"/>
      <c r="G30" s="6"/>
      <c r="H30" s="6"/>
      <c r="I30" s="6"/>
      <c r="J30" s="6"/>
      <c r="K30" s="6"/>
      <c r="L30" s="6"/>
      <c r="M30" s="6"/>
      <c r="N30" s="6"/>
      <c r="O30" s="10"/>
      <c r="P30" s="6"/>
      <c r="Q30" s="6"/>
      <c r="R30" s="6"/>
      <c r="S30" s="6"/>
      <c r="T30" s="6"/>
      <c r="U30" s="6"/>
      <c r="V30" s="6"/>
      <c r="W30" s="10"/>
      <c r="X30" s="10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6"/>
      <c r="BN30" s="6"/>
      <c r="BO30" s="10"/>
      <c r="BP30" s="10"/>
      <c r="BQ30" s="10"/>
      <c r="BR30" s="10"/>
      <c r="BS30" s="10"/>
      <c r="BT30" s="10"/>
      <c r="BU30" s="6"/>
      <c r="BV30" s="6"/>
      <c r="BW30" s="10">
        <v>48</v>
      </c>
      <c r="BX30" s="10"/>
      <c r="BY30" s="10">
        <v>7.5</v>
      </c>
      <c r="BZ30" s="10"/>
      <c r="CA30" s="10"/>
      <c r="CB30" s="10"/>
      <c r="CC30" s="6">
        <f t="shared" si="0"/>
        <v>55.5</v>
      </c>
    </row>
    <row r="31" spans="1:81" x14ac:dyDescent="0.25">
      <c r="A31">
        <v>21</v>
      </c>
      <c r="B31" s="16" t="s">
        <v>389</v>
      </c>
      <c r="C31" s="6"/>
      <c r="D31" s="6" t="s">
        <v>105</v>
      </c>
      <c r="E31" s="6" t="s">
        <v>84</v>
      </c>
      <c r="F31" s="6"/>
      <c r="G31" s="6"/>
      <c r="H31" s="6"/>
      <c r="I31" s="6"/>
      <c r="J31" s="6"/>
      <c r="K31" s="6"/>
      <c r="L31" s="6"/>
      <c r="M31" s="6"/>
      <c r="N31" s="6"/>
      <c r="O31" s="10"/>
      <c r="P31" s="6"/>
      <c r="Q31" s="6"/>
      <c r="R31" s="6"/>
      <c r="S31" s="6"/>
      <c r="T31" s="6"/>
      <c r="U31" s="6"/>
      <c r="V31" s="6"/>
      <c r="W31" s="10"/>
      <c r="X31" s="10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6"/>
      <c r="BN31" s="6"/>
      <c r="BO31" s="10"/>
      <c r="BP31" s="10"/>
      <c r="BQ31" s="10"/>
      <c r="BR31" s="10"/>
      <c r="BS31" s="10"/>
      <c r="BT31" s="10"/>
      <c r="BU31" s="6"/>
      <c r="BV31" s="6"/>
      <c r="BW31" s="10">
        <v>48</v>
      </c>
      <c r="BX31" s="10"/>
      <c r="BY31" s="10"/>
      <c r="BZ31" s="10"/>
      <c r="CA31" s="10"/>
      <c r="CB31" s="10"/>
      <c r="CC31" s="6">
        <f t="shared" si="0"/>
        <v>48</v>
      </c>
    </row>
    <row r="32" spans="1:81" x14ac:dyDescent="0.25">
      <c r="A32">
        <v>22</v>
      </c>
      <c r="B32" s="6" t="s">
        <v>132</v>
      </c>
      <c r="C32" s="6"/>
      <c r="D32" s="6" t="s">
        <v>414</v>
      </c>
      <c r="E32" s="6" t="s">
        <v>411</v>
      </c>
      <c r="F32" s="6"/>
      <c r="G32" s="6"/>
      <c r="H32" s="6"/>
      <c r="I32" s="6"/>
      <c r="J32" s="6"/>
      <c r="K32" s="6"/>
      <c r="L32" s="6"/>
      <c r="M32" s="6"/>
      <c r="N32" s="6"/>
      <c r="O32" s="10"/>
      <c r="P32" s="6"/>
      <c r="Q32" s="6"/>
      <c r="R32" s="6"/>
      <c r="S32" s="6"/>
      <c r="T32" s="6"/>
      <c r="U32" s="6"/>
      <c r="V32" s="6"/>
      <c r="W32" s="10"/>
      <c r="X32" s="10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6"/>
      <c r="BN32" s="6"/>
      <c r="BO32" s="10"/>
      <c r="BP32" s="10"/>
      <c r="BQ32" s="10"/>
      <c r="BR32" s="10"/>
      <c r="BS32" s="10"/>
      <c r="BT32" s="10"/>
      <c r="BU32" s="6"/>
      <c r="BV32" s="6"/>
      <c r="BW32" s="10">
        <v>48</v>
      </c>
      <c r="BX32" s="10"/>
      <c r="BY32" s="10"/>
      <c r="BZ32" s="10"/>
      <c r="CA32" s="10"/>
      <c r="CB32" s="10"/>
      <c r="CC32" s="6">
        <f t="shared" si="0"/>
        <v>48</v>
      </c>
    </row>
    <row r="33" spans="1:81" x14ac:dyDescent="0.25">
      <c r="A33">
        <v>23</v>
      </c>
      <c r="B33" s="16" t="s">
        <v>26</v>
      </c>
      <c r="C33" s="6"/>
      <c r="D33" s="6" t="s">
        <v>398</v>
      </c>
      <c r="E33" s="6" t="s">
        <v>185</v>
      </c>
      <c r="F33" s="6"/>
      <c r="G33" s="6"/>
      <c r="H33" s="6"/>
      <c r="I33" s="6"/>
      <c r="J33" s="6"/>
      <c r="K33" s="6"/>
      <c r="L33" s="6"/>
      <c r="M33" s="6"/>
      <c r="N33" s="6"/>
      <c r="O33" s="10"/>
      <c r="P33" s="6"/>
      <c r="Q33" s="6"/>
      <c r="R33" s="6"/>
      <c r="S33" s="6"/>
      <c r="T33" s="6"/>
      <c r="U33" s="6"/>
      <c r="V33" s="6"/>
      <c r="W33" s="10"/>
      <c r="X33" s="10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6"/>
      <c r="BN33" s="6"/>
      <c r="BO33" s="10">
        <v>42</v>
      </c>
      <c r="BP33" s="10"/>
      <c r="BQ33" s="10">
        <v>39</v>
      </c>
      <c r="BR33" s="10"/>
      <c r="BS33" s="10"/>
      <c r="BT33" s="10"/>
      <c r="BU33" s="6">
        <f>SUM(BN33:BT33)</f>
        <v>81</v>
      </c>
      <c r="BV33" s="6">
        <f>(BU33-BN33)/2</f>
        <v>40.5</v>
      </c>
      <c r="BW33" s="10">
        <v>2.4</v>
      </c>
      <c r="BX33" s="10"/>
      <c r="BY33" s="10">
        <v>2.4</v>
      </c>
      <c r="BZ33" s="10"/>
      <c r="CA33" s="10"/>
      <c r="CB33" s="10"/>
      <c r="CC33" s="6">
        <f t="shared" si="0"/>
        <v>45.3</v>
      </c>
    </row>
    <row r="34" spans="1:81" x14ac:dyDescent="0.25">
      <c r="A34">
        <v>24</v>
      </c>
      <c r="B34" s="16" t="s">
        <v>410</v>
      </c>
      <c r="C34" s="6"/>
      <c r="D34" s="6" t="s">
        <v>398</v>
      </c>
      <c r="E34" s="6" t="s">
        <v>411</v>
      </c>
      <c r="F34" s="6"/>
      <c r="G34" s="6"/>
      <c r="H34" s="6"/>
      <c r="I34" s="6"/>
      <c r="J34" s="6"/>
      <c r="K34" s="6"/>
      <c r="L34" s="6"/>
      <c r="M34" s="6"/>
      <c r="N34" s="6"/>
      <c r="O34" s="10"/>
      <c r="P34" s="6"/>
      <c r="Q34" s="6"/>
      <c r="R34" s="6"/>
      <c r="S34" s="6"/>
      <c r="T34" s="6"/>
      <c r="U34" s="6"/>
      <c r="V34" s="6"/>
      <c r="W34" s="10"/>
      <c r="X34" s="10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6"/>
      <c r="BN34" s="6"/>
      <c r="BO34" s="10"/>
      <c r="BP34" s="10"/>
      <c r="BQ34" s="10"/>
      <c r="BR34" s="10"/>
      <c r="BS34" s="10"/>
      <c r="BT34" s="10"/>
      <c r="BU34" s="6"/>
      <c r="BV34" s="6"/>
      <c r="BW34" s="10"/>
      <c r="BX34" s="10">
        <v>40</v>
      </c>
      <c r="BY34" s="10"/>
      <c r="BZ34" s="10"/>
      <c r="CA34" s="10"/>
      <c r="CB34" s="10"/>
      <c r="CC34" s="6">
        <f t="shared" si="0"/>
        <v>40</v>
      </c>
    </row>
    <row r="35" spans="1:81" x14ac:dyDescent="0.25">
      <c r="A35">
        <v>25</v>
      </c>
      <c r="B35" s="6" t="s">
        <v>247</v>
      </c>
      <c r="C35" s="6"/>
      <c r="D35" s="6" t="s">
        <v>248</v>
      </c>
      <c r="E35" s="6" t="s">
        <v>249</v>
      </c>
      <c r="F35" s="6"/>
      <c r="G35" s="6"/>
      <c r="H35" s="6"/>
      <c r="I35" s="6"/>
      <c r="J35" s="6"/>
      <c r="K35" s="6"/>
      <c r="L35" s="6"/>
      <c r="M35" s="6"/>
      <c r="N35" s="6"/>
      <c r="O35" s="10"/>
      <c r="P35" s="6"/>
      <c r="Q35" s="6"/>
      <c r="R35" s="6"/>
      <c r="S35" s="6"/>
      <c r="T35" s="6"/>
      <c r="U35" s="6"/>
      <c r="V35" s="6"/>
      <c r="W35" s="10"/>
      <c r="X35" s="10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6"/>
      <c r="BN35" s="6"/>
      <c r="BO35" s="10"/>
      <c r="BP35" s="10">
        <v>44.8</v>
      </c>
      <c r="BQ35" s="10"/>
      <c r="BR35" s="10"/>
      <c r="BS35" s="10"/>
      <c r="BT35" s="10"/>
      <c r="BU35" s="6">
        <f>SUM(BN35:BT35)</f>
        <v>44.8</v>
      </c>
      <c r="BV35" s="6">
        <f>(BU35-BN35)/2</f>
        <v>22.4</v>
      </c>
      <c r="BW35" s="10"/>
      <c r="BX35" s="10"/>
      <c r="BY35" s="10"/>
      <c r="BZ35" s="10"/>
      <c r="CA35" s="10"/>
      <c r="CB35" s="10"/>
      <c r="CC35" s="6">
        <f t="shared" si="0"/>
        <v>22.4</v>
      </c>
    </row>
    <row r="36" spans="1:81" x14ac:dyDescent="0.25">
      <c r="A36">
        <v>26</v>
      </c>
      <c r="B36" s="16" t="s">
        <v>532</v>
      </c>
      <c r="C36" s="6"/>
      <c r="D36" s="6" t="s">
        <v>15</v>
      </c>
      <c r="E36" s="6" t="s">
        <v>63</v>
      </c>
      <c r="F36" s="6"/>
      <c r="G36" s="6"/>
      <c r="H36" s="6"/>
      <c r="I36" s="6"/>
      <c r="J36" s="6"/>
      <c r="K36" s="6"/>
      <c r="L36" s="6"/>
      <c r="M36" s="6"/>
      <c r="N36" s="6"/>
      <c r="O36" s="10"/>
      <c r="P36" s="6"/>
      <c r="Q36" s="6"/>
      <c r="R36" s="6"/>
      <c r="S36" s="6"/>
      <c r="T36" s="6"/>
      <c r="U36" s="6"/>
      <c r="V36" s="6"/>
      <c r="W36" s="10"/>
      <c r="X36" s="10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6"/>
      <c r="BN36" s="6"/>
      <c r="BO36" s="10"/>
      <c r="BP36" s="10"/>
      <c r="BQ36" s="10"/>
      <c r="BR36" s="10"/>
      <c r="BS36" s="10"/>
      <c r="BT36" s="10"/>
      <c r="BU36" s="6"/>
      <c r="BV36" s="6"/>
      <c r="BW36" s="10">
        <v>3</v>
      </c>
      <c r="BX36" s="10"/>
      <c r="BY36" s="10">
        <v>7.5</v>
      </c>
      <c r="BZ36" s="10"/>
      <c r="CA36" s="10"/>
      <c r="CB36" s="10"/>
      <c r="CC36" s="6">
        <f t="shared" si="0"/>
        <v>10.5</v>
      </c>
    </row>
    <row r="37" spans="1:81" x14ac:dyDescent="0.25">
      <c r="A37">
        <v>27</v>
      </c>
      <c r="B37" s="16" t="s">
        <v>452</v>
      </c>
      <c r="C37" s="6"/>
      <c r="D37" s="6" t="s">
        <v>429</v>
      </c>
      <c r="E37" s="6" t="s">
        <v>621</v>
      </c>
      <c r="F37" s="6"/>
      <c r="G37" s="6"/>
      <c r="H37" s="6"/>
      <c r="I37" s="6"/>
      <c r="J37" s="6"/>
      <c r="K37" s="6"/>
      <c r="L37" s="6"/>
      <c r="M37" s="6"/>
      <c r="N37" s="6"/>
      <c r="O37" s="10"/>
      <c r="P37" s="6"/>
      <c r="Q37" s="6"/>
      <c r="R37" s="6"/>
      <c r="S37" s="6"/>
      <c r="T37" s="6"/>
      <c r="U37" s="6"/>
      <c r="V37" s="6"/>
      <c r="W37" s="10"/>
      <c r="X37" s="10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6"/>
      <c r="BN37" s="6"/>
      <c r="BO37" s="10"/>
      <c r="BP37" s="10"/>
      <c r="BQ37" s="10"/>
      <c r="BR37" s="10"/>
      <c r="BS37" s="10"/>
      <c r="BT37" s="10"/>
      <c r="BU37" s="6"/>
      <c r="BV37" s="6"/>
      <c r="BW37" s="10"/>
      <c r="BX37" s="10">
        <v>4</v>
      </c>
      <c r="BY37" s="10"/>
      <c r="BZ37" s="10"/>
      <c r="CA37" s="10"/>
      <c r="CB37" s="10"/>
      <c r="CC37" s="6">
        <f t="shared" si="0"/>
        <v>4</v>
      </c>
    </row>
    <row r="38" spans="1:81" x14ac:dyDescent="0.25">
      <c r="A38">
        <v>28</v>
      </c>
      <c r="B38" s="16" t="s">
        <v>636</v>
      </c>
      <c r="C38" s="6"/>
      <c r="D38" s="6" t="s">
        <v>635</v>
      </c>
      <c r="E38" s="6" t="s">
        <v>411</v>
      </c>
      <c r="F38" s="6"/>
      <c r="G38" s="6"/>
      <c r="H38" s="6"/>
      <c r="I38" s="6"/>
      <c r="J38" s="6"/>
      <c r="K38" s="6"/>
      <c r="L38" s="6"/>
      <c r="M38" s="6"/>
      <c r="N38" s="6"/>
      <c r="O38" s="10"/>
      <c r="P38" s="6"/>
      <c r="Q38" s="6"/>
      <c r="R38" s="6"/>
      <c r="S38" s="6"/>
      <c r="T38" s="6"/>
      <c r="U38" s="6"/>
      <c r="V38" s="6"/>
      <c r="W38" s="10"/>
      <c r="X38" s="10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6"/>
      <c r="BN38" s="6"/>
      <c r="BO38" s="10"/>
      <c r="BP38" s="10"/>
      <c r="BQ38" s="10"/>
      <c r="BR38" s="10"/>
      <c r="BS38" s="10"/>
      <c r="BT38" s="10"/>
      <c r="BU38" s="6"/>
      <c r="BV38" s="6"/>
      <c r="BW38" s="10"/>
      <c r="BX38" s="10">
        <v>4</v>
      </c>
      <c r="BY38" s="10"/>
      <c r="BZ38" s="10"/>
      <c r="CA38" s="10"/>
      <c r="CB38" s="10"/>
      <c r="CC38" s="6">
        <f t="shared" si="0"/>
        <v>4</v>
      </c>
    </row>
    <row r="39" spans="1:81" x14ac:dyDescent="0.25">
      <c r="A39">
        <v>29</v>
      </c>
      <c r="B39" s="16" t="s">
        <v>157</v>
      </c>
      <c r="C39" s="6"/>
      <c r="D39" s="6" t="s">
        <v>486</v>
      </c>
      <c r="E39" s="6" t="s">
        <v>406</v>
      </c>
      <c r="F39" s="6"/>
      <c r="G39" s="6"/>
      <c r="H39" s="6"/>
      <c r="I39" s="6"/>
      <c r="J39" s="6"/>
      <c r="K39" s="6"/>
      <c r="L39" s="6"/>
      <c r="M39" s="6"/>
      <c r="N39" s="6"/>
      <c r="O39" s="10"/>
      <c r="P39" s="6"/>
      <c r="Q39" s="6"/>
      <c r="R39" s="6"/>
      <c r="S39" s="6"/>
      <c r="T39" s="6"/>
      <c r="U39" s="6"/>
      <c r="V39" s="6"/>
      <c r="W39" s="10"/>
      <c r="X39" s="10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6"/>
      <c r="BN39" s="6"/>
      <c r="BO39" s="10"/>
      <c r="BP39" s="10"/>
      <c r="BQ39" s="10">
        <v>7.5</v>
      </c>
      <c r="BR39" s="10"/>
      <c r="BS39" s="10"/>
      <c r="BT39" s="10"/>
      <c r="BU39" s="6">
        <f>SUM(BN39:BT39)</f>
        <v>7.5</v>
      </c>
      <c r="BV39" s="6">
        <f>(BU39-BN39)/2</f>
        <v>3.75</v>
      </c>
      <c r="BW39" s="10"/>
      <c r="BX39" s="10"/>
      <c r="BY39" s="10"/>
      <c r="BZ39" s="10"/>
      <c r="CA39" s="10"/>
      <c r="CB39" s="10"/>
      <c r="CC39" s="6">
        <f t="shared" si="0"/>
        <v>3.75</v>
      </c>
    </row>
    <row r="40" spans="1:81" x14ac:dyDescent="0.25">
      <c r="A40">
        <v>30</v>
      </c>
      <c r="B40" s="16" t="s">
        <v>629</v>
      </c>
      <c r="C40" s="6"/>
      <c r="D40" s="6" t="s">
        <v>248</v>
      </c>
      <c r="E40" s="6" t="s">
        <v>263</v>
      </c>
      <c r="F40" s="6"/>
      <c r="G40" s="6"/>
      <c r="H40" s="6"/>
      <c r="I40" s="6"/>
      <c r="J40" s="6"/>
      <c r="K40" s="6"/>
      <c r="L40" s="6"/>
      <c r="M40" s="6"/>
      <c r="N40" s="6"/>
      <c r="O40" s="10"/>
      <c r="P40" s="6"/>
      <c r="Q40" s="6"/>
      <c r="R40" s="6"/>
      <c r="S40" s="6"/>
      <c r="T40" s="6"/>
      <c r="U40" s="6"/>
      <c r="V40" s="6"/>
      <c r="W40" s="10"/>
      <c r="X40" s="10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6"/>
      <c r="BN40" s="6"/>
      <c r="BO40" s="10"/>
      <c r="BP40" s="10"/>
      <c r="BQ40" s="10"/>
      <c r="BR40" s="10"/>
      <c r="BS40" s="10"/>
      <c r="BT40" s="10"/>
      <c r="BU40" s="6"/>
      <c r="BV40" s="6"/>
      <c r="BW40" s="10"/>
      <c r="BX40" s="10">
        <v>3.2</v>
      </c>
      <c r="BY40" s="10"/>
      <c r="BZ40" s="10"/>
      <c r="CA40" s="10"/>
      <c r="CB40" s="10"/>
      <c r="CC40" s="6">
        <f t="shared" si="0"/>
        <v>3.2</v>
      </c>
    </row>
    <row r="41" spans="1:81" x14ac:dyDescent="0.25">
      <c r="A41">
        <v>31</v>
      </c>
      <c r="B41" s="16" t="s">
        <v>39</v>
      </c>
      <c r="C41" s="6"/>
      <c r="D41" s="6" t="s">
        <v>656</v>
      </c>
      <c r="E41" s="6" t="s">
        <v>657</v>
      </c>
      <c r="F41" s="6"/>
      <c r="G41" s="6"/>
      <c r="H41" s="6"/>
      <c r="I41" s="6"/>
      <c r="J41" s="6"/>
      <c r="K41" s="6"/>
      <c r="L41" s="6"/>
      <c r="M41" s="6"/>
      <c r="N41" s="6"/>
      <c r="O41" s="10"/>
      <c r="P41" s="6"/>
      <c r="Q41" s="6"/>
      <c r="R41" s="6"/>
      <c r="S41" s="6"/>
      <c r="T41" s="6"/>
      <c r="U41" s="6"/>
      <c r="V41" s="6"/>
      <c r="W41" s="10"/>
      <c r="X41" s="10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6"/>
      <c r="BN41" s="6"/>
      <c r="BO41" s="10"/>
      <c r="BP41" s="10"/>
      <c r="BQ41" s="10"/>
      <c r="BR41" s="10"/>
      <c r="BS41" s="10"/>
      <c r="BT41" s="10"/>
      <c r="BU41" s="6"/>
      <c r="BV41" s="6"/>
      <c r="BW41" s="10">
        <v>2.4</v>
      </c>
      <c r="BX41" s="10"/>
      <c r="BY41" s="10"/>
      <c r="BZ41" s="10"/>
      <c r="CA41" s="10"/>
      <c r="CB41" s="10"/>
      <c r="CC41" s="6">
        <f t="shared" si="0"/>
        <v>2.4</v>
      </c>
    </row>
    <row r="42" spans="1:81" x14ac:dyDescent="0.25">
      <c r="A42">
        <v>32</v>
      </c>
      <c r="B42" s="16" t="s">
        <v>179</v>
      </c>
      <c r="C42" s="6"/>
      <c r="D42" s="6" t="s">
        <v>365</v>
      </c>
      <c r="E42" s="6" t="s">
        <v>35</v>
      </c>
      <c r="F42" s="6"/>
      <c r="G42" s="6"/>
      <c r="H42" s="6"/>
      <c r="I42" s="6"/>
      <c r="J42" s="6"/>
      <c r="K42" s="6"/>
      <c r="L42" s="6"/>
      <c r="M42" s="6"/>
      <c r="N42" s="6"/>
      <c r="O42" s="10"/>
      <c r="P42" s="6"/>
      <c r="Q42" s="6"/>
      <c r="R42" s="6"/>
      <c r="S42" s="6"/>
      <c r="T42" s="6"/>
      <c r="U42" s="6"/>
      <c r="V42" s="6"/>
      <c r="W42" s="10"/>
      <c r="X42" s="10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6"/>
      <c r="BN42" s="6"/>
      <c r="BO42" s="10">
        <v>3</v>
      </c>
      <c r="BP42" s="10"/>
      <c r="BQ42" s="10"/>
      <c r="BR42" s="10"/>
      <c r="BS42" s="10"/>
      <c r="BT42" s="10"/>
      <c r="BU42" s="6">
        <f>SUM(BN42:BT42)</f>
        <v>3</v>
      </c>
      <c r="BV42" s="6">
        <f>(BU42-BN42)/2</f>
        <v>1.5</v>
      </c>
      <c r="BW42" s="10"/>
      <c r="BX42" s="10"/>
      <c r="BY42" s="10"/>
      <c r="BZ42" s="10"/>
      <c r="CA42" s="10"/>
      <c r="CB42" s="10"/>
      <c r="CC42" s="6">
        <f t="shared" si="0"/>
        <v>1.5</v>
      </c>
    </row>
    <row r="43" spans="1:81" x14ac:dyDescent="0.25">
      <c r="A43">
        <v>33</v>
      </c>
      <c r="B43" s="16" t="s">
        <v>155</v>
      </c>
      <c r="C43" s="16"/>
      <c r="D43" s="6" t="s">
        <v>68</v>
      </c>
      <c r="E43" s="6" t="s">
        <v>139</v>
      </c>
      <c r="F43" s="6"/>
      <c r="G43" s="6"/>
      <c r="H43" s="6"/>
      <c r="I43" s="6"/>
      <c r="J43" s="6"/>
      <c r="K43" s="6"/>
      <c r="L43" s="6"/>
      <c r="M43" s="6"/>
      <c r="N43" s="6"/>
      <c r="O43" s="10"/>
      <c r="P43" s="6"/>
      <c r="Q43" s="6"/>
      <c r="R43" s="6"/>
      <c r="S43" s="6"/>
      <c r="T43" s="6"/>
      <c r="U43" s="6"/>
      <c r="V43" s="6"/>
      <c r="W43" s="10"/>
      <c r="X43" s="10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10"/>
      <c r="AZ43" s="10"/>
      <c r="BA43" s="10"/>
      <c r="BB43" s="10"/>
      <c r="BC43" s="10">
        <v>7.5</v>
      </c>
      <c r="BD43" s="10"/>
      <c r="BE43" s="10">
        <v>3</v>
      </c>
      <c r="BF43" s="10"/>
      <c r="BG43" s="10"/>
      <c r="BH43" s="10"/>
      <c r="BI43" s="10"/>
      <c r="BJ43" s="10"/>
      <c r="BK43" s="10"/>
      <c r="BL43" s="10"/>
      <c r="BM43" s="6">
        <f>SUM(AP43:BL43)</f>
        <v>10.5</v>
      </c>
      <c r="BN43" s="6">
        <f>(BM43-AP43)/2</f>
        <v>5.25</v>
      </c>
      <c r="BO43" s="10"/>
      <c r="BP43" s="10"/>
      <c r="BQ43" s="10"/>
      <c r="BR43" s="10"/>
      <c r="BS43" s="10"/>
      <c r="BT43" s="10"/>
      <c r="BU43" s="6">
        <f>SUM(BN43:BT43)</f>
        <v>5.25</v>
      </c>
      <c r="BV43" s="6">
        <f>(BU43-BN43)/2</f>
        <v>0</v>
      </c>
      <c r="BW43" s="10"/>
      <c r="BX43" s="10"/>
      <c r="BY43" s="10"/>
      <c r="BZ43" s="10"/>
      <c r="CA43" s="10"/>
      <c r="CB43" s="10"/>
      <c r="CC43" s="6">
        <f t="shared" si="0"/>
        <v>0</v>
      </c>
    </row>
    <row r="44" spans="1:81" x14ac:dyDescent="0.25">
      <c r="A44">
        <v>34</v>
      </c>
      <c r="B44" s="16" t="s">
        <v>111</v>
      </c>
      <c r="C44" s="16"/>
      <c r="D44" s="6" t="s">
        <v>254</v>
      </c>
      <c r="E44" s="6" t="s">
        <v>253</v>
      </c>
      <c r="F44" s="6"/>
      <c r="G44" s="6"/>
      <c r="H44" s="6"/>
      <c r="I44" s="6"/>
      <c r="J44" s="6"/>
      <c r="K44" s="6"/>
      <c r="L44" s="6"/>
      <c r="M44" s="6"/>
      <c r="N44" s="6"/>
      <c r="O44" s="10"/>
      <c r="P44" s="6"/>
      <c r="Q44" s="6"/>
      <c r="R44" s="6"/>
      <c r="S44" s="6"/>
      <c r="T44" s="6"/>
      <c r="U44" s="6"/>
      <c r="V44" s="6"/>
      <c r="W44" s="10"/>
      <c r="X44" s="10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3</v>
      </c>
      <c r="AW44" s="6"/>
      <c r="AX44" s="6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6">
        <f>SUM(AP44:BL44)</f>
        <v>3</v>
      </c>
      <c r="BN44" s="6">
        <f>(BM44-AP44)/2</f>
        <v>1.5</v>
      </c>
      <c r="BO44" s="10"/>
      <c r="BP44" s="10"/>
      <c r="BQ44" s="10"/>
      <c r="BR44" s="10"/>
      <c r="BS44" s="10"/>
      <c r="BT44" s="10"/>
      <c r="BU44" s="6">
        <f>SUM(BN44:BT44)</f>
        <v>1.5</v>
      </c>
      <c r="BV44" s="6">
        <f>(BU44-BN44)/2</f>
        <v>0</v>
      </c>
      <c r="BW44" s="10"/>
      <c r="BX44" s="10"/>
      <c r="BY44" s="10"/>
      <c r="BZ44" s="10"/>
      <c r="CA44" s="10"/>
      <c r="CB44" s="10"/>
      <c r="CC44" s="6">
        <f t="shared" si="0"/>
        <v>0</v>
      </c>
    </row>
  </sheetData>
  <sortState xmlns:xlrd2="http://schemas.microsoft.com/office/spreadsheetml/2017/richdata2" ref="B11:CC44">
    <sortCondition descending="1" ref="CC11:CC44"/>
  </sortState>
  <mergeCells count="5">
    <mergeCell ref="B8:C10"/>
    <mergeCell ref="BQ9:BT9"/>
    <mergeCell ref="BY9:CB9"/>
    <mergeCell ref="D4:CC5"/>
    <mergeCell ref="B1:CC1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J46"/>
  <sheetViews>
    <sheetView topLeftCell="A3" zoomScale="80" zoomScaleNormal="80" workbookViewId="0">
      <selection activeCell="CO28" sqref="CO28"/>
    </sheetView>
  </sheetViews>
  <sheetFormatPr baseColWidth="10" defaultRowHeight="15" x14ac:dyDescent="0.25"/>
  <cols>
    <col min="1" max="1" width="3.140625" bestFit="1" customWidth="1"/>
    <col min="2" max="2" width="13.42578125" bestFit="1" customWidth="1"/>
    <col min="4" max="4" width="14.28515625" bestFit="1" customWidth="1"/>
    <col min="5" max="5" width="18.7109375" bestFit="1" customWidth="1"/>
    <col min="6" max="9" width="6.42578125" hidden="1" customWidth="1"/>
    <col min="10" max="11" width="7.28515625" style="7" hidden="1" customWidth="1"/>
    <col min="12" max="15" width="6.28515625" style="7" hidden="1" customWidth="1"/>
    <col min="16" max="16" width="6.7109375" style="7" hidden="1" customWidth="1"/>
    <col min="17" max="20" width="7.28515625" style="7" hidden="1" customWidth="1"/>
    <col min="21" max="22" width="6" style="7" hidden="1" customWidth="1"/>
    <col min="23" max="24" width="6.5703125" style="7" hidden="1" customWidth="1"/>
    <col min="25" max="25" width="0" hidden="1" customWidth="1"/>
    <col min="26" max="26" width="0" style="7" hidden="1" customWidth="1"/>
    <col min="27" max="45" width="6" hidden="1" customWidth="1"/>
    <col min="46" max="46" width="6" style="7" hidden="1" customWidth="1"/>
    <col min="47" max="47" width="6.28515625" hidden="1" customWidth="1"/>
    <col min="48" max="48" width="0" hidden="1" customWidth="1"/>
    <col min="49" max="56" width="6" hidden="1" customWidth="1"/>
    <col min="57" max="64" width="6" style="7" hidden="1" customWidth="1"/>
    <col min="65" max="65" width="10.85546875" style="7" hidden="1" customWidth="1"/>
    <col min="66" max="71" width="6.140625" style="7" hidden="1" customWidth="1"/>
    <col min="72" max="73" width="0" hidden="1" customWidth="1"/>
    <col min="74" max="75" width="8.28515625" style="7" hidden="1" customWidth="1"/>
    <col min="76" max="76" width="7.85546875" style="7" hidden="1" customWidth="1"/>
    <col min="77" max="78" width="8.140625" style="7" hidden="1" customWidth="1"/>
    <col min="79" max="79" width="6.5703125" style="7" hidden="1" customWidth="1"/>
    <col min="82" max="82" width="7.28515625" style="7" customWidth="1"/>
    <col min="83" max="83" width="7.7109375" style="7" customWidth="1"/>
    <col min="84" max="84" width="6.28515625" style="7" customWidth="1"/>
    <col min="85" max="85" width="8" style="7" customWidth="1"/>
    <col min="87" max="87" width="11.42578125" style="7"/>
  </cols>
  <sheetData>
    <row r="1" spans="1:88" ht="26.25" x14ac:dyDescent="0.4">
      <c r="B1" s="34" t="s">
        <v>3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</row>
    <row r="2" spans="1:88" ht="15.75" thickBot="1" x14ac:dyDescent="0.3">
      <c r="C2" s="7"/>
      <c r="D2" s="7"/>
      <c r="E2" s="7"/>
    </row>
    <row r="3" spans="1:88" ht="15.75" thickTop="1" x14ac:dyDescent="0.25">
      <c r="B3" s="1" t="s">
        <v>0</v>
      </c>
      <c r="C3" s="4" t="s">
        <v>14</v>
      </c>
    </row>
    <row r="4" spans="1:88" ht="14.65" customHeight="1" x14ac:dyDescent="0.25">
      <c r="B4" s="2" t="s">
        <v>1</v>
      </c>
      <c r="C4" s="5" t="s">
        <v>12</v>
      </c>
      <c r="D4" s="32" t="s">
        <v>492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</row>
    <row r="5" spans="1:88" ht="15" customHeight="1" thickBot="1" x14ac:dyDescent="0.3">
      <c r="B5" s="3" t="s">
        <v>2</v>
      </c>
      <c r="C5" s="15">
        <v>-55</v>
      </c>
      <c r="D5" s="32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</row>
    <row r="6" spans="1:88" ht="15.75" thickTop="1" x14ac:dyDescent="0.25"/>
    <row r="7" spans="1:88" ht="15.75" thickBot="1" x14ac:dyDescent="0.3"/>
    <row r="8" spans="1:88" ht="15.75" thickTop="1" x14ac:dyDescent="0.25">
      <c r="B8" s="25" t="s">
        <v>9</v>
      </c>
      <c r="C8" s="26"/>
      <c r="D8" s="1"/>
      <c r="E8" s="1"/>
      <c r="F8" s="4" t="s">
        <v>10</v>
      </c>
      <c r="G8" s="4" t="s">
        <v>10</v>
      </c>
      <c r="H8" s="4" t="s">
        <v>10</v>
      </c>
      <c r="I8" s="4" t="s">
        <v>53</v>
      </c>
      <c r="J8" s="4" t="s">
        <v>66</v>
      </c>
      <c r="K8" s="4" t="s">
        <v>10</v>
      </c>
      <c r="L8" s="4" t="s">
        <v>85</v>
      </c>
      <c r="M8" s="4" t="s">
        <v>86</v>
      </c>
      <c r="N8" s="4" t="s">
        <v>92</v>
      </c>
      <c r="O8" s="4" t="s">
        <v>97</v>
      </c>
      <c r="P8" s="4" t="s">
        <v>10</v>
      </c>
      <c r="Q8" s="4" t="s">
        <v>10</v>
      </c>
      <c r="R8" s="4" t="s">
        <v>10</v>
      </c>
      <c r="S8" s="4" t="s">
        <v>10</v>
      </c>
      <c r="T8" s="4" t="s">
        <v>107</v>
      </c>
      <c r="U8" s="4" t="s">
        <v>10</v>
      </c>
      <c r="V8" s="4" t="s">
        <v>10</v>
      </c>
      <c r="W8" s="4" t="s">
        <v>112</v>
      </c>
      <c r="X8" s="4" t="s">
        <v>115</v>
      </c>
      <c r="Y8" s="1"/>
      <c r="Z8" s="12">
        <v>44927</v>
      </c>
      <c r="AA8" s="4" t="s">
        <v>10</v>
      </c>
      <c r="AB8" s="4" t="s">
        <v>10</v>
      </c>
      <c r="AC8" s="4" t="s">
        <v>115</v>
      </c>
      <c r="AD8" s="4" t="s">
        <v>10</v>
      </c>
      <c r="AE8" s="4" t="s">
        <v>10</v>
      </c>
      <c r="AF8" s="4" t="s">
        <v>151</v>
      </c>
      <c r="AG8" s="4" t="s">
        <v>151</v>
      </c>
      <c r="AH8" s="4" t="s">
        <v>151</v>
      </c>
      <c r="AI8" s="4" t="s">
        <v>10</v>
      </c>
      <c r="AJ8" s="4" t="s">
        <v>115</v>
      </c>
      <c r="AK8" s="4" t="s">
        <v>10</v>
      </c>
      <c r="AL8" s="4" t="s">
        <v>112</v>
      </c>
      <c r="AM8" s="4" t="s">
        <v>10</v>
      </c>
      <c r="AN8" s="4" t="s">
        <v>10</v>
      </c>
      <c r="AO8" s="4" t="s">
        <v>10</v>
      </c>
      <c r="AP8" s="4" t="s">
        <v>115</v>
      </c>
      <c r="AQ8" s="4" t="s">
        <v>10</v>
      </c>
      <c r="AR8" s="4" t="s">
        <v>10</v>
      </c>
      <c r="AS8" s="4" t="s">
        <v>10</v>
      </c>
      <c r="AT8" s="4" t="s">
        <v>116</v>
      </c>
      <c r="AU8" s="4" t="s">
        <v>6</v>
      </c>
      <c r="AV8" s="12">
        <v>45292</v>
      </c>
      <c r="AW8" s="12" t="s">
        <v>10</v>
      </c>
      <c r="AX8" s="12" t="s">
        <v>10</v>
      </c>
      <c r="AY8" s="12" t="s">
        <v>10</v>
      </c>
      <c r="AZ8" s="12" t="s">
        <v>10</v>
      </c>
      <c r="BA8" s="12" t="s">
        <v>10</v>
      </c>
      <c r="BB8" s="12" t="s">
        <v>10</v>
      </c>
      <c r="BC8" s="12" t="s">
        <v>115</v>
      </c>
      <c r="BD8" s="12" t="s">
        <v>10</v>
      </c>
      <c r="BE8" s="12" t="s">
        <v>115</v>
      </c>
      <c r="BF8" s="12" t="s">
        <v>151</v>
      </c>
      <c r="BG8" s="12" t="s">
        <v>151</v>
      </c>
      <c r="BH8" s="12" t="s">
        <v>151</v>
      </c>
      <c r="BI8" s="12" t="s">
        <v>115</v>
      </c>
      <c r="BJ8" s="12" t="s">
        <v>10</v>
      </c>
      <c r="BK8" s="12" t="s">
        <v>10</v>
      </c>
      <c r="BL8" s="12" t="s">
        <v>10</v>
      </c>
      <c r="BM8" s="12" t="s">
        <v>10</v>
      </c>
      <c r="BN8" s="12" t="s">
        <v>10</v>
      </c>
      <c r="BO8" s="12" t="s">
        <v>10</v>
      </c>
      <c r="BP8" s="12" t="s">
        <v>10</v>
      </c>
      <c r="BQ8" s="12" t="s">
        <v>115</v>
      </c>
      <c r="BR8" s="12" t="s">
        <v>114</v>
      </c>
      <c r="BS8" s="12" t="s">
        <v>116</v>
      </c>
      <c r="BT8" s="12" t="s">
        <v>6</v>
      </c>
      <c r="BU8" s="12">
        <v>45658</v>
      </c>
      <c r="BV8" s="12"/>
      <c r="BW8" s="12"/>
      <c r="BX8" s="17"/>
      <c r="BY8" s="18"/>
      <c r="BZ8" s="18"/>
      <c r="CA8" s="19"/>
      <c r="CB8" s="12" t="s">
        <v>6</v>
      </c>
      <c r="CC8" s="12">
        <v>46023</v>
      </c>
      <c r="CD8" s="12"/>
      <c r="CE8" s="12"/>
      <c r="CF8" s="17"/>
      <c r="CG8" s="18"/>
      <c r="CH8" s="20"/>
      <c r="CI8" s="19"/>
      <c r="CJ8" s="12" t="s">
        <v>6</v>
      </c>
    </row>
    <row r="9" spans="1:88" x14ac:dyDescent="0.25">
      <c r="B9" s="27"/>
      <c r="C9" s="28"/>
      <c r="D9" s="2"/>
      <c r="E9" s="2"/>
      <c r="F9" s="8" t="s">
        <v>11</v>
      </c>
      <c r="G9" s="8" t="s">
        <v>19</v>
      </c>
      <c r="H9" s="8" t="s">
        <v>43</v>
      </c>
      <c r="I9" s="8" t="s">
        <v>54</v>
      </c>
      <c r="J9" s="8" t="s">
        <v>67</v>
      </c>
      <c r="K9" s="8" t="s">
        <v>76</v>
      </c>
      <c r="L9" s="8" t="s">
        <v>83</v>
      </c>
      <c r="M9" s="8" t="s">
        <v>87</v>
      </c>
      <c r="N9" s="8" t="s">
        <v>93</v>
      </c>
      <c r="O9" s="8" t="s">
        <v>54</v>
      </c>
      <c r="P9" s="8" t="s">
        <v>19</v>
      </c>
      <c r="Q9" s="8" t="s">
        <v>76</v>
      </c>
      <c r="R9" s="8" t="s">
        <v>11</v>
      </c>
      <c r="S9" s="8" t="s">
        <v>102</v>
      </c>
      <c r="T9" s="8" t="s">
        <v>108</v>
      </c>
      <c r="U9" s="8" t="s">
        <v>102</v>
      </c>
      <c r="V9" s="8" t="s">
        <v>43</v>
      </c>
      <c r="W9" s="8" t="s">
        <v>113</v>
      </c>
      <c r="X9" s="8" t="s">
        <v>116</v>
      </c>
      <c r="Y9" s="2" t="s">
        <v>6</v>
      </c>
      <c r="Z9" s="5"/>
      <c r="AA9" s="8" t="s">
        <v>32</v>
      </c>
      <c r="AB9" s="5" t="s">
        <v>99</v>
      </c>
      <c r="AC9" s="8" t="s">
        <v>85</v>
      </c>
      <c r="AD9" s="8" t="s">
        <v>81</v>
      </c>
      <c r="AE9" s="8" t="s">
        <v>102</v>
      </c>
      <c r="AF9" s="8" t="s">
        <v>86</v>
      </c>
      <c r="AG9" s="8" t="s">
        <v>92</v>
      </c>
      <c r="AH9" s="8" t="s">
        <v>85</v>
      </c>
      <c r="AI9" s="8" t="s">
        <v>76</v>
      </c>
      <c r="AJ9" s="8" t="s">
        <v>86</v>
      </c>
      <c r="AK9" s="8" t="s">
        <v>32</v>
      </c>
      <c r="AL9" s="8" t="s">
        <v>170</v>
      </c>
      <c r="AM9" s="8" t="s">
        <v>102</v>
      </c>
      <c r="AN9" s="8" t="s">
        <v>81</v>
      </c>
      <c r="AO9" s="8" t="s">
        <v>99</v>
      </c>
      <c r="AP9" s="8" t="s">
        <v>92</v>
      </c>
      <c r="AQ9" s="8" t="s">
        <v>76</v>
      </c>
      <c r="AR9" s="8" t="s">
        <v>188</v>
      </c>
      <c r="AS9" s="8" t="s">
        <v>11</v>
      </c>
      <c r="AT9" s="8"/>
      <c r="AU9" s="2"/>
      <c r="AV9" s="5"/>
      <c r="AW9" s="5" t="s">
        <v>99</v>
      </c>
      <c r="AX9" s="5" t="s">
        <v>195</v>
      </c>
      <c r="AY9" s="5" t="s">
        <v>81</v>
      </c>
      <c r="AZ9" s="5" t="s">
        <v>76</v>
      </c>
      <c r="BA9" s="5" t="s">
        <v>19</v>
      </c>
      <c r="BB9" s="5" t="s">
        <v>32</v>
      </c>
      <c r="BC9" s="5" t="s">
        <v>86</v>
      </c>
      <c r="BD9" s="5" t="s">
        <v>188</v>
      </c>
      <c r="BE9" s="5" t="s">
        <v>267</v>
      </c>
      <c r="BF9" s="5" t="s">
        <v>86</v>
      </c>
      <c r="BG9" s="5" t="s">
        <v>85</v>
      </c>
      <c r="BH9" s="5" t="s">
        <v>92</v>
      </c>
      <c r="BI9" s="5" t="s">
        <v>85</v>
      </c>
      <c r="BJ9" s="5" t="s">
        <v>81</v>
      </c>
      <c r="BK9" s="5" t="s">
        <v>19</v>
      </c>
      <c r="BL9" s="5" t="s">
        <v>195</v>
      </c>
      <c r="BM9" s="5" t="s">
        <v>177</v>
      </c>
      <c r="BN9" s="5" t="s">
        <v>32</v>
      </c>
      <c r="BO9" s="5" t="s">
        <v>76</v>
      </c>
      <c r="BP9" s="5" t="s">
        <v>294</v>
      </c>
      <c r="BQ9" s="5" t="s">
        <v>92</v>
      </c>
      <c r="BR9" s="5" t="s">
        <v>301</v>
      </c>
      <c r="BS9" s="5" t="s">
        <v>303</v>
      </c>
      <c r="BT9" s="5"/>
      <c r="BU9" s="5"/>
      <c r="BV9" s="8" t="s">
        <v>10</v>
      </c>
      <c r="BW9" s="8" t="s">
        <v>151</v>
      </c>
      <c r="BX9" s="29" t="s">
        <v>305</v>
      </c>
      <c r="BY9" s="30"/>
      <c r="BZ9" s="30"/>
      <c r="CA9" s="31"/>
      <c r="CB9" s="5"/>
      <c r="CC9" s="5"/>
      <c r="CD9" s="8" t="s">
        <v>10</v>
      </c>
      <c r="CE9" s="8" t="s">
        <v>151</v>
      </c>
      <c r="CF9" s="29" t="s">
        <v>305</v>
      </c>
      <c r="CG9" s="30"/>
      <c r="CH9" s="30"/>
      <c r="CI9" s="31"/>
      <c r="CJ9" s="5"/>
    </row>
    <row r="10" spans="1:88" x14ac:dyDescent="0.25">
      <c r="B10" s="27"/>
      <c r="C10" s="28"/>
      <c r="D10" s="2" t="s">
        <v>4</v>
      </c>
      <c r="E10" s="2" t="s">
        <v>5</v>
      </c>
      <c r="F10" s="9">
        <v>44653</v>
      </c>
      <c r="G10" s="9">
        <v>44660</v>
      </c>
      <c r="H10" s="9">
        <v>44674</v>
      </c>
      <c r="I10" s="9">
        <v>44681</v>
      </c>
      <c r="J10" s="9">
        <v>44696</v>
      </c>
      <c r="K10" s="9">
        <v>44709</v>
      </c>
      <c r="L10" s="9">
        <v>44730</v>
      </c>
      <c r="M10" s="9">
        <v>44730</v>
      </c>
      <c r="N10" s="9">
        <v>44737</v>
      </c>
      <c r="O10" s="9">
        <v>44759</v>
      </c>
      <c r="P10" s="9">
        <v>44793</v>
      </c>
      <c r="Q10" s="9">
        <v>44814</v>
      </c>
      <c r="R10" s="9">
        <v>44814</v>
      </c>
      <c r="S10" s="9">
        <v>44814</v>
      </c>
      <c r="T10" s="9">
        <v>44828</v>
      </c>
      <c r="U10" s="9">
        <v>44856</v>
      </c>
      <c r="V10" s="9">
        <v>44863</v>
      </c>
      <c r="W10" s="9">
        <v>44869</v>
      </c>
      <c r="X10" s="9">
        <v>44905</v>
      </c>
      <c r="Y10" s="2">
        <v>2022</v>
      </c>
      <c r="Z10" s="5"/>
      <c r="AA10" s="14" t="s">
        <v>120</v>
      </c>
      <c r="AB10" s="5" t="s">
        <v>124</v>
      </c>
      <c r="AC10" s="2" t="s">
        <v>129</v>
      </c>
      <c r="AD10" s="2" t="s">
        <v>146</v>
      </c>
      <c r="AE10" s="2" t="s">
        <v>145</v>
      </c>
      <c r="AF10" s="2" t="s">
        <v>152</v>
      </c>
      <c r="AG10" s="2" t="s">
        <v>156</v>
      </c>
      <c r="AH10" s="2" t="s">
        <v>158</v>
      </c>
      <c r="AI10" s="2" t="s">
        <v>160</v>
      </c>
      <c r="AJ10" s="2" t="s">
        <v>164</v>
      </c>
      <c r="AK10" s="2" t="s">
        <v>169</v>
      </c>
      <c r="AL10" s="2" t="s">
        <v>171</v>
      </c>
      <c r="AM10" s="2" t="s">
        <v>172</v>
      </c>
      <c r="AN10" s="2" t="s">
        <v>172</v>
      </c>
      <c r="AO10" s="2" t="s">
        <v>176</v>
      </c>
      <c r="AP10" s="2" t="s">
        <v>181</v>
      </c>
      <c r="AQ10" s="2" t="s">
        <v>187</v>
      </c>
      <c r="AR10" s="2" t="s">
        <v>189</v>
      </c>
      <c r="AS10" s="5" t="s">
        <v>190</v>
      </c>
      <c r="AT10" s="5" t="s">
        <v>194</v>
      </c>
      <c r="AU10" s="14">
        <v>2023</v>
      </c>
      <c r="AV10" s="13"/>
      <c r="AW10" s="13" t="s">
        <v>196</v>
      </c>
      <c r="AX10" s="13" t="s">
        <v>196</v>
      </c>
      <c r="AY10" s="13" t="s">
        <v>196</v>
      </c>
      <c r="AZ10" s="13" t="s">
        <v>196</v>
      </c>
      <c r="BA10" s="13" t="s">
        <v>233</v>
      </c>
      <c r="BB10" s="13" t="s">
        <v>246</v>
      </c>
      <c r="BC10" s="13" t="s">
        <v>264</v>
      </c>
      <c r="BD10" s="13" t="s">
        <v>268</v>
      </c>
      <c r="BE10" s="13" t="s">
        <v>268</v>
      </c>
      <c r="BF10" s="13" t="s">
        <v>269</v>
      </c>
      <c r="BG10" s="13" t="s">
        <v>269</v>
      </c>
      <c r="BH10" s="13" t="s">
        <v>273</v>
      </c>
      <c r="BI10" s="13" t="s">
        <v>277</v>
      </c>
      <c r="BJ10" s="13" t="s">
        <v>171</v>
      </c>
      <c r="BK10" s="13" t="s">
        <v>283</v>
      </c>
      <c r="BL10" s="13" t="s">
        <v>283</v>
      </c>
      <c r="BM10" s="13" t="s">
        <v>284</v>
      </c>
      <c r="BN10" s="13" t="s">
        <v>287</v>
      </c>
      <c r="BO10" s="13" t="s">
        <v>290</v>
      </c>
      <c r="BP10" s="13" t="s">
        <v>295</v>
      </c>
      <c r="BQ10" s="13" t="s">
        <v>296</v>
      </c>
      <c r="BR10" s="13" t="s">
        <v>302</v>
      </c>
      <c r="BS10" s="13" t="s">
        <v>304</v>
      </c>
      <c r="BT10" s="13">
        <v>2024</v>
      </c>
      <c r="BU10" s="5"/>
      <c r="BV10" s="5"/>
      <c r="BW10" s="5"/>
      <c r="BX10" s="5">
        <v>1</v>
      </c>
      <c r="BY10" s="5">
        <v>2</v>
      </c>
      <c r="BZ10" s="5">
        <v>3</v>
      </c>
      <c r="CA10" s="5">
        <v>4</v>
      </c>
      <c r="CB10" s="5">
        <v>2025</v>
      </c>
      <c r="CC10" s="5"/>
      <c r="CD10" s="5"/>
      <c r="CE10" s="5"/>
      <c r="CF10" s="5">
        <v>1</v>
      </c>
      <c r="CG10" s="5">
        <v>2</v>
      </c>
      <c r="CH10" s="5">
        <v>3</v>
      </c>
      <c r="CI10" s="5">
        <v>4</v>
      </c>
      <c r="CJ10" s="5">
        <v>2026</v>
      </c>
    </row>
    <row r="11" spans="1:88" x14ac:dyDescent="0.25">
      <c r="A11">
        <v>1</v>
      </c>
      <c r="B11" s="10" t="s">
        <v>65</v>
      </c>
      <c r="C11" s="6"/>
      <c r="D11" s="6" t="s">
        <v>362</v>
      </c>
      <c r="E11" s="6" t="s">
        <v>35</v>
      </c>
      <c r="F11" s="6"/>
      <c r="G11" s="6"/>
      <c r="H11" s="6"/>
      <c r="I11" s="6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6"/>
      <c r="Z11" s="10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10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6"/>
      <c r="BU11" s="6"/>
      <c r="BV11" s="10"/>
      <c r="BW11" s="10"/>
      <c r="BX11" s="10"/>
      <c r="BY11" s="10"/>
      <c r="BZ11" s="10"/>
      <c r="CA11" s="10"/>
      <c r="CB11" s="6"/>
      <c r="CC11" s="6">
        <v>199</v>
      </c>
      <c r="CD11" s="10">
        <v>48</v>
      </c>
      <c r="CE11" s="10">
        <v>80</v>
      </c>
      <c r="CF11" s="10">
        <v>150</v>
      </c>
      <c r="CG11" s="10"/>
      <c r="CH11" s="6"/>
      <c r="CI11" s="10"/>
      <c r="CJ11" s="6">
        <f t="shared" ref="CJ11:CJ46" si="0">SUM(CC11:CI11)</f>
        <v>477</v>
      </c>
    </row>
    <row r="12" spans="1:88" x14ac:dyDescent="0.25">
      <c r="A12">
        <v>2</v>
      </c>
      <c r="B12" s="10" t="s">
        <v>40</v>
      </c>
      <c r="C12" s="6"/>
      <c r="D12" s="6" t="s">
        <v>135</v>
      </c>
      <c r="E12" s="6" t="s">
        <v>69</v>
      </c>
      <c r="F12" s="6"/>
      <c r="G12" s="6"/>
      <c r="H12" s="6"/>
      <c r="I12" s="6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6"/>
      <c r="Z12" s="10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10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6"/>
      <c r="BU12" s="6">
        <v>140.75</v>
      </c>
      <c r="BV12" s="10">
        <v>33.6</v>
      </c>
      <c r="BW12" s="10"/>
      <c r="BX12" s="10">
        <v>75</v>
      </c>
      <c r="BY12" s="10">
        <v>70</v>
      </c>
      <c r="BZ12" s="10">
        <v>54</v>
      </c>
      <c r="CA12" s="10"/>
      <c r="CB12" s="6">
        <f>SUM(BU12:CA12)</f>
        <v>373.35</v>
      </c>
      <c r="CC12" s="6">
        <f>(CB12-BU12)/2</f>
        <v>116.30000000000001</v>
      </c>
      <c r="CD12" s="10">
        <v>36</v>
      </c>
      <c r="CE12" s="10">
        <v>64</v>
      </c>
      <c r="CF12" s="10">
        <v>105</v>
      </c>
      <c r="CG12" s="10">
        <v>70</v>
      </c>
      <c r="CH12" s="6"/>
      <c r="CI12" s="10"/>
      <c r="CJ12" s="6">
        <f t="shared" si="0"/>
        <v>391.3</v>
      </c>
    </row>
    <row r="13" spans="1:88" x14ac:dyDescent="0.25">
      <c r="A13">
        <v>3</v>
      </c>
      <c r="B13" s="10" t="s">
        <v>209</v>
      </c>
      <c r="C13" s="6"/>
      <c r="D13" s="6" t="s">
        <v>361</v>
      </c>
      <c r="E13" s="6" t="s">
        <v>36</v>
      </c>
      <c r="F13" s="6"/>
      <c r="G13" s="6"/>
      <c r="H13" s="6"/>
      <c r="I13" s="6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6"/>
      <c r="Z13" s="10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10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6"/>
      <c r="BU13" s="6"/>
      <c r="BV13" s="10">
        <v>2.4</v>
      </c>
      <c r="BW13" s="10">
        <v>3.2</v>
      </c>
      <c r="BX13" s="10">
        <v>75</v>
      </c>
      <c r="BY13" s="10">
        <v>100</v>
      </c>
      <c r="BZ13" s="10">
        <v>75</v>
      </c>
      <c r="CA13" s="10">
        <v>54</v>
      </c>
      <c r="CB13" s="6">
        <f>SUM(BU13:CA13)</f>
        <v>309.60000000000002</v>
      </c>
      <c r="CC13" s="6">
        <f>(CB13-BU13)/2</f>
        <v>154.80000000000001</v>
      </c>
      <c r="CD13" s="10"/>
      <c r="CE13" s="10">
        <v>56</v>
      </c>
      <c r="CF13" s="10">
        <v>39</v>
      </c>
      <c r="CG13" s="10">
        <v>100</v>
      </c>
      <c r="CH13" s="6"/>
      <c r="CI13" s="10"/>
      <c r="CJ13" s="6">
        <f t="shared" si="0"/>
        <v>349.8</v>
      </c>
    </row>
    <row r="14" spans="1:88" x14ac:dyDescent="0.25">
      <c r="A14">
        <v>4</v>
      </c>
      <c r="B14" s="10" t="s">
        <v>554</v>
      </c>
      <c r="C14" s="6"/>
      <c r="D14" s="6" t="s">
        <v>70</v>
      </c>
      <c r="E14" s="6" t="s">
        <v>553</v>
      </c>
      <c r="F14" s="6"/>
      <c r="G14" s="6"/>
      <c r="H14" s="6"/>
      <c r="I14" s="6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6"/>
      <c r="Z14" s="10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10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6"/>
      <c r="BU14" s="6"/>
      <c r="BV14" s="10"/>
      <c r="BW14" s="10"/>
      <c r="BX14" s="10"/>
      <c r="BY14" s="10"/>
      <c r="BZ14" s="10"/>
      <c r="CA14" s="10"/>
      <c r="CB14" s="6"/>
      <c r="CC14" s="6">
        <v>169.5</v>
      </c>
      <c r="CD14" s="10">
        <v>48</v>
      </c>
      <c r="CE14" s="10"/>
      <c r="CF14" s="10">
        <v>54</v>
      </c>
      <c r="CG14" s="10"/>
      <c r="CH14" s="6"/>
      <c r="CI14" s="10"/>
      <c r="CJ14" s="6">
        <f t="shared" si="0"/>
        <v>271.5</v>
      </c>
    </row>
    <row r="15" spans="1:88" x14ac:dyDescent="0.25">
      <c r="A15">
        <v>5</v>
      </c>
      <c r="B15" s="10" t="s">
        <v>55</v>
      </c>
      <c r="C15" s="6"/>
      <c r="D15" s="6" t="s">
        <v>437</v>
      </c>
      <c r="E15" s="6" t="s">
        <v>316</v>
      </c>
      <c r="F15" s="6"/>
      <c r="G15" s="6"/>
      <c r="H15" s="6"/>
      <c r="I15" s="6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6"/>
      <c r="Z15" s="10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10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6"/>
      <c r="BU15" s="6"/>
      <c r="BV15" s="10"/>
      <c r="BW15" s="10"/>
      <c r="BX15" s="10"/>
      <c r="BY15" s="10"/>
      <c r="BZ15" s="10"/>
      <c r="CA15" s="10"/>
      <c r="CB15" s="6">
        <v>260</v>
      </c>
      <c r="CC15" s="6">
        <f>CB15/2</f>
        <v>130</v>
      </c>
      <c r="CD15" s="10">
        <v>30</v>
      </c>
      <c r="CE15" s="10">
        <v>56</v>
      </c>
      <c r="CF15" s="10">
        <v>39</v>
      </c>
      <c r="CG15" s="10">
        <v>5</v>
      </c>
      <c r="CH15" s="6"/>
      <c r="CI15" s="10"/>
      <c r="CJ15" s="6">
        <f t="shared" si="0"/>
        <v>260</v>
      </c>
    </row>
    <row r="16" spans="1:88" x14ac:dyDescent="0.25">
      <c r="A16">
        <v>6</v>
      </c>
      <c r="B16" s="10" t="s">
        <v>446</v>
      </c>
      <c r="C16" s="6"/>
      <c r="D16" s="6" t="s">
        <v>140</v>
      </c>
      <c r="E16" s="6" t="s">
        <v>491</v>
      </c>
      <c r="F16" s="6"/>
      <c r="G16" s="6"/>
      <c r="H16" s="6"/>
      <c r="I16" s="6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6"/>
      <c r="Z16" s="10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10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6"/>
      <c r="BU16" s="6"/>
      <c r="BV16" s="10">
        <v>33.6</v>
      </c>
      <c r="BW16" s="10">
        <v>80</v>
      </c>
      <c r="BX16" s="10">
        <v>36</v>
      </c>
      <c r="BY16" s="10">
        <v>7.5</v>
      </c>
      <c r="BZ16" s="10">
        <v>3.2</v>
      </c>
      <c r="CA16" s="10"/>
      <c r="CB16" s="6">
        <f>SUM(BU16:CA16)</f>
        <v>160.29999999999998</v>
      </c>
      <c r="CC16" s="6">
        <f>(CB16-BU16)/2</f>
        <v>80.149999999999991</v>
      </c>
      <c r="CD16" s="10">
        <v>60</v>
      </c>
      <c r="CE16" s="10">
        <v>40</v>
      </c>
      <c r="CF16" s="10">
        <v>7.5</v>
      </c>
      <c r="CG16" s="10">
        <v>42</v>
      </c>
      <c r="CH16" s="6"/>
      <c r="CI16" s="10"/>
      <c r="CJ16" s="6">
        <f t="shared" si="0"/>
        <v>229.64999999999998</v>
      </c>
    </row>
    <row r="17" spans="1:88" x14ac:dyDescent="0.25">
      <c r="A17">
        <v>7</v>
      </c>
      <c r="B17" s="10" t="s">
        <v>588</v>
      </c>
      <c r="C17" s="6"/>
      <c r="D17" s="6" t="s">
        <v>28</v>
      </c>
      <c r="E17" s="6" t="s">
        <v>8</v>
      </c>
      <c r="F17" s="6"/>
      <c r="G17" s="6"/>
      <c r="H17" s="6"/>
      <c r="I17" s="6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6"/>
      <c r="Z17" s="10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10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6"/>
      <c r="BU17" s="6"/>
      <c r="BV17" s="10"/>
      <c r="BW17" s="10"/>
      <c r="BX17" s="10"/>
      <c r="BY17" s="10"/>
      <c r="BZ17" s="10"/>
      <c r="CA17" s="10"/>
      <c r="CB17" s="6"/>
      <c r="CC17" s="6">
        <f>243/2</f>
        <v>121.5</v>
      </c>
      <c r="CD17" s="10">
        <v>36</v>
      </c>
      <c r="CE17" s="10">
        <v>3.2</v>
      </c>
      <c r="CF17" s="10">
        <v>54</v>
      </c>
      <c r="CG17" s="10"/>
      <c r="CH17" s="6"/>
      <c r="CI17" s="10"/>
      <c r="CJ17" s="6">
        <f t="shared" si="0"/>
        <v>214.7</v>
      </c>
    </row>
    <row r="18" spans="1:88" x14ac:dyDescent="0.25">
      <c r="A18" s="22">
        <v>8</v>
      </c>
      <c r="B18" s="10" t="s">
        <v>432</v>
      </c>
      <c r="C18" s="6"/>
      <c r="D18" s="6" t="s">
        <v>234</v>
      </c>
      <c r="E18" s="6" t="s">
        <v>35</v>
      </c>
      <c r="F18" s="6"/>
      <c r="G18" s="6"/>
      <c r="H18" s="6"/>
      <c r="I18" s="6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6"/>
      <c r="Z18" s="10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10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6"/>
      <c r="BU18" s="6"/>
      <c r="BV18" s="10"/>
      <c r="BW18" s="10"/>
      <c r="BX18" s="10"/>
      <c r="BY18" s="10"/>
      <c r="BZ18" s="10"/>
      <c r="CA18" s="10"/>
      <c r="CB18" s="6"/>
      <c r="CC18" s="6">
        <v>66.45</v>
      </c>
      <c r="CD18" s="10">
        <v>2.4</v>
      </c>
      <c r="CE18" s="10">
        <v>40</v>
      </c>
      <c r="CF18" s="10">
        <v>75</v>
      </c>
      <c r="CG18" s="10"/>
      <c r="CH18" s="6"/>
      <c r="CI18" s="10">
        <v>5</v>
      </c>
      <c r="CJ18" s="6">
        <f t="shared" si="0"/>
        <v>188.85000000000002</v>
      </c>
    </row>
    <row r="19" spans="1:88" x14ac:dyDescent="0.25">
      <c r="A19">
        <v>9</v>
      </c>
      <c r="B19" s="16" t="s">
        <v>314</v>
      </c>
      <c r="C19" s="16"/>
      <c r="D19" s="6" t="s">
        <v>270</v>
      </c>
      <c r="E19" s="6" t="s">
        <v>491</v>
      </c>
      <c r="F19" s="6"/>
      <c r="G19" s="6"/>
      <c r="H19" s="6"/>
      <c r="I19" s="6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6"/>
      <c r="Z19" s="10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10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6"/>
      <c r="BU19" s="6"/>
      <c r="BV19" s="10"/>
      <c r="BW19" s="10"/>
      <c r="BX19" s="10">
        <v>10</v>
      </c>
      <c r="BY19" s="10"/>
      <c r="BZ19" s="10"/>
      <c r="CA19" s="10"/>
      <c r="CB19" s="6">
        <v>105.6</v>
      </c>
      <c r="CC19" s="6">
        <f>(CB19-BU19)/2</f>
        <v>52.8</v>
      </c>
      <c r="CD19" s="10">
        <v>60</v>
      </c>
      <c r="CE19" s="10"/>
      <c r="CF19" s="10">
        <v>7.5</v>
      </c>
      <c r="CG19" s="10">
        <v>42</v>
      </c>
      <c r="CH19" s="6"/>
      <c r="CI19" s="10"/>
      <c r="CJ19" s="6">
        <f t="shared" si="0"/>
        <v>162.30000000000001</v>
      </c>
    </row>
    <row r="20" spans="1:88" x14ac:dyDescent="0.25">
      <c r="A20">
        <v>10</v>
      </c>
      <c r="B20" s="16" t="s">
        <v>155</v>
      </c>
      <c r="C20" s="6"/>
      <c r="D20" s="6" t="s">
        <v>135</v>
      </c>
      <c r="E20" s="6" t="s">
        <v>35</v>
      </c>
      <c r="F20" s="6"/>
      <c r="G20" s="6"/>
      <c r="H20" s="6"/>
      <c r="I20" s="6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6"/>
      <c r="Z20" s="10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10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6"/>
      <c r="BU20" s="6"/>
      <c r="BV20" s="10"/>
      <c r="BW20" s="10">
        <v>64</v>
      </c>
      <c r="BX20" s="10">
        <v>75</v>
      </c>
      <c r="BY20" s="10">
        <v>75</v>
      </c>
      <c r="BZ20" s="10">
        <v>100</v>
      </c>
      <c r="CA20" s="10"/>
      <c r="CB20" s="6">
        <f>SUM(BU20:CA20)</f>
        <v>314</v>
      </c>
      <c r="CC20" s="6">
        <f>(CB20-BU20)/2</f>
        <v>157</v>
      </c>
      <c r="CD20" s="10"/>
      <c r="CE20" s="10"/>
      <c r="CF20" s="10"/>
      <c r="CG20" s="10"/>
      <c r="CH20" s="6"/>
      <c r="CI20" s="10"/>
      <c r="CJ20" s="6">
        <f t="shared" si="0"/>
        <v>157</v>
      </c>
    </row>
    <row r="21" spans="1:88" x14ac:dyDescent="0.25">
      <c r="A21">
        <v>11</v>
      </c>
      <c r="B21" s="10" t="s">
        <v>533</v>
      </c>
      <c r="C21" s="6"/>
      <c r="D21" s="6" t="s">
        <v>49</v>
      </c>
      <c r="E21" s="6" t="s">
        <v>56</v>
      </c>
      <c r="F21" s="6"/>
      <c r="G21" s="6"/>
      <c r="H21" s="6"/>
      <c r="I21" s="6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6"/>
      <c r="Z21" s="10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10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6"/>
      <c r="BU21" s="6"/>
      <c r="BV21" s="10"/>
      <c r="BW21" s="10"/>
      <c r="BX21" s="10"/>
      <c r="BY21" s="10"/>
      <c r="BZ21" s="10"/>
      <c r="CA21" s="10"/>
      <c r="CB21" s="6"/>
      <c r="CC21" s="6">
        <f>187.5/2</f>
        <v>93.75</v>
      </c>
      <c r="CD21" s="10">
        <v>30</v>
      </c>
      <c r="CE21" s="10">
        <v>4</v>
      </c>
      <c r="CF21" s="10">
        <v>7.5</v>
      </c>
      <c r="CG21" s="10"/>
      <c r="CH21" s="6"/>
      <c r="CI21" s="10"/>
      <c r="CJ21" s="6">
        <f t="shared" si="0"/>
        <v>135.25</v>
      </c>
    </row>
    <row r="22" spans="1:88" x14ac:dyDescent="0.25">
      <c r="A22">
        <v>12</v>
      </c>
      <c r="B22" s="10" t="s">
        <v>389</v>
      </c>
      <c r="C22" s="6"/>
      <c r="D22" s="6" t="s">
        <v>105</v>
      </c>
      <c r="E22" s="6" t="s">
        <v>84</v>
      </c>
      <c r="F22" s="6"/>
      <c r="G22" s="6"/>
      <c r="H22" s="6"/>
      <c r="I22" s="6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6"/>
      <c r="Z22" s="10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10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6"/>
      <c r="BU22" s="6"/>
      <c r="BV22" s="10">
        <v>2.4</v>
      </c>
      <c r="BW22" s="10"/>
      <c r="BX22" s="10"/>
      <c r="BY22" s="10"/>
      <c r="BZ22" s="10"/>
      <c r="CA22" s="10"/>
      <c r="CB22" s="6">
        <f>SUM(BU22:CA22)</f>
        <v>2.4</v>
      </c>
      <c r="CC22" s="6">
        <f>(CB22-BU22)/2</f>
        <v>1.2</v>
      </c>
      <c r="CD22" s="10">
        <v>36</v>
      </c>
      <c r="CE22" s="10">
        <v>80</v>
      </c>
      <c r="CF22" s="10"/>
      <c r="CG22" s="10"/>
      <c r="CH22" s="6"/>
      <c r="CI22" s="10"/>
      <c r="CJ22" s="6">
        <f t="shared" si="0"/>
        <v>117.2</v>
      </c>
    </row>
    <row r="23" spans="1:88" x14ac:dyDescent="0.25">
      <c r="A23">
        <v>13</v>
      </c>
      <c r="B23" s="10" t="s">
        <v>219</v>
      </c>
      <c r="C23" s="6"/>
      <c r="D23" s="6" t="s">
        <v>17</v>
      </c>
      <c r="E23" s="6" t="s">
        <v>64</v>
      </c>
      <c r="F23" s="6"/>
      <c r="G23" s="6"/>
      <c r="H23" s="6"/>
      <c r="I23" s="6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6"/>
      <c r="Z23" s="10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10"/>
      <c r="AU23" s="6"/>
      <c r="AV23" s="6"/>
      <c r="AW23" s="6">
        <v>36</v>
      </c>
      <c r="AX23" s="6"/>
      <c r="AY23" s="6"/>
      <c r="AZ23" s="6"/>
      <c r="BA23" s="6"/>
      <c r="BB23" s="6"/>
      <c r="BC23" s="6">
        <v>105</v>
      </c>
      <c r="BD23" s="6"/>
      <c r="BE23" s="10">
        <v>5</v>
      </c>
      <c r="BF23" s="10">
        <v>48</v>
      </c>
      <c r="BG23" s="10"/>
      <c r="BH23" s="10"/>
      <c r="BI23" s="10">
        <v>7.5</v>
      </c>
      <c r="BJ23" s="10"/>
      <c r="BK23" s="10"/>
      <c r="BL23" s="10"/>
      <c r="BM23" s="10"/>
      <c r="BN23" s="10"/>
      <c r="BO23" s="10"/>
      <c r="BP23" s="10">
        <v>33.6</v>
      </c>
      <c r="BQ23" s="10">
        <v>54</v>
      </c>
      <c r="BR23" s="10"/>
      <c r="BS23" s="10">
        <v>10</v>
      </c>
      <c r="BT23" s="6">
        <f>SUM(AV23:BS23)</f>
        <v>299.10000000000002</v>
      </c>
      <c r="BU23" s="6">
        <f>(BT23-AV23)/2</f>
        <v>149.55000000000001</v>
      </c>
      <c r="BV23" s="10">
        <v>48</v>
      </c>
      <c r="BW23" s="10"/>
      <c r="BX23" s="10">
        <v>39</v>
      </c>
      <c r="BY23" s="10">
        <v>75</v>
      </c>
      <c r="BZ23" s="10">
        <v>72</v>
      </c>
      <c r="CA23" s="10"/>
      <c r="CB23" s="6">
        <f>SUM(BU23:CA23)</f>
        <v>383.55</v>
      </c>
      <c r="CC23" s="6">
        <f>(CB23-BU23)/2</f>
        <v>117</v>
      </c>
      <c r="CD23" s="10"/>
      <c r="CE23" s="10"/>
      <c r="CF23" s="10"/>
      <c r="CG23" s="10"/>
      <c r="CH23" s="6"/>
      <c r="CI23" s="10"/>
      <c r="CJ23" s="6">
        <f t="shared" si="0"/>
        <v>117</v>
      </c>
    </row>
    <row r="24" spans="1:88" x14ac:dyDescent="0.25">
      <c r="A24">
        <v>14</v>
      </c>
      <c r="B24" s="10" t="s">
        <v>519</v>
      </c>
      <c r="C24" s="6"/>
      <c r="D24" s="6" t="s">
        <v>575</v>
      </c>
      <c r="E24" s="6" t="s">
        <v>576</v>
      </c>
      <c r="F24" s="6"/>
      <c r="G24" s="6"/>
      <c r="H24" s="6"/>
      <c r="I24" s="6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6"/>
      <c r="Z24" s="10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10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6"/>
      <c r="BU24" s="6"/>
      <c r="BV24" s="10"/>
      <c r="BW24" s="10"/>
      <c r="BX24" s="10"/>
      <c r="BY24" s="10"/>
      <c r="BZ24" s="10"/>
      <c r="CA24" s="10"/>
      <c r="CB24" s="6"/>
      <c r="CC24" s="6"/>
      <c r="CD24" s="10">
        <v>36</v>
      </c>
      <c r="CE24" s="10"/>
      <c r="CF24" s="10">
        <v>75</v>
      </c>
      <c r="CG24" s="10"/>
      <c r="CH24" s="6"/>
      <c r="CI24" s="10"/>
      <c r="CJ24" s="6">
        <f t="shared" si="0"/>
        <v>111</v>
      </c>
    </row>
    <row r="25" spans="1:88" x14ac:dyDescent="0.25">
      <c r="A25">
        <v>15</v>
      </c>
      <c r="B25" s="10" t="s">
        <v>530</v>
      </c>
      <c r="C25" s="6"/>
      <c r="D25" s="6" t="s">
        <v>531</v>
      </c>
      <c r="E25" s="6" t="s">
        <v>56</v>
      </c>
      <c r="F25" s="6"/>
      <c r="G25" s="6"/>
      <c r="H25" s="6"/>
      <c r="I25" s="6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6"/>
      <c r="Z25" s="10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10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6"/>
      <c r="BU25" s="6"/>
      <c r="BV25" s="10"/>
      <c r="BW25" s="10"/>
      <c r="BX25" s="10"/>
      <c r="BY25" s="10"/>
      <c r="BZ25" s="10"/>
      <c r="CA25" s="10"/>
      <c r="CB25" s="6"/>
      <c r="CC25" s="6">
        <f>218.5/2</f>
        <v>109.25</v>
      </c>
      <c r="CD25" s="10"/>
      <c r="CE25" s="10"/>
      <c r="CF25" s="10"/>
      <c r="CG25" s="10"/>
      <c r="CH25" s="6"/>
      <c r="CI25" s="10"/>
      <c r="CJ25" s="6">
        <f t="shared" si="0"/>
        <v>109.25</v>
      </c>
    </row>
    <row r="26" spans="1:88" x14ac:dyDescent="0.25">
      <c r="A26">
        <v>16</v>
      </c>
      <c r="B26" s="10" t="s">
        <v>62</v>
      </c>
      <c r="C26" s="6"/>
      <c r="D26" s="6" t="s">
        <v>94</v>
      </c>
      <c r="E26" s="6" t="s">
        <v>52</v>
      </c>
      <c r="F26" s="6"/>
      <c r="G26" s="6"/>
      <c r="H26" s="6"/>
      <c r="I26" s="6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6"/>
      <c r="Z26" s="10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10"/>
      <c r="AU26" s="6"/>
      <c r="AV26" s="6"/>
      <c r="AW26" s="6"/>
      <c r="AX26" s="6">
        <v>3</v>
      </c>
      <c r="AY26" s="6"/>
      <c r="AZ26" s="6"/>
      <c r="BA26" s="6"/>
      <c r="BB26" s="6"/>
      <c r="BC26" s="6"/>
      <c r="BD26" s="6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6">
        <f>SUM(AV26:BS26)</f>
        <v>3</v>
      </c>
      <c r="BU26" s="6">
        <f>(BT26-AV26)/2</f>
        <v>1.5</v>
      </c>
      <c r="BV26" s="10">
        <v>33.6</v>
      </c>
      <c r="BW26" s="10">
        <v>44.8</v>
      </c>
      <c r="BX26" s="10">
        <v>54</v>
      </c>
      <c r="BY26" s="10">
        <v>5</v>
      </c>
      <c r="BZ26" s="10">
        <v>56</v>
      </c>
      <c r="CA26" s="10">
        <v>10</v>
      </c>
      <c r="CB26" s="6">
        <f>SUM(BU26:CA26)</f>
        <v>204.9</v>
      </c>
      <c r="CC26" s="6">
        <f>(CB26-BU26)/2</f>
        <v>101.7</v>
      </c>
      <c r="CD26" s="10"/>
      <c r="CE26" s="10"/>
      <c r="CF26" s="10"/>
      <c r="CG26" s="10"/>
      <c r="CH26" s="6"/>
      <c r="CI26" s="10"/>
      <c r="CJ26" s="6">
        <f t="shared" si="0"/>
        <v>101.7</v>
      </c>
    </row>
    <row r="27" spans="1:88" x14ac:dyDescent="0.25">
      <c r="A27">
        <v>17</v>
      </c>
      <c r="B27" s="10" t="s">
        <v>646</v>
      </c>
      <c r="C27" s="6"/>
      <c r="D27" s="6" t="s">
        <v>15</v>
      </c>
      <c r="E27" s="6" t="s">
        <v>69</v>
      </c>
      <c r="F27" s="6"/>
      <c r="G27" s="6"/>
      <c r="H27" s="6"/>
      <c r="I27" s="6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6"/>
      <c r="Z27" s="10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10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6"/>
      <c r="BU27" s="6"/>
      <c r="BV27" s="10"/>
      <c r="BW27" s="10"/>
      <c r="BX27" s="10"/>
      <c r="BY27" s="10"/>
      <c r="BZ27" s="10"/>
      <c r="CA27" s="10"/>
      <c r="CB27" s="6"/>
      <c r="CC27" s="6"/>
      <c r="CD27" s="10">
        <v>36</v>
      </c>
      <c r="CE27" s="10"/>
      <c r="CF27" s="10">
        <v>50</v>
      </c>
      <c r="CG27" s="10"/>
      <c r="CH27" s="6"/>
      <c r="CI27" s="10"/>
      <c r="CJ27" s="6">
        <f t="shared" si="0"/>
        <v>86</v>
      </c>
    </row>
    <row r="28" spans="1:88" x14ac:dyDescent="0.25">
      <c r="A28">
        <v>18</v>
      </c>
      <c r="B28" s="10" t="s">
        <v>415</v>
      </c>
      <c r="C28" s="6"/>
      <c r="D28" s="6" t="s">
        <v>416</v>
      </c>
      <c r="E28" s="6" t="s">
        <v>484</v>
      </c>
      <c r="F28" s="6"/>
      <c r="G28" s="6"/>
      <c r="H28" s="6"/>
      <c r="I28" s="6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6"/>
      <c r="Z28" s="10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10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6"/>
      <c r="BU28" s="6"/>
      <c r="BV28" s="10"/>
      <c r="BW28" s="10"/>
      <c r="BX28" s="10">
        <v>54</v>
      </c>
      <c r="BY28" s="10"/>
      <c r="BZ28" s="10"/>
      <c r="CA28" s="10"/>
      <c r="CB28" s="6">
        <f>SUM(BU28:CA28)</f>
        <v>54</v>
      </c>
      <c r="CC28" s="6">
        <f>(CB28-BU28)/2</f>
        <v>27</v>
      </c>
      <c r="CD28" s="10">
        <v>48</v>
      </c>
      <c r="CE28" s="10"/>
      <c r="CF28" s="10"/>
      <c r="CG28" s="10"/>
      <c r="CH28" s="6"/>
      <c r="CI28" s="10"/>
      <c r="CJ28" s="6">
        <f t="shared" si="0"/>
        <v>75</v>
      </c>
    </row>
    <row r="29" spans="1:88" x14ac:dyDescent="0.25">
      <c r="A29">
        <v>19</v>
      </c>
      <c r="B29" s="10" t="s">
        <v>445</v>
      </c>
      <c r="C29" s="6"/>
      <c r="D29" s="6" t="s">
        <v>105</v>
      </c>
      <c r="E29" s="6" t="s">
        <v>83</v>
      </c>
      <c r="F29" s="6"/>
      <c r="G29" s="6"/>
      <c r="H29" s="6"/>
      <c r="I29" s="6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6"/>
      <c r="Z29" s="10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10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6"/>
      <c r="BU29" s="6"/>
      <c r="BV29" s="10">
        <v>48</v>
      </c>
      <c r="BW29" s="10"/>
      <c r="BX29" s="10">
        <v>50</v>
      </c>
      <c r="BY29" s="10">
        <v>39</v>
      </c>
      <c r="BZ29" s="10"/>
      <c r="CA29" s="10"/>
      <c r="CB29" s="6">
        <f>SUM(BU29:CA29)</f>
        <v>137</v>
      </c>
      <c r="CC29" s="6">
        <f>(CB29-BU29)/2</f>
        <v>68.5</v>
      </c>
      <c r="CD29" s="10"/>
      <c r="CE29" s="10"/>
      <c r="CF29" s="10"/>
      <c r="CG29" s="10"/>
      <c r="CH29" s="6"/>
      <c r="CI29" s="10"/>
      <c r="CJ29" s="6">
        <f t="shared" si="0"/>
        <v>68.5</v>
      </c>
    </row>
    <row r="30" spans="1:88" x14ac:dyDescent="0.25">
      <c r="A30">
        <v>20</v>
      </c>
      <c r="B30" s="10" t="s">
        <v>534</v>
      </c>
      <c r="C30" s="6"/>
      <c r="D30" s="6" t="s">
        <v>535</v>
      </c>
      <c r="E30" s="6" t="s">
        <v>536</v>
      </c>
      <c r="F30" s="6"/>
      <c r="G30" s="6"/>
      <c r="H30" s="6"/>
      <c r="I30" s="6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6"/>
      <c r="Z30" s="10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10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6"/>
      <c r="BU30" s="6"/>
      <c r="BV30" s="10"/>
      <c r="BW30" s="10"/>
      <c r="BX30" s="10"/>
      <c r="BY30" s="10"/>
      <c r="BZ30" s="10"/>
      <c r="CA30" s="10"/>
      <c r="CB30" s="6"/>
      <c r="CC30" s="6">
        <f>57.75/2</f>
        <v>28.875</v>
      </c>
      <c r="CD30" s="10">
        <v>30</v>
      </c>
      <c r="CE30" s="10"/>
      <c r="CF30" s="10">
        <v>7.5</v>
      </c>
      <c r="CG30" s="10"/>
      <c r="CH30" s="6"/>
      <c r="CI30" s="10"/>
      <c r="CJ30" s="6">
        <f t="shared" si="0"/>
        <v>66.375</v>
      </c>
    </row>
    <row r="31" spans="1:88" x14ac:dyDescent="0.25">
      <c r="A31">
        <v>21</v>
      </c>
      <c r="B31" s="10" t="s">
        <v>279</v>
      </c>
      <c r="C31" s="6"/>
      <c r="D31" s="6" t="s">
        <v>400</v>
      </c>
      <c r="E31" s="6" t="s">
        <v>401</v>
      </c>
      <c r="F31" s="6"/>
      <c r="G31" s="6"/>
      <c r="H31" s="6"/>
      <c r="I31" s="6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6"/>
      <c r="Z31" s="10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10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6"/>
      <c r="BU31" s="6"/>
      <c r="BV31" s="10">
        <v>36</v>
      </c>
      <c r="BW31" s="10"/>
      <c r="BX31" s="10"/>
      <c r="BY31" s="10"/>
      <c r="BZ31" s="10"/>
      <c r="CA31" s="10"/>
      <c r="CB31" s="6">
        <f>SUM(BU31:CA31)</f>
        <v>36</v>
      </c>
      <c r="CC31" s="6">
        <f>(CB31-BU31)/2</f>
        <v>18</v>
      </c>
      <c r="CD31" s="10">
        <v>36</v>
      </c>
      <c r="CE31" s="10"/>
      <c r="CF31" s="10"/>
      <c r="CG31" s="10"/>
      <c r="CH31" s="6"/>
      <c r="CI31" s="10"/>
      <c r="CJ31" s="6">
        <f t="shared" si="0"/>
        <v>54</v>
      </c>
    </row>
    <row r="32" spans="1:88" x14ac:dyDescent="0.25">
      <c r="A32">
        <v>22</v>
      </c>
      <c r="B32" s="10" t="s">
        <v>60</v>
      </c>
      <c r="C32" s="6"/>
      <c r="D32" s="6" t="s">
        <v>251</v>
      </c>
      <c r="E32" s="6" t="s">
        <v>34</v>
      </c>
      <c r="F32" s="6"/>
      <c r="G32" s="6"/>
      <c r="H32" s="6"/>
      <c r="I32" s="6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6"/>
      <c r="Z32" s="10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10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6"/>
      <c r="BU32" s="6"/>
      <c r="BV32" s="10"/>
      <c r="BW32" s="10"/>
      <c r="BX32" s="10">
        <v>105</v>
      </c>
      <c r="BY32" s="10"/>
      <c r="BZ32" s="10"/>
      <c r="CA32" s="10"/>
      <c r="CB32" s="6">
        <f>SUM(BU32:CA32)</f>
        <v>105</v>
      </c>
      <c r="CC32" s="6">
        <f>(CB32-BU32)/2</f>
        <v>52.5</v>
      </c>
      <c r="CD32" s="10"/>
      <c r="CE32" s="10"/>
      <c r="CF32" s="10"/>
      <c r="CG32" s="10"/>
      <c r="CH32" s="6"/>
      <c r="CI32" s="10"/>
      <c r="CJ32" s="6">
        <f t="shared" si="0"/>
        <v>52.5</v>
      </c>
    </row>
    <row r="33" spans="1:88" x14ac:dyDescent="0.25">
      <c r="A33">
        <v>23</v>
      </c>
      <c r="B33" s="10" t="s">
        <v>464</v>
      </c>
      <c r="C33" s="6"/>
      <c r="D33" s="6" t="s">
        <v>465</v>
      </c>
      <c r="E33" s="6" t="s">
        <v>64</v>
      </c>
      <c r="F33" s="6"/>
      <c r="G33" s="6"/>
      <c r="H33" s="6"/>
      <c r="I33" s="6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6"/>
      <c r="Z33" s="10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10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6"/>
      <c r="BU33" s="6"/>
      <c r="BV33" s="10">
        <v>36</v>
      </c>
      <c r="BW33" s="10">
        <v>48</v>
      </c>
      <c r="BX33" s="10">
        <v>7.5</v>
      </c>
      <c r="BY33" s="10"/>
      <c r="BZ33" s="10"/>
      <c r="CA33" s="10"/>
      <c r="CB33" s="6">
        <f>SUM(BU33:CA33)</f>
        <v>91.5</v>
      </c>
      <c r="CC33" s="6">
        <f>(CB33-BU33)/2</f>
        <v>45.75</v>
      </c>
      <c r="CD33" s="10"/>
      <c r="CE33" s="10"/>
      <c r="CF33" s="10"/>
      <c r="CG33" s="10"/>
      <c r="CH33" s="6"/>
      <c r="CI33" s="10"/>
      <c r="CJ33" s="6">
        <f t="shared" si="0"/>
        <v>45.75</v>
      </c>
    </row>
    <row r="34" spans="1:88" x14ac:dyDescent="0.25">
      <c r="A34">
        <v>24</v>
      </c>
      <c r="B34" s="10" t="s">
        <v>209</v>
      </c>
      <c r="C34" s="6"/>
      <c r="D34" s="6" t="s">
        <v>361</v>
      </c>
      <c r="E34" s="6" t="s">
        <v>36</v>
      </c>
      <c r="F34" s="6"/>
      <c r="G34" s="6"/>
      <c r="H34" s="6"/>
      <c r="I34" s="6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6"/>
      <c r="Z34" s="10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10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6"/>
      <c r="BU34" s="6"/>
      <c r="BV34" s="10"/>
      <c r="BW34" s="10"/>
      <c r="BX34" s="10"/>
      <c r="BY34" s="10"/>
      <c r="BZ34" s="10"/>
      <c r="CA34" s="10"/>
      <c r="CB34" s="6"/>
      <c r="CC34" s="6"/>
      <c r="CD34" s="10">
        <v>33.6</v>
      </c>
      <c r="CE34" s="10"/>
      <c r="CF34" s="10"/>
      <c r="CG34" s="10"/>
      <c r="CH34" s="6"/>
      <c r="CI34" s="10"/>
      <c r="CJ34" s="6">
        <f t="shared" si="0"/>
        <v>33.6</v>
      </c>
    </row>
    <row r="35" spans="1:88" x14ac:dyDescent="0.25">
      <c r="A35">
        <v>25</v>
      </c>
      <c r="B35" s="10" t="s">
        <v>55</v>
      </c>
      <c r="C35" s="6"/>
      <c r="D35" s="6" t="s">
        <v>653</v>
      </c>
      <c r="E35" s="6" t="s">
        <v>652</v>
      </c>
      <c r="F35" s="6"/>
      <c r="G35" s="6"/>
      <c r="H35" s="6"/>
      <c r="I35" s="6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6"/>
      <c r="Z35" s="10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10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6"/>
      <c r="BU35" s="6"/>
      <c r="BV35" s="10"/>
      <c r="BW35" s="10"/>
      <c r="BX35" s="10"/>
      <c r="BY35" s="10"/>
      <c r="BZ35" s="10"/>
      <c r="CA35" s="10"/>
      <c r="CB35" s="6"/>
      <c r="CC35" s="6"/>
      <c r="CD35" s="10">
        <v>33.6</v>
      </c>
      <c r="CE35" s="10"/>
      <c r="CF35" s="10"/>
      <c r="CG35" s="10"/>
      <c r="CH35" s="6"/>
      <c r="CI35" s="10"/>
      <c r="CJ35" s="6">
        <f t="shared" si="0"/>
        <v>33.6</v>
      </c>
    </row>
    <row r="36" spans="1:88" x14ac:dyDescent="0.25">
      <c r="A36">
        <v>26</v>
      </c>
      <c r="B36" s="10" t="s">
        <v>341</v>
      </c>
      <c r="C36" s="6"/>
      <c r="D36" s="6" t="s">
        <v>342</v>
      </c>
      <c r="E36" s="6" t="s">
        <v>311</v>
      </c>
      <c r="F36" s="6"/>
      <c r="G36" s="6"/>
      <c r="H36" s="6"/>
      <c r="I36" s="6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6"/>
      <c r="Z36" s="10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10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6"/>
      <c r="BU36" s="6"/>
      <c r="BV36" s="10"/>
      <c r="BW36" s="10"/>
      <c r="BX36" s="10"/>
      <c r="BY36" s="10"/>
      <c r="BZ36" s="10"/>
      <c r="CA36" s="10"/>
      <c r="CB36" s="6"/>
      <c r="CC36" s="6"/>
      <c r="CD36" s="10">
        <v>30</v>
      </c>
      <c r="CE36" s="10"/>
      <c r="CF36" s="10"/>
      <c r="CG36" s="10"/>
      <c r="CH36" s="6"/>
      <c r="CI36" s="10"/>
      <c r="CJ36" s="6">
        <f t="shared" si="0"/>
        <v>30</v>
      </c>
    </row>
    <row r="37" spans="1:88" x14ac:dyDescent="0.25">
      <c r="A37">
        <v>28</v>
      </c>
      <c r="B37" s="10" t="s">
        <v>100</v>
      </c>
      <c r="C37" s="6" t="s">
        <v>153</v>
      </c>
      <c r="D37" s="6" t="s">
        <v>241</v>
      </c>
      <c r="E37" s="6" t="s">
        <v>117</v>
      </c>
      <c r="F37" s="6"/>
      <c r="G37" s="6"/>
      <c r="H37" s="6"/>
      <c r="I37" s="6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6"/>
      <c r="Z37" s="10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10"/>
      <c r="AU37" s="6"/>
      <c r="AV37" s="6"/>
      <c r="AW37" s="6"/>
      <c r="AX37" s="6"/>
      <c r="AY37" s="6"/>
      <c r="AZ37" s="6">
        <v>36</v>
      </c>
      <c r="BA37" s="6"/>
      <c r="BB37" s="6"/>
      <c r="BC37" s="6">
        <v>60</v>
      </c>
      <c r="BD37" s="6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>
        <v>36</v>
      </c>
      <c r="BP37" s="10"/>
      <c r="BQ37" s="10">
        <v>7.5</v>
      </c>
      <c r="BR37" s="10"/>
      <c r="BS37" s="10"/>
      <c r="BT37" s="6">
        <f>SUM(AV37:BS37)</f>
        <v>139.5</v>
      </c>
      <c r="BU37" s="6">
        <f>(BT37-AV37)/2</f>
        <v>69.75</v>
      </c>
      <c r="BV37" s="10">
        <v>33.6</v>
      </c>
      <c r="BW37" s="10"/>
      <c r="BX37" s="10">
        <v>7.5</v>
      </c>
      <c r="BY37" s="10">
        <v>7.5</v>
      </c>
      <c r="BZ37" s="10">
        <v>2.4</v>
      </c>
      <c r="CA37" s="10"/>
      <c r="CB37" s="6">
        <f>SUM(BU37:CA37)</f>
        <v>120.75</v>
      </c>
      <c r="CC37" s="6">
        <f>(CB37-BU37)/2</f>
        <v>25.5</v>
      </c>
      <c r="CD37" s="10"/>
      <c r="CE37" s="10"/>
      <c r="CF37" s="10"/>
      <c r="CG37" s="10"/>
      <c r="CH37" s="6"/>
      <c r="CI37" s="10"/>
      <c r="CJ37" s="6">
        <f t="shared" si="0"/>
        <v>25.5</v>
      </c>
    </row>
    <row r="38" spans="1:88" x14ac:dyDescent="0.25">
      <c r="A38">
        <v>29</v>
      </c>
      <c r="B38" s="10" t="s">
        <v>537</v>
      </c>
      <c r="C38" s="6"/>
      <c r="D38" s="6" t="s">
        <v>140</v>
      </c>
      <c r="E38" s="6" t="s">
        <v>539</v>
      </c>
      <c r="F38" s="6"/>
      <c r="G38" s="6"/>
      <c r="H38" s="6"/>
      <c r="I38" s="6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6"/>
      <c r="Z38" s="10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10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6"/>
      <c r="BU38" s="6"/>
      <c r="BV38" s="10"/>
      <c r="BW38" s="10"/>
      <c r="BX38" s="10"/>
      <c r="BY38" s="10"/>
      <c r="BZ38" s="10"/>
      <c r="CA38" s="10"/>
      <c r="CB38" s="6"/>
      <c r="CC38" s="6"/>
      <c r="CD38" s="10">
        <v>3</v>
      </c>
      <c r="CE38" s="10"/>
      <c r="CF38" s="10">
        <v>7.5</v>
      </c>
      <c r="CG38" s="10"/>
      <c r="CH38" s="6"/>
      <c r="CI38" s="10"/>
      <c r="CJ38" s="6">
        <f t="shared" si="0"/>
        <v>10.5</v>
      </c>
    </row>
    <row r="39" spans="1:88" x14ac:dyDescent="0.25">
      <c r="A39">
        <v>30</v>
      </c>
      <c r="B39" s="10" t="s">
        <v>637</v>
      </c>
      <c r="C39" s="6"/>
      <c r="D39" s="6" t="s">
        <v>638</v>
      </c>
      <c r="E39" s="6" t="s">
        <v>133</v>
      </c>
      <c r="F39" s="6"/>
      <c r="G39" s="6"/>
      <c r="H39" s="6"/>
      <c r="I39" s="6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6"/>
      <c r="Z39" s="10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10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6"/>
      <c r="BU39" s="6"/>
      <c r="BV39" s="10"/>
      <c r="BW39" s="10"/>
      <c r="BX39" s="10"/>
      <c r="BY39" s="10"/>
      <c r="BZ39" s="10"/>
      <c r="CA39" s="10"/>
      <c r="CB39" s="6"/>
      <c r="CC39" s="6"/>
      <c r="CD39" s="10"/>
      <c r="CE39" s="10">
        <v>4</v>
      </c>
      <c r="CF39" s="10"/>
      <c r="CG39" s="10"/>
      <c r="CH39" s="6"/>
      <c r="CI39" s="10"/>
      <c r="CJ39" s="6">
        <f t="shared" si="0"/>
        <v>4</v>
      </c>
    </row>
    <row r="40" spans="1:88" x14ac:dyDescent="0.25">
      <c r="A40">
        <v>31</v>
      </c>
      <c r="B40" s="10" t="s">
        <v>39</v>
      </c>
      <c r="C40" s="6"/>
      <c r="D40" s="6" t="s">
        <v>538</v>
      </c>
      <c r="E40" s="6" t="s">
        <v>173</v>
      </c>
      <c r="F40" s="6"/>
      <c r="G40" s="6"/>
      <c r="H40" s="6"/>
      <c r="I40" s="6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6"/>
      <c r="Z40" s="10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10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6"/>
      <c r="BU40" s="6"/>
      <c r="BV40" s="10"/>
      <c r="BW40" s="10"/>
      <c r="BX40" s="10"/>
      <c r="BY40" s="10"/>
      <c r="BZ40" s="10"/>
      <c r="CA40" s="10"/>
      <c r="CB40" s="6"/>
      <c r="CC40" s="6"/>
      <c r="CD40" s="10">
        <v>3</v>
      </c>
      <c r="CE40" s="10"/>
      <c r="CF40" s="10"/>
      <c r="CG40" s="10"/>
      <c r="CH40" s="6"/>
      <c r="CI40" s="10"/>
      <c r="CJ40" s="6">
        <f t="shared" si="0"/>
        <v>3</v>
      </c>
    </row>
    <row r="41" spans="1:88" x14ac:dyDescent="0.25">
      <c r="A41">
        <v>32</v>
      </c>
      <c r="B41" s="10" t="s">
        <v>658</v>
      </c>
      <c r="C41" s="6"/>
      <c r="D41" s="6" t="s">
        <v>660</v>
      </c>
      <c r="E41" s="6" t="s">
        <v>661</v>
      </c>
      <c r="F41" s="6"/>
      <c r="G41" s="6"/>
      <c r="H41" s="6"/>
      <c r="I41" s="6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6"/>
      <c r="Z41" s="10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10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6"/>
      <c r="BU41" s="6"/>
      <c r="BV41" s="10"/>
      <c r="BW41" s="10"/>
      <c r="BX41" s="10"/>
      <c r="BY41" s="10"/>
      <c r="BZ41" s="10"/>
      <c r="CA41" s="10"/>
      <c r="CB41" s="6"/>
      <c r="CC41" s="6"/>
      <c r="CD41" s="10">
        <v>3</v>
      </c>
      <c r="CE41" s="10"/>
      <c r="CF41" s="10"/>
      <c r="CG41" s="10"/>
      <c r="CH41" s="6"/>
      <c r="CI41" s="10"/>
      <c r="CJ41" s="6">
        <f t="shared" si="0"/>
        <v>3</v>
      </c>
    </row>
    <row r="42" spans="1:88" x14ac:dyDescent="0.25">
      <c r="A42">
        <v>33</v>
      </c>
      <c r="B42" s="10" t="s">
        <v>659</v>
      </c>
      <c r="C42" s="6"/>
      <c r="D42" s="6" t="s">
        <v>595</v>
      </c>
      <c r="E42" s="6" t="s">
        <v>662</v>
      </c>
      <c r="F42" s="6"/>
      <c r="G42" s="6"/>
      <c r="H42" s="6"/>
      <c r="I42" s="6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6"/>
      <c r="Z42" s="10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10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6"/>
      <c r="BU42" s="6"/>
      <c r="BV42" s="10"/>
      <c r="BW42" s="10"/>
      <c r="BX42" s="10"/>
      <c r="BY42" s="10"/>
      <c r="BZ42" s="10"/>
      <c r="CA42" s="10"/>
      <c r="CB42" s="6"/>
      <c r="CC42" s="6"/>
      <c r="CD42" s="10">
        <v>3</v>
      </c>
      <c r="CE42" s="10"/>
      <c r="CF42" s="10"/>
      <c r="CG42" s="10"/>
      <c r="CH42" s="6"/>
      <c r="CI42" s="10"/>
      <c r="CJ42" s="6">
        <f t="shared" si="0"/>
        <v>3</v>
      </c>
    </row>
    <row r="43" spans="1:88" x14ac:dyDescent="0.25">
      <c r="A43">
        <v>34</v>
      </c>
      <c r="B43" s="10" t="s">
        <v>452</v>
      </c>
      <c r="C43" s="6"/>
      <c r="D43" s="6" t="s">
        <v>429</v>
      </c>
      <c r="E43" s="6" t="s">
        <v>587</v>
      </c>
      <c r="F43" s="6"/>
      <c r="G43" s="6"/>
      <c r="H43" s="6"/>
      <c r="I43" s="6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6"/>
      <c r="Z43" s="10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10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6"/>
      <c r="BU43" s="6"/>
      <c r="BV43" s="10"/>
      <c r="BW43" s="10"/>
      <c r="BX43" s="10"/>
      <c r="BY43" s="10"/>
      <c r="BZ43" s="10"/>
      <c r="CA43" s="10"/>
      <c r="CB43" s="6"/>
      <c r="CC43" s="6"/>
      <c r="CD43" s="10">
        <v>3</v>
      </c>
      <c r="CE43" s="10"/>
      <c r="CF43" s="10"/>
      <c r="CG43" s="10"/>
      <c r="CH43" s="6"/>
      <c r="CI43" s="10"/>
      <c r="CJ43" s="6">
        <f t="shared" si="0"/>
        <v>3</v>
      </c>
    </row>
    <row r="44" spans="1:88" x14ac:dyDescent="0.25">
      <c r="A44">
        <v>35</v>
      </c>
      <c r="B44" s="10" t="s">
        <v>555</v>
      </c>
      <c r="C44" s="6"/>
      <c r="D44" s="6" t="s">
        <v>556</v>
      </c>
      <c r="E44" s="6" t="s">
        <v>484</v>
      </c>
      <c r="F44" s="6"/>
      <c r="G44" s="6"/>
      <c r="H44" s="6"/>
      <c r="I44" s="6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6"/>
      <c r="Z44" s="10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10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6"/>
      <c r="BU44" s="6"/>
      <c r="BV44" s="10"/>
      <c r="BW44" s="10"/>
      <c r="BX44" s="10"/>
      <c r="BY44" s="10"/>
      <c r="BZ44" s="10"/>
      <c r="CA44" s="10"/>
      <c r="CB44" s="6"/>
      <c r="CC44" s="6"/>
      <c r="CD44" s="10">
        <v>2.4</v>
      </c>
      <c r="CE44" s="10"/>
      <c r="CF44" s="10"/>
      <c r="CG44" s="10"/>
      <c r="CH44" s="6"/>
      <c r="CI44" s="10"/>
      <c r="CJ44" s="6">
        <f t="shared" si="0"/>
        <v>2.4</v>
      </c>
    </row>
    <row r="45" spans="1:88" x14ac:dyDescent="0.25">
      <c r="A45">
        <v>36</v>
      </c>
      <c r="B45" s="6" t="s">
        <v>343</v>
      </c>
      <c r="C45" s="6"/>
      <c r="D45" s="6" t="s">
        <v>344</v>
      </c>
      <c r="E45" s="6" t="s">
        <v>23</v>
      </c>
      <c r="F45" s="6"/>
      <c r="G45" s="6"/>
      <c r="H45" s="6"/>
      <c r="I45" s="6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6"/>
      <c r="Z45" s="10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10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6"/>
      <c r="BU45" s="6"/>
      <c r="BV45" s="10"/>
      <c r="BW45" s="10">
        <v>3.2</v>
      </c>
      <c r="BX45" s="10"/>
      <c r="BY45" s="10"/>
      <c r="BZ45" s="10"/>
      <c r="CA45" s="10"/>
      <c r="CB45" s="6">
        <f>SUM(BU45:CA45)</f>
        <v>3.2</v>
      </c>
      <c r="CC45" s="6">
        <f>(CB45-BU45)/2</f>
        <v>1.6</v>
      </c>
      <c r="CD45" s="10"/>
      <c r="CE45" s="10"/>
      <c r="CF45" s="10"/>
      <c r="CG45" s="10"/>
      <c r="CH45" s="6"/>
      <c r="CI45" s="10"/>
      <c r="CJ45" s="6">
        <f t="shared" si="0"/>
        <v>1.6</v>
      </c>
    </row>
    <row r="46" spans="1:88" x14ac:dyDescent="0.25">
      <c r="A46">
        <v>37</v>
      </c>
      <c r="B46" s="10" t="s">
        <v>37</v>
      </c>
      <c r="C46" s="6"/>
      <c r="D46" s="6" t="s">
        <v>88</v>
      </c>
      <c r="E46" s="6" t="s">
        <v>59</v>
      </c>
      <c r="F46" s="6"/>
      <c r="G46" s="6"/>
      <c r="H46" s="6"/>
      <c r="I46" s="6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6"/>
      <c r="Z46" s="10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10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10">
        <v>70</v>
      </c>
      <c r="BF46" s="10"/>
      <c r="BG46" s="10">
        <v>80</v>
      </c>
      <c r="BH46" s="10"/>
      <c r="BI46" s="10"/>
      <c r="BJ46" s="10"/>
      <c r="BK46" s="10"/>
      <c r="BL46" s="10"/>
      <c r="BM46" s="10"/>
      <c r="BN46" s="10"/>
      <c r="BO46" s="10"/>
      <c r="BP46" s="10"/>
      <c r="BQ46" s="10">
        <v>54</v>
      </c>
      <c r="BR46" s="10"/>
      <c r="BS46" s="10"/>
      <c r="BT46" s="6">
        <f>SUM(AV46:BS46)</f>
        <v>204</v>
      </c>
      <c r="BU46" s="6">
        <f>(BT46-AV46)/2</f>
        <v>102</v>
      </c>
      <c r="BV46" s="10"/>
      <c r="BW46" s="10"/>
      <c r="BX46" s="10"/>
      <c r="BY46" s="10"/>
      <c r="BZ46" s="10"/>
      <c r="CA46" s="10"/>
      <c r="CB46" s="6">
        <f>SUM(BU46:CA46)</f>
        <v>102</v>
      </c>
      <c r="CC46" s="6">
        <f>(CB46-BU46)/2</f>
        <v>0</v>
      </c>
      <c r="CD46" s="10"/>
      <c r="CE46" s="10"/>
      <c r="CF46" s="10"/>
      <c r="CG46" s="10"/>
      <c r="CH46" s="6"/>
      <c r="CI46" s="10"/>
      <c r="CJ46" s="6">
        <f t="shared" si="0"/>
        <v>0</v>
      </c>
    </row>
  </sheetData>
  <sortState xmlns:xlrd2="http://schemas.microsoft.com/office/spreadsheetml/2017/richdata2" ref="B11:CJ46">
    <sortCondition descending="1" ref="CJ11:CJ46"/>
  </sortState>
  <mergeCells count="5">
    <mergeCell ref="B8:C10"/>
    <mergeCell ref="BX9:CA9"/>
    <mergeCell ref="CF9:CI9"/>
    <mergeCell ref="D4:CJ5"/>
    <mergeCell ref="B1:CJ1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A49"/>
  <sheetViews>
    <sheetView topLeftCell="A6" zoomScale="80" zoomScaleNormal="80" workbookViewId="0">
      <selection activeCell="DE24" sqref="DE24"/>
    </sheetView>
  </sheetViews>
  <sheetFormatPr baseColWidth="10" defaultRowHeight="15" x14ac:dyDescent="0.25"/>
  <cols>
    <col min="1" max="1" width="3.140625" bestFit="1" customWidth="1"/>
    <col min="2" max="2" width="14.28515625" bestFit="1" customWidth="1"/>
    <col min="3" max="3" width="11.42578125" bestFit="1" customWidth="1"/>
    <col min="4" max="4" width="14.28515625" bestFit="1" customWidth="1"/>
    <col min="5" max="5" width="21.140625" bestFit="1" customWidth="1"/>
    <col min="6" max="10" width="6.42578125" hidden="1" customWidth="1"/>
    <col min="11" max="14" width="7.28515625" hidden="1" customWidth="1"/>
    <col min="15" max="25" width="7.28515625" style="7" hidden="1" customWidth="1"/>
    <col min="26" max="28" width="6" style="7" hidden="1" customWidth="1"/>
    <col min="29" max="30" width="6.5703125" style="7" hidden="1" customWidth="1"/>
    <col min="31" max="31" width="0" hidden="1" customWidth="1"/>
    <col min="32" max="32" width="0" style="7" hidden="1" customWidth="1"/>
    <col min="33" max="33" width="6" hidden="1" customWidth="1"/>
    <col min="34" max="50" width="6" style="7" hidden="1" customWidth="1"/>
    <col min="51" max="51" width="10.5703125" style="7" hidden="1" customWidth="1"/>
    <col min="52" max="57" width="6" style="7" hidden="1" customWidth="1"/>
    <col min="58" max="58" width="6.28515625" hidden="1" customWidth="1"/>
    <col min="59" max="59" width="0" hidden="1" customWidth="1"/>
    <col min="60" max="70" width="6" hidden="1" customWidth="1"/>
    <col min="71" max="79" width="6" style="7" hidden="1" customWidth="1"/>
    <col min="80" max="80" width="10.85546875" style="7" hidden="1" customWidth="1"/>
    <col min="81" max="87" width="6.140625" style="7" hidden="1" customWidth="1"/>
    <col min="88" max="88" width="6.85546875" style="7" hidden="1" customWidth="1"/>
    <col min="89" max="89" width="0" hidden="1" customWidth="1"/>
    <col min="90" max="90" width="11.140625" hidden="1" customWidth="1"/>
    <col min="91" max="91" width="7" style="7" hidden="1" customWidth="1"/>
    <col min="92" max="92" width="7.7109375" style="7" hidden="1" customWidth="1"/>
    <col min="93" max="96" width="7.28515625" style="7" hidden="1" customWidth="1"/>
    <col min="99" max="99" width="7.85546875" style="7" customWidth="1"/>
    <col min="100" max="100" width="8.85546875" style="7" customWidth="1"/>
    <col min="101" max="104" width="11.42578125" style="7"/>
  </cols>
  <sheetData>
    <row r="1" spans="1:105" ht="26.25" x14ac:dyDescent="0.4">
      <c r="B1" s="34" t="s">
        <v>3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  <c r="CU1" s="34"/>
      <c r="CV1" s="34"/>
      <c r="CW1" s="34"/>
      <c r="CX1" s="34"/>
      <c r="CY1" s="34"/>
      <c r="CZ1" s="34"/>
      <c r="DA1" s="34"/>
    </row>
    <row r="2" spans="1:105" ht="15.75" thickBot="1" x14ac:dyDescent="0.3">
      <c r="C2" s="7"/>
      <c r="D2" s="7"/>
      <c r="E2" s="7"/>
    </row>
    <row r="3" spans="1:105" ht="15.75" thickTop="1" x14ac:dyDescent="0.25">
      <c r="B3" s="1" t="s">
        <v>0</v>
      </c>
      <c r="C3" s="4" t="s">
        <v>14</v>
      </c>
    </row>
    <row r="4" spans="1:105" ht="14.65" customHeight="1" x14ac:dyDescent="0.25">
      <c r="B4" s="2" t="s">
        <v>1</v>
      </c>
      <c r="C4" s="5" t="s">
        <v>12</v>
      </c>
      <c r="D4" s="32" t="s">
        <v>492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</row>
    <row r="5" spans="1:105" ht="15" customHeight="1" thickBot="1" x14ac:dyDescent="0.3">
      <c r="B5" s="3" t="s">
        <v>2</v>
      </c>
      <c r="C5" s="15">
        <v>-60</v>
      </c>
      <c r="D5" s="32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</row>
    <row r="6" spans="1:105" ht="15.75" thickTop="1" x14ac:dyDescent="0.25"/>
    <row r="7" spans="1:105" ht="15.75" thickBot="1" x14ac:dyDescent="0.3"/>
    <row r="8" spans="1:105" ht="15.75" thickTop="1" x14ac:dyDescent="0.25">
      <c r="B8" s="25" t="s">
        <v>9</v>
      </c>
      <c r="C8" s="26"/>
      <c r="D8" s="1"/>
      <c r="E8" s="1"/>
      <c r="F8" s="4" t="s">
        <v>10</v>
      </c>
      <c r="G8" s="4" t="s">
        <v>10</v>
      </c>
      <c r="H8" s="4" t="s">
        <v>10</v>
      </c>
      <c r="I8" s="4" t="s">
        <v>10</v>
      </c>
      <c r="J8" s="4" t="s">
        <v>53</v>
      </c>
      <c r="K8" s="4" t="s">
        <v>66</v>
      </c>
      <c r="L8" s="4" t="s">
        <v>10</v>
      </c>
      <c r="M8" s="4" t="s">
        <v>10</v>
      </c>
      <c r="N8" s="4" t="s">
        <v>10</v>
      </c>
      <c r="O8" s="4" t="s">
        <v>85</v>
      </c>
      <c r="P8" s="4" t="s">
        <v>86</v>
      </c>
      <c r="Q8" s="4" t="s">
        <v>92</v>
      </c>
      <c r="R8" s="4" t="s">
        <v>97</v>
      </c>
      <c r="S8" s="4" t="s">
        <v>10</v>
      </c>
      <c r="T8" s="4" t="s">
        <v>10</v>
      </c>
      <c r="U8" s="4" t="s">
        <v>10</v>
      </c>
      <c r="V8" s="4" t="s">
        <v>10</v>
      </c>
      <c r="W8" s="4" t="s">
        <v>10</v>
      </c>
      <c r="X8" s="4" t="s">
        <v>10</v>
      </c>
      <c r="Y8" s="4" t="s">
        <v>107</v>
      </c>
      <c r="Z8" s="4" t="s">
        <v>10</v>
      </c>
      <c r="AA8" s="4" t="s">
        <v>10</v>
      </c>
      <c r="AB8" s="4" t="s">
        <v>10</v>
      </c>
      <c r="AC8" s="4" t="s">
        <v>112</v>
      </c>
      <c r="AD8" s="4" t="s">
        <v>115</v>
      </c>
      <c r="AE8" s="1"/>
      <c r="AF8" s="12">
        <v>44927</v>
      </c>
      <c r="AG8" s="4" t="s">
        <v>10</v>
      </c>
      <c r="AH8" s="4" t="s">
        <v>10</v>
      </c>
      <c r="AI8" s="4" t="s">
        <v>10</v>
      </c>
      <c r="AJ8" s="4" t="s">
        <v>115</v>
      </c>
      <c r="AK8" s="4" t="s">
        <v>10</v>
      </c>
      <c r="AL8" s="4" t="s">
        <v>10</v>
      </c>
      <c r="AM8" s="4" t="s">
        <v>10</v>
      </c>
      <c r="AN8" s="4" t="s">
        <v>151</v>
      </c>
      <c r="AO8" s="4" t="s">
        <v>151</v>
      </c>
      <c r="AP8" s="4" t="s">
        <v>151</v>
      </c>
      <c r="AQ8" s="4" t="s">
        <v>10</v>
      </c>
      <c r="AR8" s="4" t="s">
        <v>115</v>
      </c>
      <c r="AS8" s="4" t="s">
        <v>10</v>
      </c>
      <c r="AT8" s="4" t="s">
        <v>10</v>
      </c>
      <c r="AU8" s="4" t="s">
        <v>112</v>
      </c>
      <c r="AV8" s="4" t="s">
        <v>10</v>
      </c>
      <c r="AW8" s="4" t="s">
        <v>10</v>
      </c>
      <c r="AX8" s="4" t="s">
        <v>10</v>
      </c>
      <c r="AY8" s="4" t="s">
        <v>10</v>
      </c>
      <c r="AZ8" s="4" t="s">
        <v>115</v>
      </c>
      <c r="BA8" s="4" t="s">
        <v>10</v>
      </c>
      <c r="BB8" s="4" t="s">
        <v>10</v>
      </c>
      <c r="BC8" s="4" t="s">
        <v>10</v>
      </c>
      <c r="BD8" s="4" t="s">
        <v>10</v>
      </c>
      <c r="BE8" s="4" t="s">
        <v>116</v>
      </c>
      <c r="BF8" s="4" t="s">
        <v>6</v>
      </c>
      <c r="BG8" s="12">
        <v>45292</v>
      </c>
      <c r="BH8" s="12" t="s">
        <v>10</v>
      </c>
      <c r="BI8" s="12" t="s">
        <v>10</v>
      </c>
      <c r="BJ8" s="12" t="s">
        <v>10</v>
      </c>
      <c r="BK8" s="12" t="s">
        <v>10</v>
      </c>
      <c r="BL8" s="12" t="s">
        <v>10</v>
      </c>
      <c r="BM8" s="12" t="s">
        <v>10</v>
      </c>
      <c r="BN8" s="12" t="s">
        <v>10</v>
      </c>
      <c r="BO8" s="12" t="s">
        <v>10</v>
      </c>
      <c r="BP8" s="12" t="s">
        <v>10</v>
      </c>
      <c r="BQ8" s="12" t="s">
        <v>10</v>
      </c>
      <c r="BR8" s="12" t="s">
        <v>115</v>
      </c>
      <c r="BS8" s="12" t="s">
        <v>115</v>
      </c>
      <c r="BT8" s="12" t="s">
        <v>151</v>
      </c>
      <c r="BU8" s="12" t="s">
        <v>151</v>
      </c>
      <c r="BV8" s="12" t="s">
        <v>151</v>
      </c>
      <c r="BW8" s="12" t="s">
        <v>115</v>
      </c>
      <c r="BX8" s="12" t="s">
        <v>10</v>
      </c>
      <c r="BY8" s="12" t="s">
        <v>10</v>
      </c>
      <c r="BZ8" s="12" t="s">
        <v>10</v>
      </c>
      <c r="CA8" s="12" t="s">
        <v>10</v>
      </c>
      <c r="CB8" s="12" t="s">
        <v>10</v>
      </c>
      <c r="CC8" s="12" t="s">
        <v>10</v>
      </c>
      <c r="CD8" s="12" t="s">
        <v>10</v>
      </c>
      <c r="CE8" s="12" t="s">
        <v>10</v>
      </c>
      <c r="CF8" s="12" t="s">
        <v>10</v>
      </c>
      <c r="CG8" s="12" t="s">
        <v>10</v>
      </c>
      <c r="CH8" s="12" t="s">
        <v>10</v>
      </c>
      <c r="CI8" s="12" t="s">
        <v>115</v>
      </c>
      <c r="CJ8" s="12" t="s">
        <v>116</v>
      </c>
      <c r="CK8" s="12" t="s">
        <v>6</v>
      </c>
      <c r="CL8" s="12">
        <v>45658</v>
      </c>
      <c r="CM8" s="12"/>
      <c r="CN8" s="12"/>
      <c r="CO8" s="17"/>
      <c r="CP8" s="18"/>
      <c r="CQ8" s="18"/>
      <c r="CR8" s="19"/>
      <c r="CS8" s="12" t="s">
        <v>6</v>
      </c>
      <c r="CT8" s="12">
        <v>46023</v>
      </c>
      <c r="CU8" s="12"/>
      <c r="CV8" s="12"/>
      <c r="CW8" s="17"/>
      <c r="CX8" s="18"/>
      <c r="CY8" s="18"/>
      <c r="CZ8" s="19"/>
      <c r="DA8" s="12" t="s">
        <v>6</v>
      </c>
    </row>
    <row r="9" spans="1:105" x14ac:dyDescent="0.25">
      <c r="B9" s="27"/>
      <c r="C9" s="28"/>
      <c r="D9" s="2"/>
      <c r="E9" s="2"/>
      <c r="F9" s="8" t="s">
        <v>11</v>
      </c>
      <c r="G9" s="8" t="s">
        <v>32</v>
      </c>
      <c r="H9" s="8" t="s">
        <v>19</v>
      </c>
      <c r="I9" s="8" t="s">
        <v>43</v>
      </c>
      <c r="J9" s="8" t="s">
        <v>54</v>
      </c>
      <c r="K9" s="8" t="s">
        <v>67</v>
      </c>
      <c r="L9" s="8" t="s">
        <v>73</v>
      </c>
      <c r="M9" s="8" t="s">
        <v>81</v>
      </c>
      <c r="N9" s="8" t="s">
        <v>76</v>
      </c>
      <c r="O9" s="8" t="s">
        <v>83</v>
      </c>
      <c r="P9" s="8" t="s">
        <v>87</v>
      </c>
      <c r="Q9" s="8" t="s">
        <v>93</v>
      </c>
      <c r="R9" s="8" t="s">
        <v>54</v>
      </c>
      <c r="S9" s="8" t="s">
        <v>32</v>
      </c>
      <c r="T9" s="8" t="s">
        <v>101</v>
      </c>
      <c r="U9" s="8" t="s">
        <v>19</v>
      </c>
      <c r="V9" s="8" t="s">
        <v>76</v>
      </c>
      <c r="W9" s="8" t="s">
        <v>11</v>
      </c>
      <c r="X9" s="8" t="s">
        <v>102</v>
      </c>
      <c r="Y9" s="8" t="s">
        <v>108</v>
      </c>
      <c r="Z9" s="8" t="s">
        <v>73</v>
      </c>
      <c r="AA9" s="8" t="s">
        <v>102</v>
      </c>
      <c r="AB9" s="8" t="s">
        <v>43</v>
      </c>
      <c r="AC9" s="8" t="s">
        <v>113</v>
      </c>
      <c r="AD9" s="8" t="s">
        <v>116</v>
      </c>
      <c r="AE9" s="2" t="s">
        <v>6</v>
      </c>
      <c r="AF9" s="5"/>
      <c r="AG9" s="8" t="s">
        <v>32</v>
      </c>
      <c r="AH9" s="5" t="s">
        <v>99</v>
      </c>
      <c r="AI9" s="8" t="s">
        <v>19</v>
      </c>
      <c r="AJ9" s="8" t="s">
        <v>85</v>
      </c>
      <c r="AK9" s="8" t="s">
        <v>81</v>
      </c>
      <c r="AL9" s="8" t="s">
        <v>102</v>
      </c>
      <c r="AM9" s="8" t="s">
        <v>43</v>
      </c>
      <c r="AN9" s="8" t="s">
        <v>86</v>
      </c>
      <c r="AO9" s="8" t="s">
        <v>92</v>
      </c>
      <c r="AP9" s="8" t="s">
        <v>85</v>
      </c>
      <c r="AQ9" s="8" t="s">
        <v>76</v>
      </c>
      <c r="AR9" s="8" t="s">
        <v>86</v>
      </c>
      <c r="AS9" s="8" t="s">
        <v>167</v>
      </c>
      <c r="AT9" s="8" t="s">
        <v>32</v>
      </c>
      <c r="AU9" s="8" t="s">
        <v>170</v>
      </c>
      <c r="AV9" s="8" t="s">
        <v>102</v>
      </c>
      <c r="AW9" s="8" t="s">
        <v>81</v>
      </c>
      <c r="AX9" s="8" t="s">
        <v>19</v>
      </c>
      <c r="AY9" s="8" t="s">
        <v>177</v>
      </c>
      <c r="AZ9" s="8" t="s">
        <v>92</v>
      </c>
      <c r="BA9" s="8" t="s">
        <v>76</v>
      </c>
      <c r="BB9" s="8" t="s">
        <v>43</v>
      </c>
      <c r="BC9" s="8" t="s">
        <v>11</v>
      </c>
      <c r="BD9" s="8" t="s">
        <v>167</v>
      </c>
      <c r="BE9" s="8"/>
      <c r="BF9" s="2"/>
      <c r="BG9" s="5"/>
      <c r="BH9" s="5" t="s">
        <v>81</v>
      </c>
      <c r="BI9" s="5" t="s">
        <v>99</v>
      </c>
      <c r="BJ9" s="5" t="s">
        <v>195</v>
      </c>
      <c r="BK9" s="5" t="s">
        <v>167</v>
      </c>
      <c r="BL9" s="5" t="s">
        <v>11</v>
      </c>
      <c r="BM9" s="5" t="s">
        <v>76</v>
      </c>
      <c r="BN9" s="5" t="s">
        <v>192</v>
      </c>
      <c r="BO9" s="5" t="s">
        <v>19</v>
      </c>
      <c r="BP9" s="5" t="s">
        <v>32</v>
      </c>
      <c r="BQ9" s="5" t="s">
        <v>43</v>
      </c>
      <c r="BR9" s="5" t="s">
        <v>86</v>
      </c>
      <c r="BS9" s="5" t="s">
        <v>267</v>
      </c>
      <c r="BT9" s="5" t="s">
        <v>86</v>
      </c>
      <c r="BU9" s="5" t="s">
        <v>85</v>
      </c>
      <c r="BV9" s="5" t="s">
        <v>92</v>
      </c>
      <c r="BW9" s="5" t="s">
        <v>85</v>
      </c>
      <c r="BX9" s="5" t="s">
        <v>81</v>
      </c>
      <c r="BY9" s="5" t="s">
        <v>195</v>
      </c>
      <c r="BZ9" s="5" t="s">
        <v>19</v>
      </c>
      <c r="CA9" s="5" t="s">
        <v>167</v>
      </c>
      <c r="CB9" s="5" t="s">
        <v>177</v>
      </c>
      <c r="CC9" s="5" t="s">
        <v>32</v>
      </c>
      <c r="CD9" s="5" t="s">
        <v>192</v>
      </c>
      <c r="CE9" s="5" t="s">
        <v>11</v>
      </c>
      <c r="CF9" s="5" t="s">
        <v>43</v>
      </c>
      <c r="CG9" s="5" t="s">
        <v>76</v>
      </c>
      <c r="CH9" s="5" t="s">
        <v>294</v>
      </c>
      <c r="CI9" s="5" t="s">
        <v>92</v>
      </c>
      <c r="CJ9" s="5" t="s">
        <v>303</v>
      </c>
      <c r="CK9" s="5"/>
      <c r="CL9" s="5"/>
      <c r="CM9" s="8" t="s">
        <v>10</v>
      </c>
      <c r="CN9" s="8" t="s">
        <v>151</v>
      </c>
      <c r="CO9" s="29" t="s">
        <v>305</v>
      </c>
      <c r="CP9" s="30"/>
      <c r="CQ9" s="30"/>
      <c r="CR9" s="31"/>
      <c r="CS9" s="5"/>
      <c r="CT9" s="5"/>
      <c r="CU9" s="8" t="s">
        <v>10</v>
      </c>
      <c r="CV9" s="8" t="s">
        <v>151</v>
      </c>
      <c r="CW9" s="29" t="s">
        <v>305</v>
      </c>
      <c r="CX9" s="30"/>
      <c r="CY9" s="30"/>
      <c r="CZ9" s="31"/>
      <c r="DA9" s="5"/>
    </row>
    <row r="10" spans="1:105" x14ac:dyDescent="0.25">
      <c r="B10" s="27"/>
      <c r="C10" s="28"/>
      <c r="D10" s="2" t="s">
        <v>4</v>
      </c>
      <c r="E10" s="2" t="s">
        <v>5</v>
      </c>
      <c r="F10" s="9">
        <v>44653</v>
      </c>
      <c r="G10" s="9">
        <v>44653</v>
      </c>
      <c r="H10" s="9">
        <v>44660</v>
      </c>
      <c r="I10" s="9">
        <v>44674</v>
      </c>
      <c r="J10" s="9">
        <v>44681</v>
      </c>
      <c r="K10" s="9">
        <v>44696</v>
      </c>
      <c r="L10" s="9">
        <v>44709</v>
      </c>
      <c r="M10" s="9">
        <v>44709</v>
      </c>
      <c r="N10" s="9">
        <v>44709</v>
      </c>
      <c r="O10" s="9">
        <v>44730</v>
      </c>
      <c r="P10" s="9">
        <v>44730</v>
      </c>
      <c r="Q10" s="9">
        <v>44737</v>
      </c>
      <c r="R10" s="9">
        <v>44759</v>
      </c>
      <c r="S10" s="9">
        <v>44779</v>
      </c>
      <c r="T10" s="9">
        <v>44793</v>
      </c>
      <c r="U10" s="9">
        <v>44793</v>
      </c>
      <c r="V10" s="9">
        <v>44814</v>
      </c>
      <c r="W10" s="9">
        <v>44814</v>
      </c>
      <c r="X10" s="9">
        <v>44814</v>
      </c>
      <c r="Y10" s="9">
        <v>44828</v>
      </c>
      <c r="Z10" s="9">
        <v>44849</v>
      </c>
      <c r="AA10" s="9">
        <v>44856</v>
      </c>
      <c r="AB10" s="9">
        <v>44863</v>
      </c>
      <c r="AC10" s="9">
        <v>44869</v>
      </c>
      <c r="AD10" s="9">
        <v>44905</v>
      </c>
      <c r="AE10" s="2">
        <v>2022</v>
      </c>
      <c r="AF10" s="5"/>
      <c r="AG10" s="14" t="s">
        <v>120</v>
      </c>
      <c r="AH10" s="5" t="s">
        <v>124</v>
      </c>
      <c r="AI10" s="2" t="s">
        <v>127</v>
      </c>
      <c r="AJ10" s="2" t="s">
        <v>129</v>
      </c>
      <c r="AK10" s="2" t="s">
        <v>146</v>
      </c>
      <c r="AL10" s="2" t="s">
        <v>145</v>
      </c>
      <c r="AM10" s="2" t="s">
        <v>148</v>
      </c>
      <c r="AN10" s="2" t="s">
        <v>152</v>
      </c>
      <c r="AO10" s="2" t="s">
        <v>156</v>
      </c>
      <c r="AP10" s="2" t="s">
        <v>158</v>
      </c>
      <c r="AQ10" s="2" t="s">
        <v>160</v>
      </c>
      <c r="AR10" s="2" t="s">
        <v>164</v>
      </c>
      <c r="AS10" s="2" t="s">
        <v>168</v>
      </c>
      <c r="AT10" s="2" t="s">
        <v>169</v>
      </c>
      <c r="AU10" s="2" t="s">
        <v>171</v>
      </c>
      <c r="AV10" s="2" t="s">
        <v>172</v>
      </c>
      <c r="AW10" s="2" t="s">
        <v>172</v>
      </c>
      <c r="AX10" s="2" t="s">
        <v>175</v>
      </c>
      <c r="AY10" s="5" t="s">
        <v>176</v>
      </c>
      <c r="AZ10" s="2" t="s">
        <v>181</v>
      </c>
      <c r="BA10" s="2" t="s">
        <v>187</v>
      </c>
      <c r="BB10" s="2" t="s">
        <v>190</v>
      </c>
      <c r="BC10" s="5" t="s">
        <v>190</v>
      </c>
      <c r="BD10" s="2" t="s">
        <v>193</v>
      </c>
      <c r="BE10" s="5" t="s">
        <v>194</v>
      </c>
      <c r="BF10" s="14">
        <v>2023</v>
      </c>
      <c r="BG10" s="13"/>
      <c r="BH10" s="13" t="s">
        <v>196</v>
      </c>
      <c r="BI10" s="13" t="s">
        <v>196</v>
      </c>
      <c r="BJ10" s="13" t="s">
        <v>196</v>
      </c>
      <c r="BK10" s="13" t="s">
        <v>196</v>
      </c>
      <c r="BL10" s="13" t="s">
        <v>196</v>
      </c>
      <c r="BM10" s="13" t="s">
        <v>196</v>
      </c>
      <c r="BN10" s="13" t="s">
        <v>196</v>
      </c>
      <c r="BO10" s="13" t="s">
        <v>233</v>
      </c>
      <c r="BP10" s="13" t="s">
        <v>246</v>
      </c>
      <c r="BQ10" s="13" t="s">
        <v>246</v>
      </c>
      <c r="BR10" s="13" t="s">
        <v>264</v>
      </c>
      <c r="BS10" s="13" t="s">
        <v>268</v>
      </c>
      <c r="BT10" s="13" t="s">
        <v>269</v>
      </c>
      <c r="BU10" s="13" t="s">
        <v>269</v>
      </c>
      <c r="BV10" s="13" t="s">
        <v>273</v>
      </c>
      <c r="BW10" s="13" t="s">
        <v>277</v>
      </c>
      <c r="BX10" s="13" t="s">
        <v>171</v>
      </c>
      <c r="BY10" s="13" t="s">
        <v>283</v>
      </c>
      <c r="BZ10" s="13" t="s">
        <v>283</v>
      </c>
      <c r="CA10" s="13" t="s">
        <v>282</v>
      </c>
      <c r="CB10" s="13" t="s">
        <v>284</v>
      </c>
      <c r="CC10" s="13" t="s">
        <v>287</v>
      </c>
      <c r="CD10" s="13" t="s">
        <v>287</v>
      </c>
      <c r="CE10" s="13" t="s">
        <v>289</v>
      </c>
      <c r="CF10" s="13" t="s">
        <v>290</v>
      </c>
      <c r="CG10" s="13" t="s">
        <v>290</v>
      </c>
      <c r="CH10" s="13" t="s">
        <v>295</v>
      </c>
      <c r="CI10" s="13" t="s">
        <v>296</v>
      </c>
      <c r="CJ10" s="13" t="s">
        <v>304</v>
      </c>
      <c r="CK10" s="13">
        <v>2024</v>
      </c>
      <c r="CL10" s="5"/>
      <c r="CM10" s="5"/>
      <c r="CN10" s="5"/>
      <c r="CO10" s="5">
        <v>1</v>
      </c>
      <c r="CP10" s="5">
        <v>2</v>
      </c>
      <c r="CQ10" s="5">
        <v>3</v>
      </c>
      <c r="CR10" s="5">
        <v>4</v>
      </c>
      <c r="CS10" s="5">
        <v>2025</v>
      </c>
      <c r="CT10" s="5"/>
      <c r="CU10" s="5"/>
      <c r="CV10" s="5"/>
      <c r="CW10" s="5">
        <v>1</v>
      </c>
      <c r="CX10" s="5">
        <v>2</v>
      </c>
      <c r="CY10" s="5">
        <v>3</v>
      </c>
      <c r="CZ10" s="5">
        <v>4</v>
      </c>
      <c r="DA10" s="5">
        <v>2026</v>
      </c>
    </row>
    <row r="11" spans="1:105" x14ac:dyDescent="0.25">
      <c r="A11">
        <v>1</v>
      </c>
      <c r="B11" s="6" t="s">
        <v>279</v>
      </c>
      <c r="C11" s="6"/>
      <c r="D11" s="6" t="s">
        <v>166</v>
      </c>
      <c r="E11" s="6" t="s">
        <v>131</v>
      </c>
      <c r="F11" s="6"/>
      <c r="G11" s="6"/>
      <c r="H11" s="6"/>
      <c r="I11" s="6"/>
      <c r="J11" s="6"/>
      <c r="K11" s="6"/>
      <c r="L11" s="6"/>
      <c r="M11" s="6"/>
      <c r="N11" s="6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6"/>
      <c r="AF11" s="10"/>
      <c r="AG11" s="6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6"/>
      <c r="CL11" s="6">
        <f>36/2</f>
        <v>18</v>
      </c>
      <c r="CM11" s="10">
        <v>48</v>
      </c>
      <c r="CN11" s="10">
        <v>56</v>
      </c>
      <c r="CO11" s="10">
        <v>54</v>
      </c>
      <c r="CP11" s="10">
        <v>36</v>
      </c>
      <c r="CQ11" s="10">
        <v>100</v>
      </c>
      <c r="CR11" s="10">
        <v>105</v>
      </c>
      <c r="CS11" s="6">
        <f>SUM(CL11:CR11)</f>
        <v>417</v>
      </c>
      <c r="CT11" s="6">
        <f>(CS11-CL11)/2</f>
        <v>199.5</v>
      </c>
      <c r="CU11" s="10">
        <v>48</v>
      </c>
      <c r="CV11" s="10">
        <v>64</v>
      </c>
      <c r="CW11" s="10">
        <v>150</v>
      </c>
      <c r="CX11" s="10">
        <v>100</v>
      </c>
      <c r="CY11" s="10">
        <v>36</v>
      </c>
      <c r="CZ11" s="10"/>
      <c r="DA11" s="6">
        <f t="shared" ref="DA11:DA49" si="0">SUM(CT11:CZ11)</f>
        <v>597.5</v>
      </c>
    </row>
    <row r="12" spans="1:105" x14ac:dyDescent="0.25">
      <c r="A12">
        <v>2</v>
      </c>
      <c r="B12" s="10" t="s">
        <v>317</v>
      </c>
      <c r="C12" s="6"/>
      <c r="D12" s="6" t="s">
        <v>318</v>
      </c>
      <c r="E12" s="6" t="s">
        <v>617</v>
      </c>
      <c r="F12" s="6"/>
      <c r="G12" s="6"/>
      <c r="H12" s="6"/>
      <c r="I12" s="6"/>
      <c r="J12" s="6"/>
      <c r="K12" s="6"/>
      <c r="L12" s="6"/>
      <c r="M12" s="6"/>
      <c r="N12" s="6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6"/>
      <c r="AF12" s="10"/>
      <c r="AG12" s="6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6"/>
      <c r="CL12" s="6"/>
      <c r="CM12" s="10"/>
      <c r="CN12" s="10">
        <v>4</v>
      </c>
      <c r="CO12" s="10">
        <v>7.5</v>
      </c>
      <c r="CP12" s="10">
        <v>10</v>
      </c>
      <c r="CQ12" s="10"/>
      <c r="CR12" s="10"/>
      <c r="CS12" s="6"/>
      <c r="CT12" s="6">
        <v>70.2</v>
      </c>
      <c r="CU12" s="10">
        <v>33.6</v>
      </c>
      <c r="CV12" s="10">
        <v>40</v>
      </c>
      <c r="CW12" s="10">
        <v>75</v>
      </c>
      <c r="CX12" s="10">
        <v>70</v>
      </c>
      <c r="CY12" s="10">
        <v>33.6</v>
      </c>
      <c r="CZ12" s="10"/>
      <c r="DA12" s="6">
        <f t="shared" si="0"/>
        <v>322.40000000000003</v>
      </c>
    </row>
    <row r="13" spans="1:105" x14ac:dyDescent="0.25">
      <c r="A13">
        <v>3</v>
      </c>
      <c r="B13" s="6" t="s">
        <v>138</v>
      </c>
      <c r="C13" s="6"/>
      <c r="D13" s="6" t="s">
        <v>48</v>
      </c>
      <c r="E13" s="6" t="s">
        <v>311</v>
      </c>
      <c r="F13" s="6"/>
      <c r="G13" s="6"/>
      <c r="H13" s="6"/>
      <c r="I13" s="6"/>
      <c r="J13" s="6"/>
      <c r="K13" s="6"/>
      <c r="L13" s="6"/>
      <c r="M13" s="6"/>
      <c r="N13" s="6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6"/>
      <c r="AF13" s="10"/>
      <c r="AG13" s="6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6"/>
      <c r="CL13" s="6"/>
      <c r="CM13" s="10">
        <v>30</v>
      </c>
      <c r="CN13" s="10"/>
      <c r="CO13" s="10"/>
      <c r="CP13" s="10"/>
      <c r="CQ13" s="10"/>
      <c r="CR13" s="10"/>
      <c r="CS13" s="6">
        <f>SUM(CL13:CR13)</f>
        <v>30</v>
      </c>
      <c r="CT13" s="6">
        <v>58.25</v>
      </c>
      <c r="CU13" s="10">
        <v>48</v>
      </c>
      <c r="CV13" s="10">
        <v>40</v>
      </c>
      <c r="CW13" s="10">
        <v>75</v>
      </c>
      <c r="CX13" s="10">
        <v>50</v>
      </c>
      <c r="CY13" s="10">
        <v>48</v>
      </c>
      <c r="CZ13" s="10"/>
      <c r="DA13" s="6">
        <f t="shared" si="0"/>
        <v>319.25</v>
      </c>
    </row>
    <row r="14" spans="1:105" x14ac:dyDescent="0.25">
      <c r="A14">
        <v>4</v>
      </c>
      <c r="B14" s="6" t="s">
        <v>163</v>
      </c>
      <c r="C14" s="6"/>
      <c r="D14" s="6" t="s">
        <v>70</v>
      </c>
      <c r="E14" s="6" t="s">
        <v>117</v>
      </c>
      <c r="F14" s="6"/>
      <c r="G14" s="6"/>
      <c r="H14" s="6"/>
      <c r="I14" s="6"/>
      <c r="J14" s="6"/>
      <c r="K14" s="6"/>
      <c r="L14" s="6"/>
      <c r="M14" s="6"/>
      <c r="N14" s="6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6"/>
      <c r="AF14" s="10"/>
      <c r="AG14" s="6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6">
        <v>260.25</v>
      </c>
      <c r="CL14" s="6">
        <f>CK14/2</f>
        <v>130.125</v>
      </c>
      <c r="CM14" s="10">
        <v>36</v>
      </c>
      <c r="CN14" s="10">
        <v>3.2</v>
      </c>
      <c r="CO14" s="10">
        <v>10</v>
      </c>
      <c r="CP14" s="10">
        <v>54</v>
      </c>
      <c r="CQ14" s="10">
        <v>7.5</v>
      </c>
      <c r="CR14" s="10">
        <v>36</v>
      </c>
      <c r="CS14" s="6">
        <f>SUM(CL14:CR14)</f>
        <v>276.82499999999999</v>
      </c>
      <c r="CT14" s="6">
        <f>(CS14-CL14)/2</f>
        <v>73.349999999999994</v>
      </c>
      <c r="CU14" s="10">
        <v>36</v>
      </c>
      <c r="CV14" s="10">
        <v>56</v>
      </c>
      <c r="CW14" s="10">
        <v>105</v>
      </c>
      <c r="CX14" s="10">
        <v>36</v>
      </c>
      <c r="CY14" s="10"/>
      <c r="CZ14" s="10">
        <v>5</v>
      </c>
      <c r="DA14" s="6">
        <f t="shared" si="0"/>
        <v>311.35000000000002</v>
      </c>
    </row>
    <row r="15" spans="1:105" x14ac:dyDescent="0.25">
      <c r="A15">
        <v>5</v>
      </c>
      <c r="B15" s="6" t="s">
        <v>577</v>
      </c>
      <c r="C15" s="6"/>
      <c r="D15" s="6" t="s">
        <v>578</v>
      </c>
      <c r="E15" s="6" t="s">
        <v>576</v>
      </c>
      <c r="F15" s="6"/>
      <c r="G15" s="6"/>
      <c r="H15" s="6"/>
      <c r="I15" s="6"/>
      <c r="J15" s="6"/>
      <c r="K15" s="6"/>
      <c r="L15" s="6"/>
      <c r="M15" s="6"/>
      <c r="N15" s="6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6"/>
      <c r="AF15" s="10"/>
      <c r="AG15" s="6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6"/>
      <c r="CL15" s="6"/>
      <c r="CM15" s="10"/>
      <c r="CN15" s="10"/>
      <c r="CO15" s="10"/>
      <c r="CP15" s="10"/>
      <c r="CQ15" s="10"/>
      <c r="CR15" s="10"/>
      <c r="CS15" s="6"/>
      <c r="CT15" s="6">
        <f>214.5/2</f>
        <v>107.25</v>
      </c>
      <c r="CU15" s="10">
        <v>36</v>
      </c>
      <c r="CV15" s="10">
        <v>80</v>
      </c>
      <c r="CW15" s="10">
        <v>54</v>
      </c>
      <c r="CX15" s="10"/>
      <c r="CY15" s="10"/>
      <c r="CZ15" s="10"/>
      <c r="DA15" s="6">
        <f t="shared" si="0"/>
        <v>277.25</v>
      </c>
    </row>
    <row r="16" spans="1:105" x14ac:dyDescent="0.25">
      <c r="A16">
        <v>6</v>
      </c>
      <c r="B16" s="6" t="s">
        <v>428</v>
      </c>
      <c r="C16" s="6"/>
      <c r="D16" s="6" t="s">
        <v>429</v>
      </c>
      <c r="E16" s="6" t="s">
        <v>74</v>
      </c>
      <c r="F16" s="6"/>
      <c r="G16" s="6"/>
      <c r="H16" s="6"/>
      <c r="I16" s="6"/>
      <c r="J16" s="6"/>
      <c r="K16" s="6"/>
      <c r="L16" s="6"/>
      <c r="M16" s="6"/>
      <c r="N16" s="6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6"/>
      <c r="AF16" s="10"/>
      <c r="AG16" s="6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6"/>
      <c r="CL16" s="6"/>
      <c r="CM16" s="10">
        <v>60</v>
      </c>
      <c r="CN16" s="10"/>
      <c r="CO16" s="10">
        <v>105</v>
      </c>
      <c r="CP16" s="10">
        <v>70</v>
      </c>
      <c r="CQ16" s="10">
        <v>75</v>
      </c>
      <c r="CR16" s="10"/>
      <c r="CS16" s="6">
        <f>SUM(CL16:CR16)</f>
        <v>310</v>
      </c>
      <c r="CT16" s="6">
        <f>(CS16-CL16)/2</f>
        <v>155</v>
      </c>
      <c r="CU16" s="10"/>
      <c r="CV16" s="10"/>
      <c r="CW16" s="10"/>
      <c r="CX16" s="10"/>
      <c r="CY16" s="10"/>
      <c r="CZ16" s="10"/>
      <c r="DA16" s="6">
        <f t="shared" si="0"/>
        <v>155</v>
      </c>
    </row>
    <row r="17" spans="1:105" x14ac:dyDescent="0.25">
      <c r="A17">
        <v>7</v>
      </c>
      <c r="B17" s="6" t="s">
        <v>513</v>
      </c>
      <c r="C17" s="6"/>
      <c r="D17" s="6" t="s">
        <v>30</v>
      </c>
      <c r="E17" s="6" t="s">
        <v>514</v>
      </c>
      <c r="F17" s="6"/>
      <c r="G17" s="6"/>
      <c r="H17" s="6"/>
      <c r="I17" s="6"/>
      <c r="J17" s="6"/>
      <c r="K17" s="6"/>
      <c r="L17" s="6"/>
      <c r="M17" s="6"/>
      <c r="N17" s="6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6"/>
      <c r="AF17" s="10"/>
      <c r="AG17" s="6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6"/>
      <c r="CL17" s="6"/>
      <c r="CM17" s="10"/>
      <c r="CN17" s="10"/>
      <c r="CO17" s="10"/>
      <c r="CP17" s="10"/>
      <c r="CQ17" s="10"/>
      <c r="CR17" s="10"/>
      <c r="CS17" s="6"/>
      <c r="CT17" s="6"/>
      <c r="CU17" s="10">
        <v>48</v>
      </c>
      <c r="CV17" s="10">
        <v>40</v>
      </c>
      <c r="CW17" s="10">
        <v>2.4</v>
      </c>
      <c r="CX17" s="10"/>
      <c r="CY17" s="10"/>
      <c r="CZ17" s="10"/>
      <c r="DA17" s="6">
        <f t="shared" si="0"/>
        <v>90.4</v>
      </c>
    </row>
    <row r="18" spans="1:105" x14ac:dyDescent="0.25">
      <c r="A18" s="22">
        <v>8</v>
      </c>
      <c r="B18" s="6" t="s">
        <v>601</v>
      </c>
      <c r="C18" s="6"/>
      <c r="D18" s="6" t="s">
        <v>611</v>
      </c>
      <c r="E18" s="6" t="s">
        <v>35</v>
      </c>
      <c r="F18" s="6"/>
      <c r="G18" s="6"/>
      <c r="H18" s="6"/>
      <c r="I18" s="6"/>
      <c r="J18" s="6"/>
      <c r="K18" s="6"/>
      <c r="L18" s="6"/>
      <c r="M18" s="6"/>
      <c r="N18" s="6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6"/>
      <c r="AF18" s="10"/>
      <c r="AG18" s="6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6"/>
      <c r="CL18" s="6"/>
      <c r="CM18" s="10"/>
      <c r="CN18" s="10"/>
      <c r="CO18" s="10"/>
      <c r="CP18" s="10"/>
      <c r="CQ18" s="10"/>
      <c r="CR18" s="10"/>
      <c r="CS18" s="6"/>
      <c r="CT18" s="6"/>
      <c r="CU18" s="10">
        <v>36</v>
      </c>
      <c r="CV18" s="10"/>
      <c r="CW18" s="10">
        <v>54</v>
      </c>
      <c r="CX18" s="10"/>
      <c r="CY18" s="10"/>
      <c r="CZ18" s="10"/>
      <c r="DA18" s="6">
        <f t="shared" si="0"/>
        <v>90</v>
      </c>
    </row>
    <row r="19" spans="1:105" x14ac:dyDescent="0.25">
      <c r="A19">
        <v>9</v>
      </c>
      <c r="B19" s="6" t="s">
        <v>544</v>
      </c>
      <c r="C19" s="6"/>
      <c r="D19" s="6" t="s">
        <v>15</v>
      </c>
      <c r="E19" s="6" t="s">
        <v>587</v>
      </c>
      <c r="F19" s="6"/>
      <c r="G19" s="6"/>
      <c r="H19" s="6"/>
      <c r="I19" s="6"/>
      <c r="J19" s="6"/>
      <c r="K19" s="6"/>
      <c r="L19" s="6"/>
      <c r="M19" s="6"/>
      <c r="N19" s="6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6"/>
      <c r="AF19" s="10"/>
      <c r="AG19" s="6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6"/>
      <c r="CL19" s="6"/>
      <c r="CM19" s="10"/>
      <c r="CN19" s="10"/>
      <c r="CO19" s="10"/>
      <c r="CP19" s="10"/>
      <c r="CQ19" s="10"/>
      <c r="CR19" s="10"/>
      <c r="CS19" s="6"/>
      <c r="CT19" s="6"/>
      <c r="CU19" s="10"/>
      <c r="CV19" s="10">
        <v>80</v>
      </c>
      <c r="CW19" s="10"/>
      <c r="CX19" s="10"/>
      <c r="CY19" s="10"/>
      <c r="CZ19" s="10"/>
      <c r="DA19" s="6">
        <f t="shared" si="0"/>
        <v>80</v>
      </c>
    </row>
    <row r="20" spans="1:105" x14ac:dyDescent="0.25">
      <c r="A20">
        <v>10</v>
      </c>
      <c r="B20" s="6" t="s">
        <v>65</v>
      </c>
      <c r="C20" s="6"/>
      <c r="D20" s="6" t="s">
        <v>360</v>
      </c>
      <c r="E20" s="6" t="s">
        <v>35</v>
      </c>
      <c r="F20" s="6"/>
      <c r="G20" s="6"/>
      <c r="H20" s="6"/>
      <c r="I20" s="6"/>
      <c r="J20" s="6"/>
      <c r="K20" s="6"/>
      <c r="L20" s="6"/>
      <c r="M20" s="6"/>
      <c r="N20" s="6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6"/>
      <c r="AF20" s="10"/>
      <c r="AG20" s="6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6"/>
      <c r="CL20" s="6"/>
      <c r="CM20" s="10"/>
      <c r="CN20" s="10"/>
      <c r="CO20" s="10">
        <v>54</v>
      </c>
      <c r="CP20" s="10">
        <v>72</v>
      </c>
      <c r="CQ20" s="10"/>
      <c r="CR20" s="10"/>
      <c r="CS20" s="6">
        <f>SUM(CL20:CR20)</f>
        <v>126</v>
      </c>
      <c r="CT20" s="6">
        <f>(CS20-CL20)/2</f>
        <v>63</v>
      </c>
      <c r="CU20" s="10"/>
      <c r="CV20" s="10"/>
      <c r="CW20" s="10"/>
      <c r="CX20" s="10"/>
      <c r="CY20" s="10"/>
      <c r="CZ20" s="10"/>
      <c r="DA20" s="6">
        <f t="shared" si="0"/>
        <v>63</v>
      </c>
    </row>
    <row r="21" spans="1:105" x14ac:dyDescent="0.25">
      <c r="A21">
        <v>11</v>
      </c>
      <c r="B21" s="6" t="s">
        <v>515</v>
      </c>
      <c r="C21" s="6"/>
      <c r="D21" s="6" t="s">
        <v>15</v>
      </c>
      <c r="E21" s="6" t="s">
        <v>69</v>
      </c>
      <c r="F21" s="6"/>
      <c r="G21" s="6"/>
      <c r="H21" s="6"/>
      <c r="I21" s="6"/>
      <c r="J21" s="6"/>
      <c r="K21" s="6"/>
      <c r="L21" s="6"/>
      <c r="M21" s="6"/>
      <c r="N21" s="6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6"/>
      <c r="AF21" s="10"/>
      <c r="AG21" s="6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6"/>
      <c r="CL21" s="6"/>
      <c r="CM21" s="10"/>
      <c r="CN21" s="10"/>
      <c r="CO21" s="10"/>
      <c r="CP21" s="10"/>
      <c r="CQ21" s="10"/>
      <c r="CR21" s="10"/>
      <c r="CS21" s="6"/>
      <c r="CT21" s="6"/>
      <c r="CU21" s="10">
        <v>2.4</v>
      </c>
      <c r="CV21" s="10">
        <v>56</v>
      </c>
      <c r="CW21" s="10"/>
      <c r="CX21" s="10"/>
      <c r="CY21" s="10"/>
      <c r="CZ21" s="10"/>
      <c r="DA21" s="6">
        <f t="shared" si="0"/>
        <v>58.4</v>
      </c>
    </row>
    <row r="22" spans="1:105" x14ac:dyDescent="0.25">
      <c r="A22">
        <v>12</v>
      </c>
      <c r="B22" s="10" t="s">
        <v>445</v>
      </c>
      <c r="C22" s="6"/>
      <c r="D22" s="6" t="s">
        <v>105</v>
      </c>
      <c r="E22" s="6" t="s">
        <v>83</v>
      </c>
      <c r="F22" s="6"/>
      <c r="G22" s="6"/>
      <c r="H22" s="6"/>
      <c r="I22" s="6"/>
      <c r="J22" s="6"/>
      <c r="K22" s="6"/>
      <c r="L22" s="6"/>
      <c r="M22" s="6"/>
      <c r="N22" s="6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6"/>
      <c r="AF22" s="10"/>
      <c r="AG22" s="6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6"/>
      <c r="CL22" s="6"/>
      <c r="CM22" s="10"/>
      <c r="CN22" s="10"/>
      <c r="CO22" s="10">
        <v>100</v>
      </c>
      <c r="CP22" s="10"/>
      <c r="CQ22" s="10"/>
      <c r="CR22" s="10"/>
      <c r="CS22" s="6">
        <f>SUM(CL22:CR22)</f>
        <v>100</v>
      </c>
      <c r="CT22" s="6">
        <f>(CS22-CL22)/2</f>
        <v>50</v>
      </c>
      <c r="CU22" s="10"/>
      <c r="CV22" s="10"/>
      <c r="CW22" s="10"/>
      <c r="CX22" s="10"/>
      <c r="CY22" s="10"/>
      <c r="CZ22" s="10"/>
      <c r="DA22" s="6">
        <f t="shared" si="0"/>
        <v>50</v>
      </c>
    </row>
    <row r="23" spans="1:105" x14ac:dyDescent="0.25">
      <c r="A23">
        <v>13</v>
      </c>
      <c r="B23" s="6" t="s">
        <v>426</v>
      </c>
      <c r="C23" s="6"/>
      <c r="D23" s="6" t="s">
        <v>30</v>
      </c>
      <c r="E23" s="6" t="s">
        <v>230</v>
      </c>
      <c r="F23" s="6"/>
      <c r="G23" s="6"/>
      <c r="H23" s="6"/>
      <c r="I23" s="6"/>
      <c r="J23" s="6"/>
      <c r="K23" s="6"/>
      <c r="L23" s="6"/>
      <c r="M23" s="6"/>
      <c r="N23" s="6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6"/>
      <c r="AF23" s="10"/>
      <c r="AG23" s="6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6"/>
      <c r="CL23" s="6"/>
      <c r="CM23" s="10"/>
      <c r="CN23" s="10">
        <v>44.8</v>
      </c>
      <c r="CO23" s="10">
        <v>54</v>
      </c>
      <c r="CP23" s="10"/>
      <c r="CQ23" s="10"/>
      <c r="CR23" s="10"/>
      <c r="CS23" s="6">
        <f>SUM(CL23:CR23)</f>
        <v>98.8</v>
      </c>
      <c r="CT23" s="6">
        <f>(CS23-CL23)/2</f>
        <v>49.4</v>
      </c>
      <c r="CU23" s="10"/>
      <c r="CV23" s="10"/>
      <c r="CW23" s="10"/>
      <c r="CX23" s="10"/>
      <c r="CY23" s="10"/>
      <c r="CZ23" s="10"/>
      <c r="DA23" s="6">
        <f t="shared" si="0"/>
        <v>49.4</v>
      </c>
    </row>
    <row r="24" spans="1:105" x14ac:dyDescent="0.25">
      <c r="A24">
        <v>14</v>
      </c>
      <c r="B24" s="10" t="s">
        <v>40</v>
      </c>
      <c r="C24" s="6"/>
      <c r="D24" s="6" t="s">
        <v>135</v>
      </c>
      <c r="E24" s="6" t="s">
        <v>69</v>
      </c>
      <c r="F24" s="6"/>
      <c r="G24" s="6"/>
      <c r="H24" s="6"/>
      <c r="I24" s="6"/>
      <c r="J24" s="6"/>
      <c r="K24" s="6"/>
      <c r="L24" s="6"/>
      <c r="M24" s="6"/>
      <c r="N24" s="6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6"/>
      <c r="AF24" s="10"/>
      <c r="AG24" s="6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6"/>
      <c r="CL24" s="6"/>
      <c r="CM24" s="10"/>
      <c r="CN24" s="10"/>
      <c r="CO24" s="10"/>
      <c r="CP24" s="10"/>
      <c r="CQ24" s="10"/>
      <c r="CR24" s="10"/>
      <c r="CS24" s="6"/>
      <c r="CT24" s="6"/>
      <c r="CU24" s="10">
        <v>48</v>
      </c>
      <c r="CV24" s="10"/>
      <c r="CW24" s="10"/>
      <c r="CX24" s="10"/>
      <c r="CY24" s="10"/>
      <c r="CZ24" s="10"/>
      <c r="DA24" s="6">
        <f t="shared" si="0"/>
        <v>48</v>
      </c>
    </row>
    <row r="25" spans="1:105" x14ac:dyDescent="0.25">
      <c r="A25">
        <v>15</v>
      </c>
      <c r="B25" s="6" t="s">
        <v>574</v>
      </c>
      <c r="C25" s="6"/>
      <c r="D25" s="6" t="s">
        <v>49</v>
      </c>
      <c r="E25" s="6" t="s">
        <v>568</v>
      </c>
      <c r="F25" s="6"/>
      <c r="G25" s="6"/>
      <c r="H25" s="6"/>
      <c r="I25" s="6"/>
      <c r="J25" s="6"/>
      <c r="K25" s="6"/>
      <c r="L25" s="6"/>
      <c r="M25" s="6"/>
      <c r="N25" s="6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6"/>
      <c r="AF25" s="10"/>
      <c r="AG25" s="6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6"/>
      <c r="CL25" s="6"/>
      <c r="CM25" s="10"/>
      <c r="CN25" s="10"/>
      <c r="CO25" s="10"/>
      <c r="CP25" s="10"/>
      <c r="CQ25" s="10"/>
      <c r="CR25" s="10"/>
      <c r="CS25" s="6"/>
      <c r="CT25" s="6"/>
      <c r="CU25" s="10">
        <v>36</v>
      </c>
      <c r="CV25" s="10"/>
      <c r="CW25" s="10">
        <v>7.5</v>
      </c>
      <c r="CX25" s="10"/>
      <c r="CY25" s="10"/>
      <c r="CZ25" s="10"/>
      <c r="DA25" s="6">
        <f t="shared" si="0"/>
        <v>43.5</v>
      </c>
    </row>
    <row r="26" spans="1:105" x14ac:dyDescent="0.25">
      <c r="A26">
        <v>16</v>
      </c>
      <c r="B26" s="6" t="s">
        <v>186</v>
      </c>
      <c r="C26" s="6"/>
      <c r="D26" s="6" t="s">
        <v>278</v>
      </c>
      <c r="E26" s="6" t="s">
        <v>74</v>
      </c>
      <c r="F26" s="6"/>
      <c r="G26" s="6"/>
      <c r="H26" s="6"/>
      <c r="I26" s="6"/>
      <c r="J26" s="6"/>
      <c r="K26" s="6"/>
      <c r="L26" s="6"/>
      <c r="M26" s="6"/>
      <c r="N26" s="6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6"/>
      <c r="AF26" s="10"/>
      <c r="AG26" s="6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10"/>
      <c r="BT26" s="10"/>
      <c r="BU26" s="10"/>
      <c r="BV26" s="10"/>
      <c r="BW26" s="10">
        <v>7.5</v>
      </c>
      <c r="BX26" s="10"/>
      <c r="BY26" s="10"/>
      <c r="BZ26" s="10"/>
      <c r="CA26" s="10">
        <v>2.4</v>
      </c>
      <c r="CB26" s="10"/>
      <c r="CC26" s="10"/>
      <c r="CD26" s="10"/>
      <c r="CE26" s="10"/>
      <c r="CF26" s="10"/>
      <c r="CG26" s="10"/>
      <c r="CH26" s="10"/>
      <c r="CI26" s="10"/>
      <c r="CJ26" s="10"/>
      <c r="CK26" s="6">
        <f>SUM(BG26:CJ26)</f>
        <v>9.9</v>
      </c>
      <c r="CL26" s="6">
        <f>(CK26-BG26)/2</f>
        <v>4.95</v>
      </c>
      <c r="CM26" s="10">
        <v>42</v>
      </c>
      <c r="CN26" s="10"/>
      <c r="CO26" s="10">
        <v>39</v>
      </c>
      <c r="CP26" s="10"/>
      <c r="CQ26" s="10"/>
      <c r="CR26" s="10"/>
      <c r="CS26" s="6">
        <f>SUM(CL26:CR26)</f>
        <v>85.95</v>
      </c>
      <c r="CT26" s="6">
        <f>(CS26-CL26)/2</f>
        <v>40.5</v>
      </c>
      <c r="CU26" s="10"/>
      <c r="CV26" s="10"/>
      <c r="CW26" s="10"/>
      <c r="CX26" s="10"/>
      <c r="CY26" s="10"/>
      <c r="CZ26" s="10"/>
      <c r="DA26" s="6">
        <f t="shared" si="0"/>
        <v>40.5</v>
      </c>
    </row>
    <row r="27" spans="1:105" x14ac:dyDescent="0.25">
      <c r="A27">
        <v>17</v>
      </c>
      <c r="B27" s="6" t="s">
        <v>389</v>
      </c>
      <c r="C27" s="6"/>
      <c r="D27" s="6" t="s">
        <v>105</v>
      </c>
      <c r="E27" s="6" t="s">
        <v>84</v>
      </c>
      <c r="F27" s="6"/>
      <c r="G27" s="6"/>
      <c r="H27" s="6"/>
      <c r="I27" s="6"/>
      <c r="J27" s="6"/>
      <c r="K27" s="6"/>
      <c r="L27" s="6"/>
      <c r="M27" s="6"/>
      <c r="N27" s="6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6"/>
      <c r="AF27" s="10"/>
      <c r="AG27" s="6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6"/>
      <c r="CL27" s="6"/>
      <c r="CM27" s="10">
        <v>30</v>
      </c>
      <c r="CN27" s="10">
        <v>40</v>
      </c>
      <c r="CO27" s="10">
        <v>7.5</v>
      </c>
      <c r="CP27" s="10"/>
      <c r="CQ27" s="10"/>
      <c r="CR27" s="10"/>
      <c r="CS27" s="6">
        <f>SUM(CL27:CR27)</f>
        <v>77.5</v>
      </c>
      <c r="CT27" s="6">
        <f>(CS27-CL27)/2</f>
        <v>38.75</v>
      </c>
      <c r="CU27" s="10"/>
      <c r="CV27" s="10"/>
      <c r="CW27" s="10"/>
      <c r="CX27" s="10"/>
      <c r="CY27" s="10"/>
      <c r="CZ27" s="10"/>
      <c r="DA27" s="6">
        <f t="shared" si="0"/>
        <v>38.75</v>
      </c>
    </row>
    <row r="28" spans="1:105" x14ac:dyDescent="0.25">
      <c r="A28">
        <v>18</v>
      </c>
      <c r="B28" s="6" t="s">
        <v>584</v>
      </c>
      <c r="C28" s="6"/>
      <c r="D28" s="6" t="s">
        <v>585</v>
      </c>
      <c r="E28" s="6" t="s">
        <v>22</v>
      </c>
      <c r="F28" s="6"/>
      <c r="G28" s="6"/>
      <c r="H28" s="6"/>
      <c r="I28" s="6"/>
      <c r="J28" s="6"/>
      <c r="K28" s="6"/>
      <c r="L28" s="6"/>
      <c r="M28" s="6"/>
      <c r="N28" s="6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6"/>
      <c r="AF28" s="10"/>
      <c r="AG28" s="6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6"/>
      <c r="CL28" s="6"/>
      <c r="CM28" s="10"/>
      <c r="CN28" s="10"/>
      <c r="CO28" s="10"/>
      <c r="CP28" s="10"/>
      <c r="CQ28" s="10"/>
      <c r="CR28" s="10"/>
      <c r="CS28" s="6"/>
      <c r="CT28" s="6"/>
      <c r="CU28" s="10">
        <v>36</v>
      </c>
      <c r="CV28" s="10"/>
      <c r="CW28" s="10"/>
      <c r="CX28" s="10"/>
      <c r="CY28" s="10"/>
      <c r="CZ28" s="10"/>
      <c r="DA28" s="6">
        <f t="shared" si="0"/>
        <v>36</v>
      </c>
    </row>
    <row r="29" spans="1:105" x14ac:dyDescent="0.25">
      <c r="A29">
        <v>19</v>
      </c>
      <c r="B29" s="6" t="s">
        <v>537</v>
      </c>
      <c r="C29" s="6"/>
      <c r="D29" s="6" t="s">
        <v>140</v>
      </c>
      <c r="E29" s="6" t="s">
        <v>539</v>
      </c>
      <c r="F29" s="6"/>
      <c r="G29" s="6"/>
      <c r="H29" s="6"/>
      <c r="I29" s="6"/>
      <c r="J29" s="6"/>
      <c r="K29" s="6"/>
      <c r="L29" s="6"/>
      <c r="M29" s="6"/>
      <c r="N29" s="6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6"/>
      <c r="AF29" s="10"/>
      <c r="AG29" s="6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6"/>
      <c r="CL29" s="6"/>
      <c r="CM29" s="10"/>
      <c r="CN29" s="10"/>
      <c r="CO29" s="10"/>
      <c r="CP29" s="10"/>
      <c r="CQ29" s="10"/>
      <c r="CR29" s="10"/>
      <c r="CS29" s="6"/>
      <c r="CT29" s="6"/>
      <c r="CU29" s="10"/>
      <c r="CV29" s="10">
        <v>28.8</v>
      </c>
      <c r="CW29" s="10"/>
      <c r="CX29" s="10"/>
      <c r="CY29" s="10"/>
      <c r="CZ29" s="10"/>
      <c r="DA29" s="6">
        <f t="shared" si="0"/>
        <v>28.8</v>
      </c>
    </row>
    <row r="30" spans="1:105" x14ac:dyDescent="0.25">
      <c r="A30">
        <v>20</v>
      </c>
      <c r="B30" s="10" t="s">
        <v>607</v>
      </c>
      <c r="C30" s="6"/>
      <c r="D30" s="6" t="s">
        <v>423</v>
      </c>
      <c r="E30" s="6" t="s">
        <v>35</v>
      </c>
      <c r="F30" s="6"/>
      <c r="G30" s="6"/>
      <c r="H30" s="6"/>
      <c r="I30" s="6"/>
      <c r="J30" s="6"/>
      <c r="K30" s="6"/>
      <c r="L30" s="6"/>
      <c r="M30" s="6"/>
      <c r="N30" s="6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6"/>
      <c r="AF30" s="10"/>
      <c r="AG30" s="6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6"/>
      <c r="CL30" s="6"/>
      <c r="CM30" s="10"/>
      <c r="CN30" s="10"/>
      <c r="CO30" s="10"/>
      <c r="CP30" s="10"/>
      <c r="CQ30" s="10"/>
      <c r="CR30" s="10"/>
      <c r="CS30" s="6"/>
      <c r="CT30" s="6">
        <v>26</v>
      </c>
      <c r="CU30" s="10"/>
      <c r="CV30" s="10"/>
      <c r="CW30" s="10"/>
      <c r="CX30" s="10"/>
      <c r="CY30" s="10"/>
      <c r="CZ30" s="10"/>
      <c r="DA30" s="6">
        <f t="shared" si="0"/>
        <v>26</v>
      </c>
    </row>
    <row r="31" spans="1:105" x14ac:dyDescent="0.25">
      <c r="A31">
        <v>21</v>
      </c>
      <c r="B31" s="6" t="s">
        <v>75</v>
      </c>
      <c r="C31" s="6"/>
      <c r="D31" s="6" t="s">
        <v>199</v>
      </c>
      <c r="E31" s="6" t="s">
        <v>84</v>
      </c>
      <c r="F31" s="6"/>
      <c r="G31" s="6"/>
      <c r="H31" s="6"/>
      <c r="I31" s="6"/>
      <c r="J31" s="6"/>
      <c r="K31" s="6"/>
      <c r="L31" s="6"/>
      <c r="M31" s="6"/>
      <c r="N31" s="6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6"/>
      <c r="AF31" s="10"/>
      <c r="AG31" s="6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6"/>
      <c r="CL31" s="6"/>
      <c r="CM31" s="10">
        <v>48</v>
      </c>
      <c r="CN31" s="10"/>
      <c r="CO31" s="10">
        <v>3</v>
      </c>
      <c r="CP31" s="10"/>
      <c r="CQ31" s="10"/>
      <c r="CR31" s="10"/>
      <c r="CS31" s="6">
        <f t="shared" ref="CS31:CS36" si="1">SUM(CL31:CR31)</f>
        <v>51</v>
      </c>
      <c r="CT31" s="6">
        <f t="shared" ref="CT31:CT36" si="2">(CS31-CL31)/2</f>
        <v>25.5</v>
      </c>
      <c r="CU31" s="10"/>
      <c r="CV31" s="10"/>
      <c r="CW31" s="10"/>
      <c r="CX31" s="10"/>
      <c r="CY31" s="10"/>
      <c r="CZ31" s="10"/>
      <c r="DA31" s="6">
        <f t="shared" si="0"/>
        <v>25.5</v>
      </c>
    </row>
    <row r="32" spans="1:105" x14ac:dyDescent="0.25">
      <c r="A32">
        <v>22</v>
      </c>
      <c r="B32" s="6" t="s">
        <v>410</v>
      </c>
      <c r="C32" s="6"/>
      <c r="D32" s="6" t="s">
        <v>398</v>
      </c>
      <c r="E32" s="6" t="s">
        <v>411</v>
      </c>
      <c r="F32" s="6"/>
      <c r="G32" s="6"/>
      <c r="H32" s="6"/>
      <c r="I32" s="6"/>
      <c r="J32" s="6"/>
      <c r="K32" s="6"/>
      <c r="L32" s="6"/>
      <c r="M32" s="6"/>
      <c r="N32" s="6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6"/>
      <c r="AF32" s="10"/>
      <c r="AG32" s="6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6"/>
      <c r="CL32" s="6"/>
      <c r="CM32" s="10">
        <v>2.4</v>
      </c>
      <c r="CN32" s="10">
        <v>40</v>
      </c>
      <c r="CO32" s="10"/>
      <c r="CP32" s="10"/>
      <c r="CQ32" s="10"/>
      <c r="CR32" s="10"/>
      <c r="CS32" s="6">
        <f t="shared" si="1"/>
        <v>42.4</v>
      </c>
      <c r="CT32" s="6">
        <f t="shared" si="2"/>
        <v>21.2</v>
      </c>
      <c r="CU32" s="10"/>
      <c r="CV32" s="10"/>
      <c r="CW32" s="10"/>
      <c r="CX32" s="10"/>
      <c r="CY32" s="10"/>
      <c r="CZ32" s="10"/>
      <c r="DA32" s="6">
        <f t="shared" si="0"/>
        <v>21.2</v>
      </c>
    </row>
    <row r="33" spans="1:105" x14ac:dyDescent="0.25">
      <c r="A33">
        <v>23</v>
      </c>
      <c r="B33" s="6" t="s">
        <v>261</v>
      </c>
      <c r="C33" s="6"/>
      <c r="D33" s="6" t="s">
        <v>94</v>
      </c>
      <c r="E33" s="6" t="s">
        <v>56</v>
      </c>
      <c r="F33" s="6"/>
      <c r="G33" s="6"/>
      <c r="H33" s="6"/>
      <c r="I33" s="6"/>
      <c r="J33" s="6"/>
      <c r="K33" s="6"/>
      <c r="L33" s="6"/>
      <c r="M33" s="6"/>
      <c r="N33" s="6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6"/>
      <c r="AF33" s="10"/>
      <c r="AG33" s="6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6"/>
      <c r="CL33" s="6"/>
      <c r="CM33" s="10"/>
      <c r="CN33" s="10">
        <v>40</v>
      </c>
      <c r="CO33" s="10"/>
      <c r="CP33" s="10"/>
      <c r="CQ33" s="10"/>
      <c r="CR33" s="10"/>
      <c r="CS33" s="6">
        <f t="shared" si="1"/>
        <v>40</v>
      </c>
      <c r="CT33" s="6">
        <f t="shared" si="2"/>
        <v>20</v>
      </c>
      <c r="CU33" s="10"/>
      <c r="CV33" s="10"/>
      <c r="CW33" s="10"/>
      <c r="CX33" s="10"/>
      <c r="CY33" s="10"/>
      <c r="CZ33" s="10"/>
      <c r="DA33" s="6">
        <f t="shared" si="0"/>
        <v>20</v>
      </c>
    </row>
    <row r="34" spans="1:105" x14ac:dyDescent="0.25">
      <c r="A34">
        <v>24</v>
      </c>
      <c r="B34" s="16" t="s">
        <v>65</v>
      </c>
      <c r="C34" s="6"/>
      <c r="D34" s="6" t="s">
        <v>362</v>
      </c>
      <c r="E34" s="6" t="s">
        <v>35</v>
      </c>
      <c r="F34" s="6"/>
      <c r="G34" s="6"/>
      <c r="H34" s="6"/>
      <c r="I34" s="6"/>
      <c r="J34" s="6"/>
      <c r="K34" s="6"/>
      <c r="L34" s="6"/>
      <c r="M34" s="6"/>
      <c r="N34" s="6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6"/>
      <c r="AF34" s="10"/>
      <c r="AG34" s="6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6"/>
      <c r="CL34" s="6"/>
      <c r="CM34" s="10"/>
      <c r="CN34" s="10">
        <v>40</v>
      </c>
      <c r="CO34" s="10"/>
      <c r="CP34" s="10"/>
      <c r="CQ34" s="10"/>
      <c r="CR34" s="10"/>
      <c r="CS34" s="6">
        <f t="shared" si="1"/>
        <v>40</v>
      </c>
      <c r="CT34" s="6">
        <f t="shared" si="2"/>
        <v>20</v>
      </c>
      <c r="CU34" s="10"/>
      <c r="CV34" s="10"/>
      <c r="CW34" s="10"/>
      <c r="CX34" s="10"/>
      <c r="CY34" s="10"/>
      <c r="CZ34" s="10"/>
      <c r="DA34" s="6">
        <f t="shared" si="0"/>
        <v>20</v>
      </c>
    </row>
    <row r="35" spans="1:105" x14ac:dyDescent="0.25">
      <c r="A35">
        <v>25</v>
      </c>
      <c r="B35" s="6" t="s">
        <v>138</v>
      </c>
      <c r="C35" s="6"/>
      <c r="D35" s="6" t="s">
        <v>240</v>
      </c>
      <c r="E35" s="6" t="s">
        <v>23</v>
      </c>
      <c r="F35" s="6"/>
      <c r="G35" s="6"/>
      <c r="H35" s="6"/>
      <c r="I35" s="6"/>
      <c r="J35" s="6"/>
      <c r="K35" s="6"/>
      <c r="L35" s="6"/>
      <c r="M35" s="6"/>
      <c r="N35" s="6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6"/>
      <c r="AF35" s="10"/>
      <c r="AG35" s="6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6"/>
      <c r="BG35" s="6"/>
      <c r="BH35" s="6"/>
      <c r="BI35" s="6"/>
      <c r="BJ35" s="6"/>
      <c r="BK35" s="6"/>
      <c r="BL35" s="6"/>
      <c r="BM35" s="6"/>
      <c r="BN35" s="6"/>
      <c r="BO35" s="6">
        <v>60</v>
      </c>
      <c r="BP35" s="6"/>
      <c r="BQ35" s="6"/>
      <c r="BR35" s="6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6">
        <f>SUM(BG35:CJ35)</f>
        <v>60</v>
      </c>
      <c r="CL35" s="6">
        <f>(CK35-BG35)/2</f>
        <v>30</v>
      </c>
      <c r="CM35" s="10">
        <v>36</v>
      </c>
      <c r="CN35" s="10"/>
      <c r="CO35" s="10"/>
      <c r="CP35" s="10"/>
      <c r="CQ35" s="10"/>
      <c r="CR35" s="10"/>
      <c r="CS35" s="6">
        <f t="shared" si="1"/>
        <v>66</v>
      </c>
      <c r="CT35" s="6">
        <f t="shared" si="2"/>
        <v>18</v>
      </c>
      <c r="CU35" s="10"/>
      <c r="CV35" s="10"/>
      <c r="CW35" s="10"/>
      <c r="CX35" s="10"/>
      <c r="CY35" s="10"/>
      <c r="CZ35" s="10"/>
      <c r="DA35" s="6">
        <f t="shared" si="0"/>
        <v>18</v>
      </c>
    </row>
    <row r="36" spans="1:105" x14ac:dyDescent="0.25">
      <c r="A36">
        <v>26</v>
      </c>
      <c r="B36" s="6" t="s">
        <v>457</v>
      </c>
      <c r="C36" s="6"/>
      <c r="D36" s="6" t="s">
        <v>458</v>
      </c>
      <c r="E36" s="6" t="s">
        <v>98</v>
      </c>
      <c r="F36" s="6"/>
      <c r="G36" s="6"/>
      <c r="H36" s="6"/>
      <c r="I36" s="6"/>
      <c r="J36" s="6"/>
      <c r="K36" s="6"/>
      <c r="L36" s="6"/>
      <c r="M36" s="6"/>
      <c r="N36" s="6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6"/>
      <c r="AF36" s="10"/>
      <c r="AG36" s="6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6"/>
      <c r="CL36" s="6"/>
      <c r="CM36" s="10">
        <v>36</v>
      </c>
      <c r="CN36" s="10"/>
      <c r="CO36" s="10"/>
      <c r="CP36" s="10"/>
      <c r="CQ36" s="10"/>
      <c r="CR36" s="10"/>
      <c r="CS36" s="6">
        <f t="shared" si="1"/>
        <v>36</v>
      </c>
      <c r="CT36" s="6">
        <f t="shared" si="2"/>
        <v>18</v>
      </c>
      <c r="CU36" s="10"/>
      <c r="CV36" s="10"/>
      <c r="CW36" s="10"/>
      <c r="CX36" s="10"/>
      <c r="CY36" s="10"/>
      <c r="CZ36" s="10"/>
      <c r="DA36" s="6">
        <f t="shared" si="0"/>
        <v>18</v>
      </c>
    </row>
    <row r="37" spans="1:105" x14ac:dyDescent="0.25">
      <c r="A37">
        <v>27</v>
      </c>
      <c r="B37" s="6" t="s">
        <v>403</v>
      </c>
      <c r="C37" s="6"/>
      <c r="D37" s="6" t="s">
        <v>30</v>
      </c>
      <c r="E37" s="6" t="s">
        <v>563</v>
      </c>
      <c r="F37" s="6"/>
      <c r="G37" s="6"/>
      <c r="H37" s="6"/>
      <c r="I37" s="6"/>
      <c r="J37" s="6"/>
      <c r="K37" s="6"/>
      <c r="L37" s="6"/>
      <c r="M37" s="6"/>
      <c r="N37" s="6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6"/>
      <c r="AF37" s="10"/>
      <c r="AG37" s="6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6"/>
      <c r="CL37" s="6"/>
      <c r="CM37" s="10"/>
      <c r="CN37" s="10"/>
      <c r="CO37" s="10"/>
      <c r="CP37" s="10"/>
      <c r="CQ37" s="10"/>
      <c r="CR37" s="10"/>
      <c r="CS37" s="6"/>
      <c r="CT37" s="6"/>
      <c r="CU37" s="10"/>
      <c r="CV37" s="10">
        <v>4</v>
      </c>
      <c r="CW37" s="10">
        <v>7.5</v>
      </c>
      <c r="CX37" s="10"/>
      <c r="CY37" s="10"/>
      <c r="CZ37" s="10"/>
      <c r="DA37" s="6">
        <f t="shared" si="0"/>
        <v>11.5</v>
      </c>
    </row>
    <row r="38" spans="1:105" x14ac:dyDescent="0.25">
      <c r="A38">
        <v>28</v>
      </c>
      <c r="B38" s="6" t="s">
        <v>533</v>
      </c>
      <c r="C38" s="6"/>
      <c r="D38" s="6" t="s">
        <v>49</v>
      </c>
      <c r="E38" s="6" t="s">
        <v>56</v>
      </c>
      <c r="F38" s="6"/>
      <c r="G38" s="6"/>
      <c r="H38" s="6"/>
      <c r="I38" s="6"/>
      <c r="J38" s="6"/>
      <c r="K38" s="6"/>
      <c r="L38" s="6"/>
      <c r="M38" s="6"/>
      <c r="N38" s="6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6"/>
      <c r="AF38" s="10"/>
      <c r="AG38" s="6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6"/>
      <c r="CL38" s="6"/>
      <c r="CM38" s="10"/>
      <c r="CN38" s="10"/>
      <c r="CO38" s="10"/>
      <c r="CP38" s="10"/>
      <c r="CQ38" s="10"/>
      <c r="CR38" s="10"/>
      <c r="CS38" s="6"/>
      <c r="CT38" s="6"/>
      <c r="CU38" s="10">
        <v>2.4</v>
      </c>
      <c r="CV38" s="10"/>
      <c r="CW38" s="10">
        <v>5</v>
      </c>
      <c r="CX38" s="10"/>
      <c r="CY38" s="10"/>
      <c r="CZ38" s="10"/>
      <c r="DA38" s="6">
        <f t="shared" si="0"/>
        <v>7.4</v>
      </c>
    </row>
    <row r="39" spans="1:105" x14ac:dyDescent="0.25">
      <c r="A39">
        <v>29</v>
      </c>
      <c r="B39" s="6" t="s">
        <v>375</v>
      </c>
      <c r="C39" s="6"/>
      <c r="D39" s="6" t="s">
        <v>376</v>
      </c>
      <c r="E39" s="6" t="s">
        <v>377</v>
      </c>
      <c r="F39" s="6"/>
      <c r="G39" s="6"/>
      <c r="H39" s="6"/>
      <c r="I39" s="6"/>
      <c r="J39" s="6"/>
      <c r="K39" s="6"/>
      <c r="L39" s="6"/>
      <c r="M39" s="6"/>
      <c r="N39" s="6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6"/>
      <c r="AF39" s="10"/>
      <c r="AG39" s="6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6"/>
      <c r="CL39" s="6"/>
      <c r="CM39" s="10">
        <v>2.4</v>
      </c>
      <c r="CN39" s="10">
        <v>4</v>
      </c>
      <c r="CO39" s="10">
        <v>7.5</v>
      </c>
      <c r="CP39" s="10"/>
      <c r="CQ39" s="10"/>
      <c r="CR39" s="10"/>
      <c r="CS39" s="6">
        <f>SUM(CL39:CR39)</f>
        <v>13.9</v>
      </c>
      <c r="CT39" s="6">
        <f>(CS39-CL39)/2</f>
        <v>6.95</v>
      </c>
      <c r="CU39" s="10"/>
      <c r="CV39" s="10"/>
      <c r="CW39" s="10"/>
      <c r="CX39" s="10"/>
      <c r="CY39" s="10"/>
      <c r="CZ39" s="10"/>
      <c r="DA39" s="6">
        <f t="shared" si="0"/>
        <v>6.95</v>
      </c>
    </row>
    <row r="40" spans="1:105" x14ac:dyDescent="0.25">
      <c r="A40">
        <v>30</v>
      </c>
      <c r="B40" s="10" t="s">
        <v>100</v>
      </c>
      <c r="C40" s="6" t="s">
        <v>153</v>
      </c>
      <c r="D40" s="6" t="s">
        <v>241</v>
      </c>
      <c r="E40" s="6" t="s">
        <v>117</v>
      </c>
      <c r="F40" s="6"/>
      <c r="G40" s="6"/>
      <c r="H40" s="6"/>
      <c r="I40" s="6"/>
      <c r="J40" s="6"/>
      <c r="K40" s="6"/>
      <c r="L40" s="6"/>
      <c r="M40" s="6"/>
      <c r="N40" s="6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6"/>
      <c r="AF40" s="10"/>
      <c r="AG40" s="6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6"/>
      <c r="CL40" s="6"/>
      <c r="CM40" s="10"/>
      <c r="CN40" s="10"/>
      <c r="CO40" s="10">
        <v>10</v>
      </c>
      <c r="CP40" s="10"/>
      <c r="CQ40" s="10"/>
      <c r="CR40" s="10"/>
      <c r="CS40" s="6">
        <f>SUM(CL40:CR40)</f>
        <v>10</v>
      </c>
      <c r="CT40" s="6">
        <f>(CS40-CL40)/2</f>
        <v>5</v>
      </c>
      <c r="CU40" s="10"/>
      <c r="CV40" s="10"/>
      <c r="CW40" s="10"/>
      <c r="CX40" s="10"/>
      <c r="CY40" s="10"/>
      <c r="CZ40" s="10"/>
      <c r="DA40" s="6">
        <f t="shared" si="0"/>
        <v>5</v>
      </c>
    </row>
    <row r="41" spans="1:105" x14ac:dyDescent="0.25">
      <c r="A41">
        <v>31</v>
      </c>
      <c r="B41" s="6" t="s">
        <v>119</v>
      </c>
      <c r="C41" s="6"/>
      <c r="D41" s="6" t="s">
        <v>622</v>
      </c>
      <c r="E41" s="6" t="s">
        <v>280</v>
      </c>
      <c r="F41" s="6"/>
      <c r="G41" s="6"/>
      <c r="H41" s="6"/>
      <c r="I41" s="6"/>
      <c r="J41" s="6"/>
      <c r="K41" s="6"/>
      <c r="L41" s="6"/>
      <c r="M41" s="6"/>
      <c r="N41" s="6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6"/>
      <c r="AF41" s="10"/>
      <c r="AG41" s="6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6"/>
      <c r="CL41" s="6"/>
      <c r="CM41" s="10"/>
      <c r="CN41" s="10"/>
      <c r="CO41" s="10"/>
      <c r="CP41" s="10"/>
      <c r="CQ41" s="10"/>
      <c r="CR41" s="10"/>
      <c r="CS41" s="6"/>
      <c r="CT41" s="6"/>
      <c r="CU41" s="10"/>
      <c r="CV41" s="10">
        <v>4</v>
      </c>
      <c r="CW41" s="10"/>
      <c r="CX41" s="10"/>
      <c r="CY41" s="10"/>
      <c r="CZ41" s="10"/>
      <c r="DA41" s="6">
        <f t="shared" si="0"/>
        <v>4</v>
      </c>
    </row>
    <row r="42" spans="1:105" x14ac:dyDescent="0.25">
      <c r="A42">
        <v>32</v>
      </c>
      <c r="B42" s="6" t="s">
        <v>319</v>
      </c>
      <c r="C42" s="6"/>
      <c r="D42" s="6" t="s">
        <v>320</v>
      </c>
      <c r="E42" s="6" t="s">
        <v>58</v>
      </c>
      <c r="F42" s="6"/>
      <c r="G42" s="6"/>
      <c r="H42" s="6"/>
      <c r="I42" s="6"/>
      <c r="J42" s="6"/>
      <c r="K42" s="6"/>
      <c r="L42" s="6"/>
      <c r="M42" s="6"/>
      <c r="N42" s="6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6"/>
      <c r="AF42" s="10"/>
      <c r="AG42" s="6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6"/>
      <c r="CL42" s="6"/>
      <c r="CM42" s="10">
        <v>3</v>
      </c>
      <c r="CN42" s="10">
        <v>4</v>
      </c>
      <c r="CO42" s="10"/>
      <c r="CP42" s="10"/>
      <c r="CQ42" s="10"/>
      <c r="CR42" s="10"/>
      <c r="CS42" s="6">
        <f>SUM(CL42:CR42)</f>
        <v>7</v>
      </c>
      <c r="CT42" s="6">
        <f>(CS42-CL42)/2</f>
        <v>3.5</v>
      </c>
      <c r="CU42" s="10"/>
      <c r="CV42" s="10"/>
      <c r="CW42" s="10"/>
      <c r="CX42" s="10"/>
      <c r="CY42" s="10"/>
      <c r="CZ42" s="10"/>
      <c r="DA42" s="6">
        <f t="shared" si="0"/>
        <v>3.5</v>
      </c>
    </row>
    <row r="43" spans="1:105" x14ac:dyDescent="0.25">
      <c r="A43">
        <v>33</v>
      </c>
      <c r="B43" s="6" t="s">
        <v>330</v>
      </c>
      <c r="C43" s="6"/>
      <c r="D43" s="6" t="s">
        <v>584</v>
      </c>
      <c r="E43" s="6" t="s">
        <v>22</v>
      </c>
      <c r="F43" s="6"/>
      <c r="G43" s="6"/>
      <c r="H43" s="6"/>
      <c r="I43" s="6"/>
      <c r="J43" s="6"/>
      <c r="K43" s="6"/>
      <c r="L43" s="6"/>
      <c r="M43" s="6"/>
      <c r="N43" s="6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6"/>
      <c r="AF43" s="10"/>
      <c r="AG43" s="6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6"/>
      <c r="CL43" s="6"/>
      <c r="CM43" s="10"/>
      <c r="CN43" s="10"/>
      <c r="CO43" s="10"/>
      <c r="CP43" s="10"/>
      <c r="CQ43" s="10"/>
      <c r="CR43" s="10"/>
      <c r="CS43" s="6"/>
      <c r="CT43" s="6"/>
      <c r="CU43" s="10"/>
      <c r="CV43" s="10">
        <v>3.2</v>
      </c>
      <c r="CW43" s="10"/>
      <c r="CX43" s="10"/>
      <c r="CY43" s="10"/>
      <c r="CZ43" s="10"/>
      <c r="DA43" s="6">
        <f t="shared" si="0"/>
        <v>3.2</v>
      </c>
    </row>
    <row r="44" spans="1:105" x14ac:dyDescent="0.25">
      <c r="A44">
        <v>34</v>
      </c>
      <c r="B44" s="6" t="s">
        <v>447</v>
      </c>
      <c r="C44" s="6"/>
      <c r="D44" s="6" t="s">
        <v>252</v>
      </c>
      <c r="E44" s="6" t="s">
        <v>448</v>
      </c>
      <c r="F44" s="6"/>
      <c r="G44" s="6"/>
      <c r="H44" s="6"/>
      <c r="I44" s="6"/>
      <c r="J44" s="6"/>
      <c r="K44" s="6"/>
      <c r="L44" s="6"/>
      <c r="M44" s="6"/>
      <c r="N44" s="6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6"/>
      <c r="AF44" s="10"/>
      <c r="AG44" s="6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6"/>
      <c r="CL44" s="6"/>
      <c r="CM44" s="10"/>
      <c r="CN44" s="10"/>
      <c r="CO44" s="10">
        <v>5</v>
      </c>
      <c r="CP44" s="10"/>
      <c r="CQ44" s="10"/>
      <c r="CR44" s="10"/>
      <c r="CS44" s="6">
        <f>SUM(CL44:CR44)</f>
        <v>5</v>
      </c>
      <c r="CT44" s="6">
        <f>(CS44-CL44)/2</f>
        <v>2.5</v>
      </c>
      <c r="CU44" s="10"/>
      <c r="CV44" s="10"/>
      <c r="CW44" s="10"/>
      <c r="CX44" s="10"/>
      <c r="CY44" s="10"/>
      <c r="CZ44" s="10"/>
      <c r="DA44" s="6">
        <f t="shared" si="0"/>
        <v>2.5</v>
      </c>
    </row>
    <row r="45" spans="1:105" x14ac:dyDescent="0.25">
      <c r="A45">
        <v>35</v>
      </c>
      <c r="B45" s="6" t="s">
        <v>130</v>
      </c>
      <c r="C45" s="6"/>
      <c r="D45" s="6" t="s">
        <v>449</v>
      </c>
      <c r="E45" s="6" t="s">
        <v>61</v>
      </c>
      <c r="F45" s="6"/>
      <c r="G45" s="6"/>
      <c r="H45" s="6"/>
      <c r="I45" s="6"/>
      <c r="J45" s="6"/>
      <c r="K45" s="6"/>
      <c r="L45" s="6"/>
      <c r="M45" s="6"/>
      <c r="N45" s="6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6"/>
      <c r="AF45" s="10"/>
      <c r="AG45" s="6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6"/>
      <c r="CL45" s="6"/>
      <c r="CM45" s="10"/>
      <c r="CN45" s="10"/>
      <c r="CO45" s="10">
        <v>5</v>
      </c>
      <c r="CP45" s="10"/>
      <c r="CQ45" s="10"/>
      <c r="CR45" s="10"/>
      <c r="CS45" s="6">
        <f>SUM(CL45:CR45)</f>
        <v>5</v>
      </c>
      <c r="CT45" s="6">
        <f>(CS45-CL45)/2</f>
        <v>2.5</v>
      </c>
      <c r="CU45" s="10"/>
      <c r="CV45" s="10"/>
      <c r="CW45" s="10"/>
      <c r="CX45" s="10"/>
      <c r="CY45" s="10"/>
      <c r="CZ45" s="10"/>
      <c r="DA45" s="6">
        <f t="shared" si="0"/>
        <v>2.5</v>
      </c>
    </row>
    <row r="46" spans="1:105" x14ac:dyDescent="0.25">
      <c r="A46">
        <v>36</v>
      </c>
      <c r="B46" s="6" t="s">
        <v>332</v>
      </c>
      <c r="C46" s="6"/>
      <c r="D46" s="6" t="s">
        <v>540</v>
      </c>
      <c r="E46" s="6" t="s">
        <v>173</v>
      </c>
      <c r="F46" s="6"/>
      <c r="G46" s="6"/>
      <c r="H46" s="6"/>
      <c r="I46" s="6"/>
      <c r="J46" s="6"/>
      <c r="K46" s="6"/>
      <c r="L46" s="6"/>
      <c r="M46" s="6"/>
      <c r="N46" s="6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6"/>
      <c r="AF46" s="10"/>
      <c r="AG46" s="6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6"/>
      <c r="CL46" s="6"/>
      <c r="CM46" s="10"/>
      <c r="CN46" s="10"/>
      <c r="CO46" s="10"/>
      <c r="CP46" s="10"/>
      <c r="CQ46" s="10"/>
      <c r="CR46" s="10"/>
      <c r="CS46" s="6"/>
      <c r="CT46" s="6"/>
      <c r="CU46" s="10">
        <v>2.4</v>
      </c>
      <c r="CV46" s="10"/>
      <c r="CW46" s="10"/>
      <c r="CX46" s="10"/>
      <c r="CY46" s="10"/>
      <c r="CZ46" s="10"/>
      <c r="DA46" s="6">
        <f t="shared" si="0"/>
        <v>2.4</v>
      </c>
    </row>
    <row r="47" spans="1:105" x14ac:dyDescent="0.25">
      <c r="A47">
        <v>37</v>
      </c>
      <c r="B47" s="6" t="s">
        <v>554</v>
      </c>
      <c r="C47" s="6"/>
      <c r="D47" s="6" t="s">
        <v>70</v>
      </c>
      <c r="E47" s="6" t="s">
        <v>652</v>
      </c>
      <c r="F47" s="6"/>
      <c r="G47" s="6"/>
      <c r="H47" s="6"/>
      <c r="I47" s="6"/>
      <c r="J47" s="6"/>
      <c r="K47" s="6"/>
      <c r="L47" s="6"/>
      <c r="M47" s="6"/>
      <c r="N47" s="6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6"/>
      <c r="AF47" s="10"/>
      <c r="AG47" s="6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6"/>
      <c r="CL47" s="6"/>
      <c r="CM47" s="10"/>
      <c r="CN47" s="10"/>
      <c r="CO47" s="10"/>
      <c r="CP47" s="10"/>
      <c r="CQ47" s="10"/>
      <c r="CR47" s="10"/>
      <c r="CS47" s="6"/>
      <c r="CT47" s="6"/>
      <c r="CU47" s="10">
        <v>2.4</v>
      </c>
      <c r="CV47" s="10"/>
      <c r="CW47" s="10"/>
      <c r="CX47" s="10"/>
      <c r="CY47" s="10"/>
      <c r="CZ47" s="10"/>
      <c r="DA47" s="6">
        <f t="shared" si="0"/>
        <v>2.4</v>
      </c>
    </row>
    <row r="48" spans="1:105" x14ac:dyDescent="0.25">
      <c r="A48">
        <v>38</v>
      </c>
      <c r="B48" s="6" t="s">
        <v>367</v>
      </c>
      <c r="C48" s="6"/>
      <c r="D48" s="6" t="s">
        <v>270</v>
      </c>
      <c r="E48" s="6" t="s">
        <v>36</v>
      </c>
      <c r="F48" s="6"/>
      <c r="G48" s="6"/>
      <c r="H48" s="6"/>
      <c r="I48" s="6"/>
      <c r="J48" s="6"/>
      <c r="K48" s="6"/>
      <c r="L48" s="6"/>
      <c r="M48" s="6"/>
      <c r="N48" s="6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6"/>
      <c r="AF48" s="10"/>
      <c r="AG48" s="6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6"/>
      <c r="CL48" s="6"/>
      <c r="CM48" s="10">
        <v>2.4</v>
      </c>
      <c r="CN48" s="10"/>
      <c r="CO48" s="10"/>
      <c r="CP48" s="10"/>
      <c r="CQ48" s="10"/>
      <c r="CR48" s="10"/>
      <c r="CS48" s="6">
        <f>SUM(CL48:CR48)</f>
        <v>2.4</v>
      </c>
      <c r="CT48" s="6">
        <f>(CS48-CL48)/2</f>
        <v>1.2</v>
      </c>
      <c r="CU48" s="10"/>
      <c r="CV48" s="10"/>
      <c r="CW48" s="10"/>
      <c r="CX48" s="10"/>
      <c r="CY48" s="10"/>
      <c r="CZ48" s="10"/>
      <c r="DA48" s="6">
        <f t="shared" si="0"/>
        <v>1.2</v>
      </c>
    </row>
    <row r="49" spans="1:105" x14ac:dyDescent="0.25">
      <c r="A49">
        <v>39</v>
      </c>
      <c r="B49" s="6" t="s">
        <v>479</v>
      </c>
      <c r="C49" s="6"/>
      <c r="D49" s="6" t="s">
        <v>48</v>
      </c>
      <c r="E49" s="6" t="s">
        <v>74</v>
      </c>
      <c r="F49" s="6"/>
      <c r="G49" s="6"/>
      <c r="H49" s="6"/>
      <c r="I49" s="6"/>
      <c r="J49" s="6"/>
      <c r="K49" s="6"/>
      <c r="L49" s="6"/>
      <c r="M49" s="6"/>
      <c r="N49" s="6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6"/>
      <c r="AF49" s="10"/>
      <c r="AG49" s="6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6"/>
      <c r="CL49" s="6"/>
      <c r="CM49" s="10">
        <v>2.4</v>
      </c>
      <c r="CN49" s="10"/>
      <c r="CO49" s="10"/>
      <c r="CP49" s="10"/>
      <c r="CQ49" s="10"/>
      <c r="CR49" s="10"/>
      <c r="CS49" s="6">
        <f>SUM(CL49:CR49)</f>
        <v>2.4</v>
      </c>
      <c r="CT49" s="6">
        <f>(CS49-CL49)/2</f>
        <v>1.2</v>
      </c>
      <c r="CU49" s="10"/>
      <c r="CV49" s="10"/>
      <c r="CW49" s="10"/>
      <c r="CX49" s="10"/>
      <c r="CY49" s="10"/>
      <c r="CZ49" s="10"/>
      <c r="DA49" s="6">
        <f t="shared" si="0"/>
        <v>1.2</v>
      </c>
    </row>
  </sheetData>
  <sortState xmlns:xlrd2="http://schemas.microsoft.com/office/spreadsheetml/2017/richdata2" ref="B11:DA49">
    <sortCondition descending="1" ref="DA11:DA49"/>
  </sortState>
  <mergeCells count="5">
    <mergeCell ref="B8:C10"/>
    <mergeCell ref="CO9:CR9"/>
    <mergeCell ref="CW9:CZ9"/>
    <mergeCell ref="D4:DA5"/>
    <mergeCell ref="B1:DA1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X37"/>
  <sheetViews>
    <sheetView zoomScale="80" zoomScaleNormal="80" workbookViewId="0">
      <selection activeCell="DA22" sqref="DA22"/>
    </sheetView>
  </sheetViews>
  <sheetFormatPr baseColWidth="10" defaultRowHeight="15" x14ac:dyDescent="0.25"/>
  <cols>
    <col min="1" max="1" width="3.28515625" bestFit="1" customWidth="1"/>
    <col min="2" max="2" width="15" bestFit="1" customWidth="1"/>
    <col min="3" max="3" width="13.28515625" bestFit="1" customWidth="1"/>
    <col min="4" max="4" width="14.28515625" bestFit="1" customWidth="1"/>
    <col min="5" max="5" width="21.42578125" bestFit="1" customWidth="1"/>
    <col min="6" max="9" width="6.42578125" hidden="1" customWidth="1"/>
    <col min="10" max="13" width="7.28515625" style="7" hidden="1" customWidth="1"/>
    <col min="14" max="18" width="6.28515625" style="7" hidden="1" customWidth="1"/>
    <col min="19" max="20" width="6.7109375" style="7" hidden="1" customWidth="1"/>
    <col min="21" max="24" width="7.28515625" style="7" hidden="1" customWidth="1"/>
    <col min="25" max="25" width="6" style="7" hidden="1" customWidth="1"/>
    <col min="26" max="27" width="6.5703125" style="7" hidden="1" customWidth="1"/>
    <col min="28" max="28" width="0" hidden="1" customWidth="1"/>
    <col min="29" max="29" width="0" style="7" hidden="1" customWidth="1"/>
    <col min="30" max="30" width="6" style="7" hidden="1" customWidth="1"/>
    <col min="31" max="56" width="6" hidden="1" customWidth="1"/>
    <col min="57" max="57" width="6" style="7" hidden="1" customWidth="1"/>
    <col min="58" max="58" width="6.28515625" hidden="1" customWidth="1"/>
    <col min="59" max="59" width="0" hidden="1" customWidth="1"/>
    <col min="60" max="67" width="6" hidden="1" customWidth="1"/>
    <col min="68" max="76" width="6" style="7" hidden="1" customWidth="1"/>
    <col min="77" max="77" width="10.85546875" style="7" hidden="1" customWidth="1"/>
    <col min="78" max="85" width="6.140625" style="7" hidden="1" customWidth="1"/>
    <col min="86" max="86" width="0" hidden="1" customWidth="1"/>
    <col min="87" max="87" width="8.140625" hidden="1" customWidth="1"/>
    <col min="88" max="88" width="7.140625" style="7" hidden="1" customWidth="1"/>
    <col min="89" max="89" width="7.5703125" style="7" hidden="1" customWidth="1"/>
    <col min="90" max="93" width="8.28515625" style="7" hidden="1" customWidth="1"/>
    <col min="94" max="94" width="12.5703125" customWidth="1"/>
    <col min="96" max="96" width="6.5703125" style="7" customWidth="1"/>
    <col min="97" max="97" width="8.5703125" style="7" customWidth="1"/>
    <col min="98" max="98" width="7.7109375" style="7" customWidth="1"/>
    <col min="99" max="99" width="11.42578125" style="7"/>
  </cols>
  <sheetData>
    <row r="1" spans="1:102" ht="26.25" x14ac:dyDescent="0.4">
      <c r="B1" s="34" t="s">
        <v>3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  <c r="CU1" s="34"/>
      <c r="CV1" s="34"/>
      <c r="CW1" s="34"/>
      <c r="CX1" s="34"/>
    </row>
    <row r="2" spans="1:102" ht="15.75" thickBot="1" x14ac:dyDescent="0.3">
      <c r="C2" s="7"/>
      <c r="D2" s="7"/>
      <c r="E2" s="7"/>
    </row>
    <row r="3" spans="1:102" ht="15.75" thickTop="1" x14ac:dyDescent="0.25">
      <c r="B3" s="1" t="s">
        <v>0</v>
      </c>
      <c r="C3" s="4" t="s">
        <v>14</v>
      </c>
    </row>
    <row r="4" spans="1:102" ht="14.65" customHeight="1" x14ac:dyDescent="0.25">
      <c r="B4" s="2" t="s">
        <v>1</v>
      </c>
      <c r="C4" s="5" t="s">
        <v>12</v>
      </c>
      <c r="D4" s="32" t="s">
        <v>492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</row>
    <row r="5" spans="1:102" ht="15" customHeight="1" thickBot="1" x14ac:dyDescent="0.3">
      <c r="B5" s="3" t="s">
        <v>2</v>
      </c>
      <c r="C5" s="15">
        <v>-66</v>
      </c>
      <c r="D5" s="32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</row>
    <row r="6" spans="1:102" ht="15.75" thickTop="1" x14ac:dyDescent="0.25"/>
    <row r="7" spans="1:102" ht="15.75" thickBot="1" x14ac:dyDescent="0.3"/>
    <row r="8" spans="1:102" ht="15.75" thickTop="1" x14ac:dyDescent="0.25">
      <c r="B8" s="25" t="s">
        <v>9</v>
      </c>
      <c r="C8" s="26"/>
      <c r="D8" s="1"/>
      <c r="E8" s="1"/>
      <c r="F8" s="4" t="s">
        <v>10</v>
      </c>
      <c r="G8" s="4" t="s">
        <v>10</v>
      </c>
      <c r="H8" s="4" t="s">
        <v>10</v>
      </c>
      <c r="I8" s="4" t="s">
        <v>53</v>
      </c>
      <c r="J8" s="4" t="s">
        <v>66</v>
      </c>
      <c r="K8" s="4" t="s">
        <v>10</v>
      </c>
      <c r="L8" s="4" t="s">
        <v>10</v>
      </c>
      <c r="M8" s="4" t="s">
        <v>10</v>
      </c>
      <c r="N8" s="4" t="s">
        <v>85</v>
      </c>
      <c r="O8" s="4" t="s">
        <v>86</v>
      </c>
      <c r="P8" s="4" t="s">
        <v>92</v>
      </c>
      <c r="Q8" s="4" t="s">
        <v>97</v>
      </c>
      <c r="R8" s="4" t="s">
        <v>10</v>
      </c>
      <c r="S8" s="4" t="s">
        <v>10</v>
      </c>
      <c r="T8" s="4" t="s">
        <v>10</v>
      </c>
      <c r="U8" s="4" t="s">
        <v>10</v>
      </c>
      <c r="V8" s="4" t="s">
        <v>10</v>
      </c>
      <c r="W8" s="4" t="s">
        <v>10</v>
      </c>
      <c r="X8" s="4" t="s">
        <v>107</v>
      </c>
      <c r="Y8" s="4" t="s">
        <v>10</v>
      </c>
      <c r="Z8" s="4" t="s">
        <v>112</v>
      </c>
      <c r="AA8" s="4" t="s">
        <v>115</v>
      </c>
      <c r="AB8" s="1"/>
      <c r="AC8" s="12">
        <v>44927</v>
      </c>
      <c r="AD8" s="4" t="s">
        <v>10</v>
      </c>
      <c r="AE8" s="4" t="s">
        <v>10</v>
      </c>
      <c r="AF8" s="4" t="s">
        <v>10</v>
      </c>
      <c r="AG8" s="4" t="s">
        <v>10</v>
      </c>
      <c r="AH8" s="4" t="s">
        <v>115</v>
      </c>
      <c r="AI8" s="4" t="s">
        <v>10</v>
      </c>
      <c r="AJ8" s="4" t="s">
        <v>10</v>
      </c>
      <c r="AK8" s="4" t="s">
        <v>10</v>
      </c>
      <c r="AL8" s="4" t="s">
        <v>151</v>
      </c>
      <c r="AM8" s="4" t="s">
        <v>151</v>
      </c>
      <c r="AN8" s="4" t="s">
        <v>151</v>
      </c>
      <c r="AO8" s="4" t="s">
        <v>114</v>
      </c>
      <c r="AP8" s="4" t="s">
        <v>10</v>
      </c>
      <c r="AQ8" s="4" t="s">
        <v>115</v>
      </c>
      <c r="AR8" s="4" t="s">
        <v>10</v>
      </c>
      <c r="AS8" s="4" t="s">
        <v>10</v>
      </c>
      <c r="AT8" s="4" t="s">
        <v>112</v>
      </c>
      <c r="AU8" s="4" t="s">
        <v>10</v>
      </c>
      <c r="AV8" s="4" t="s">
        <v>10</v>
      </c>
      <c r="AW8" s="4" t="s">
        <v>10</v>
      </c>
      <c r="AX8" s="4" t="s">
        <v>10</v>
      </c>
      <c r="AY8" s="4" t="s">
        <v>115</v>
      </c>
      <c r="AZ8" s="4" t="s">
        <v>10</v>
      </c>
      <c r="BA8" s="4" t="s">
        <v>10</v>
      </c>
      <c r="BB8" s="4" t="s">
        <v>10</v>
      </c>
      <c r="BC8" s="4" t="s">
        <v>10</v>
      </c>
      <c r="BD8" s="4" t="s">
        <v>10</v>
      </c>
      <c r="BE8" s="4" t="s">
        <v>116</v>
      </c>
      <c r="BF8" s="4" t="s">
        <v>6</v>
      </c>
      <c r="BG8" s="12">
        <v>45292</v>
      </c>
      <c r="BH8" s="12" t="s">
        <v>10</v>
      </c>
      <c r="BI8" s="12" t="s">
        <v>10</v>
      </c>
      <c r="BJ8" s="12" t="s">
        <v>10</v>
      </c>
      <c r="BK8" s="12" t="s">
        <v>10</v>
      </c>
      <c r="BL8" s="12" t="s">
        <v>10</v>
      </c>
      <c r="BM8" s="12" t="s">
        <v>10</v>
      </c>
      <c r="BN8" s="12" t="s">
        <v>10</v>
      </c>
      <c r="BO8" s="12" t="s">
        <v>115</v>
      </c>
      <c r="BP8" s="12" t="s">
        <v>115</v>
      </c>
      <c r="BQ8" s="12" t="s">
        <v>151</v>
      </c>
      <c r="BR8" s="12" t="s">
        <v>151</v>
      </c>
      <c r="BS8" s="12" t="s">
        <v>151</v>
      </c>
      <c r="BT8" s="12" t="s">
        <v>115</v>
      </c>
      <c r="BU8" s="12" t="s">
        <v>10</v>
      </c>
      <c r="BV8" s="12" t="s">
        <v>10</v>
      </c>
      <c r="BW8" s="12" t="s">
        <v>10</v>
      </c>
      <c r="BX8" s="12" t="s">
        <v>10</v>
      </c>
      <c r="BY8" s="12" t="s">
        <v>10</v>
      </c>
      <c r="BZ8" s="12" t="s">
        <v>10</v>
      </c>
      <c r="CA8" s="12" t="s">
        <v>10</v>
      </c>
      <c r="CB8" s="12" t="s">
        <v>10</v>
      </c>
      <c r="CC8" s="12" t="s">
        <v>10</v>
      </c>
      <c r="CD8" s="12" t="s">
        <v>10</v>
      </c>
      <c r="CE8" s="12" t="s">
        <v>10</v>
      </c>
      <c r="CF8" s="12" t="s">
        <v>115</v>
      </c>
      <c r="CG8" s="12" t="s">
        <v>116</v>
      </c>
      <c r="CH8" s="12" t="s">
        <v>6</v>
      </c>
      <c r="CI8" s="12">
        <v>45658</v>
      </c>
      <c r="CJ8" s="12"/>
      <c r="CK8" s="12"/>
      <c r="CL8" s="17"/>
      <c r="CM8" s="18"/>
      <c r="CN8" s="18"/>
      <c r="CO8" s="19"/>
      <c r="CP8" s="12" t="s">
        <v>6</v>
      </c>
      <c r="CQ8" s="12">
        <v>46023</v>
      </c>
      <c r="CR8" s="12"/>
      <c r="CS8" s="12"/>
      <c r="CT8" s="17"/>
      <c r="CU8" s="18"/>
      <c r="CV8" s="20"/>
      <c r="CW8" s="21"/>
      <c r="CX8" s="12" t="s">
        <v>6</v>
      </c>
    </row>
    <row r="9" spans="1:102" x14ac:dyDescent="0.25">
      <c r="B9" s="27"/>
      <c r="C9" s="28"/>
      <c r="D9" s="2"/>
      <c r="E9" s="2"/>
      <c r="F9" s="8" t="s">
        <v>11</v>
      </c>
      <c r="G9" s="8" t="s">
        <v>32</v>
      </c>
      <c r="H9" s="8" t="s">
        <v>43</v>
      </c>
      <c r="I9" s="8" t="s">
        <v>54</v>
      </c>
      <c r="J9" s="8" t="s">
        <v>67</v>
      </c>
      <c r="K9" s="8" t="s">
        <v>73</v>
      </c>
      <c r="L9" s="8" t="s">
        <v>81</v>
      </c>
      <c r="M9" s="8" t="s">
        <v>76</v>
      </c>
      <c r="N9" s="8" t="s">
        <v>83</v>
      </c>
      <c r="O9" s="8" t="s">
        <v>87</v>
      </c>
      <c r="P9" s="8" t="s">
        <v>93</v>
      </c>
      <c r="Q9" s="8" t="s">
        <v>54</v>
      </c>
      <c r="R9" s="8" t="s">
        <v>99</v>
      </c>
      <c r="S9" s="8" t="s">
        <v>101</v>
      </c>
      <c r="T9" s="8" t="s">
        <v>19</v>
      </c>
      <c r="U9" s="8" t="s">
        <v>99</v>
      </c>
      <c r="V9" s="8" t="s">
        <v>11</v>
      </c>
      <c r="W9" s="8" t="s">
        <v>102</v>
      </c>
      <c r="X9" s="8" t="s">
        <v>108</v>
      </c>
      <c r="Y9" s="8" t="s">
        <v>73</v>
      </c>
      <c r="Z9" s="8" t="s">
        <v>113</v>
      </c>
      <c r="AA9" s="8" t="s">
        <v>116</v>
      </c>
      <c r="AB9" s="2" t="s">
        <v>6</v>
      </c>
      <c r="AC9" s="5"/>
      <c r="AD9" s="8" t="s">
        <v>32</v>
      </c>
      <c r="AE9" s="8" t="s">
        <v>11</v>
      </c>
      <c r="AF9" s="5" t="s">
        <v>99</v>
      </c>
      <c r="AG9" s="8" t="s">
        <v>19</v>
      </c>
      <c r="AH9" s="8" t="s">
        <v>85</v>
      </c>
      <c r="AI9" s="8" t="s">
        <v>81</v>
      </c>
      <c r="AJ9" s="8" t="s">
        <v>102</v>
      </c>
      <c r="AK9" s="8" t="s">
        <v>43</v>
      </c>
      <c r="AL9" s="8" t="s">
        <v>86</v>
      </c>
      <c r="AM9" s="8" t="s">
        <v>92</v>
      </c>
      <c r="AN9" s="8" t="s">
        <v>85</v>
      </c>
      <c r="AO9" s="8" t="s">
        <v>159</v>
      </c>
      <c r="AP9" s="8" t="s">
        <v>76</v>
      </c>
      <c r="AQ9" s="8" t="s">
        <v>86</v>
      </c>
      <c r="AR9" s="8" t="s">
        <v>167</v>
      </c>
      <c r="AS9" s="8" t="s">
        <v>32</v>
      </c>
      <c r="AT9" s="8" t="s">
        <v>170</v>
      </c>
      <c r="AU9" s="8" t="s">
        <v>102</v>
      </c>
      <c r="AV9" s="8" t="s">
        <v>81</v>
      </c>
      <c r="AW9" s="8" t="s">
        <v>19</v>
      </c>
      <c r="AX9" s="8" t="s">
        <v>99</v>
      </c>
      <c r="AY9" s="8" t="s">
        <v>92</v>
      </c>
      <c r="AZ9" s="8" t="s">
        <v>76</v>
      </c>
      <c r="BA9" s="8" t="s">
        <v>188</v>
      </c>
      <c r="BB9" s="8" t="s">
        <v>43</v>
      </c>
      <c r="BC9" s="8" t="s">
        <v>11</v>
      </c>
      <c r="BD9" s="8" t="s">
        <v>167</v>
      </c>
      <c r="BE9" s="8"/>
      <c r="BF9" s="2"/>
      <c r="BG9" s="5"/>
      <c r="BH9" s="5" t="s">
        <v>99</v>
      </c>
      <c r="BI9" s="5" t="s">
        <v>81</v>
      </c>
      <c r="BJ9" s="5" t="s">
        <v>76</v>
      </c>
      <c r="BK9" s="5" t="s">
        <v>192</v>
      </c>
      <c r="BL9" s="5" t="s">
        <v>19</v>
      </c>
      <c r="BM9" s="5" t="s">
        <v>32</v>
      </c>
      <c r="BN9" s="5" t="s">
        <v>43</v>
      </c>
      <c r="BO9" s="5" t="s">
        <v>86</v>
      </c>
      <c r="BP9" s="5" t="s">
        <v>267</v>
      </c>
      <c r="BQ9" s="5" t="s">
        <v>86</v>
      </c>
      <c r="BR9" s="5" t="s">
        <v>85</v>
      </c>
      <c r="BS9" s="5" t="s">
        <v>92</v>
      </c>
      <c r="BT9" s="5" t="s">
        <v>85</v>
      </c>
      <c r="BU9" s="5" t="s">
        <v>81</v>
      </c>
      <c r="BV9" s="5" t="s">
        <v>19</v>
      </c>
      <c r="BW9" s="5" t="s">
        <v>195</v>
      </c>
      <c r="BX9" s="5" t="s">
        <v>167</v>
      </c>
      <c r="BY9" s="5" t="s">
        <v>177</v>
      </c>
      <c r="BZ9" s="5" t="s">
        <v>32</v>
      </c>
      <c r="CA9" s="5" t="s">
        <v>192</v>
      </c>
      <c r="CB9" s="5" t="s">
        <v>11</v>
      </c>
      <c r="CC9" s="5" t="s">
        <v>43</v>
      </c>
      <c r="CD9" s="5" t="s">
        <v>76</v>
      </c>
      <c r="CE9" s="5" t="s">
        <v>294</v>
      </c>
      <c r="CF9" s="5" t="s">
        <v>92</v>
      </c>
      <c r="CG9" s="5" t="s">
        <v>303</v>
      </c>
      <c r="CH9" s="5"/>
      <c r="CI9" s="5"/>
      <c r="CJ9" s="8" t="s">
        <v>10</v>
      </c>
      <c r="CK9" s="8" t="s">
        <v>151</v>
      </c>
      <c r="CL9" s="29" t="s">
        <v>305</v>
      </c>
      <c r="CM9" s="30"/>
      <c r="CN9" s="30"/>
      <c r="CO9" s="31"/>
      <c r="CP9" s="5"/>
      <c r="CQ9" s="5"/>
      <c r="CR9" s="8" t="s">
        <v>10</v>
      </c>
      <c r="CS9" s="8" t="s">
        <v>151</v>
      </c>
      <c r="CT9" s="29" t="s">
        <v>305</v>
      </c>
      <c r="CU9" s="30"/>
      <c r="CV9" s="30"/>
      <c r="CW9" s="31"/>
      <c r="CX9" s="5"/>
    </row>
    <row r="10" spans="1:102" x14ac:dyDescent="0.25">
      <c r="B10" s="27"/>
      <c r="C10" s="28"/>
      <c r="D10" s="2" t="s">
        <v>4</v>
      </c>
      <c r="E10" s="2" t="s">
        <v>5</v>
      </c>
      <c r="F10" s="9">
        <v>44653</v>
      </c>
      <c r="G10" s="9">
        <v>44653</v>
      </c>
      <c r="H10" s="9">
        <v>44674</v>
      </c>
      <c r="I10" s="9">
        <v>44681</v>
      </c>
      <c r="J10" s="9">
        <v>44696</v>
      </c>
      <c r="K10" s="9">
        <v>44709</v>
      </c>
      <c r="L10" s="9">
        <v>44709</v>
      </c>
      <c r="M10" s="9">
        <v>44709</v>
      </c>
      <c r="N10" s="9">
        <v>44730</v>
      </c>
      <c r="O10" s="9">
        <v>44730</v>
      </c>
      <c r="P10" s="9">
        <v>44737</v>
      </c>
      <c r="Q10" s="9">
        <v>44759</v>
      </c>
      <c r="R10" s="9">
        <v>44765</v>
      </c>
      <c r="S10" s="9">
        <v>44793</v>
      </c>
      <c r="T10" s="9">
        <v>44793</v>
      </c>
      <c r="U10" s="9">
        <v>44814</v>
      </c>
      <c r="V10" s="9">
        <v>44814</v>
      </c>
      <c r="W10" s="9">
        <v>44814</v>
      </c>
      <c r="X10" s="9">
        <v>44828</v>
      </c>
      <c r="Y10" s="9">
        <v>44849</v>
      </c>
      <c r="Z10" s="9">
        <v>44869</v>
      </c>
      <c r="AA10" s="9">
        <v>44905</v>
      </c>
      <c r="AB10" s="2">
        <v>2022</v>
      </c>
      <c r="AC10" s="5"/>
      <c r="AD10" s="14" t="s">
        <v>120</v>
      </c>
      <c r="AE10" s="14" t="s">
        <v>118</v>
      </c>
      <c r="AF10" s="5" t="s">
        <v>124</v>
      </c>
      <c r="AG10" s="2" t="s">
        <v>127</v>
      </c>
      <c r="AH10" s="2" t="s">
        <v>129</v>
      </c>
      <c r="AI10" s="2" t="s">
        <v>146</v>
      </c>
      <c r="AJ10" s="2" t="s">
        <v>145</v>
      </c>
      <c r="AK10" s="2" t="s">
        <v>148</v>
      </c>
      <c r="AL10" s="2" t="s">
        <v>152</v>
      </c>
      <c r="AM10" s="2" t="s">
        <v>156</v>
      </c>
      <c r="AN10" s="2" t="s">
        <v>158</v>
      </c>
      <c r="AO10" s="2" t="s">
        <v>160</v>
      </c>
      <c r="AP10" s="2" t="s">
        <v>160</v>
      </c>
      <c r="AQ10" s="2" t="s">
        <v>164</v>
      </c>
      <c r="AR10" s="2" t="s">
        <v>168</v>
      </c>
      <c r="AS10" s="2" t="s">
        <v>169</v>
      </c>
      <c r="AT10" s="2" t="s">
        <v>171</v>
      </c>
      <c r="AU10" s="2" t="s">
        <v>172</v>
      </c>
      <c r="AV10" s="2" t="s">
        <v>172</v>
      </c>
      <c r="AW10" s="2" t="s">
        <v>175</v>
      </c>
      <c r="AX10" s="2" t="s">
        <v>176</v>
      </c>
      <c r="AY10" s="2" t="s">
        <v>181</v>
      </c>
      <c r="AZ10" s="2" t="s">
        <v>187</v>
      </c>
      <c r="BA10" s="2" t="s">
        <v>189</v>
      </c>
      <c r="BB10" s="2" t="s">
        <v>190</v>
      </c>
      <c r="BC10" s="5" t="s">
        <v>190</v>
      </c>
      <c r="BD10" s="2" t="s">
        <v>193</v>
      </c>
      <c r="BE10" s="5" t="s">
        <v>194</v>
      </c>
      <c r="BF10" s="14">
        <v>2023</v>
      </c>
      <c r="BG10" s="13"/>
      <c r="BH10" s="13" t="s">
        <v>196</v>
      </c>
      <c r="BI10" s="13" t="s">
        <v>196</v>
      </c>
      <c r="BJ10" s="13" t="s">
        <v>196</v>
      </c>
      <c r="BK10" s="13" t="s">
        <v>196</v>
      </c>
      <c r="BL10" s="13" t="s">
        <v>233</v>
      </c>
      <c r="BM10" s="13" t="s">
        <v>246</v>
      </c>
      <c r="BN10" s="13" t="s">
        <v>246</v>
      </c>
      <c r="BO10" s="13" t="s">
        <v>264</v>
      </c>
      <c r="BP10" s="13" t="s">
        <v>268</v>
      </c>
      <c r="BQ10" s="13" t="s">
        <v>269</v>
      </c>
      <c r="BR10" s="13" t="s">
        <v>269</v>
      </c>
      <c r="BS10" s="13" t="s">
        <v>273</v>
      </c>
      <c r="BT10" s="13" t="s">
        <v>277</v>
      </c>
      <c r="BU10" s="13" t="s">
        <v>171</v>
      </c>
      <c r="BV10" s="13" t="s">
        <v>283</v>
      </c>
      <c r="BW10" s="13" t="s">
        <v>283</v>
      </c>
      <c r="BX10" s="13" t="s">
        <v>282</v>
      </c>
      <c r="BY10" s="13" t="s">
        <v>284</v>
      </c>
      <c r="BZ10" s="13" t="s">
        <v>287</v>
      </c>
      <c r="CA10" s="13" t="s">
        <v>287</v>
      </c>
      <c r="CB10" s="13" t="s">
        <v>289</v>
      </c>
      <c r="CC10" s="13" t="s">
        <v>290</v>
      </c>
      <c r="CD10" s="13" t="s">
        <v>290</v>
      </c>
      <c r="CE10" s="13" t="s">
        <v>295</v>
      </c>
      <c r="CF10" s="13" t="s">
        <v>296</v>
      </c>
      <c r="CG10" s="13" t="s">
        <v>304</v>
      </c>
      <c r="CH10" s="13">
        <v>2024</v>
      </c>
      <c r="CI10" s="5"/>
      <c r="CJ10" s="5"/>
      <c r="CK10" s="5"/>
      <c r="CL10" s="5">
        <v>1</v>
      </c>
      <c r="CM10" s="5">
        <v>2</v>
      </c>
      <c r="CN10" s="5">
        <v>3</v>
      </c>
      <c r="CO10" s="5">
        <v>4</v>
      </c>
      <c r="CP10" s="5">
        <v>2025</v>
      </c>
      <c r="CQ10" s="5"/>
      <c r="CR10" s="5"/>
      <c r="CS10" s="5"/>
      <c r="CT10" s="5">
        <v>1</v>
      </c>
      <c r="CU10" s="5">
        <v>2</v>
      </c>
      <c r="CV10" s="5">
        <v>3</v>
      </c>
      <c r="CW10" s="5">
        <v>4</v>
      </c>
      <c r="CX10" s="5">
        <v>2026</v>
      </c>
    </row>
    <row r="11" spans="1:102" x14ac:dyDescent="0.25">
      <c r="A11">
        <v>1</v>
      </c>
      <c r="B11" s="10" t="s">
        <v>321</v>
      </c>
      <c r="C11" s="6"/>
      <c r="D11" s="6" t="s">
        <v>322</v>
      </c>
      <c r="E11" s="6" t="s">
        <v>323</v>
      </c>
      <c r="F11" s="6"/>
      <c r="G11" s="6"/>
      <c r="H11" s="6"/>
      <c r="I11" s="6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6"/>
      <c r="AC11" s="10"/>
      <c r="AD11" s="10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10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6"/>
      <c r="CI11" s="6">
        <f>273.5/2</f>
        <v>136.75</v>
      </c>
      <c r="CJ11" s="10">
        <v>30</v>
      </c>
      <c r="CK11" s="10">
        <v>44.8</v>
      </c>
      <c r="CL11" s="10">
        <v>52</v>
      </c>
      <c r="CM11" s="10">
        <v>36</v>
      </c>
      <c r="CN11" s="10">
        <v>54</v>
      </c>
      <c r="CO11" s="10">
        <v>7.5</v>
      </c>
      <c r="CP11" s="6">
        <f>SUM(CI11:CO11)</f>
        <v>361.05</v>
      </c>
      <c r="CQ11" s="6">
        <f>(CP11-CI11)/2</f>
        <v>112.15</v>
      </c>
      <c r="CR11" s="10">
        <v>48</v>
      </c>
      <c r="CS11" s="10">
        <v>56</v>
      </c>
      <c r="CT11" s="10">
        <v>105</v>
      </c>
      <c r="CU11" s="10">
        <v>80</v>
      </c>
      <c r="CV11" s="6">
        <v>48</v>
      </c>
      <c r="CW11" s="6">
        <v>5</v>
      </c>
      <c r="CX11" s="6">
        <f>SUM(CQ11:CW11)</f>
        <v>454.15</v>
      </c>
    </row>
    <row r="12" spans="1:102" x14ac:dyDescent="0.25">
      <c r="A12">
        <v>2</v>
      </c>
      <c r="B12" s="10" t="s">
        <v>428</v>
      </c>
      <c r="C12" s="6"/>
      <c r="D12" s="6" t="s">
        <v>429</v>
      </c>
      <c r="E12" s="6" t="s">
        <v>74</v>
      </c>
      <c r="F12" s="6"/>
      <c r="G12" s="6"/>
      <c r="H12" s="6"/>
      <c r="I12" s="6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6"/>
      <c r="AC12" s="10"/>
      <c r="AD12" s="10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10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6"/>
      <c r="CI12" s="6"/>
      <c r="CJ12" s="10"/>
      <c r="CK12" s="10"/>
      <c r="CL12" s="10">
        <v>75</v>
      </c>
      <c r="CM12" s="10">
        <v>100</v>
      </c>
      <c r="CN12" s="10"/>
      <c r="CO12" s="10"/>
      <c r="CP12" s="6">
        <f>SUM(CI12:CO12)</f>
        <v>175</v>
      </c>
      <c r="CQ12" s="6">
        <f>(CP12-CI12)/2</f>
        <v>87.5</v>
      </c>
      <c r="CR12" s="10">
        <v>36</v>
      </c>
      <c r="CS12" s="10">
        <v>80</v>
      </c>
      <c r="CT12" s="10">
        <v>150</v>
      </c>
      <c r="CU12" s="10">
        <v>36</v>
      </c>
      <c r="CV12" s="6"/>
      <c r="CW12" s="6"/>
      <c r="CX12" s="6">
        <f>SUM(CQ12:CW12)</f>
        <v>389.5</v>
      </c>
    </row>
    <row r="13" spans="1:102" x14ac:dyDescent="0.25">
      <c r="A13">
        <v>3</v>
      </c>
      <c r="B13" s="10" t="s">
        <v>367</v>
      </c>
      <c r="C13" s="6"/>
      <c r="D13" s="6" t="s">
        <v>270</v>
      </c>
      <c r="E13" s="6" t="s">
        <v>36</v>
      </c>
      <c r="F13" s="6"/>
      <c r="G13" s="6"/>
      <c r="H13" s="6"/>
      <c r="I13" s="6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6"/>
      <c r="AC13" s="10"/>
      <c r="AD13" s="10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10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6"/>
      <c r="CI13" s="6"/>
      <c r="CJ13" s="10"/>
      <c r="CK13" s="10"/>
      <c r="CL13" s="10">
        <v>7.5</v>
      </c>
      <c r="CM13" s="10">
        <v>7.5</v>
      </c>
      <c r="CN13" s="10"/>
      <c r="CO13" s="10"/>
      <c r="CP13" s="6">
        <f>SUM(CI13:CO13)</f>
        <v>15</v>
      </c>
      <c r="CQ13" s="6">
        <f>(CP13-CI13)/2</f>
        <v>7.5</v>
      </c>
      <c r="CR13" s="10">
        <v>48</v>
      </c>
      <c r="CS13" s="10">
        <v>64</v>
      </c>
      <c r="CT13" s="10">
        <v>75</v>
      </c>
      <c r="CU13" s="10">
        <v>56</v>
      </c>
      <c r="CV13" s="6"/>
      <c r="CW13" s="6"/>
      <c r="CX13" s="6">
        <f>SUM(CQ13:CW13)</f>
        <v>250.5</v>
      </c>
    </row>
    <row r="14" spans="1:102" x14ac:dyDescent="0.25">
      <c r="A14" s="22">
        <v>4</v>
      </c>
      <c r="B14" s="10" t="s">
        <v>541</v>
      </c>
      <c r="C14" s="6"/>
      <c r="D14" s="6" t="s">
        <v>28</v>
      </c>
      <c r="E14" s="6" t="s">
        <v>523</v>
      </c>
      <c r="F14" s="6"/>
      <c r="G14" s="6"/>
      <c r="H14" s="6"/>
      <c r="I14" s="6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6"/>
      <c r="AC14" s="10"/>
      <c r="AD14" s="10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10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6"/>
      <c r="CI14" s="6"/>
      <c r="CJ14" s="10"/>
      <c r="CK14" s="10"/>
      <c r="CL14" s="10"/>
      <c r="CM14" s="10"/>
      <c r="CN14" s="10"/>
      <c r="CO14" s="10"/>
      <c r="CP14" s="6"/>
      <c r="CQ14" s="6"/>
      <c r="CR14" s="10">
        <v>33.6</v>
      </c>
      <c r="CS14" s="10">
        <v>4</v>
      </c>
      <c r="CT14" s="10">
        <v>75</v>
      </c>
      <c r="CU14" s="10">
        <v>40</v>
      </c>
      <c r="CV14" s="6">
        <v>2.4</v>
      </c>
      <c r="CW14" s="6"/>
      <c r="CX14" s="6">
        <f>SUM(CQ14:CW14)</f>
        <v>155</v>
      </c>
    </row>
    <row r="15" spans="1:102" x14ac:dyDescent="0.25">
      <c r="A15">
        <v>5</v>
      </c>
      <c r="B15" s="10" t="s">
        <v>558</v>
      </c>
      <c r="C15" s="6"/>
      <c r="D15" s="6" t="s">
        <v>559</v>
      </c>
      <c r="E15" s="6" t="s">
        <v>147</v>
      </c>
      <c r="F15" s="6"/>
      <c r="G15" s="6"/>
      <c r="H15" s="6"/>
      <c r="I15" s="6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6"/>
      <c r="AC15" s="10"/>
      <c r="AD15" s="10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10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6"/>
      <c r="CI15" s="6"/>
      <c r="CJ15" s="10"/>
      <c r="CK15" s="10"/>
      <c r="CL15" s="10"/>
      <c r="CM15" s="10"/>
      <c r="CN15" s="10"/>
      <c r="CO15" s="10"/>
      <c r="CP15" s="6"/>
      <c r="CQ15" s="6">
        <f>120.7/2</f>
        <v>60.35</v>
      </c>
      <c r="CR15" s="10">
        <v>36</v>
      </c>
      <c r="CS15" s="10"/>
      <c r="CT15" s="10">
        <v>2.4</v>
      </c>
      <c r="CU15" s="10"/>
      <c r="CV15" s="6"/>
      <c r="CW15" s="6"/>
      <c r="CX15" s="6">
        <f>SUM(CQ15:CW15)</f>
        <v>98.75</v>
      </c>
    </row>
    <row r="16" spans="1:102" x14ac:dyDescent="0.25">
      <c r="A16">
        <v>6</v>
      </c>
      <c r="B16" s="10" t="s">
        <v>138</v>
      </c>
      <c r="C16" s="6"/>
      <c r="D16" s="6" t="s">
        <v>240</v>
      </c>
      <c r="E16" s="6" t="s">
        <v>23</v>
      </c>
      <c r="F16" s="6"/>
      <c r="G16" s="6"/>
      <c r="H16" s="6"/>
      <c r="I16" s="6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6"/>
      <c r="AC16" s="10"/>
      <c r="AD16" s="10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10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6"/>
      <c r="CI16" s="6"/>
      <c r="CJ16" s="10">
        <v>36</v>
      </c>
      <c r="CK16" s="10">
        <v>44.8</v>
      </c>
      <c r="CL16" s="10">
        <v>75</v>
      </c>
      <c r="CM16" s="10">
        <v>10</v>
      </c>
      <c r="CN16" s="10"/>
      <c r="CO16" s="10"/>
      <c r="CP16" s="6">
        <f>SUM(CI16:CO16)</f>
        <v>165.8</v>
      </c>
      <c r="CQ16" s="6">
        <f>(CP16-CI16)/2</f>
        <v>82.9</v>
      </c>
      <c r="CR16" s="10"/>
      <c r="CS16" s="10"/>
      <c r="CT16" s="10"/>
      <c r="CU16" s="10"/>
      <c r="CV16" s="6"/>
      <c r="CW16" s="6"/>
      <c r="CX16" s="6">
        <f>SUM(CQ16:CW16)</f>
        <v>82.9</v>
      </c>
    </row>
    <row r="17" spans="1:102" x14ac:dyDescent="0.25">
      <c r="A17">
        <v>7</v>
      </c>
      <c r="B17" s="10" t="s">
        <v>138</v>
      </c>
      <c r="C17" s="6"/>
      <c r="D17" s="6" t="s">
        <v>48</v>
      </c>
      <c r="E17" s="6" t="s">
        <v>311</v>
      </c>
      <c r="F17" s="6"/>
      <c r="G17" s="6"/>
      <c r="H17" s="6"/>
      <c r="I17" s="6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6"/>
      <c r="AC17" s="10"/>
      <c r="AD17" s="10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10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6"/>
      <c r="CI17" s="6"/>
      <c r="CJ17" s="10"/>
      <c r="CK17" s="10">
        <v>40</v>
      </c>
      <c r="CL17" s="10">
        <v>5</v>
      </c>
      <c r="CM17" s="10">
        <v>54</v>
      </c>
      <c r="CN17" s="10">
        <v>10</v>
      </c>
      <c r="CO17" s="10">
        <v>7.5</v>
      </c>
      <c r="CP17" s="6">
        <f>SUM(CI17:CO17)</f>
        <v>116.5</v>
      </c>
      <c r="CQ17" s="6">
        <f>(CP17-CI17)/2</f>
        <v>58.25</v>
      </c>
      <c r="CR17" s="10"/>
      <c r="CS17" s="10"/>
      <c r="CT17" s="10"/>
      <c r="CU17" s="10"/>
      <c r="CV17" s="6"/>
      <c r="CW17" s="6"/>
      <c r="CX17" s="6">
        <f>SUM(CQ17:CW17)</f>
        <v>58.25</v>
      </c>
    </row>
    <row r="18" spans="1:102" x14ac:dyDescent="0.25">
      <c r="A18">
        <v>8</v>
      </c>
      <c r="B18" s="10" t="s">
        <v>186</v>
      </c>
      <c r="C18" s="6"/>
      <c r="D18" s="6" t="s">
        <v>278</v>
      </c>
      <c r="E18" s="6" t="s">
        <v>74</v>
      </c>
      <c r="F18" s="6"/>
      <c r="G18" s="6"/>
      <c r="H18" s="6"/>
      <c r="I18" s="6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6"/>
      <c r="AC18" s="10"/>
      <c r="AD18" s="10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10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6"/>
      <c r="CI18" s="6"/>
      <c r="CJ18" s="10"/>
      <c r="CK18" s="10">
        <v>56</v>
      </c>
      <c r="CL18" s="10">
        <v>36</v>
      </c>
      <c r="CM18" s="10">
        <v>7.5</v>
      </c>
      <c r="CN18" s="10">
        <v>10</v>
      </c>
      <c r="CO18" s="10"/>
      <c r="CP18" s="6">
        <f>SUM(CI18:CO18)</f>
        <v>109.5</v>
      </c>
      <c r="CQ18" s="6">
        <f>(CP18-CI18)/2</f>
        <v>54.75</v>
      </c>
      <c r="CR18" s="10"/>
      <c r="CS18" s="10"/>
      <c r="CT18" s="10"/>
      <c r="CU18" s="10"/>
      <c r="CV18" s="6"/>
      <c r="CW18" s="6"/>
      <c r="CX18" s="6">
        <f>SUM(CQ18:CW18)</f>
        <v>54.75</v>
      </c>
    </row>
    <row r="19" spans="1:102" x14ac:dyDescent="0.25">
      <c r="A19">
        <v>9</v>
      </c>
      <c r="B19" s="10" t="s">
        <v>602</v>
      </c>
      <c r="C19" s="6"/>
      <c r="D19" s="6" t="s">
        <v>598</v>
      </c>
      <c r="E19" s="6" t="s">
        <v>35</v>
      </c>
      <c r="F19" s="6"/>
      <c r="G19" s="6"/>
      <c r="H19" s="6"/>
      <c r="I19" s="6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6"/>
      <c r="AC19" s="10"/>
      <c r="AD19" s="10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10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6"/>
      <c r="CI19" s="6"/>
      <c r="CJ19" s="10"/>
      <c r="CK19" s="10"/>
      <c r="CL19" s="10"/>
      <c r="CM19" s="10"/>
      <c r="CN19" s="10"/>
      <c r="CO19" s="10"/>
      <c r="CP19" s="6"/>
      <c r="CQ19" s="6"/>
      <c r="CR19" s="10">
        <v>2.4</v>
      </c>
      <c r="CS19" s="10">
        <v>44.8</v>
      </c>
      <c r="CT19" s="10">
        <v>7.5</v>
      </c>
      <c r="CU19" s="10"/>
      <c r="CV19" s="6"/>
      <c r="CW19" s="6"/>
      <c r="CX19" s="6">
        <f>SUM(CQ19:CW19)</f>
        <v>54.699999999999996</v>
      </c>
    </row>
    <row r="20" spans="1:102" x14ac:dyDescent="0.25">
      <c r="A20">
        <v>10</v>
      </c>
      <c r="B20" s="10" t="s">
        <v>25</v>
      </c>
      <c r="C20" s="6"/>
      <c r="D20" s="6" t="s">
        <v>104</v>
      </c>
      <c r="E20" s="6" t="s">
        <v>473</v>
      </c>
      <c r="F20" s="6"/>
      <c r="G20" s="6"/>
      <c r="H20" s="6"/>
      <c r="I20" s="6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6"/>
      <c r="AC20" s="10"/>
      <c r="AD20" s="10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10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6"/>
      <c r="CI20" s="6"/>
      <c r="CJ20" s="10"/>
      <c r="CK20" s="10"/>
      <c r="CL20" s="10"/>
      <c r="CM20" s="10"/>
      <c r="CN20" s="10"/>
      <c r="CO20" s="10"/>
      <c r="CP20" s="6"/>
      <c r="CQ20" s="6"/>
      <c r="CR20" s="10">
        <v>2.4</v>
      </c>
      <c r="CS20" s="10">
        <v>40</v>
      </c>
      <c r="CT20" s="10">
        <v>7.5</v>
      </c>
      <c r="CU20" s="10"/>
      <c r="CV20" s="6"/>
      <c r="CW20" s="6"/>
      <c r="CX20" s="6">
        <f>SUM(CQ20:CW20)</f>
        <v>49.9</v>
      </c>
    </row>
    <row r="21" spans="1:102" x14ac:dyDescent="0.25">
      <c r="A21">
        <v>11</v>
      </c>
      <c r="B21" s="10" t="s">
        <v>293</v>
      </c>
      <c r="C21" s="6"/>
      <c r="D21" s="6" t="s">
        <v>121</v>
      </c>
      <c r="E21" s="6" t="s">
        <v>77</v>
      </c>
      <c r="F21" s="6"/>
      <c r="G21" s="6"/>
      <c r="H21" s="6"/>
      <c r="I21" s="6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6"/>
      <c r="AC21" s="10"/>
      <c r="AD21" s="10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10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6"/>
      <c r="CI21" s="6"/>
      <c r="CJ21" s="10">
        <v>36</v>
      </c>
      <c r="CK21" s="10">
        <v>3.2</v>
      </c>
      <c r="CL21" s="10">
        <v>7.5</v>
      </c>
      <c r="CM21" s="10">
        <v>7.5</v>
      </c>
      <c r="CN21" s="10">
        <v>7.5</v>
      </c>
      <c r="CO21" s="10">
        <v>36</v>
      </c>
      <c r="CP21" s="6">
        <f>SUM(CI21:CO21)</f>
        <v>97.7</v>
      </c>
      <c r="CQ21" s="6">
        <f>(CP21-CI21)/2</f>
        <v>48.85</v>
      </c>
      <c r="CR21" s="10"/>
      <c r="CS21" s="10"/>
      <c r="CT21" s="10"/>
      <c r="CU21" s="10"/>
      <c r="CV21" s="6"/>
      <c r="CW21" s="6"/>
      <c r="CX21" s="6">
        <f>SUM(CQ21:CW21)</f>
        <v>48.85</v>
      </c>
    </row>
    <row r="22" spans="1:102" x14ac:dyDescent="0.25">
      <c r="A22">
        <v>12</v>
      </c>
      <c r="B22" s="10" t="s">
        <v>557</v>
      </c>
      <c r="C22" s="6"/>
      <c r="D22" s="6" t="s">
        <v>199</v>
      </c>
      <c r="E22" s="6" t="s">
        <v>131</v>
      </c>
      <c r="F22" s="6"/>
      <c r="G22" s="6"/>
      <c r="H22" s="6"/>
      <c r="I22" s="6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6"/>
      <c r="AC22" s="10"/>
      <c r="AD22" s="10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10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6"/>
      <c r="CI22" s="6"/>
      <c r="CJ22" s="10"/>
      <c r="CK22" s="10"/>
      <c r="CL22" s="10"/>
      <c r="CM22" s="10"/>
      <c r="CN22" s="10"/>
      <c r="CO22" s="10"/>
      <c r="CP22" s="6"/>
      <c r="CQ22" s="6"/>
      <c r="CR22" s="10">
        <v>48</v>
      </c>
      <c r="CS22" s="10"/>
      <c r="CT22" s="10"/>
      <c r="CU22" s="10"/>
      <c r="CV22" s="6"/>
      <c r="CW22" s="6"/>
      <c r="CX22" s="6">
        <f>SUM(CQ22:CW22)</f>
        <v>48</v>
      </c>
    </row>
    <row r="23" spans="1:102" x14ac:dyDescent="0.25">
      <c r="A23">
        <v>13</v>
      </c>
      <c r="B23" s="10" t="s">
        <v>452</v>
      </c>
      <c r="C23" s="6"/>
      <c r="D23" s="6" t="s">
        <v>398</v>
      </c>
      <c r="E23" s="6" t="s">
        <v>79</v>
      </c>
      <c r="F23" s="6"/>
      <c r="G23" s="6"/>
      <c r="H23" s="6"/>
      <c r="I23" s="6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6"/>
      <c r="AC23" s="10"/>
      <c r="AD23" s="10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10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6"/>
      <c r="CI23" s="6"/>
      <c r="CJ23" s="10"/>
      <c r="CK23" s="10"/>
      <c r="CL23" s="10"/>
      <c r="CM23" s="10"/>
      <c r="CN23" s="10"/>
      <c r="CO23" s="10"/>
      <c r="CP23" s="6"/>
      <c r="CQ23" s="6">
        <f>23.75/2</f>
        <v>11.875</v>
      </c>
      <c r="CR23" s="10">
        <v>36</v>
      </c>
      <c r="CS23" s="10"/>
      <c r="CT23" s="10"/>
      <c r="CU23" s="10"/>
      <c r="CV23" s="6"/>
      <c r="CW23" s="6"/>
      <c r="CX23" s="6">
        <f>SUM(CQ23:CW23)</f>
        <v>47.875</v>
      </c>
    </row>
    <row r="24" spans="1:102" x14ac:dyDescent="0.25">
      <c r="A24">
        <v>14</v>
      </c>
      <c r="B24" s="10" t="s">
        <v>426</v>
      </c>
      <c r="C24" s="6"/>
      <c r="D24" s="6" t="s">
        <v>30</v>
      </c>
      <c r="E24" s="6" t="s">
        <v>490</v>
      </c>
      <c r="F24" s="6"/>
      <c r="G24" s="6"/>
      <c r="H24" s="6"/>
      <c r="I24" s="6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6"/>
      <c r="AC24" s="10"/>
      <c r="AD24" s="10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10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6"/>
      <c r="CI24" s="6"/>
      <c r="CJ24" s="10">
        <v>42</v>
      </c>
      <c r="CK24" s="10"/>
      <c r="CL24" s="10">
        <v>48</v>
      </c>
      <c r="CM24" s="10"/>
      <c r="CN24" s="10"/>
      <c r="CO24" s="10"/>
      <c r="CP24" s="6">
        <f>SUM(CI24:CO24)</f>
        <v>90</v>
      </c>
      <c r="CQ24" s="6">
        <f>(CP24-CI24)/2</f>
        <v>45</v>
      </c>
      <c r="CR24" s="10"/>
      <c r="CS24" s="10"/>
      <c r="CT24" s="10"/>
      <c r="CU24" s="10"/>
      <c r="CV24" s="6"/>
      <c r="CW24" s="6"/>
      <c r="CX24" s="6">
        <f>SUM(CQ24:CW24)</f>
        <v>45</v>
      </c>
    </row>
    <row r="25" spans="1:102" x14ac:dyDescent="0.25">
      <c r="A25">
        <v>15</v>
      </c>
      <c r="B25" s="10" t="s">
        <v>75</v>
      </c>
      <c r="C25" s="6"/>
      <c r="D25" s="6" t="s">
        <v>30</v>
      </c>
      <c r="E25" s="6" t="s">
        <v>84</v>
      </c>
      <c r="F25" s="6"/>
      <c r="G25" s="6"/>
      <c r="H25" s="6"/>
      <c r="I25" s="6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6"/>
      <c r="AC25" s="10"/>
      <c r="AD25" s="10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10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10"/>
      <c r="BQ25" s="10"/>
      <c r="BR25" s="10">
        <v>40</v>
      </c>
      <c r="BS25" s="10"/>
      <c r="BT25" s="10"/>
      <c r="BU25" s="10"/>
      <c r="BV25" s="10"/>
      <c r="BW25" s="10"/>
      <c r="BX25" s="10">
        <v>33.6</v>
      </c>
      <c r="BY25" s="10"/>
      <c r="BZ25" s="10"/>
      <c r="CA25" s="10"/>
      <c r="CB25" s="10"/>
      <c r="CC25" s="10"/>
      <c r="CD25" s="10"/>
      <c r="CE25" s="10"/>
      <c r="CF25" s="10"/>
      <c r="CG25" s="10"/>
      <c r="CH25" s="6">
        <f>SUM(BG25:CG25)</f>
        <v>73.599999999999994</v>
      </c>
      <c r="CI25" s="6">
        <f>(CH25-BG25)/2</f>
        <v>36.799999999999997</v>
      </c>
      <c r="CJ25" s="10">
        <v>36</v>
      </c>
      <c r="CK25" s="10"/>
      <c r="CL25" s="10">
        <v>36</v>
      </c>
      <c r="CM25" s="10">
        <v>10</v>
      </c>
      <c r="CN25" s="10"/>
      <c r="CO25" s="10"/>
      <c r="CP25" s="6">
        <f>SUM(CI25:CO25)</f>
        <v>118.8</v>
      </c>
      <c r="CQ25" s="6">
        <f>(CP25-CI25)/2</f>
        <v>41</v>
      </c>
      <c r="CR25" s="10"/>
      <c r="CS25" s="10"/>
      <c r="CT25" s="10"/>
      <c r="CU25" s="10"/>
      <c r="CV25" s="6"/>
      <c r="CW25" s="6"/>
      <c r="CX25" s="6">
        <f>SUM(CQ25:CW25)</f>
        <v>41</v>
      </c>
    </row>
    <row r="26" spans="1:102" x14ac:dyDescent="0.25">
      <c r="A26">
        <v>16</v>
      </c>
      <c r="B26" s="10" t="s">
        <v>427</v>
      </c>
      <c r="C26" s="6"/>
      <c r="D26" s="6" t="s">
        <v>42</v>
      </c>
      <c r="E26" s="6" t="s">
        <v>313</v>
      </c>
      <c r="F26" s="6"/>
      <c r="G26" s="6"/>
      <c r="H26" s="6"/>
      <c r="I26" s="6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6"/>
      <c r="AC26" s="10"/>
      <c r="AD26" s="10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10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6"/>
      <c r="CI26" s="6"/>
      <c r="CJ26" s="10">
        <v>3</v>
      </c>
      <c r="CK26" s="10"/>
      <c r="CL26" s="10"/>
      <c r="CM26" s="10"/>
      <c r="CN26" s="10"/>
      <c r="CO26" s="10"/>
      <c r="CP26" s="6">
        <f>SUM(CI26:CO26)</f>
        <v>3</v>
      </c>
      <c r="CQ26" s="6">
        <f>(CP26-CI26)/2</f>
        <v>1.5</v>
      </c>
      <c r="CR26" s="10">
        <v>36</v>
      </c>
      <c r="CS26" s="10"/>
      <c r="CT26" s="10"/>
      <c r="CU26" s="10"/>
      <c r="CV26" s="6"/>
      <c r="CW26" s="6"/>
      <c r="CX26" s="6">
        <f>SUM(CQ26:CW26)</f>
        <v>37.5</v>
      </c>
    </row>
    <row r="27" spans="1:102" x14ac:dyDescent="0.25">
      <c r="A27">
        <v>17</v>
      </c>
      <c r="B27" s="37" t="s">
        <v>330</v>
      </c>
      <c r="C27" s="6"/>
      <c r="D27" s="38" t="s">
        <v>584</v>
      </c>
      <c r="E27" s="38" t="s">
        <v>22</v>
      </c>
      <c r="F27" s="6"/>
      <c r="G27" s="6"/>
      <c r="H27" s="6"/>
      <c r="I27" s="6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6"/>
      <c r="AC27" s="10"/>
      <c r="AD27" s="10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10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6"/>
      <c r="CI27" s="6"/>
      <c r="CJ27" s="10"/>
      <c r="CK27" s="10"/>
      <c r="CL27" s="10"/>
      <c r="CM27" s="10"/>
      <c r="CN27" s="10"/>
      <c r="CO27" s="10"/>
      <c r="CP27" s="6"/>
      <c r="CQ27" s="6"/>
      <c r="CR27" s="10">
        <v>36</v>
      </c>
      <c r="CS27" s="10"/>
      <c r="CT27" s="10"/>
      <c r="CU27" s="10"/>
      <c r="CV27" s="6"/>
      <c r="CW27" s="6"/>
      <c r="CX27" s="6">
        <f>SUM(CQ27:CW27)</f>
        <v>36</v>
      </c>
    </row>
    <row r="28" spans="1:102" x14ac:dyDescent="0.25">
      <c r="A28">
        <v>18</v>
      </c>
      <c r="B28" s="10" t="s">
        <v>510</v>
      </c>
      <c r="C28" s="6" t="s">
        <v>350</v>
      </c>
      <c r="D28" s="6" t="s">
        <v>49</v>
      </c>
      <c r="E28" s="6" t="s">
        <v>501</v>
      </c>
      <c r="F28" s="6"/>
      <c r="G28" s="6"/>
      <c r="H28" s="6"/>
      <c r="I28" s="6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6"/>
      <c r="AC28" s="10"/>
      <c r="AD28" s="10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10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6"/>
      <c r="CI28" s="6"/>
      <c r="CJ28" s="10"/>
      <c r="CK28" s="10"/>
      <c r="CL28" s="10"/>
      <c r="CM28" s="10"/>
      <c r="CN28" s="10"/>
      <c r="CO28" s="10"/>
      <c r="CP28" s="6"/>
      <c r="CQ28" s="6">
        <f>59.1/2</f>
        <v>29.55</v>
      </c>
      <c r="CR28" s="10"/>
      <c r="CS28" s="10">
        <v>4</v>
      </c>
      <c r="CT28" s="10"/>
      <c r="CU28" s="10"/>
      <c r="CV28" s="6"/>
      <c r="CW28" s="6"/>
      <c r="CX28" s="6">
        <f>SUM(CQ28:CW28)</f>
        <v>33.549999999999997</v>
      </c>
    </row>
    <row r="29" spans="1:102" x14ac:dyDescent="0.25">
      <c r="A29">
        <v>19</v>
      </c>
      <c r="B29" s="10" t="s">
        <v>424</v>
      </c>
      <c r="C29" s="6"/>
      <c r="D29" s="6" t="s">
        <v>70</v>
      </c>
      <c r="E29" s="6" t="s">
        <v>425</v>
      </c>
      <c r="F29" s="6"/>
      <c r="G29" s="6"/>
      <c r="H29" s="6"/>
      <c r="I29" s="6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6"/>
      <c r="AC29" s="10"/>
      <c r="AD29" s="10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10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6"/>
      <c r="CI29" s="6"/>
      <c r="CJ29" s="10">
        <v>60</v>
      </c>
      <c r="CK29" s="10"/>
      <c r="CL29" s="10"/>
      <c r="CM29" s="10"/>
      <c r="CN29" s="10"/>
      <c r="CO29" s="10"/>
      <c r="CP29" s="6">
        <f>SUM(CI29:CO29)</f>
        <v>60</v>
      </c>
      <c r="CQ29" s="6">
        <f>(CP29-CI29)/2</f>
        <v>30</v>
      </c>
      <c r="CR29" s="10"/>
      <c r="CS29" s="10"/>
      <c r="CT29" s="10"/>
      <c r="CU29" s="10"/>
      <c r="CV29" s="6"/>
      <c r="CW29" s="6"/>
      <c r="CX29" s="6">
        <f>SUM(CQ29:CW29)</f>
        <v>30</v>
      </c>
    </row>
    <row r="30" spans="1:102" x14ac:dyDescent="0.25">
      <c r="A30">
        <v>20</v>
      </c>
      <c r="B30" s="10" t="s">
        <v>410</v>
      </c>
      <c r="C30" s="6"/>
      <c r="D30" s="6" t="s">
        <v>398</v>
      </c>
      <c r="E30" s="6" t="s">
        <v>484</v>
      </c>
      <c r="F30" s="6"/>
      <c r="G30" s="6"/>
      <c r="H30" s="6"/>
      <c r="I30" s="6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6"/>
      <c r="AC30" s="10"/>
      <c r="AD30" s="10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10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6"/>
      <c r="CI30" s="6"/>
      <c r="CJ30" s="10"/>
      <c r="CK30" s="10"/>
      <c r="CL30" s="10">
        <v>54</v>
      </c>
      <c r="CM30" s="10"/>
      <c r="CN30" s="10"/>
      <c r="CO30" s="10"/>
      <c r="CP30" s="6">
        <f>SUM(CI30:CO30)</f>
        <v>54</v>
      </c>
      <c r="CQ30" s="6">
        <f>(CP30-CI30)/2</f>
        <v>27</v>
      </c>
      <c r="CR30" s="10"/>
      <c r="CS30" s="10"/>
      <c r="CT30" s="10"/>
      <c r="CU30" s="10"/>
      <c r="CV30" s="6"/>
      <c r="CW30" s="6"/>
      <c r="CX30" s="6">
        <f>SUM(CQ30:CW30)</f>
        <v>27</v>
      </c>
    </row>
    <row r="31" spans="1:102" x14ac:dyDescent="0.25">
      <c r="A31">
        <v>21</v>
      </c>
      <c r="B31" s="10" t="s">
        <v>409</v>
      </c>
      <c r="C31" s="6"/>
      <c r="D31" s="6" t="s">
        <v>402</v>
      </c>
      <c r="E31" s="6" t="s">
        <v>408</v>
      </c>
      <c r="F31" s="6"/>
      <c r="G31" s="6"/>
      <c r="H31" s="6"/>
      <c r="I31" s="6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6"/>
      <c r="AC31" s="10"/>
      <c r="AD31" s="10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10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6"/>
      <c r="CI31" s="6"/>
      <c r="CJ31" s="10">
        <v>36</v>
      </c>
      <c r="CK31" s="10"/>
      <c r="CL31" s="10">
        <v>7.5</v>
      </c>
      <c r="CM31" s="10"/>
      <c r="CN31" s="10"/>
      <c r="CO31" s="10"/>
      <c r="CP31" s="6">
        <f>SUM(CI31:CO31)</f>
        <v>43.5</v>
      </c>
      <c r="CQ31" s="6">
        <f>(CP31-CI31)/2</f>
        <v>21.75</v>
      </c>
      <c r="CR31" s="10"/>
      <c r="CS31" s="10"/>
      <c r="CT31" s="10"/>
      <c r="CU31" s="10"/>
      <c r="CV31" s="6"/>
      <c r="CW31" s="6"/>
      <c r="CX31" s="6">
        <f>SUM(CQ31:CW31)</f>
        <v>21.75</v>
      </c>
    </row>
    <row r="32" spans="1:102" x14ac:dyDescent="0.25">
      <c r="A32">
        <v>22</v>
      </c>
      <c r="B32" s="10" t="s">
        <v>26</v>
      </c>
      <c r="C32" s="6"/>
      <c r="D32" s="6" t="s">
        <v>72</v>
      </c>
      <c r="E32" s="6" t="s">
        <v>448</v>
      </c>
      <c r="F32" s="6"/>
      <c r="G32" s="6"/>
      <c r="H32" s="6"/>
      <c r="I32" s="6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6"/>
      <c r="AC32" s="10"/>
      <c r="AD32" s="10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10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6"/>
      <c r="CI32" s="6"/>
      <c r="CJ32" s="10">
        <v>33.6</v>
      </c>
      <c r="CK32" s="10"/>
      <c r="CL32" s="10">
        <v>5</v>
      </c>
      <c r="CM32" s="10"/>
      <c r="CN32" s="10"/>
      <c r="CO32" s="10"/>
      <c r="CP32" s="6">
        <f>SUM(CI32:CO32)</f>
        <v>38.6</v>
      </c>
      <c r="CQ32" s="6">
        <f>(CP32-CI32)/2</f>
        <v>19.3</v>
      </c>
      <c r="CR32" s="10"/>
      <c r="CS32" s="10"/>
      <c r="CT32" s="10"/>
      <c r="CU32" s="10"/>
      <c r="CV32" s="6"/>
      <c r="CW32" s="6"/>
      <c r="CX32" s="6">
        <f>SUM(CQ32:CW32)</f>
        <v>19.3</v>
      </c>
    </row>
    <row r="33" spans="1:102" x14ac:dyDescent="0.25">
      <c r="A33">
        <v>23</v>
      </c>
      <c r="B33" s="10" t="s">
        <v>27</v>
      </c>
      <c r="C33" s="6"/>
      <c r="D33" s="6" t="s">
        <v>391</v>
      </c>
      <c r="E33" s="6" t="s">
        <v>23</v>
      </c>
      <c r="F33" s="6"/>
      <c r="G33" s="6"/>
      <c r="H33" s="6"/>
      <c r="I33" s="6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6"/>
      <c r="AC33" s="10"/>
      <c r="AD33" s="10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10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6"/>
      <c r="CI33" s="6"/>
      <c r="CJ33" s="10">
        <v>36</v>
      </c>
      <c r="CK33" s="10"/>
      <c r="CL33" s="10"/>
      <c r="CM33" s="10"/>
      <c r="CN33" s="10"/>
      <c r="CO33" s="10"/>
      <c r="CP33" s="6">
        <f>SUM(CI33:CO33)</f>
        <v>36</v>
      </c>
      <c r="CQ33" s="6">
        <f>(CP33-CI33)/2</f>
        <v>18</v>
      </c>
      <c r="CR33" s="10"/>
      <c r="CS33" s="10"/>
      <c r="CT33" s="10"/>
      <c r="CU33" s="10"/>
      <c r="CV33" s="6"/>
      <c r="CW33" s="6"/>
      <c r="CX33" s="6">
        <f>SUM(CQ33:CW33)</f>
        <v>18</v>
      </c>
    </row>
    <row r="34" spans="1:102" x14ac:dyDescent="0.25">
      <c r="A34">
        <v>24</v>
      </c>
      <c r="B34" s="10" t="s">
        <v>217</v>
      </c>
      <c r="C34" s="6"/>
      <c r="D34" s="6" t="s">
        <v>218</v>
      </c>
      <c r="E34" s="6" t="s">
        <v>64</v>
      </c>
      <c r="F34" s="6"/>
      <c r="G34" s="6"/>
      <c r="H34" s="6"/>
      <c r="I34" s="6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6"/>
      <c r="AC34" s="10"/>
      <c r="AD34" s="10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10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6"/>
      <c r="CI34" s="6"/>
      <c r="CJ34" s="10">
        <v>33.6</v>
      </c>
      <c r="CK34" s="10"/>
      <c r="CL34" s="10"/>
      <c r="CM34" s="10"/>
      <c r="CN34" s="10"/>
      <c r="CO34" s="10"/>
      <c r="CP34" s="6">
        <f>SUM(CI34:CO34)</f>
        <v>33.6</v>
      </c>
      <c r="CQ34" s="6">
        <f>(CP34-CI34)/2</f>
        <v>16.8</v>
      </c>
      <c r="CR34" s="10"/>
      <c r="CS34" s="10"/>
      <c r="CT34" s="10"/>
      <c r="CU34" s="10"/>
      <c r="CV34" s="6"/>
      <c r="CW34" s="6"/>
      <c r="CX34" s="6">
        <f>SUM(CQ34:CW34)</f>
        <v>16.8</v>
      </c>
    </row>
    <row r="35" spans="1:102" x14ac:dyDescent="0.25">
      <c r="A35">
        <v>25</v>
      </c>
      <c r="B35" s="10" t="s">
        <v>433</v>
      </c>
      <c r="C35" s="6"/>
      <c r="D35" s="6" t="s">
        <v>435</v>
      </c>
      <c r="E35" s="6" t="s">
        <v>434</v>
      </c>
      <c r="F35" s="6"/>
      <c r="G35" s="6"/>
      <c r="H35" s="6"/>
      <c r="I35" s="6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6"/>
      <c r="AC35" s="10"/>
      <c r="AD35" s="10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10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6"/>
      <c r="CI35" s="6"/>
      <c r="CJ35" s="10"/>
      <c r="CK35" s="10"/>
      <c r="CL35" s="10">
        <v>7.5</v>
      </c>
      <c r="CM35" s="10"/>
      <c r="CN35" s="10"/>
      <c r="CO35" s="10"/>
      <c r="CP35" s="6">
        <f>SUM(CI35:CO35)</f>
        <v>7.5</v>
      </c>
      <c r="CQ35" s="6">
        <f>(CP35-CI35)/2</f>
        <v>3.75</v>
      </c>
      <c r="CR35" s="10"/>
      <c r="CS35" s="10"/>
      <c r="CT35" s="10"/>
      <c r="CU35" s="10"/>
      <c r="CV35" s="6"/>
      <c r="CW35" s="6"/>
      <c r="CX35" s="6">
        <f>SUM(CQ35:CW35)</f>
        <v>3.75</v>
      </c>
    </row>
    <row r="36" spans="1:102" x14ac:dyDescent="0.25">
      <c r="A36">
        <v>26</v>
      </c>
      <c r="B36" s="10" t="s">
        <v>130</v>
      </c>
      <c r="C36" s="6"/>
      <c r="D36" s="6" t="s">
        <v>449</v>
      </c>
      <c r="E36" s="6" t="s">
        <v>61</v>
      </c>
      <c r="F36" s="6"/>
      <c r="G36" s="6"/>
      <c r="H36" s="6"/>
      <c r="I36" s="6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6"/>
      <c r="AC36" s="10"/>
      <c r="AD36" s="10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10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6"/>
      <c r="CI36" s="6"/>
      <c r="CJ36" s="10"/>
      <c r="CK36" s="10">
        <v>4</v>
      </c>
      <c r="CL36" s="10"/>
      <c r="CM36" s="10"/>
      <c r="CN36" s="10"/>
      <c r="CO36" s="10"/>
      <c r="CP36" s="6">
        <f>SUM(CI36:CO36)</f>
        <v>4</v>
      </c>
      <c r="CQ36" s="6">
        <f>(CP36-CI36)/2</f>
        <v>2</v>
      </c>
      <c r="CR36" s="10"/>
      <c r="CS36" s="10"/>
      <c r="CT36" s="10"/>
      <c r="CU36" s="10"/>
      <c r="CV36" s="6"/>
      <c r="CW36" s="6"/>
      <c r="CX36" s="6">
        <f>SUM(CQ36:CW36)</f>
        <v>2</v>
      </c>
    </row>
    <row r="37" spans="1:102" x14ac:dyDescent="0.25">
      <c r="A37">
        <v>27</v>
      </c>
      <c r="B37" s="10" t="s">
        <v>225</v>
      </c>
      <c r="C37" s="6"/>
      <c r="D37" s="6" t="s">
        <v>49</v>
      </c>
      <c r="E37" s="6" t="s">
        <v>52</v>
      </c>
      <c r="F37" s="6"/>
      <c r="G37" s="6"/>
      <c r="H37" s="6"/>
      <c r="I37" s="6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6"/>
      <c r="AC37" s="10"/>
      <c r="AD37" s="10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10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6"/>
      <c r="CI37" s="6"/>
      <c r="CJ37" s="10">
        <v>3</v>
      </c>
      <c r="CK37" s="10"/>
      <c r="CL37" s="10"/>
      <c r="CM37" s="10"/>
      <c r="CN37" s="10"/>
      <c r="CO37" s="10"/>
      <c r="CP37" s="6">
        <f>SUM(CI37:CO37)</f>
        <v>3</v>
      </c>
      <c r="CQ37" s="6">
        <f>(CP37-CI37)/2</f>
        <v>1.5</v>
      </c>
      <c r="CR37" s="10"/>
      <c r="CS37" s="10"/>
      <c r="CT37" s="10"/>
      <c r="CU37" s="10"/>
      <c r="CV37" s="6"/>
      <c r="CW37" s="6"/>
      <c r="CX37" s="6">
        <f>SUM(CQ37:CW37)</f>
        <v>1.5</v>
      </c>
    </row>
  </sheetData>
  <sortState xmlns:xlrd2="http://schemas.microsoft.com/office/spreadsheetml/2017/richdata2" ref="B11:CX37">
    <sortCondition descending="1" ref="CX11:CX37"/>
  </sortState>
  <mergeCells count="5">
    <mergeCell ref="B8:C10"/>
    <mergeCell ref="CL9:CO9"/>
    <mergeCell ref="CT9:CW9"/>
    <mergeCell ref="D4:CX5"/>
    <mergeCell ref="B1:CX1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T32"/>
  <sheetViews>
    <sheetView zoomScale="80" zoomScaleNormal="80" workbookViewId="0">
      <selection activeCell="CZ20" sqref="CZ20"/>
    </sheetView>
  </sheetViews>
  <sheetFormatPr baseColWidth="10" defaultRowHeight="15" x14ac:dyDescent="0.25"/>
  <cols>
    <col min="1" max="1" width="3.140625" bestFit="1" customWidth="1"/>
    <col min="2" max="2" width="15" bestFit="1" customWidth="1"/>
    <col min="3" max="3" width="11.7109375" bestFit="1" customWidth="1"/>
    <col min="4" max="4" width="13.28515625" bestFit="1" customWidth="1"/>
    <col min="5" max="5" width="20.140625" bestFit="1" customWidth="1"/>
    <col min="6" max="7" width="6.28515625" hidden="1" customWidth="1"/>
    <col min="8" max="10" width="6.42578125" hidden="1" customWidth="1"/>
    <col min="11" max="11" width="7.28515625" style="7" hidden="1" customWidth="1"/>
    <col min="12" max="15" width="6.28515625" style="7" hidden="1" customWidth="1"/>
    <col min="16" max="18" width="6.7109375" style="7" hidden="1" customWidth="1"/>
    <col min="19" max="21" width="7.28515625" style="7" hidden="1" customWidth="1"/>
    <col min="22" max="22" width="6" style="7" hidden="1" customWidth="1"/>
    <col min="23" max="24" width="6.5703125" style="7" hidden="1" customWidth="1"/>
    <col min="25" max="25" width="0" hidden="1" customWidth="1"/>
    <col min="26" max="26" width="0" style="7" hidden="1" customWidth="1"/>
    <col min="27" max="44" width="6" style="7" hidden="1" customWidth="1"/>
    <col min="45" max="45" width="10.5703125" style="7" hidden="1" customWidth="1"/>
    <col min="46" max="52" width="6" style="7" hidden="1" customWidth="1"/>
    <col min="53" max="53" width="7" style="7" hidden="1" customWidth="1"/>
    <col min="54" max="54" width="0" hidden="1" customWidth="1"/>
    <col min="55" max="65" width="6" hidden="1" customWidth="1"/>
    <col min="66" max="80" width="6" style="7" hidden="1" customWidth="1"/>
    <col min="81" max="81" width="6.85546875" style="7" hidden="1" customWidth="1"/>
    <col min="82" max="83" width="0" hidden="1" customWidth="1"/>
    <col min="84" max="84" width="7.42578125" style="7" hidden="1" customWidth="1"/>
    <col min="85" max="85" width="7.7109375" style="7" hidden="1" customWidth="1"/>
    <col min="86" max="86" width="7.85546875" style="7" hidden="1" customWidth="1"/>
    <col min="87" max="89" width="0" style="7" hidden="1" customWidth="1"/>
    <col min="92" max="92" width="7.85546875" style="7" customWidth="1"/>
    <col min="93" max="93" width="8" style="7" customWidth="1"/>
    <col min="94" max="94" width="7.7109375" style="7" customWidth="1"/>
    <col min="95" max="95" width="11.42578125" style="7"/>
  </cols>
  <sheetData>
    <row r="1" spans="1:98" ht="26.25" x14ac:dyDescent="0.4">
      <c r="B1" s="34" t="s">
        <v>3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</row>
    <row r="2" spans="1:98" ht="15.75" thickBot="1" x14ac:dyDescent="0.3">
      <c r="C2" s="7"/>
      <c r="D2" s="7"/>
      <c r="E2" s="7"/>
    </row>
    <row r="3" spans="1:98" ht="15.75" thickTop="1" x14ac:dyDescent="0.25">
      <c r="B3" s="1" t="s">
        <v>0</v>
      </c>
      <c r="C3" s="4" t="s">
        <v>14</v>
      </c>
    </row>
    <row r="4" spans="1:98" ht="14.65" customHeight="1" x14ac:dyDescent="0.25">
      <c r="B4" s="2" t="s">
        <v>1</v>
      </c>
      <c r="C4" s="5" t="s">
        <v>12</v>
      </c>
      <c r="D4" s="32" t="s">
        <v>492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</row>
    <row r="5" spans="1:98" ht="15" customHeight="1" thickBot="1" x14ac:dyDescent="0.3">
      <c r="B5" s="3" t="s">
        <v>2</v>
      </c>
      <c r="C5" s="15">
        <v>-73</v>
      </c>
      <c r="D5" s="32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</row>
    <row r="6" spans="1:98" ht="15.75" thickTop="1" x14ac:dyDescent="0.25"/>
    <row r="7" spans="1:98" ht="15.75" thickBot="1" x14ac:dyDescent="0.3"/>
    <row r="8" spans="1:98" ht="15.75" thickTop="1" x14ac:dyDescent="0.25">
      <c r="B8" s="25" t="s">
        <v>9</v>
      </c>
      <c r="C8" s="26"/>
      <c r="D8" s="1"/>
      <c r="E8" s="1"/>
      <c r="F8" s="4" t="s">
        <v>10</v>
      </c>
      <c r="G8" s="4" t="s">
        <v>10</v>
      </c>
      <c r="H8" s="4" t="s">
        <v>10</v>
      </c>
      <c r="I8" s="4" t="s">
        <v>10</v>
      </c>
      <c r="J8" s="4" t="s">
        <v>53</v>
      </c>
      <c r="K8" s="4" t="s">
        <v>66</v>
      </c>
      <c r="L8" s="4" t="s">
        <v>85</v>
      </c>
      <c r="M8" s="4" t="s">
        <v>86</v>
      </c>
      <c r="N8" s="4" t="s">
        <v>92</v>
      </c>
      <c r="O8" s="4" t="s">
        <v>97</v>
      </c>
      <c r="P8" s="4" t="s">
        <v>10</v>
      </c>
      <c r="Q8" s="4" t="s">
        <v>10</v>
      </c>
      <c r="R8" s="4" t="s">
        <v>10</v>
      </c>
      <c r="S8" s="4" t="s">
        <v>10</v>
      </c>
      <c r="T8" s="4" t="s">
        <v>10</v>
      </c>
      <c r="U8" s="4" t="s">
        <v>107</v>
      </c>
      <c r="V8" s="4" t="s">
        <v>10</v>
      </c>
      <c r="W8" s="4" t="s">
        <v>112</v>
      </c>
      <c r="X8" s="4" t="s">
        <v>115</v>
      </c>
      <c r="Y8" s="1"/>
      <c r="Z8" s="12">
        <v>44927</v>
      </c>
      <c r="AA8" s="4" t="s">
        <v>10</v>
      </c>
      <c r="AB8" s="4" t="s">
        <v>10</v>
      </c>
      <c r="AC8" s="4" t="s">
        <v>10</v>
      </c>
      <c r="AD8" s="4" t="s">
        <v>115</v>
      </c>
      <c r="AE8" s="4" t="s">
        <v>10</v>
      </c>
      <c r="AF8" s="4" t="s">
        <v>10</v>
      </c>
      <c r="AG8" s="4" t="s">
        <v>10</v>
      </c>
      <c r="AH8" s="4" t="s">
        <v>151</v>
      </c>
      <c r="AI8" s="4" t="s">
        <v>151</v>
      </c>
      <c r="AJ8" s="4" t="s">
        <v>151</v>
      </c>
      <c r="AK8" s="4" t="s">
        <v>114</v>
      </c>
      <c r="AL8" s="4" t="s">
        <v>115</v>
      </c>
      <c r="AM8" s="4" t="s">
        <v>10</v>
      </c>
      <c r="AN8" s="4" t="s">
        <v>10</v>
      </c>
      <c r="AO8" s="4" t="s">
        <v>112</v>
      </c>
      <c r="AP8" s="4" t="s">
        <v>10</v>
      </c>
      <c r="AQ8" s="4" t="s">
        <v>10</v>
      </c>
      <c r="AR8" s="4" t="s">
        <v>10</v>
      </c>
      <c r="AS8" s="4" t="s">
        <v>10</v>
      </c>
      <c r="AT8" s="4" t="s">
        <v>10</v>
      </c>
      <c r="AU8" s="4" t="s">
        <v>115</v>
      </c>
      <c r="AV8" s="4" t="s">
        <v>10</v>
      </c>
      <c r="AW8" s="4" t="s">
        <v>10</v>
      </c>
      <c r="AX8" s="4" t="s">
        <v>10</v>
      </c>
      <c r="AY8" s="4" t="s">
        <v>10</v>
      </c>
      <c r="AZ8" s="4" t="s">
        <v>116</v>
      </c>
      <c r="BA8" s="4" t="s">
        <v>6</v>
      </c>
      <c r="BB8" s="12">
        <v>45292</v>
      </c>
      <c r="BC8" s="12" t="s">
        <v>10</v>
      </c>
      <c r="BD8" s="12" t="s">
        <v>10</v>
      </c>
      <c r="BE8" s="12" t="s">
        <v>10</v>
      </c>
      <c r="BF8" s="12" t="s">
        <v>10</v>
      </c>
      <c r="BG8" s="12" t="s">
        <v>10</v>
      </c>
      <c r="BH8" s="12" t="s">
        <v>10</v>
      </c>
      <c r="BI8" s="12" t="s">
        <v>10</v>
      </c>
      <c r="BJ8" s="12" t="s">
        <v>10</v>
      </c>
      <c r="BK8" s="12" t="s">
        <v>10</v>
      </c>
      <c r="BL8" s="12" t="s">
        <v>10</v>
      </c>
      <c r="BM8" s="12" t="s">
        <v>115</v>
      </c>
      <c r="BN8" s="12" t="s">
        <v>115</v>
      </c>
      <c r="BO8" s="12" t="s">
        <v>151</v>
      </c>
      <c r="BP8" s="12" t="s">
        <v>151</v>
      </c>
      <c r="BQ8" s="12" t="s">
        <v>151</v>
      </c>
      <c r="BR8" s="12" t="s">
        <v>115</v>
      </c>
      <c r="BS8" s="12" t="s">
        <v>10</v>
      </c>
      <c r="BT8" s="12" t="s">
        <v>10</v>
      </c>
      <c r="BU8" s="12" t="s">
        <v>10</v>
      </c>
      <c r="BV8" s="12" t="s">
        <v>10</v>
      </c>
      <c r="BW8" s="12" t="s">
        <v>10</v>
      </c>
      <c r="BX8" s="12" t="s">
        <v>10</v>
      </c>
      <c r="BY8" s="12" t="s">
        <v>10</v>
      </c>
      <c r="BZ8" s="12" t="s">
        <v>10</v>
      </c>
      <c r="CA8" s="12" t="s">
        <v>10</v>
      </c>
      <c r="CB8" s="12" t="s">
        <v>115</v>
      </c>
      <c r="CC8" s="12" t="s">
        <v>116</v>
      </c>
      <c r="CD8" s="12" t="s">
        <v>6</v>
      </c>
      <c r="CE8" s="12">
        <v>45658</v>
      </c>
      <c r="CF8" s="12"/>
      <c r="CG8" s="12"/>
      <c r="CH8" s="17"/>
      <c r="CI8" s="18"/>
      <c r="CJ8" s="18"/>
      <c r="CK8" s="19"/>
      <c r="CL8" s="12" t="s">
        <v>6</v>
      </c>
      <c r="CM8" s="12">
        <v>46023</v>
      </c>
      <c r="CN8" s="12"/>
      <c r="CO8" s="12"/>
      <c r="CP8" s="17"/>
      <c r="CQ8" s="18"/>
      <c r="CR8" s="20"/>
      <c r="CS8" s="21"/>
      <c r="CT8" s="12" t="s">
        <v>6</v>
      </c>
    </row>
    <row r="9" spans="1:98" x14ac:dyDescent="0.25">
      <c r="B9" s="27"/>
      <c r="C9" s="28"/>
      <c r="D9" s="2"/>
      <c r="E9" s="2"/>
      <c r="F9" s="8" t="s">
        <v>11</v>
      </c>
      <c r="G9" s="8" t="s">
        <v>32</v>
      </c>
      <c r="H9" s="5" t="s">
        <v>19</v>
      </c>
      <c r="I9" s="5" t="s">
        <v>43</v>
      </c>
      <c r="J9" s="8" t="s">
        <v>54</v>
      </c>
      <c r="K9" s="8" t="s">
        <v>67</v>
      </c>
      <c r="L9" s="8" t="s">
        <v>83</v>
      </c>
      <c r="M9" s="8" t="s">
        <v>87</v>
      </c>
      <c r="N9" s="8" t="s">
        <v>93</v>
      </c>
      <c r="O9" s="8" t="s">
        <v>54</v>
      </c>
      <c r="P9" s="8" t="s">
        <v>32</v>
      </c>
      <c r="Q9" s="8" t="s">
        <v>19</v>
      </c>
      <c r="R9" s="8" t="s">
        <v>81</v>
      </c>
      <c r="S9" s="8" t="s">
        <v>106</v>
      </c>
      <c r="T9" s="8" t="s">
        <v>102</v>
      </c>
      <c r="U9" s="8" t="s">
        <v>108</v>
      </c>
      <c r="V9" s="8" t="s">
        <v>102</v>
      </c>
      <c r="W9" s="8" t="s">
        <v>113</v>
      </c>
      <c r="X9" s="8" t="s">
        <v>116</v>
      </c>
      <c r="Y9" s="2" t="s">
        <v>6</v>
      </c>
      <c r="Z9" s="5"/>
      <c r="AA9" s="8" t="s">
        <v>11</v>
      </c>
      <c r="AB9" s="5" t="s">
        <v>99</v>
      </c>
      <c r="AC9" s="8" t="s">
        <v>19</v>
      </c>
      <c r="AD9" s="8" t="s">
        <v>85</v>
      </c>
      <c r="AE9" s="8" t="s">
        <v>81</v>
      </c>
      <c r="AF9" s="8" t="s">
        <v>102</v>
      </c>
      <c r="AG9" s="8" t="s">
        <v>43</v>
      </c>
      <c r="AH9" s="8" t="s">
        <v>86</v>
      </c>
      <c r="AI9" s="8" t="s">
        <v>92</v>
      </c>
      <c r="AJ9" s="8" t="s">
        <v>85</v>
      </c>
      <c r="AK9" s="8" t="s">
        <v>159</v>
      </c>
      <c r="AL9" s="8" t="s">
        <v>86</v>
      </c>
      <c r="AM9" s="8" t="s">
        <v>167</v>
      </c>
      <c r="AN9" s="8" t="s">
        <v>32</v>
      </c>
      <c r="AO9" s="8" t="s">
        <v>170</v>
      </c>
      <c r="AP9" s="8" t="s">
        <v>102</v>
      </c>
      <c r="AQ9" s="8" t="s">
        <v>81</v>
      </c>
      <c r="AR9" s="8" t="s">
        <v>19</v>
      </c>
      <c r="AS9" s="8" t="s">
        <v>177</v>
      </c>
      <c r="AT9" s="8" t="s">
        <v>99</v>
      </c>
      <c r="AU9" s="8" t="s">
        <v>92</v>
      </c>
      <c r="AV9" s="8" t="s">
        <v>76</v>
      </c>
      <c r="AW9" s="8" t="s">
        <v>188</v>
      </c>
      <c r="AX9" s="8" t="s">
        <v>11</v>
      </c>
      <c r="AY9" s="8" t="s">
        <v>192</v>
      </c>
      <c r="AZ9" s="8"/>
      <c r="BA9" s="5"/>
      <c r="BB9" s="5"/>
      <c r="BC9" s="5" t="s">
        <v>81</v>
      </c>
      <c r="BD9" s="5" t="s">
        <v>167</v>
      </c>
      <c r="BE9" s="5" t="s">
        <v>11</v>
      </c>
      <c r="BF9" s="5" t="s">
        <v>76</v>
      </c>
      <c r="BG9" s="5" t="s">
        <v>99</v>
      </c>
      <c r="BH9" s="5" t="s">
        <v>195</v>
      </c>
      <c r="BI9" s="5" t="s">
        <v>192</v>
      </c>
      <c r="BJ9" s="5" t="s">
        <v>19</v>
      </c>
      <c r="BK9" s="5" t="s">
        <v>32</v>
      </c>
      <c r="BL9" s="5" t="s">
        <v>43</v>
      </c>
      <c r="BM9" s="5" t="s">
        <v>86</v>
      </c>
      <c r="BN9" s="5" t="s">
        <v>267</v>
      </c>
      <c r="BO9" s="5" t="s">
        <v>86</v>
      </c>
      <c r="BP9" s="5" t="s">
        <v>85</v>
      </c>
      <c r="BQ9" s="5" t="s">
        <v>92</v>
      </c>
      <c r="BR9" s="5" t="s">
        <v>85</v>
      </c>
      <c r="BS9" s="5" t="s">
        <v>81</v>
      </c>
      <c r="BT9" s="5" t="s">
        <v>19</v>
      </c>
      <c r="BU9" s="5" t="s">
        <v>195</v>
      </c>
      <c r="BV9" s="5" t="s">
        <v>167</v>
      </c>
      <c r="BW9" s="5" t="s">
        <v>32</v>
      </c>
      <c r="BX9" s="5" t="s">
        <v>192</v>
      </c>
      <c r="BY9" s="5" t="s">
        <v>11</v>
      </c>
      <c r="BZ9" s="5" t="s">
        <v>43</v>
      </c>
      <c r="CA9" s="5" t="s">
        <v>76</v>
      </c>
      <c r="CB9" s="5" t="s">
        <v>92</v>
      </c>
      <c r="CC9" s="5" t="s">
        <v>303</v>
      </c>
      <c r="CD9" s="5"/>
      <c r="CE9" s="5"/>
      <c r="CF9" s="8" t="s">
        <v>10</v>
      </c>
      <c r="CG9" s="8" t="s">
        <v>151</v>
      </c>
      <c r="CH9" s="29" t="s">
        <v>305</v>
      </c>
      <c r="CI9" s="30"/>
      <c r="CJ9" s="30"/>
      <c r="CK9" s="31"/>
      <c r="CL9" s="5"/>
      <c r="CM9" s="5"/>
      <c r="CN9" s="8" t="s">
        <v>10</v>
      </c>
      <c r="CO9" s="8" t="s">
        <v>151</v>
      </c>
      <c r="CP9" s="29" t="s">
        <v>305</v>
      </c>
      <c r="CQ9" s="30"/>
      <c r="CR9" s="30"/>
      <c r="CS9" s="31"/>
      <c r="CT9" s="5"/>
    </row>
    <row r="10" spans="1:98" x14ac:dyDescent="0.25">
      <c r="B10" s="27"/>
      <c r="C10" s="28"/>
      <c r="D10" s="2" t="s">
        <v>4</v>
      </c>
      <c r="E10" s="2" t="s">
        <v>5</v>
      </c>
      <c r="F10" s="9">
        <v>44653</v>
      </c>
      <c r="G10" s="9">
        <v>44653</v>
      </c>
      <c r="H10" s="9">
        <v>44660</v>
      </c>
      <c r="I10" s="9">
        <v>44674</v>
      </c>
      <c r="J10" s="9">
        <v>44681</v>
      </c>
      <c r="K10" s="9">
        <v>44696</v>
      </c>
      <c r="L10" s="9">
        <v>44730</v>
      </c>
      <c r="M10" s="9">
        <v>44730</v>
      </c>
      <c r="N10" s="9">
        <v>44737</v>
      </c>
      <c r="O10" s="9">
        <v>44759</v>
      </c>
      <c r="P10" s="9">
        <v>44779</v>
      </c>
      <c r="Q10" s="9">
        <v>44793</v>
      </c>
      <c r="R10" s="9">
        <v>44800</v>
      </c>
      <c r="S10" s="9">
        <v>44807</v>
      </c>
      <c r="T10" s="9">
        <v>44814</v>
      </c>
      <c r="U10" s="9">
        <v>44828</v>
      </c>
      <c r="V10" s="9">
        <v>44856</v>
      </c>
      <c r="W10" s="9">
        <v>44869</v>
      </c>
      <c r="X10" s="9">
        <v>44905</v>
      </c>
      <c r="Y10" s="2">
        <v>2022</v>
      </c>
      <c r="Z10" s="5"/>
      <c r="AA10" s="14" t="s">
        <v>118</v>
      </c>
      <c r="AB10" s="5" t="s">
        <v>124</v>
      </c>
      <c r="AC10" s="2" t="s">
        <v>127</v>
      </c>
      <c r="AD10" s="2" t="s">
        <v>129</v>
      </c>
      <c r="AE10" s="2" t="s">
        <v>146</v>
      </c>
      <c r="AF10" s="2" t="s">
        <v>145</v>
      </c>
      <c r="AG10" s="2" t="s">
        <v>148</v>
      </c>
      <c r="AH10" s="2" t="s">
        <v>152</v>
      </c>
      <c r="AI10" s="2" t="s">
        <v>156</v>
      </c>
      <c r="AJ10" s="2" t="s">
        <v>158</v>
      </c>
      <c r="AK10" s="2" t="s">
        <v>160</v>
      </c>
      <c r="AL10" s="2" t="s">
        <v>164</v>
      </c>
      <c r="AM10" s="2" t="s">
        <v>168</v>
      </c>
      <c r="AN10" s="2" t="s">
        <v>169</v>
      </c>
      <c r="AO10" s="2" t="s">
        <v>171</v>
      </c>
      <c r="AP10" s="2" t="s">
        <v>172</v>
      </c>
      <c r="AQ10" s="2" t="s">
        <v>172</v>
      </c>
      <c r="AR10" s="2" t="s">
        <v>175</v>
      </c>
      <c r="AS10" s="5" t="s">
        <v>176</v>
      </c>
      <c r="AT10" s="2" t="s">
        <v>176</v>
      </c>
      <c r="AU10" s="2" t="s">
        <v>181</v>
      </c>
      <c r="AV10" s="2" t="s">
        <v>187</v>
      </c>
      <c r="AW10" s="2" t="s">
        <v>189</v>
      </c>
      <c r="AX10" s="5" t="s">
        <v>190</v>
      </c>
      <c r="AY10" s="5" t="s">
        <v>190</v>
      </c>
      <c r="AZ10" s="5" t="s">
        <v>194</v>
      </c>
      <c r="BA10" s="5">
        <v>2023</v>
      </c>
      <c r="BB10" s="13"/>
      <c r="BC10" s="13" t="s">
        <v>196</v>
      </c>
      <c r="BD10" s="13" t="s">
        <v>196</v>
      </c>
      <c r="BE10" s="13" t="s">
        <v>196</v>
      </c>
      <c r="BF10" s="13" t="s">
        <v>196</v>
      </c>
      <c r="BG10" s="13" t="s">
        <v>196</v>
      </c>
      <c r="BH10" s="13" t="s">
        <v>196</v>
      </c>
      <c r="BI10" s="13" t="s">
        <v>196</v>
      </c>
      <c r="BJ10" s="13" t="s">
        <v>233</v>
      </c>
      <c r="BK10" s="13" t="s">
        <v>246</v>
      </c>
      <c r="BL10" s="13" t="s">
        <v>246</v>
      </c>
      <c r="BM10" s="13" t="s">
        <v>264</v>
      </c>
      <c r="BN10" s="13" t="s">
        <v>268</v>
      </c>
      <c r="BO10" s="13" t="s">
        <v>269</v>
      </c>
      <c r="BP10" s="13" t="s">
        <v>269</v>
      </c>
      <c r="BQ10" s="13" t="s">
        <v>273</v>
      </c>
      <c r="BR10" s="13" t="s">
        <v>277</v>
      </c>
      <c r="BS10" s="13" t="s">
        <v>171</v>
      </c>
      <c r="BT10" s="13" t="s">
        <v>283</v>
      </c>
      <c r="BU10" s="13" t="s">
        <v>283</v>
      </c>
      <c r="BV10" s="13" t="s">
        <v>282</v>
      </c>
      <c r="BW10" s="13" t="s">
        <v>287</v>
      </c>
      <c r="BX10" s="13" t="s">
        <v>287</v>
      </c>
      <c r="BY10" s="13" t="s">
        <v>289</v>
      </c>
      <c r="BZ10" s="13" t="s">
        <v>290</v>
      </c>
      <c r="CA10" s="13" t="s">
        <v>290</v>
      </c>
      <c r="CB10" s="13" t="s">
        <v>296</v>
      </c>
      <c r="CC10" s="13" t="s">
        <v>304</v>
      </c>
      <c r="CD10" s="13">
        <v>2024</v>
      </c>
      <c r="CE10" s="5"/>
      <c r="CF10" s="5"/>
      <c r="CG10" s="5"/>
      <c r="CH10" s="5">
        <v>1</v>
      </c>
      <c r="CI10" s="5">
        <v>2</v>
      </c>
      <c r="CJ10" s="5">
        <v>3</v>
      </c>
      <c r="CK10" s="5">
        <v>4</v>
      </c>
      <c r="CL10" s="5">
        <v>2025</v>
      </c>
      <c r="CM10" s="5"/>
      <c r="CN10" s="5"/>
      <c r="CO10" s="5"/>
      <c r="CP10" s="5">
        <v>1</v>
      </c>
      <c r="CQ10" s="5">
        <v>2</v>
      </c>
      <c r="CR10" s="5">
        <v>3</v>
      </c>
      <c r="CS10" s="5">
        <v>4</v>
      </c>
      <c r="CT10" s="5">
        <v>2026</v>
      </c>
    </row>
    <row r="11" spans="1:98" x14ac:dyDescent="0.25">
      <c r="A11">
        <v>1</v>
      </c>
      <c r="B11" s="10" t="s">
        <v>557</v>
      </c>
      <c r="C11" s="6"/>
      <c r="D11" s="6" t="s">
        <v>199</v>
      </c>
      <c r="E11" s="6" t="s">
        <v>572</v>
      </c>
      <c r="F11" s="6"/>
      <c r="G11" s="6"/>
      <c r="H11" s="6"/>
      <c r="I11" s="6"/>
      <c r="J11" s="6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6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6"/>
      <c r="CE11" s="6"/>
      <c r="CF11" s="10"/>
      <c r="CG11" s="10"/>
      <c r="CH11" s="10"/>
      <c r="CI11" s="10"/>
      <c r="CJ11" s="10"/>
      <c r="CK11" s="10"/>
      <c r="CL11" s="6"/>
      <c r="CM11" s="6"/>
      <c r="CN11" s="10"/>
      <c r="CO11" s="10">
        <v>64</v>
      </c>
      <c r="CP11" s="10">
        <v>120</v>
      </c>
      <c r="CQ11" s="10">
        <v>80</v>
      </c>
      <c r="CR11" s="6"/>
      <c r="CS11" s="6"/>
      <c r="CT11" s="6">
        <f>SUM(CM11:CS11)</f>
        <v>264</v>
      </c>
    </row>
    <row r="12" spans="1:98" x14ac:dyDescent="0.25">
      <c r="A12">
        <v>2</v>
      </c>
      <c r="B12" s="10" t="s">
        <v>603</v>
      </c>
      <c r="C12" s="6"/>
      <c r="D12" s="6" t="s">
        <v>30</v>
      </c>
      <c r="E12" s="6" t="s">
        <v>34</v>
      </c>
      <c r="F12" s="6"/>
      <c r="G12" s="6"/>
      <c r="H12" s="6"/>
      <c r="I12" s="6"/>
      <c r="J12" s="6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6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6"/>
      <c r="CE12" s="6"/>
      <c r="CF12" s="10"/>
      <c r="CG12" s="10"/>
      <c r="CH12" s="10"/>
      <c r="CI12" s="10"/>
      <c r="CJ12" s="10"/>
      <c r="CK12" s="10"/>
      <c r="CL12" s="6"/>
      <c r="CM12" s="6">
        <f>27/2</f>
        <v>13.5</v>
      </c>
      <c r="CN12" s="10">
        <v>36</v>
      </c>
      <c r="CO12" s="10">
        <v>3.2</v>
      </c>
      <c r="CP12" s="10">
        <v>84</v>
      </c>
      <c r="CQ12" s="10"/>
      <c r="CR12" s="6"/>
      <c r="CS12" s="6"/>
      <c r="CT12" s="6">
        <f>SUM(CM12:CS12)</f>
        <v>136.69999999999999</v>
      </c>
    </row>
    <row r="13" spans="1:98" x14ac:dyDescent="0.25">
      <c r="A13">
        <v>3</v>
      </c>
      <c r="B13" s="10" t="s">
        <v>495</v>
      </c>
      <c r="C13" s="6"/>
      <c r="D13" s="6" t="s">
        <v>70</v>
      </c>
      <c r="E13" s="6" t="s">
        <v>184</v>
      </c>
      <c r="F13" s="6"/>
      <c r="G13" s="6"/>
      <c r="H13" s="6"/>
      <c r="I13" s="6"/>
      <c r="J13" s="6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6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6"/>
      <c r="CE13" s="6"/>
      <c r="CF13" s="10"/>
      <c r="CG13" s="10"/>
      <c r="CH13" s="10"/>
      <c r="CI13" s="10"/>
      <c r="CJ13" s="10"/>
      <c r="CK13" s="10"/>
      <c r="CL13" s="6"/>
      <c r="CM13" s="6"/>
      <c r="CN13" s="10">
        <v>48</v>
      </c>
      <c r="CO13" s="10">
        <v>44.8</v>
      </c>
      <c r="CP13" s="10">
        <v>36</v>
      </c>
      <c r="CQ13" s="10"/>
      <c r="CR13" s="6"/>
      <c r="CS13" s="6"/>
      <c r="CT13" s="6">
        <f>SUM(CM13:CS13)</f>
        <v>128.80000000000001</v>
      </c>
    </row>
    <row r="14" spans="1:98" x14ac:dyDescent="0.25">
      <c r="A14" s="22">
        <v>4</v>
      </c>
      <c r="B14" s="10" t="s">
        <v>409</v>
      </c>
      <c r="C14" s="6"/>
      <c r="D14" s="6" t="s">
        <v>402</v>
      </c>
      <c r="E14" s="6" t="s">
        <v>470</v>
      </c>
      <c r="F14" s="6"/>
      <c r="G14" s="6"/>
      <c r="H14" s="6"/>
      <c r="I14" s="6"/>
      <c r="J14" s="6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6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6"/>
      <c r="CE14" s="6"/>
      <c r="CF14" s="10">
        <v>36</v>
      </c>
      <c r="CG14" s="10">
        <v>44.8</v>
      </c>
      <c r="CH14" s="10">
        <v>54</v>
      </c>
      <c r="CI14" s="10">
        <v>72</v>
      </c>
      <c r="CJ14" s="10"/>
      <c r="CK14" s="10"/>
      <c r="CL14" s="6">
        <f>SUM(CE14:CK14)</f>
        <v>206.8</v>
      </c>
      <c r="CM14" s="6">
        <f>(CL14-CE14)/2</f>
        <v>103.4</v>
      </c>
      <c r="CN14" s="10"/>
      <c r="CO14" s="10"/>
      <c r="CP14" s="10"/>
      <c r="CQ14" s="10"/>
      <c r="CR14" s="6"/>
      <c r="CS14" s="6"/>
      <c r="CT14" s="6">
        <f>SUM(CM14:CS14)</f>
        <v>103.4</v>
      </c>
    </row>
    <row r="15" spans="1:98" x14ac:dyDescent="0.25">
      <c r="A15">
        <v>5</v>
      </c>
      <c r="B15" s="10" t="s">
        <v>604</v>
      </c>
      <c r="C15" s="6"/>
      <c r="D15" s="6" t="s">
        <v>104</v>
      </c>
      <c r="E15" s="6" t="s">
        <v>35</v>
      </c>
      <c r="F15" s="6"/>
      <c r="G15" s="6"/>
      <c r="H15" s="6"/>
      <c r="I15" s="6"/>
      <c r="J15" s="6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6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6"/>
      <c r="CE15" s="6"/>
      <c r="CF15" s="10"/>
      <c r="CG15" s="10"/>
      <c r="CH15" s="10"/>
      <c r="CI15" s="10"/>
      <c r="CJ15" s="10"/>
      <c r="CK15" s="10"/>
      <c r="CL15" s="6"/>
      <c r="CM15" s="6"/>
      <c r="CN15" s="10"/>
      <c r="CO15" s="10">
        <v>64</v>
      </c>
      <c r="CP15" s="10"/>
      <c r="CQ15" s="10"/>
      <c r="CR15" s="6"/>
      <c r="CS15" s="6"/>
      <c r="CT15" s="6">
        <f>SUM(CM15:CS15)</f>
        <v>64</v>
      </c>
    </row>
    <row r="16" spans="1:98" x14ac:dyDescent="0.25">
      <c r="A16">
        <v>6</v>
      </c>
      <c r="B16" s="10" t="s">
        <v>134</v>
      </c>
      <c r="C16" s="6"/>
      <c r="D16" s="6" t="s">
        <v>357</v>
      </c>
      <c r="E16" s="6" t="s">
        <v>131</v>
      </c>
      <c r="F16" s="6"/>
      <c r="G16" s="6"/>
      <c r="H16" s="6"/>
      <c r="I16" s="6"/>
      <c r="J16" s="6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6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6"/>
      <c r="CE16" s="6"/>
      <c r="CF16" s="10"/>
      <c r="CG16" s="10"/>
      <c r="CH16" s="10"/>
      <c r="CI16" s="10"/>
      <c r="CJ16" s="10"/>
      <c r="CK16" s="10"/>
      <c r="CL16" s="6"/>
      <c r="CM16" s="6"/>
      <c r="CN16" s="10"/>
      <c r="CO16" s="10">
        <v>64</v>
      </c>
      <c r="CP16" s="10"/>
      <c r="CQ16" s="10"/>
      <c r="CR16" s="6"/>
      <c r="CS16" s="6"/>
      <c r="CT16" s="6">
        <f>SUM(CM16:CS16)</f>
        <v>64</v>
      </c>
    </row>
    <row r="17" spans="1:98" x14ac:dyDescent="0.25">
      <c r="A17">
        <v>7</v>
      </c>
      <c r="B17" s="10" t="s">
        <v>387</v>
      </c>
      <c r="C17" s="6"/>
      <c r="D17" s="6" t="s">
        <v>42</v>
      </c>
      <c r="E17" s="6" t="s">
        <v>22</v>
      </c>
      <c r="F17" s="6"/>
      <c r="G17" s="6"/>
      <c r="H17" s="6"/>
      <c r="I17" s="6"/>
      <c r="J17" s="6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6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6"/>
      <c r="CE17" s="6"/>
      <c r="CF17" s="10">
        <v>48</v>
      </c>
      <c r="CG17" s="10">
        <v>44.8</v>
      </c>
      <c r="CH17" s="10">
        <v>7.5</v>
      </c>
      <c r="CI17" s="10"/>
      <c r="CJ17" s="10"/>
      <c r="CK17" s="10"/>
      <c r="CL17" s="6">
        <f>SUM(CE17:CK17)</f>
        <v>100.3</v>
      </c>
      <c r="CM17" s="6">
        <f>(CL17-CE17)/2</f>
        <v>50.15</v>
      </c>
      <c r="CN17" s="10"/>
      <c r="CO17" s="10"/>
      <c r="CP17" s="10"/>
      <c r="CQ17" s="10"/>
      <c r="CR17" s="6"/>
      <c r="CS17" s="6"/>
      <c r="CT17" s="6">
        <f>SUM(CM17:CS17)</f>
        <v>50.15</v>
      </c>
    </row>
    <row r="18" spans="1:98" x14ac:dyDescent="0.25">
      <c r="A18">
        <v>8</v>
      </c>
      <c r="B18" s="10" t="s">
        <v>521</v>
      </c>
      <c r="C18" s="6"/>
      <c r="D18" s="6" t="s">
        <v>42</v>
      </c>
      <c r="E18" s="6" t="s">
        <v>173</v>
      </c>
      <c r="F18" s="6"/>
      <c r="G18" s="6"/>
      <c r="H18" s="6"/>
      <c r="I18" s="6"/>
      <c r="J18" s="6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6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6"/>
      <c r="CE18" s="6"/>
      <c r="CF18" s="10"/>
      <c r="CG18" s="10"/>
      <c r="CH18" s="10"/>
      <c r="CI18" s="10"/>
      <c r="CJ18" s="10"/>
      <c r="CK18" s="10"/>
      <c r="CL18" s="6"/>
      <c r="CM18" s="6"/>
      <c r="CN18" s="10">
        <v>36</v>
      </c>
      <c r="CO18" s="10">
        <v>3.2</v>
      </c>
      <c r="CP18" s="10">
        <v>6</v>
      </c>
      <c r="CQ18" s="10">
        <v>4</v>
      </c>
      <c r="CR18" s="6"/>
      <c r="CS18" s="6"/>
      <c r="CT18" s="6">
        <f>SUM(CM18:CS18)</f>
        <v>49.2</v>
      </c>
    </row>
    <row r="19" spans="1:98" x14ac:dyDescent="0.25">
      <c r="A19">
        <v>9</v>
      </c>
      <c r="B19" s="10" t="s">
        <v>639</v>
      </c>
      <c r="C19" s="6"/>
      <c r="D19" s="6" t="s">
        <v>218</v>
      </c>
      <c r="E19" s="6" t="s">
        <v>640</v>
      </c>
      <c r="F19" s="6"/>
      <c r="G19" s="6"/>
      <c r="H19" s="6"/>
      <c r="I19" s="6"/>
      <c r="J19" s="6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6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6"/>
      <c r="CE19" s="6"/>
      <c r="CF19" s="10"/>
      <c r="CG19" s="10"/>
      <c r="CH19" s="10"/>
      <c r="CI19" s="10"/>
      <c r="CJ19" s="10"/>
      <c r="CK19" s="10"/>
      <c r="CL19" s="6"/>
      <c r="CM19" s="6"/>
      <c r="CN19" s="10">
        <v>2.4</v>
      </c>
      <c r="CO19" s="10">
        <v>44.8</v>
      </c>
      <c r="CP19" s="10"/>
      <c r="CQ19" s="10"/>
      <c r="CR19" s="6"/>
      <c r="CS19" s="6"/>
      <c r="CT19" s="6">
        <f>SUM(CM19:CS19)</f>
        <v>47.199999999999996</v>
      </c>
    </row>
    <row r="20" spans="1:98" x14ac:dyDescent="0.25">
      <c r="A20">
        <v>10</v>
      </c>
      <c r="B20" s="10" t="s">
        <v>649</v>
      </c>
      <c r="C20" s="6"/>
      <c r="D20" s="6" t="s">
        <v>598</v>
      </c>
      <c r="E20" s="6" t="s">
        <v>77</v>
      </c>
      <c r="F20" s="6"/>
      <c r="G20" s="6"/>
      <c r="H20" s="6"/>
      <c r="I20" s="6"/>
      <c r="J20" s="6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6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6"/>
      <c r="CE20" s="6"/>
      <c r="CF20" s="10"/>
      <c r="CG20" s="10"/>
      <c r="CH20" s="10"/>
      <c r="CI20" s="10"/>
      <c r="CJ20" s="10"/>
      <c r="CK20" s="10"/>
      <c r="CL20" s="6"/>
      <c r="CM20" s="6"/>
      <c r="CN20" s="10">
        <v>36</v>
      </c>
      <c r="CO20" s="10"/>
      <c r="CP20" s="10"/>
      <c r="CQ20" s="10"/>
      <c r="CR20" s="6"/>
      <c r="CS20" s="6"/>
      <c r="CT20" s="6">
        <f>SUM(CM20:CS20)</f>
        <v>36</v>
      </c>
    </row>
    <row r="21" spans="1:98" x14ac:dyDescent="0.25">
      <c r="A21">
        <v>11</v>
      </c>
      <c r="B21" s="10" t="s">
        <v>510</v>
      </c>
      <c r="C21" s="6"/>
      <c r="D21" s="6" t="s">
        <v>49</v>
      </c>
      <c r="E21" s="6" t="s">
        <v>501</v>
      </c>
      <c r="F21" s="6"/>
      <c r="G21" s="6"/>
      <c r="H21" s="6"/>
      <c r="I21" s="6"/>
      <c r="J21" s="6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6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6"/>
      <c r="CE21" s="6"/>
      <c r="CF21" s="10"/>
      <c r="CG21" s="10"/>
      <c r="CH21" s="10"/>
      <c r="CI21" s="10"/>
      <c r="CJ21" s="10"/>
      <c r="CK21" s="10"/>
      <c r="CL21" s="6"/>
      <c r="CM21" s="6"/>
      <c r="CN21" s="10">
        <v>36</v>
      </c>
      <c r="CO21" s="10"/>
      <c r="CP21" s="10"/>
      <c r="CQ21" s="10"/>
      <c r="CR21" s="6"/>
      <c r="CS21" s="6"/>
      <c r="CT21" s="6">
        <f>SUM(CM21:CS21)</f>
        <v>36</v>
      </c>
    </row>
    <row r="22" spans="1:98" x14ac:dyDescent="0.25">
      <c r="A22">
        <v>12</v>
      </c>
      <c r="B22" s="10" t="s">
        <v>424</v>
      </c>
      <c r="C22" s="6"/>
      <c r="D22" s="6" t="s">
        <v>70</v>
      </c>
      <c r="E22" s="6" t="s">
        <v>425</v>
      </c>
      <c r="F22" s="6"/>
      <c r="G22" s="6"/>
      <c r="H22" s="6"/>
      <c r="I22" s="6"/>
      <c r="J22" s="6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6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6"/>
      <c r="CE22" s="6"/>
      <c r="CF22" s="10"/>
      <c r="CG22" s="10">
        <v>44.8</v>
      </c>
      <c r="CH22" s="10">
        <v>7.5</v>
      </c>
      <c r="CI22" s="10">
        <v>5</v>
      </c>
      <c r="CJ22" s="10"/>
      <c r="CK22" s="10"/>
      <c r="CL22" s="6">
        <f>SUM(CE22:CK22)</f>
        <v>57.3</v>
      </c>
      <c r="CM22" s="6">
        <f>(CL22-CE22)/2</f>
        <v>28.65</v>
      </c>
      <c r="CN22" s="10"/>
      <c r="CO22" s="10"/>
      <c r="CP22" s="10"/>
      <c r="CQ22" s="10"/>
      <c r="CR22" s="6"/>
      <c r="CS22" s="6"/>
      <c r="CT22" s="6">
        <f>SUM(CM22:CS22)</f>
        <v>28.65</v>
      </c>
    </row>
    <row r="23" spans="1:98" x14ac:dyDescent="0.25">
      <c r="A23">
        <v>13</v>
      </c>
      <c r="B23" s="10" t="s">
        <v>464</v>
      </c>
      <c r="C23" s="6"/>
      <c r="D23" s="6" t="s">
        <v>489</v>
      </c>
      <c r="E23" s="6" t="s">
        <v>285</v>
      </c>
      <c r="F23" s="6"/>
      <c r="G23" s="6"/>
      <c r="H23" s="6"/>
      <c r="I23" s="6"/>
      <c r="J23" s="6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6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6"/>
      <c r="CE23" s="6"/>
      <c r="CF23" s="10">
        <v>2.4</v>
      </c>
      <c r="CG23" s="10"/>
      <c r="CH23" s="10">
        <v>54</v>
      </c>
      <c r="CI23" s="10"/>
      <c r="CJ23" s="10"/>
      <c r="CK23" s="10"/>
      <c r="CL23" s="6">
        <f>SUM(CE23:CK23)</f>
        <v>56.4</v>
      </c>
      <c r="CM23" s="6">
        <f>(CL23-CE23)/2</f>
        <v>28.2</v>
      </c>
      <c r="CN23" s="10"/>
      <c r="CO23" s="10"/>
      <c r="CP23" s="10"/>
      <c r="CQ23" s="10"/>
      <c r="CR23" s="6"/>
      <c r="CS23" s="6"/>
      <c r="CT23" s="6">
        <f>SUM(CM23:CS23)</f>
        <v>28.2</v>
      </c>
    </row>
    <row r="24" spans="1:98" x14ac:dyDescent="0.25">
      <c r="A24">
        <v>14</v>
      </c>
      <c r="B24" s="10" t="s">
        <v>27</v>
      </c>
      <c r="C24" s="6"/>
      <c r="D24" s="6" t="s">
        <v>57</v>
      </c>
      <c r="E24" s="6" t="s">
        <v>23</v>
      </c>
      <c r="F24" s="6"/>
      <c r="G24" s="6"/>
      <c r="H24" s="6"/>
      <c r="I24" s="6"/>
      <c r="J24" s="6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6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6"/>
      <c r="CE24" s="6"/>
      <c r="CF24" s="10"/>
      <c r="CG24" s="10">
        <v>56</v>
      </c>
      <c r="CH24" s="10"/>
      <c r="CI24" s="10"/>
      <c r="CJ24" s="10"/>
      <c r="CK24" s="10"/>
      <c r="CL24" s="6">
        <f>SUM(CE24:CK24)</f>
        <v>56</v>
      </c>
      <c r="CM24" s="6">
        <f>(CL24-CE24)/2</f>
        <v>28</v>
      </c>
      <c r="CN24" s="10"/>
      <c r="CO24" s="10"/>
      <c r="CP24" s="10"/>
      <c r="CQ24" s="10"/>
      <c r="CR24" s="6"/>
      <c r="CS24" s="6"/>
      <c r="CT24" s="6">
        <f>SUM(CM24:CS24)</f>
        <v>28</v>
      </c>
    </row>
    <row r="25" spans="1:98" x14ac:dyDescent="0.25">
      <c r="A25">
        <v>15</v>
      </c>
      <c r="B25" s="10" t="s">
        <v>41</v>
      </c>
      <c r="C25" s="6" t="s">
        <v>200</v>
      </c>
      <c r="D25" s="6" t="s">
        <v>104</v>
      </c>
      <c r="E25" s="6" t="s">
        <v>84</v>
      </c>
      <c r="F25" s="6"/>
      <c r="G25" s="6"/>
      <c r="H25" s="6"/>
      <c r="I25" s="6"/>
      <c r="J25" s="6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6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6"/>
      <c r="BC25" s="6"/>
      <c r="BD25" s="6">
        <v>36</v>
      </c>
      <c r="BE25" s="6"/>
      <c r="BF25" s="6"/>
      <c r="BG25" s="6"/>
      <c r="BH25" s="6"/>
      <c r="BI25" s="6"/>
      <c r="BJ25" s="6"/>
      <c r="BK25" s="6"/>
      <c r="BL25" s="6"/>
      <c r="BM25" s="6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6">
        <f>SUM(BB25:CC25)</f>
        <v>36</v>
      </c>
      <c r="CE25" s="6">
        <f>(CD25-BB25)/2</f>
        <v>18</v>
      </c>
      <c r="CF25" s="10">
        <v>36</v>
      </c>
      <c r="CG25" s="10">
        <v>4</v>
      </c>
      <c r="CH25" s="10">
        <v>5</v>
      </c>
      <c r="CI25" s="10"/>
      <c r="CJ25" s="10"/>
      <c r="CK25" s="10"/>
      <c r="CL25" s="6">
        <f>SUM(CE25:CK25)</f>
        <v>63</v>
      </c>
      <c r="CM25" s="6">
        <f>(CL25-CE25)/2</f>
        <v>22.5</v>
      </c>
      <c r="CN25" s="10"/>
      <c r="CO25" s="10"/>
      <c r="CP25" s="10"/>
      <c r="CQ25" s="10"/>
      <c r="CR25" s="6"/>
      <c r="CS25" s="6"/>
      <c r="CT25" s="6">
        <f>SUM(CM25:CS25)</f>
        <v>22.5</v>
      </c>
    </row>
    <row r="26" spans="1:98" x14ac:dyDescent="0.25">
      <c r="A26">
        <v>16</v>
      </c>
      <c r="B26" s="10" t="s">
        <v>183</v>
      </c>
      <c r="C26" s="6"/>
      <c r="D26" s="6" t="s">
        <v>17</v>
      </c>
      <c r="E26" s="6" t="s">
        <v>184</v>
      </c>
      <c r="F26" s="6"/>
      <c r="G26" s="6"/>
      <c r="H26" s="6"/>
      <c r="I26" s="6"/>
      <c r="J26" s="6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6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6"/>
      <c r="CE26" s="6"/>
      <c r="CF26" s="10">
        <v>33.6</v>
      </c>
      <c r="CG26" s="10">
        <v>3.2</v>
      </c>
      <c r="CH26" s="10">
        <v>7.5</v>
      </c>
      <c r="CI26" s="10"/>
      <c r="CJ26" s="10"/>
      <c r="CK26" s="10"/>
      <c r="CL26" s="6">
        <f>SUM(CE26:CK26)</f>
        <v>44.300000000000004</v>
      </c>
      <c r="CM26" s="6">
        <f>(CL26-CE26)/2</f>
        <v>22.150000000000002</v>
      </c>
      <c r="CN26" s="10"/>
      <c r="CO26" s="10"/>
      <c r="CP26" s="10"/>
      <c r="CQ26" s="10"/>
      <c r="CR26" s="6"/>
      <c r="CS26" s="6"/>
      <c r="CT26" s="6">
        <f>SUM(CM26:CS26)</f>
        <v>22.150000000000002</v>
      </c>
    </row>
    <row r="27" spans="1:98" x14ac:dyDescent="0.25">
      <c r="A27">
        <v>17</v>
      </c>
      <c r="B27" s="10" t="s">
        <v>45</v>
      </c>
      <c r="C27" s="6"/>
      <c r="D27" s="6" t="s">
        <v>15</v>
      </c>
      <c r="E27" s="6" t="s">
        <v>173</v>
      </c>
      <c r="F27" s="6"/>
      <c r="G27" s="6"/>
      <c r="H27" s="6"/>
      <c r="I27" s="6"/>
      <c r="J27" s="6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6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6"/>
      <c r="CE27" s="6"/>
      <c r="CF27" s="10"/>
      <c r="CG27" s="10">
        <v>40</v>
      </c>
      <c r="CH27" s="10"/>
      <c r="CI27" s="10"/>
      <c r="CJ27" s="10"/>
      <c r="CK27" s="10"/>
      <c r="CL27" s="6">
        <f>SUM(CE27:CK27)</f>
        <v>40</v>
      </c>
      <c r="CM27" s="6">
        <f>(CL27-CE27)/2</f>
        <v>20</v>
      </c>
      <c r="CN27" s="10"/>
      <c r="CO27" s="10"/>
      <c r="CP27" s="10"/>
      <c r="CQ27" s="10"/>
      <c r="CR27" s="6"/>
      <c r="CS27" s="6"/>
      <c r="CT27" s="6">
        <f>SUM(CM27:CS27)</f>
        <v>20</v>
      </c>
    </row>
    <row r="28" spans="1:98" x14ac:dyDescent="0.25">
      <c r="A28">
        <v>18</v>
      </c>
      <c r="B28" s="10" t="s">
        <v>380</v>
      </c>
      <c r="C28" s="6"/>
      <c r="D28" s="6" t="s">
        <v>437</v>
      </c>
      <c r="E28" s="6" t="s">
        <v>477</v>
      </c>
      <c r="F28" s="6"/>
      <c r="G28" s="6"/>
      <c r="H28" s="6"/>
      <c r="I28" s="6"/>
      <c r="J28" s="6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6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6"/>
      <c r="CE28" s="6"/>
      <c r="CF28" s="10"/>
      <c r="CG28" s="10">
        <v>4</v>
      </c>
      <c r="CH28" s="10">
        <v>7.5</v>
      </c>
      <c r="CI28" s="10"/>
      <c r="CJ28" s="10"/>
      <c r="CK28" s="10"/>
      <c r="CL28" s="6">
        <f>SUM(CE28:CK28)</f>
        <v>11.5</v>
      </c>
      <c r="CM28" s="6">
        <f>(CL28-CE28)/2</f>
        <v>5.75</v>
      </c>
      <c r="CN28" s="10"/>
      <c r="CO28" s="10"/>
      <c r="CP28" s="10"/>
      <c r="CQ28" s="10"/>
      <c r="CR28" s="6"/>
      <c r="CS28" s="6"/>
      <c r="CT28" s="6">
        <f>SUM(CM28:CS28)</f>
        <v>5.75</v>
      </c>
    </row>
    <row r="29" spans="1:98" x14ac:dyDescent="0.25">
      <c r="A29">
        <v>19</v>
      </c>
      <c r="B29" s="10" t="s">
        <v>605</v>
      </c>
      <c r="C29" s="6"/>
      <c r="D29" s="6" t="s">
        <v>242</v>
      </c>
      <c r="E29" s="6" t="s">
        <v>95</v>
      </c>
      <c r="F29" s="6"/>
      <c r="G29" s="6"/>
      <c r="H29" s="6"/>
      <c r="I29" s="6"/>
      <c r="J29" s="6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6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6"/>
      <c r="CE29" s="6"/>
      <c r="CF29" s="10"/>
      <c r="CG29" s="10"/>
      <c r="CH29" s="10"/>
      <c r="CI29" s="10"/>
      <c r="CJ29" s="10"/>
      <c r="CK29" s="10"/>
      <c r="CL29" s="6"/>
      <c r="CM29" s="6"/>
      <c r="CN29" s="10"/>
      <c r="CO29" s="10">
        <v>3.2</v>
      </c>
      <c r="CP29" s="10"/>
      <c r="CQ29" s="10"/>
      <c r="CR29" s="6"/>
      <c r="CS29" s="6"/>
      <c r="CT29" s="6">
        <f>SUM(CM29:CS29)</f>
        <v>3.2</v>
      </c>
    </row>
    <row r="30" spans="1:98" x14ac:dyDescent="0.25">
      <c r="A30">
        <v>20</v>
      </c>
      <c r="B30" s="10" t="s">
        <v>387</v>
      </c>
      <c r="C30" s="6"/>
      <c r="D30" s="6" t="s">
        <v>42</v>
      </c>
      <c r="E30" s="6" t="s">
        <v>22</v>
      </c>
      <c r="F30" s="6"/>
      <c r="G30" s="6"/>
      <c r="H30" s="6"/>
      <c r="I30" s="6"/>
      <c r="J30" s="6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6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6"/>
      <c r="CE30" s="6"/>
      <c r="CF30" s="10"/>
      <c r="CG30" s="10">
        <v>4</v>
      </c>
      <c r="CH30" s="10"/>
      <c r="CI30" s="10"/>
      <c r="CJ30" s="10"/>
      <c r="CK30" s="10"/>
      <c r="CL30" s="6">
        <f>SUM(CE30:CK30)</f>
        <v>4</v>
      </c>
      <c r="CM30" s="6">
        <f>(CL30-CE30)/2</f>
        <v>2</v>
      </c>
      <c r="CN30" s="10"/>
      <c r="CO30" s="10"/>
      <c r="CP30" s="10"/>
      <c r="CQ30" s="10"/>
      <c r="CR30" s="6"/>
      <c r="CS30" s="6"/>
      <c r="CT30" s="6">
        <f>SUM(CM30:CS30)</f>
        <v>2</v>
      </c>
    </row>
    <row r="31" spans="1:98" x14ac:dyDescent="0.25">
      <c r="A31">
        <v>21</v>
      </c>
      <c r="B31" s="10" t="s">
        <v>29</v>
      </c>
      <c r="C31" s="6"/>
      <c r="D31" s="6" t="s">
        <v>70</v>
      </c>
      <c r="E31" s="6" t="s">
        <v>95</v>
      </c>
      <c r="F31" s="6"/>
      <c r="G31" s="6"/>
      <c r="H31" s="6"/>
      <c r="I31" s="6"/>
      <c r="J31" s="6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6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6"/>
      <c r="CE31" s="6"/>
      <c r="CF31" s="10">
        <v>2.4</v>
      </c>
      <c r="CG31" s="10"/>
      <c r="CH31" s="10"/>
      <c r="CI31" s="10"/>
      <c r="CJ31" s="10"/>
      <c r="CK31" s="10"/>
      <c r="CL31" s="6">
        <f>SUM(CE31:CK31)</f>
        <v>2.4</v>
      </c>
      <c r="CM31" s="6">
        <f>(CL31-CE31)/2</f>
        <v>1.2</v>
      </c>
      <c r="CN31" s="10"/>
      <c r="CO31" s="10"/>
      <c r="CP31" s="10"/>
      <c r="CQ31" s="10"/>
      <c r="CR31" s="6"/>
      <c r="CS31" s="6"/>
      <c r="CT31" s="6">
        <f>SUM(CM31:CS31)</f>
        <v>1.2</v>
      </c>
    </row>
    <row r="32" spans="1:98" x14ac:dyDescent="0.25">
      <c r="A32">
        <v>22</v>
      </c>
      <c r="B32" s="10" t="s">
        <v>378</v>
      </c>
      <c r="C32" s="6"/>
      <c r="D32" s="6" t="s">
        <v>379</v>
      </c>
      <c r="E32" s="6" t="s">
        <v>64</v>
      </c>
      <c r="F32" s="6"/>
      <c r="G32" s="6"/>
      <c r="H32" s="6"/>
      <c r="I32" s="6"/>
      <c r="J32" s="6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6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6"/>
      <c r="CE32" s="6"/>
      <c r="CF32" s="10">
        <v>2.4</v>
      </c>
      <c r="CG32" s="10"/>
      <c r="CH32" s="10"/>
      <c r="CI32" s="10"/>
      <c r="CJ32" s="10"/>
      <c r="CK32" s="10"/>
      <c r="CL32" s="6">
        <f>SUM(CE32:CK32)</f>
        <v>2.4</v>
      </c>
      <c r="CM32" s="6">
        <f>(CL32-CE32)/2</f>
        <v>1.2</v>
      </c>
      <c r="CN32" s="10"/>
      <c r="CO32" s="10"/>
      <c r="CP32" s="10"/>
      <c r="CQ32" s="10"/>
      <c r="CR32" s="6"/>
      <c r="CS32" s="6"/>
      <c r="CT32" s="6">
        <f>SUM(CM32:CS32)</f>
        <v>1.2</v>
      </c>
    </row>
  </sheetData>
  <sortState xmlns:xlrd2="http://schemas.microsoft.com/office/spreadsheetml/2017/richdata2" ref="B11:CT32">
    <sortCondition descending="1" ref="CT11:CT32"/>
  </sortState>
  <mergeCells count="5">
    <mergeCell ref="B8:C10"/>
    <mergeCell ref="CH9:CK9"/>
    <mergeCell ref="CP9:CS9"/>
    <mergeCell ref="D4:CT5"/>
    <mergeCell ref="B1:CT1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4A6C5-7A19-4980-B27D-210B6F5EF6C4}">
  <dimension ref="A1:CT18"/>
  <sheetViews>
    <sheetView zoomScale="80" zoomScaleNormal="80" workbookViewId="0">
      <selection activeCell="CS30" sqref="CS30"/>
    </sheetView>
  </sheetViews>
  <sheetFormatPr baseColWidth="10" defaultRowHeight="15" x14ac:dyDescent="0.25"/>
  <cols>
    <col min="1" max="1" width="3.85546875" customWidth="1"/>
    <col min="2" max="2" width="13" bestFit="1" customWidth="1"/>
    <col min="4" max="4" width="14.28515625" bestFit="1" customWidth="1"/>
    <col min="5" max="5" width="14.140625" bestFit="1" customWidth="1"/>
    <col min="6" max="89" width="0" hidden="1" customWidth="1"/>
    <col min="91" max="91" width="10" style="7" customWidth="1"/>
    <col min="92" max="92" width="8" style="7" customWidth="1"/>
    <col min="93" max="93" width="8.7109375" style="7" customWidth="1"/>
    <col min="94" max="94" width="7.7109375" style="7" customWidth="1"/>
    <col min="95" max="95" width="11.42578125" style="7"/>
    <col min="97" max="97" width="11.42578125" style="7"/>
  </cols>
  <sheetData>
    <row r="1" spans="1:98" ht="26.25" x14ac:dyDescent="0.4">
      <c r="B1" s="34" t="s">
        <v>3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</row>
    <row r="2" spans="1:98" ht="15.75" thickBot="1" x14ac:dyDescent="0.3">
      <c r="C2" s="7"/>
      <c r="D2" s="7"/>
      <c r="E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F2" s="7"/>
      <c r="CG2" s="7"/>
      <c r="CH2" s="7"/>
      <c r="CI2" s="7"/>
      <c r="CJ2" s="7"/>
      <c r="CK2" s="7"/>
    </row>
    <row r="3" spans="1:98" ht="15.75" thickTop="1" x14ac:dyDescent="0.25">
      <c r="B3" s="1" t="s">
        <v>0</v>
      </c>
      <c r="C3" s="4" t="s">
        <v>14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F3" s="7"/>
      <c r="CG3" s="7"/>
      <c r="CH3" s="7"/>
      <c r="CI3" s="7"/>
      <c r="CJ3" s="7"/>
      <c r="CK3" s="7"/>
    </row>
    <row r="4" spans="1:98" x14ac:dyDescent="0.25">
      <c r="B4" s="2" t="s">
        <v>1</v>
      </c>
      <c r="C4" s="5" t="s">
        <v>12</v>
      </c>
      <c r="D4" s="32" t="s">
        <v>492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</row>
    <row r="5" spans="1:98" ht="15.75" thickBot="1" x14ac:dyDescent="0.3">
      <c r="B5" s="3" t="s">
        <v>2</v>
      </c>
      <c r="C5" s="15">
        <v>-81</v>
      </c>
      <c r="D5" s="32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</row>
    <row r="6" spans="1:98" ht="15.75" thickTop="1" x14ac:dyDescent="0.25"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F6" s="7"/>
      <c r="CG6" s="7"/>
      <c r="CH6" s="7"/>
      <c r="CI6" s="7"/>
      <c r="CJ6" s="7"/>
      <c r="CK6" s="7"/>
    </row>
    <row r="7" spans="1:98" ht="15.75" thickBot="1" x14ac:dyDescent="0.3"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F7" s="7"/>
      <c r="CG7" s="7"/>
      <c r="CH7" s="7"/>
      <c r="CI7" s="7"/>
      <c r="CJ7" s="7"/>
      <c r="CK7" s="7"/>
    </row>
    <row r="8" spans="1:98" ht="15.75" thickTop="1" x14ac:dyDescent="0.25">
      <c r="B8" s="25" t="s">
        <v>9</v>
      </c>
      <c r="C8" s="26"/>
      <c r="D8" s="1"/>
      <c r="E8" s="1"/>
      <c r="F8" s="4" t="s">
        <v>10</v>
      </c>
      <c r="G8" s="4" t="s">
        <v>10</v>
      </c>
      <c r="H8" s="4" t="s">
        <v>10</v>
      </c>
      <c r="I8" s="4" t="s">
        <v>10</v>
      </c>
      <c r="J8" s="4" t="s">
        <v>53</v>
      </c>
      <c r="K8" s="4" t="s">
        <v>66</v>
      </c>
      <c r="L8" s="4" t="s">
        <v>85</v>
      </c>
      <c r="M8" s="4" t="s">
        <v>86</v>
      </c>
      <c r="N8" s="4" t="s">
        <v>92</v>
      </c>
      <c r="O8" s="4" t="s">
        <v>97</v>
      </c>
      <c r="P8" s="4" t="s">
        <v>10</v>
      </c>
      <c r="Q8" s="4" t="s">
        <v>10</v>
      </c>
      <c r="R8" s="4" t="s">
        <v>10</v>
      </c>
      <c r="S8" s="4" t="s">
        <v>10</v>
      </c>
      <c r="T8" s="4" t="s">
        <v>10</v>
      </c>
      <c r="U8" s="4" t="s">
        <v>107</v>
      </c>
      <c r="V8" s="4" t="s">
        <v>10</v>
      </c>
      <c r="W8" s="4" t="s">
        <v>112</v>
      </c>
      <c r="X8" s="4" t="s">
        <v>115</v>
      </c>
      <c r="Y8" s="1"/>
      <c r="Z8" s="12">
        <v>44927</v>
      </c>
      <c r="AA8" s="4" t="s">
        <v>10</v>
      </c>
      <c r="AB8" s="4" t="s">
        <v>10</v>
      </c>
      <c r="AC8" s="4" t="s">
        <v>10</v>
      </c>
      <c r="AD8" s="4" t="s">
        <v>115</v>
      </c>
      <c r="AE8" s="4" t="s">
        <v>10</v>
      </c>
      <c r="AF8" s="4" t="s">
        <v>10</v>
      </c>
      <c r="AG8" s="4" t="s">
        <v>10</v>
      </c>
      <c r="AH8" s="4" t="s">
        <v>151</v>
      </c>
      <c r="AI8" s="4" t="s">
        <v>151</v>
      </c>
      <c r="AJ8" s="4" t="s">
        <v>151</v>
      </c>
      <c r="AK8" s="4" t="s">
        <v>114</v>
      </c>
      <c r="AL8" s="4" t="s">
        <v>115</v>
      </c>
      <c r="AM8" s="4" t="s">
        <v>10</v>
      </c>
      <c r="AN8" s="4" t="s">
        <v>10</v>
      </c>
      <c r="AO8" s="4" t="s">
        <v>112</v>
      </c>
      <c r="AP8" s="4" t="s">
        <v>10</v>
      </c>
      <c r="AQ8" s="4" t="s">
        <v>10</v>
      </c>
      <c r="AR8" s="4" t="s">
        <v>10</v>
      </c>
      <c r="AS8" s="4" t="s">
        <v>10</v>
      </c>
      <c r="AT8" s="4" t="s">
        <v>10</v>
      </c>
      <c r="AU8" s="4" t="s">
        <v>115</v>
      </c>
      <c r="AV8" s="4" t="s">
        <v>10</v>
      </c>
      <c r="AW8" s="4" t="s">
        <v>10</v>
      </c>
      <c r="AX8" s="4" t="s">
        <v>10</v>
      </c>
      <c r="AY8" s="4" t="s">
        <v>10</v>
      </c>
      <c r="AZ8" s="4" t="s">
        <v>116</v>
      </c>
      <c r="BA8" s="4" t="s">
        <v>6</v>
      </c>
      <c r="BB8" s="12">
        <v>45292</v>
      </c>
      <c r="BC8" s="12" t="s">
        <v>10</v>
      </c>
      <c r="BD8" s="12" t="s">
        <v>10</v>
      </c>
      <c r="BE8" s="12" t="s">
        <v>10</v>
      </c>
      <c r="BF8" s="12" t="s">
        <v>10</v>
      </c>
      <c r="BG8" s="12" t="s">
        <v>10</v>
      </c>
      <c r="BH8" s="12" t="s">
        <v>10</v>
      </c>
      <c r="BI8" s="12" t="s">
        <v>10</v>
      </c>
      <c r="BJ8" s="12" t="s">
        <v>10</v>
      </c>
      <c r="BK8" s="12" t="s">
        <v>10</v>
      </c>
      <c r="BL8" s="12" t="s">
        <v>10</v>
      </c>
      <c r="BM8" s="12" t="s">
        <v>115</v>
      </c>
      <c r="BN8" s="12" t="s">
        <v>115</v>
      </c>
      <c r="BO8" s="12" t="s">
        <v>151</v>
      </c>
      <c r="BP8" s="12" t="s">
        <v>151</v>
      </c>
      <c r="BQ8" s="12" t="s">
        <v>151</v>
      </c>
      <c r="BR8" s="12" t="s">
        <v>115</v>
      </c>
      <c r="BS8" s="12" t="s">
        <v>10</v>
      </c>
      <c r="BT8" s="12" t="s">
        <v>10</v>
      </c>
      <c r="BU8" s="12" t="s">
        <v>10</v>
      </c>
      <c r="BV8" s="12" t="s">
        <v>10</v>
      </c>
      <c r="BW8" s="12" t="s">
        <v>10</v>
      </c>
      <c r="BX8" s="12" t="s">
        <v>10</v>
      </c>
      <c r="BY8" s="12" t="s">
        <v>10</v>
      </c>
      <c r="BZ8" s="12" t="s">
        <v>10</v>
      </c>
      <c r="CA8" s="12" t="s">
        <v>10</v>
      </c>
      <c r="CB8" s="12" t="s">
        <v>115</v>
      </c>
      <c r="CC8" s="12" t="s">
        <v>116</v>
      </c>
      <c r="CD8" s="12" t="s">
        <v>6</v>
      </c>
      <c r="CE8" s="12">
        <v>45658</v>
      </c>
      <c r="CF8" s="12"/>
      <c r="CG8" s="12"/>
      <c r="CH8" s="17"/>
      <c r="CI8" s="18"/>
      <c r="CJ8" s="18"/>
      <c r="CK8" s="19"/>
      <c r="CL8" s="12" t="s">
        <v>6</v>
      </c>
      <c r="CM8" s="12">
        <v>46023</v>
      </c>
      <c r="CN8" s="12"/>
      <c r="CO8" s="12"/>
      <c r="CP8" s="17"/>
      <c r="CQ8" s="18"/>
      <c r="CR8" s="20"/>
      <c r="CS8" s="19"/>
      <c r="CT8" s="12" t="s">
        <v>6</v>
      </c>
    </row>
    <row r="9" spans="1:98" x14ac:dyDescent="0.25">
      <c r="B9" s="27"/>
      <c r="C9" s="28"/>
      <c r="D9" s="2"/>
      <c r="E9" s="2"/>
      <c r="F9" s="8" t="s">
        <v>11</v>
      </c>
      <c r="G9" s="8" t="s">
        <v>32</v>
      </c>
      <c r="H9" s="5" t="s">
        <v>19</v>
      </c>
      <c r="I9" s="5" t="s">
        <v>43</v>
      </c>
      <c r="J9" s="8" t="s">
        <v>54</v>
      </c>
      <c r="K9" s="8" t="s">
        <v>67</v>
      </c>
      <c r="L9" s="8" t="s">
        <v>83</v>
      </c>
      <c r="M9" s="8" t="s">
        <v>87</v>
      </c>
      <c r="N9" s="8" t="s">
        <v>93</v>
      </c>
      <c r="O9" s="8" t="s">
        <v>54</v>
      </c>
      <c r="P9" s="8" t="s">
        <v>32</v>
      </c>
      <c r="Q9" s="8" t="s">
        <v>19</v>
      </c>
      <c r="R9" s="8" t="s">
        <v>81</v>
      </c>
      <c r="S9" s="8" t="s">
        <v>106</v>
      </c>
      <c r="T9" s="8" t="s">
        <v>102</v>
      </c>
      <c r="U9" s="8" t="s">
        <v>108</v>
      </c>
      <c r="V9" s="8" t="s">
        <v>102</v>
      </c>
      <c r="W9" s="8" t="s">
        <v>113</v>
      </c>
      <c r="X9" s="8" t="s">
        <v>116</v>
      </c>
      <c r="Y9" s="2" t="s">
        <v>6</v>
      </c>
      <c r="Z9" s="5"/>
      <c r="AA9" s="8" t="s">
        <v>11</v>
      </c>
      <c r="AB9" s="5" t="s">
        <v>99</v>
      </c>
      <c r="AC9" s="8" t="s">
        <v>19</v>
      </c>
      <c r="AD9" s="8" t="s">
        <v>85</v>
      </c>
      <c r="AE9" s="8" t="s">
        <v>81</v>
      </c>
      <c r="AF9" s="8" t="s">
        <v>102</v>
      </c>
      <c r="AG9" s="8" t="s">
        <v>43</v>
      </c>
      <c r="AH9" s="8" t="s">
        <v>86</v>
      </c>
      <c r="AI9" s="8" t="s">
        <v>92</v>
      </c>
      <c r="AJ9" s="8" t="s">
        <v>85</v>
      </c>
      <c r="AK9" s="8" t="s">
        <v>159</v>
      </c>
      <c r="AL9" s="8" t="s">
        <v>86</v>
      </c>
      <c r="AM9" s="8" t="s">
        <v>167</v>
      </c>
      <c r="AN9" s="8" t="s">
        <v>32</v>
      </c>
      <c r="AO9" s="8" t="s">
        <v>170</v>
      </c>
      <c r="AP9" s="8" t="s">
        <v>102</v>
      </c>
      <c r="AQ9" s="8" t="s">
        <v>81</v>
      </c>
      <c r="AR9" s="8" t="s">
        <v>19</v>
      </c>
      <c r="AS9" s="8" t="s">
        <v>177</v>
      </c>
      <c r="AT9" s="8" t="s">
        <v>99</v>
      </c>
      <c r="AU9" s="8" t="s">
        <v>92</v>
      </c>
      <c r="AV9" s="8" t="s">
        <v>76</v>
      </c>
      <c r="AW9" s="8" t="s">
        <v>188</v>
      </c>
      <c r="AX9" s="8" t="s">
        <v>11</v>
      </c>
      <c r="AY9" s="8" t="s">
        <v>192</v>
      </c>
      <c r="AZ9" s="8"/>
      <c r="BA9" s="5"/>
      <c r="BB9" s="5"/>
      <c r="BC9" s="5" t="s">
        <v>81</v>
      </c>
      <c r="BD9" s="5" t="s">
        <v>167</v>
      </c>
      <c r="BE9" s="5" t="s">
        <v>11</v>
      </c>
      <c r="BF9" s="5" t="s">
        <v>76</v>
      </c>
      <c r="BG9" s="5" t="s">
        <v>99</v>
      </c>
      <c r="BH9" s="5" t="s">
        <v>195</v>
      </c>
      <c r="BI9" s="5" t="s">
        <v>192</v>
      </c>
      <c r="BJ9" s="5" t="s">
        <v>19</v>
      </c>
      <c r="BK9" s="5" t="s">
        <v>32</v>
      </c>
      <c r="BL9" s="5" t="s">
        <v>43</v>
      </c>
      <c r="BM9" s="5" t="s">
        <v>86</v>
      </c>
      <c r="BN9" s="5" t="s">
        <v>267</v>
      </c>
      <c r="BO9" s="5" t="s">
        <v>86</v>
      </c>
      <c r="BP9" s="5" t="s">
        <v>85</v>
      </c>
      <c r="BQ9" s="5" t="s">
        <v>92</v>
      </c>
      <c r="BR9" s="5" t="s">
        <v>85</v>
      </c>
      <c r="BS9" s="5" t="s">
        <v>81</v>
      </c>
      <c r="BT9" s="5" t="s">
        <v>19</v>
      </c>
      <c r="BU9" s="5" t="s">
        <v>195</v>
      </c>
      <c r="BV9" s="5" t="s">
        <v>167</v>
      </c>
      <c r="BW9" s="5" t="s">
        <v>32</v>
      </c>
      <c r="BX9" s="5" t="s">
        <v>192</v>
      </c>
      <c r="BY9" s="5" t="s">
        <v>11</v>
      </c>
      <c r="BZ9" s="5" t="s">
        <v>43</v>
      </c>
      <c r="CA9" s="5" t="s">
        <v>76</v>
      </c>
      <c r="CB9" s="5" t="s">
        <v>92</v>
      </c>
      <c r="CC9" s="5" t="s">
        <v>303</v>
      </c>
      <c r="CD9" s="5"/>
      <c r="CE9" s="5"/>
      <c r="CF9" s="8" t="s">
        <v>10</v>
      </c>
      <c r="CG9" s="8" t="s">
        <v>151</v>
      </c>
      <c r="CH9" s="29" t="s">
        <v>305</v>
      </c>
      <c r="CI9" s="30"/>
      <c r="CJ9" s="30"/>
      <c r="CK9" s="31"/>
      <c r="CL9" s="5"/>
      <c r="CM9" s="5"/>
      <c r="CN9" s="8" t="s">
        <v>10</v>
      </c>
      <c r="CO9" s="8" t="s">
        <v>151</v>
      </c>
      <c r="CP9" s="29" t="s">
        <v>305</v>
      </c>
      <c r="CQ9" s="30"/>
      <c r="CR9" s="30"/>
      <c r="CS9" s="31"/>
      <c r="CT9" s="5"/>
    </row>
    <row r="10" spans="1:98" x14ac:dyDescent="0.25">
      <c r="B10" s="27"/>
      <c r="C10" s="28"/>
      <c r="D10" s="2" t="s">
        <v>4</v>
      </c>
      <c r="E10" s="2" t="s">
        <v>5</v>
      </c>
      <c r="F10" s="9">
        <v>44653</v>
      </c>
      <c r="G10" s="9">
        <v>44653</v>
      </c>
      <c r="H10" s="9">
        <v>44660</v>
      </c>
      <c r="I10" s="9">
        <v>44674</v>
      </c>
      <c r="J10" s="9">
        <v>44681</v>
      </c>
      <c r="K10" s="9">
        <v>44696</v>
      </c>
      <c r="L10" s="9">
        <v>44730</v>
      </c>
      <c r="M10" s="9">
        <v>44730</v>
      </c>
      <c r="N10" s="9">
        <v>44737</v>
      </c>
      <c r="O10" s="9">
        <v>44759</v>
      </c>
      <c r="P10" s="9">
        <v>44779</v>
      </c>
      <c r="Q10" s="9">
        <v>44793</v>
      </c>
      <c r="R10" s="9">
        <v>44800</v>
      </c>
      <c r="S10" s="9">
        <v>44807</v>
      </c>
      <c r="T10" s="9">
        <v>44814</v>
      </c>
      <c r="U10" s="9">
        <v>44828</v>
      </c>
      <c r="V10" s="9">
        <v>44856</v>
      </c>
      <c r="W10" s="9">
        <v>44869</v>
      </c>
      <c r="X10" s="9">
        <v>44905</v>
      </c>
      <c r="Y10" s="2">
        <v>2022</v>
      </c>
      <c r="Z10" s="5"/>
      <c r="AA10" s="2" t="s">
        <v>118</v>
      </c>
      <c r="AB10" s="5" t="s">
        <v>124</v>
      </c>
      <c r="AC10" s="2" t="s">
        <v>127</v>
      </c>
      <c r="AD10" s="2" t="s">
        <v>129</v>
      </c>
      <c r="AE10" s="2" t="s">
        <v>146</v>
      </c>
      <c r="AF10" s="2" t="s">
        <v>145</v>
      </c>
      <c r="AG10" s="2" t="s">
        <v>148</v>
      </c>
      <c r="AH10" s="2" t="s">
        <v>152</v>
      </c>
      <c r="AI10" s="2" t="s">
        <v>156</v>
      </c>
      <c r="AJ10" s="2" t="s">
        <v>158</v>
      </c>
      <c r="AK10" s="2" t="s">
        <v>160</v>
      </c>
      <c r="AL10" s="2" t="s">
        <v>164</v>
      </c>
      <c r="AM10" s="2" t="s">
        <v>168</v>
      </c>
      <c r="AN10" s="2" t="s">
        <v>169</v>
      </c>
      <c r="AO10" s="2" t="s">
        <v>171</v>
      </c>
      <c r="AP10" s="2" t="s">
        <v>172</v>
      </c>
      <c r="AQ10" s="2" t="s">
        <v>172</v>
      </c>
      <c r="AR10" s="2" t="s">
        <v>175</v>
      </c>
      <c r="AS10" s="5" t="s">
        <v>176</v>
      </c>
      <c r="AT10" s="2" t="s">
        <v>176</v>
      </c>
      <c r="AU10" s="2" t="s">
        <v>181</v>
      </c>
      <c r="AV10" s="2" t="s">
        <v>187</v>
      </c>
      <c r="AW10" s="2" t="s">
        <v>189</v>
      </c>
      <c r="AX10" s="5" t="s">
        <v>190</v>
      </c>
      <c r="AY10" s="5" t="s">
        <v>190</v>
      </c>
      <c r="AZ10" s="5" t="s">
        <v>194</v>
      </c>
      <c r="BA10" s="5">
        <v>2023</v>
      </c>
      <c r="BB10" s="5"/>
      <c r="BC10" s="5" t="s">
        <v>196</v>
      </c>
      <c r="BD10" s="5" t="s">
        <v>196</v>
      </c>
      <c r="BE10" s="5" t="s">
        <v>196</v>
      </c>
      <c r="BF10" s="5" t="s">
        <v>196</v>
      </c>
      <c r="BG10" s="5" t="s">
        <v>196</v>
      </c>
      <c r="BH10" s="5" t="s">
        <v>196</v>
      </c>
      <c r="BI10" s="5" t="s">
        <v>196</v>
      </c>
      <c r="BJ10" s="5" t="s">
        <v>233</v>
      </c>
      <c r="BK10" s="5" t="s">
        <v>246</v>
      </c>
      <c r="BL10" s="5" t="s">
        <v>246</v>
      </c>
      <c r="BM10" s="5" t="s">
        <v>264</v>
      </c>
      <c r="BN10" s="5" t="s">
        <v>268</v>
      </c>
      <c r="BO10" s="5" t="s">
        <v>269</v>
      </c>
      <c r="BP10" s="5" t="s">
        <v>269</v>
      </c>
      <c r="BQ10" s="5" t="s">
        <v>273</v>
      </c>
      <c r="BR10" s="5" t="s">
        <v>277</v>
      </c>
      <c r="BS10" s="5" t="s">
        <v>171</v>
      </c>
      <c r="BT10" s="5" t="s">
        <v>283</v>
      </c>
      <c r="BU10" s="5" t="s">
        <v>283</v>
      </c>
      <c r="BV10" s="5" t="s">
        <v>282</v>
      </c>
      <c r="BW10" s="5" t="s">
        <v>287</v>
      </c>
      <c r="BX10" s="5" t="s">
        <v>287</v>
      </c>
      <c r="BY10" s="5" t="s">
        <v>289</v>
      </c>
      <c r="BZ10" s="5" t="s">
        <v>290</v>
      </c>
      <c r="CA10" s="5" t="s">
        <v>290</v>
      </c>
      <c r="CB10" s="5" t="s">
        <v>296</v>
      </c>
      <c r="CC10" s="5" t="s">
        <v>304</v>
      </c>
      <c r="CD10" s="5">
        <v>2024</v>
      </c>
      <c r="CE10" s="5"/>
      <c r="CF10" s="5"/>
      <c r="CG10" s="5"/>
      <c r="CH10" s="5">
        <v>1</v>
      </c>
      <c r="CI10" s="5">
        <v>2</v>
      </c>
      <c r="CJ10" s="5">
        <v>3</v>
      </c>
      <c r="CK10" s="5">
        <v>4</v>
      </c>
      <c r="CL10" s="5">
        <v>2025</v>
      </c>
      <c r="CM10" s="5"/>
      <c r="CN10" s="5"/>
      <c r="CO10" s="5"/>
      <c r="CP10" s="5">
        <v>1</v>
      </c>
      <c r="CQ10" s="5">
        <v>2</v>
      </c>
      <c r="CR10" s="5">
        <v>3</v>
      </c>
      <c r="CS10" s="5">
        <v>4</v>
      </c>
      <c r="CT10" s="5">
        <v>2026</v>
      </c>
    </row>
    <row r="11" spans="1:98" x14ac:dyDescent="0.25">
      <c r="A11">
        <v>1</v>
      </c>
      <c r="B11" s="6" t="s">
        <v>478</v>
      </c>
      <c r="C11" s="6"/>
      <c r="D11" s="6" t="s">
        <v>437</v>
      </c>
      <c r="E11" s="6" t="s">
        <v>137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10"/>
      <c r="CN11" s="10">
        <v>48</v>
      </c>
      <c r="CO11" s="10">
        <v>48</v>
      </c>
      <c r="CP11" s="10">
        <v>105</v>
      </c>
      <c r="CQ11" s="10">
        <v>36</v>
      </c>
      <c r="CR11" s="6"/>
      <c r="CS11" s="10">
        <v>80</v>
      </c>
      <c r="CT11" s="6">
        <f t="shared" ref="CT11:CT18" si="0">SUM(CM11:CS11)</f>
        <v>317</v>
      </c>
    </row>
    <row r="12" spans="1:98" x14ac:dyDescent="0.25">
      <c r="A12">
        <v>2</v>
      </c>
      <c r="B12" s="6" t="s">
        <v>604</v>
      </c>
      <c r="C12" s="6"/>
      <c r="D12" s="6" t="s">
        <v>104</v>
      </c>
      <c r="E12" s="6" t="s">
        <v>35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10"/>
      <c r="CN12" s="10">
        <v>48</v>
      </c>
      <c r="CO12" s="10"/>
      <c r="CP12" s="10">
        <v>150</v>
      </c>
      <c r="CQ12" s="10"/>
      <c r="CR12" s="6"/>
      <c r="CS12" s="10"/>
      <c r="CT12" s="6">
        <f t="shared" si="0"/>
        <v>198</v>
      </c>
    </row>
    <row r="13" spans="1:98" x14ac:dyDescent="0.25">
      <c r="A13">
        <v>3</v>
      </c>
      <c r="B13" s="6" t="s">
        <v>134</v>
      </c>
      <c r="C13" s="6"/>
      <c r="D13" s="6" t="s">
        <v>357</v>
      </c>
      <c r="E13" s="6" t="s">
        <v>131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10"/>
      <c r="CN13" s="10">
        <v>36</v>
      </c>
      <c r="CO13" s="10"/>
      <c r="CP13" s="10">
        <v>75</v>
      </c>
      <c r="CQ13" s="10">
        <v>36</v>
      </c>
      <c r="CR13" s="6"/>
      <c r="CS13" s="10"/>
      <c r="CT13" s="6">
        <f t="shared" si="0"/>
        <v>147</v>
      </c>
    </row>
    <row r="14" spans="1:98" x14ac:dyDescent="0.25">
      <c r="A14" s="22">
        <v>4</v>
      </c>
      <c r="B14" s="6" t="s">
        <v>40</v>
      </c>
      <c r="C14" s="6"/>
      <c r="D14" s="6" t="s">
        <v>135</v>
      </c>
      <c r="E14" s="6" t="s">
        <v>69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10">
        <f>154.9/2</f>
        <v>77.45</v>
      </c>
      <c r="CN14" s="10"/>
      <c r="CO14" s="10"/>
      <c r="CP14" s="10"/>
      <c r="CQ14" s="10"/>
      <c r="CR14" s="6"/>
      <c r="CS14" s="10"/>
      <c r="CT14" s="6">
        <f t="shared" si="0"/>
        <v>77.45</v>
      </c>
    </row>
    <row r="15" spans="1:98" x14ac:dyDescent="0.25">
      <c r="A15">
        <v>5</v>
      </c>
      <c r="B15" s="6" t="s">
        <v>288</v>
      </c>
      <c r="C15" s="6"/>
      <c r="D15" s="6" t="s">
        <v>49</v>
      </c>
      <c r="E15" s="6" t="s">
        <v>633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10"/>
      <c r="CN15" s="10"/>
      <c r="CO15" s="10">
        <v>48</v>
      </c>
      <c r="CP15" s="10"/>
      <c r="CQ15" s="10"/>
      <c r="CR15" s="6"/>
      <c r="CS15" s="10"/>
      <c r="CT15" s="6">
        <f t="shared" si="0"/>
        <v>48</v>
      </c>
    </row>
    <row r="16" spans="1:98" x14ac:dyDescent="0.25">
      <c r="A16">
        <v>6</v>
      </c>
      <c r="B16" s="6" t="s">
        <v>495</v>
      </c>
      <c r="C16" s="6"/>
      <c r="D16" s="6" t="s">
        <v>70</v>
      </c>
      <c r="E16" s="6" t="s">
        <v>184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10"/>
      <c r="CN16" s="10"/>
      <c r="CO16" s="10"/>
      <c r="CP16" s="10">
        <v>7.5</v>
      </c>
      <c r="CQ16" s="10"/>
      <c r="CR16" s="6"/>
      <c r="CS16" s="10"/>
      <c r="CT16" s="6">
        <f t="shared" si="0"/>
        <v>7.5</v>
      </c>
    </row>
    <row r="17" spans="1:98" x14ac:dyDescent="0.25">
      <c r="A17">
        <v>7</v>
      </c>
      <c r="B17" s="10" t="s">
        <v>503</v>
      </c>
      <c r="C17" s="6"/>
      <c r="D17" s="6" t="s">
        <v>342</v>
      </c>
      <c r="E17" s="6" t="s">
        <v>136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10"/>
      <c r="CN17" s="10">
        <v>2.4</v>
      </c>
      <c r="CO17" s="10"/>
      <c r="CP17" s="10">
        <v>4</v>
      </c>
      <c r="CQ17" s="10"/>
      <c r="CR17" s="6"/>
      <c r="CS17" s="10"/>
      <c r="CT17" s="6">
        <f t="shared" si="0"/>
        <v>6.4</v>
      </c>
    </row>
    <row r="18" spans="1:98" x14ac:dyDescent="0.25">
      <c r="A18">
        <v>8</v>
      </c>
      <c r="B18" s="6" t="s">
        <v>605</v>
      </c>
      <c r="C18" s="6"/>
      <c r="D18" s="6" t="s">
        <v>242</v>
      </c>
      <c r="E18" s="6" t="s">
        <v>95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10"/>
      <c r="CN18" s="10">
        <v>2.4</v>
      </c>
      <c r="CO18" s="10"/>
      <c r="CP18" s="10"/>
      <c r="CQ18" s="10"/>
      <c r="CR18" s="6"/>
      <c r="CS18" s="10"/>
      <c r="CT18" s="6">
        <f t="shared" si="0"/>
        <v>2.4</v>
      </c>
    </row>
  </sheetData>
  <sortState xmlns:xlrd2="http://schemas.microsoft.com/office/spreadsheetml/2017/richdata2" ref="B11:CT18">
    <sortCondition descending="1" ref="CT11:CT18"/>
  </sortState>
  <mergeCells count="5">
    <mergeCell ref="B1:CT1"/>
    <mergeCell ref="D4:CT5"/>
    <mergeCell ref="B8:C10"/>
    <mergeCell ref="CH9:CK9"/>
    <mergeCell ref="CP9:CS9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W33"/>
  <sheetViews>
    <sheetView zoomScale="80" zoomScaleNormal="80" workbookViewId="0">
      <selection activeCell="CZ19" sqref="CZ19"/>
    </sheetView>
  </sheetViews>
  <sheetFormatPr baseColWidth="10" defaultRowHeight="15" x14ac:dyDescent="0.25"/>
  <cols>
    <col min="1" max="1" width="3.140625" bestFit="1" customWidth="1"/>
    <col min="2" max="2" width="13" bestFit="1" customWidth="1"/>
    <col min="3" max="3" width="13.7109375" bestFit="1" customWidth="1"/>
    <col min="4" max="4" width="13.28515625" bestFit="1" customWidth="1"/>
    <col min="5" max="5" width="21.85546875" bestFit="1" customWidth="1"/>
    <col min="6" max="10" width="6.42578125" hidden="1" customWidth="1"/>
    <col min="11" max="11" width="7.28515625" hidden="1" customWidth="1"/>
    <col min="12" max="15" width="7.28515625" style="7" hidden="1" customWidth="1"/>
    <col min="16" max="20" width="6.28515625" style="7" hidden="1" customWidth="1"/>
    <col min="21" max="24" width="7" style="7" hidden="1" customWidth="1"/>
    <col min="25" max="27" width="6" style="7" hidden="1" customWidth="1"/>
    <col min="28" max="29" width="6.5703125" style="7" hidden="1" customWidth="1"/>
    <col min="30" max="30" width="0" hidden="1" customWidth="1"/>
    <col min="31" max="31" width="0" style="7" hidden="1" customWidth="1"/>
    <col min="32" max="32" width="6" style="7" hidden="1" customWidth="1"/>
    <col min="33" max="47" width="6" hidden="1" customWidth="1"/>
    <col min="48" max="48" width="10.5703125" hidden="1" customWidth="1"/>
    <col min="49" max="53" width="6" hidden="1" customWidth="1"/>
    <col min="54" max="54" width="6" style="7" hidden="1" customWidth="1"/>
    <col min="55" max="55" width="6.28515625" hidden="1" customWidth="1"/>
    <col min="56" max="56" width="0" hidden="1" customWidth="1"/>
    <col min="57" max="64" width="6" hidden="1" customWidth="1"/>
    <col min="65" max="73" width="6" style="7" hidden="1" customWidth="1"/>
    <col min="74" max="74" width="10.85546875" style="7" hidden="1" customWidth="1"/>
    <col min="75" max="82" width="6.140625" style="7" hidden="1" customWidth="1"/>
    <col min="83" max="84" width="0" hidden="1" customWidth="1"/>
    <col min="85" max="85" width="7.42578125" style="7" hidden="1" customWidth="1"/>
    <col min="86" max="86" width="7" style="7" hidden="1" customWidth="1"/>
    <col min="87" max="87" width="7.140625" style="7" hidden="1" customWidth="1"/>
    <col min="88" max="88" width="9" style="7" hidden="1" customWidth="1"/>
    <col min="89" max="89" width="8.28515625" style="7" hidden="1" customWidth="1"/>
    <col min="90" max="90" width="7.5703125" style="7" hidden="1" customWidth="1"/>
    <col min="93" max="93" width="7.85546875" style="7" customWidth="1"/>
    <col min="94" max="94" width="8.85546875" style="7" customWidth="1"/>
    <col min="95" max="95" width="8.140625" style="7" customWidth="1"/>
  </cols>
  <sheetData>
    <row r="1" spans="1:101" ht="26.25" x14ac:dyDescent="0.4">
      <c r="B1" s="34" t="s">
        <v>3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  <c r="CU1" s="34"/>
    </row>
    <row r="2" spans="1:101" ht="15.75" thickBot="1" x14ac:dyDescent="0.3">
      <c r="C2" s="7"/>
      <c r="D2" s="7"/>
      <c r="E2" s="7"/>
    </row>
    <row r="3" spans="1:101" ht="15.75" thickTop="1" x14ac:dyDescent="0.25">
      <c r="B3" s="1" t="s">
        <v>0</v>
      </c>
      <c r="C3" s="4" t="s">
        <v>14</v>
      </c>
    </row>
    <row r="4" spans="1:101" ht="14.65" customHeight="1" x14ac:dyDescent="0.25">
      <c r="B4" s="2" t="s">
        <v>1</v>
      </c>
      <c r="C4" s="5" t="s">
        <v>12</v>
      </c>
      <c r="D4" s="32" t="s">
        <v>492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</row>
    <row r="5" spans="1:101" ht="15" customHeight="1" thickBot="1" x14ac:dyDescent="0.3">
      <c r="B5" s="3" t="s">
        <v>2</v>
      </c>
      <c r="C5" s="15" t="s">
        <v>494</v>
      </c>
      <c r="D5" s="32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</row>
    <row r="6" spans="1:101" ht="15.75" thickTop="1" x14ac:dyDescent="0.25"/>
    <row r="7" spans="1:101" ht="15.75" thickBot="1" x14ac:dyDescent="0.3"/>
    <row r="8" spans="1:101" ht="15.75" thickTop="1" x14ac:dyDescent="0.25">
      <c r="B8" s="25" t="s">
        <v>9</v>
      </c>
      <c r="C8" s="26"/>
      <c r="D8" s="1"/>
      <c r="E8" s="1"/>
      <c r="F8" s="4" t="s">
        <v>10</v>
      </c>
      <c r="G8" s="4" t="s">
        <v>10</v>
      </c>
      <c r="H8" s="4" t="s">
        <v>10</v>
      </c>
      <c r="I8" s="4" t="s">
        <v>10</v>
      </c>
      <c r="J8" s="4" t="s">
        <v>53</v>
      </c>
      <c r="K8" s="4" t="s">
        <v>66</v>
      </c>
      <c r="L8" s="4" t="s">
        <v>10</v>
      </c>
      <c r="M8" s="4" t="s">
        <v>10</v>
      </c>
      <c r="N8" s="4" t="s">
        <v>85</v>
      </c>
      <c r="O8" s="4" t="s">
        <v>86</v>
      </c>
      <c r="P8" s="4" t="s">
        <v>92</v>
      </c>
      <c r="Q8" s="4" t="s">
        <v>97</v>
      </c>
      <c r="R8" s="4" t="s">
        <v>10</v>
      </c>
      <c r="S8" s="4" t="s">
        <v>10</v>
      </c>
      <c r="T8" s="4" t="s">
        <v>10</v>
      </c>
      <c r="U8" s="4" t="s">
        <v>10</v>
      </c>
      <c r="V8" s="4" t="s">
        <v>10</v>
      </c>
      <c r="W8" s="4" t="s">
        <v>10</v>
      </c>
      <c r="X8" s="4" t="s">
        <v>107</v>
      </c>
      <c r="Y8" s="4" t="s">
        <v>10</v>
      </c>
      <c r="Z8" s="4" t="s">
        <v>10</v>
      </c>
      <c r="AA8" s="4" t="s">
        <v>10</v>
      </c>
      <c r="AB8" s="4" t="s">
        <v>112</v>
      </c>
      <c r="AC8" s="4" t="s">
        <v>115</v>
      </c>
      <c r="AD8" s="1"/>
      <c r="AE8" s="12">
        <v>44927</v>
      </c>
      <c r="AF8" s="4" t="s">
        <v>10</v>
      </c>
      <c r="AG8" s="4" t="s">
        <v>10</v>
      </c>
      <c r="AH8" s="4" t="s">
        <v>10</v>
      </c>
      <c r="AI8" s="4" t="s">
        <v>10</v>
      </c>
      <c r="AJ8" s="4" t="s">
        <v>115</v>
      </c>
      <c r="AK8" s="4" t="s">
        <v>10</v>
      </c>
      <c r="AL8" s="4" t="s">
        <v>10</v>
      </c>
      <c r="AM8" s="4" t="s">
        <v>151</v>
      </c>
      <c r="AN8" s="4" t="s">
        <v>151</v>
      </c>
      <c r="AO8" s="4" t="s">
        <v>151</v>
      </c>
      <c r="AP8" s="4" t="s">
        <v>10</v>
      </c>
      <c r="AQ8" s="4" t="s">
        <v>115</v>
      </c>
      <c r="AR8" s="4" t="s">
        <v>10</v>
      </c>
      <c r="AS8" s="4" t="s">
        <v>10</v>
      </c>
      <c r="AT8" s="4" t="s">
        <v>10</v>
      </c>
      <c r="AU8" s="4" t="s">
        <v>10</v>
      </c>
      <c r="AV8" s="4" t="s">
        <v>10</v>
      </c>
      <c r="AW8" s="4" t="s">
        <v>10</v>
      </c>
      <c r="AX8" s="4" t="s">
        <v>115</v>
      </c>
      <c r="AY8" s="4" t="s">
        <v>10</v>
      </c>
      <c r="AZ8" s="4" t="s">
        <v>10</v>
      </c>
      <c r="BA8" s="4" t="s">
        <v>10</v>
      </c>
      <c r="BB8" s="4" t="s">
        <v>116</v>
      </c>
      <c r="BC8" s="4" t="s">
        <v>6</v>
      </c>
      <c r="BD8" s="12">
        <v>45292</v>
      </c>
      <c r="BE8" s="12" t="s">
        <v>10</v>
      </c>
      <c r="BF8" s="12" t="s">
        <v>10</v>
      </c>
      <c r="BG8" s="12" t="s">
        <v>10</v>
      </c>
      <c r="BH8" s="12" t="s">
        <v>10</v>
      </c>
      <c r="BI8" s="12" t="s">
        <v>10</v>
      </c>
      <c r="BJ8" s="12" t="s">
        <v>10</v>
      </c>
      <c r="BK8" s="12" t="s">
        <v>10</v>
      </c>
      <c r="BL8" s="12" t="s">
        <v>115</v>
      </c>
      <c r="BM8" s="12" t="s">
        <v>115</v>
      </c>
      <c r="BN8" s="12" t="s">
        <v>151</v>
      </c>
      <c r="BO8" s="12" t="s">
        <v>151</v>
      </c>
      <c r="BP8" s="12" t="s">
        <v>151</v>
      </c>
      <c r="BQ8" s="12" t="s">
        <v>115</v>
      </c>
      <c r="BR8" s="12" t="s">
        <v>10</v>
      </c>
      <c r="BS8" s="12" t="s">
        <v>10</v>
      </c>
      <c r="BT8" s="12" t="s">
        <v>10</v>
      </c>
      <c r="BU8" s="12" t="s">
        <v>10</v>
      </c>
      <c r="BV8" s="12" t="s">
        <v>10</v>
      </c>
      <c r="BW8" s="12" t="s">
        <v>10</v>
      </c>
      <c r="BX8" s="12" t="s">
        <v>10</v>
      </c>
      <c r="BY8" s="12" t="s">
        <v>10</v>
      </c>
      <c r="BZ8" s="12" t="s">
        <v>10</v>
      </c>
      <c r="CA8" s="12" t="s">
        <v>115</v>
      </c>
      <c r="CB8" s="12" t="s">
        <v>112</v>
      </c>
      <c r="CC8" s="12" t="s">
        <v>114</v>
      </c>
      <c r="CD8" s="12" t="s">
        <v>116</v>
      </c>
      <c r="CE8" s="12" t="s">
        <v>6</v>
      </c>
      <c r="CF8" s="12">
        <v>45658</v>
      </c>
      <c r="CG8" s="12"/>
      <c r="CH8" s="12"/>
      <c r="CI8" s="17"/>
      <c r="CJ8" s="18"/>
      <c r="CK8" s="18"/>
      <c r="CL8" s="19"/>
      <c r="CM8" s="12" t="s">
        <v>6</v>
      </c>
      <c r="CN8" s="12">
        <v>46023</v>
      </c>
      <c r="CO8" s="12"/>
      <c r="CP8" s="12"/>
      <c r="CQ8" s="17"/>
      <c r="CR8" s="20"/>
      <c r="CS8" s="20"/>
      <c r="CT8" s="21"/>
      <c r="CU8" s="12" t="s">
        <v>6</v>
      </c>
    </row>
    <row r="9" spans="1:101" x14ac:dyDescent="0.25">
      <c r="B9" s="27"/>
      <c r="C9" s="28"/>
      <c r="D9" s="2"/>
      <c r="E9" s="2"/>
      <c r="F9" s="8" t="s">
        <v>11</v>
      </c>
      <c r="G9" s="8" t="s">
        <v>32</v>
      </c>
      <c r="H9" s="8" t="s">
        <v>19</v>
      </c>
      <c r="I9" s="8" t="s">
        <v>43</v>
      </c>
      <c r="J9" s="8" t="s">
        <v>54</v>
      </c>
      <c r="K9" s="8" t="s">
        <v>67</v>
      </c>
      <c r="L9" s="8" t="s">
        <v>81</v>
      </c>
      <c r="M9" s="8" t="s">
        <v>76</v>
      </c>
      <c r="N9" s="8" t="s">
        <v>83</v>
      </c>
      <c r="O9" s="8" t="s">
        <v>87</v>
      </c>
      <c r="P9" s="8" t="s">
        <v>93</v>
      </c>
      <c r="Q9" s="8" t="s">
        <v>54</v>
      </c>
      <c r="R9" s="8" t="s">
        <v>32</v>
      </c>
      <c r="S9" s="8" t="s">
        <v>19</v>
      </c>
      <c r="T9" s="8" t="s">
        <v>81</v>
      </c>
      <c r="U9" s="8" t="s">
        <v>76</v>
      </c>
      <c r="V9" s="8" t="s">
        <v>11</v>
      </c>
      <c r="W9" s="8" t="s">
        <v>102</v>
      </c>
      <c r="X9" s="8" t="s">
        <v>108</v>
      </c>
      <c r="Y9" s="8" t="s">
        <v>73</v>
      </c>
      <c r="Z9" s="8" t="s">
        <v>102</v>
      </c>
      <c r="AA9" s="8" t="s">
        <v>43</v>
      </c>
      <c r="AB9" s="8" t="s">
        <v>113</v>
      </c>
      <c r="AC9" s="8" t="s">
        <v>116</v>
      </c>
      <c r="AD9" s="2" t="s">
        <v>6</v>
      </c>
      <c r="AE9" s="5"/>
      <c r="AF9" s="8" t="s">
        <v>32</v>
      </c>
      <c r="AG9" s="8" t="s">
        <v>11</v>
      </c>
      <c r="AH9" s="5" t="s">
        <v>99</v>
      </c>
      <c r="AI9" s="8" t="s">
        <v>19</v>
      </c>
      <c r="AJ9" s="8" t="s">
        <v>85</v>
      </c>
      <c r="AK9" s="8" t="s">
        <v>81</v>
      </c>
      <c r="AL9" s="8" t="s">
        <v>102</v>
      </c>
      <c r="AM9" s="8" t="s">
        <v>86</v>
      </c>
      <c r="AN9" s="8" t="s">
        <v>92</v>
      </c>
      <c r="AO9" s="8" t="s">
        <v>85</v>
      </c>
      <c r="AP9" s="8" t="s">
        <v>76</v>
      </c>
      <c r="AQ9" s="8" t="s">
        <v>86</v>
      </c>
      <c r="AR9" s="8" t="s">
        <v>167</v>
      </c>
      <c r="AS9" s="8" t="s">
        <v>32</v>
      </c>
      <c r="AT9" s="8" t="s">
        <v>102</v>
      </c>
      <c r="AU9" s="8" t="s">
        <v>81</v>
      </c>
      <c r="AV9" s="8" t="s">
        <v>177</v>
      </c>
      <c r="AW9" s="8" t="s">
        <v>99</v>
      </c>
      <c r="AX9" s="8" t="s">
        <v>92</v>
      </c>
      <c r="AY9" s="8" t="s">
        <v>76</v>
      </c>
      <c r="AZ9" s="8" t="s">
        <v>11</v>
      </c>
      <c r="BA9" s="8" t="s">
        <v>167</v>
      </c>
      <c r="BB9" s="8"/>
      <c r="BC9" s="2"/>
      <c r="BD9" s="5"/>
      <c r="BE9" s="5" t="s">
        <v>99</v>
      </c>
      <c r="BF9" s="5" t="s">
        <v>195</v>
      </c>
      <c r="BG9" s="5" t="s">
        <v>167</v>
      </c>
      <c r="BH9" s="5" t="s">
        <v>76</v>
      </c>
      <c r="BI9" s="5" t="s">
        <v>192</v>
      </c>
      <c r="BJ9" s="5" t="s">
        <v>19</v>
      </c>
      <c r="BK9" s="5" t="s">
        <v>32</v>
      </c>
      <c r="BL9" s="5" t="s">
        <v>86</v>
      </c>
      <c r="BM9" s="5" t="s">
        <v>267</v>
      </c>
      <c r="BN9" s="5" t="s">
        <v>86</v>
      </c>
      <c r="BO9" s="5" t="s">
        <v>85</v>
      </c>
      <c r="BP9" s="5" t="s">
        <v>92</v>
      </c>
      <c r="BQ9" s="5" t="s">
        <v>85</v>
      </c>
      <c r="BR9" s="5" t="s">
        <v>81</v>
      </c>
      <c r="BS9" s="5" t="s">
        <v>195</v>
      </c>
      <c r="BT9" s="5" t="s">
        <v>19</v>
      </c>
      <c r="BU9" s="5" t="s">
        <v>167</v>
      </c>
      <c r="BV9" s="5" t="s">
        <v>177</v>
      </c>
      <c r="BW9" s="5" t="s">
        <v>32</v>
      </c>
      <c r="BX9" s="5" t="s">
        <v>192</v>
      </c>
      <c r="BY9" s="5" t="s">
        <v>76</v>
      </c>
      <c r="BZ9" s="5" t="s">
        <v>294</v>
      </c>
      <c r="CA9" s="5" t="s">
        <v>92</v>
      </c>
      <c r="CB9" s="5" t="s">
        <v>297</v>
      </c>
      <c r="CC9" s="5" t="s">
        <v>301</v>
      </c>
      <c r="CD9" s="5" t="s">
        <v>303</v>
      </c>
      <c r="CE9" s="5"/>
      <c r="CF9" s="5"/>
      <c r="CG9" s="8" t="s">
        <v>10</v>
      </c>
      <c r="CH9" s="8" t="s">
        <v>151</v>
      </c>
      <c r="CI9" s="29" t="s">
        <v>305</v>
      </c>
      <c r="CJ9" s="30"/>
      <c r="CK9" s="30"/>
      <c r="CL9" s="31"/>
      <c r="CM9" s="5"/>
      <c r="CN9" s="5"/>
      <c r="CO9" s="8" t="s">
        <v>10</v>
      </c>
      <c r="CP9" s="8" t="s">
        <v>151</v>
      </c>
      <c r="CQ9" s="29" t="s">
        <v>305</v>
      </c>
      <c r="CR9" s="30"/>
      <c r="CS9" s="30"/>
      <c r="CT9" s="31"/>
      <c r="CU9" s="5"/>
    </row>
    <row r="10" spans="1:101" x14ac:dyDescent="0.25">
      <c r="B10" s="27"/>
      <c r="C10" s="28"/>
      <c r="D10" s="2" t="s">
        <v>4</v>
      </c>
      <c r="E10" s="2" t="s">
        <v>5</v>
      </c>
      <c r="F10" s="9">
        <v>44653</v>
      </c>
      <c r="G10" s="9">
        <v>44653</v>
      </c>
      <c r="H10" s="9">
        <v>44660</v>
      </c>
      <c r="I10" s="9">
        <v>44674</v>
      </c>
      <c r="J10" s="9">
        <v>44681</v>
      </c>
      <c r="K10" s="9">
        <v>44696</v>
      </c>
      <c r="L10" s="9">
        <v>44709</v>
      </c>
      <c r="M10" s="9">
        <v>44709</v>
      </c>
      <c r="N10" s="9">
        <v>44730</v>
      </c>
      <c r="O10" s="9">
        <v>44730</v>
      </c>
      <c r="P10" s="9">
        <v>44737</v>
      </c>
      <c r="Q10" s="9">
        <v>44759</v>
      </c>
      <c r="R10" s="9">
        <v>44779</v>
      </c>
      <c r="S10" s="9">
        <v>44793</v>
      </c>
      <c r="T10" s="9">
        <v>44800</v>
      </c>
      <c r="U10" s="9">
        <v>44814</v>
      </c>
      <c r="V10" s="9">
        <v>44814</v>
      </c>
      <c r="W10" s="9">
        <v>44814</v>
      </c>
      <c r="X10" s="9">
        <v>44828</v>
      </c>
      <c r="Y10" s="9">
        <v>44849</v>
      </c>
      <c r="Z10" s="9">
        <v>44856</v>
      </c>
      <c r="AA10" s="9">
        <v>44863</v>
      </c>
      <c r="AB10" s="9">
        <v>44869</v>
      </c>
      <c r="AC10" s="9">
        <v>44905</v>
      </c>
      <c r="AD10" s="2">
        <v>2022</v>
      </c>
      <c r="AE10" s="5"/>
      <c r="AF10" s="14" t="s">
        <v>120</v>
      </c>
      <c r="AG10" s="14" t="s">
        <v>118</v>
      </c>
      <c r="AH10" s="5" t="s">
        <v>124</v>
      </c>
      <c r="AI10" s="2" t="s">
        <v>127</v>
      </c>
      <c r="AJ10" s="2" t="s">
        <v>129</v>
      </c>
      <c r="AK10" s="2" t="s">
        <v>146</v>
      </c>
      <c r="AL10" s="2" t="s">
        <v>145</v>
      </c>
      <c r="AM10" s="2" t="s">
        <v>152</v>
      </c>
      <c r="AN10" s="2" t="s">
        <v>156</v>
      </c>
      <c r="AO10" s="2" t="s">
        <v>158</v>
      </c>
      <c r="AP10" s="2" t="s">
        <v>160</v>
      </c>
      <c r="AQ10" s="2" t="s">
        <v>164</v>
      </c>
      <c r="AR10" s="2" t="s">
        <v>168</v>
      </c>
      <c r="AS10" s="2" t="s">
        <v>169</v>
      </c>
      <c r="AT10" s="2" t="s">
        <v>172</v>
      </c>
      <c r="AU10" s="2" t="s">
        <v>172</v>
      </c>
      <c r="AV10" s="5" t="s">
        <v>176</v>
      </c>
      <c r="AW10" s="2" t="s">
        <v>176</v>
      </c>
      <c r="AX10" s="2" t="s">
        <v>181</v>
      </c>
      <c r="AY10" s="2" t="s">
        <v>187</v>
      </c>
      <c r="AZ10" s="5" t="s">
        <v>190</v>
      </c>
      <c r="BA10" s="2" t="s">
        <v>193</v>
      </c>
      <c r="BB10" s="5" t="s">
        <v>194</v>
      </c>
      <c r="BC10" s="14">
        <v>2023</v>
      </c>
      <c r="BD10" s="13"/>
      <c r="BE10" s="13" t="s">
        <v>196</v>
      </c>
      <c r="BF10" s="13" t="s">
        <v>196</v>
      </c>
      <c r="BG10" s="13" t="s">
        <v>196</v>
      </c>
      <c r="BH10" s="13" t="s">
        <v>196</v>
      </c>
      <c r="BI10" s="13" t="s">
        <v>196</v>
      </c>
      <c r="BJ10" s="13" t="s">
        <v>233</v>
      </c>
      <c r="BK10" s="13" t="s">
        <v>246</v>
      </c>
      <c r="BL10" s="13" t="s">
        <v>264</v>
      </c>
      <c r="BM10" s="13" t="s">
        <v>268</v>
      </c>
      <c r="BN10" s="13" t="s">
        <v>269</v>
      </c>
      <c r="BO10" s="13" t="s">
        <v>269</v>
      </c>
      <c r="BP10" s="13" t="s">
        <v>273</v>
      </c>
      <c r="BQ10" s="13" t="s">
        <v>277</v>
      </c>
      <c r="BR10" s="13" t="s">
        <v>171</v>
      </c>
      <c r="BS10" s="13" t="s">
        <v>283</v>
      </c>
      <c r="BT10" s="13" t="s">
        <v>283</v>
      </c>
      <c r="BU10" s="13" t="s">
        <v>282</v>
      </c>
      <c r="BV10" s="13" t="s">
        <v>284</v>
      </c>
      <c r="BW10" s="13" t="s">
        <v>287</v>
      </c>
      <c r="BX10" s="13" t="s">
        <v>287</v>
      </c>
      <c r="BY10" s="13" t="s">
        <v>290</v>
      </c>
      <c r="BZ10" s="13" t="s">
        <v>295</v>
      </c>
      <c r="CA10" s="13" t="s">
        <v>296</v>
      </c>
      <c r="CB10" s="13" t="s">
        <v>298</v>
      </c>
      <c r="CC10" s="13" t="s">
        <v>302</v>
      </c>
      <c r="CD10" s="13" t="s">
        <v>304</v>
      </c>
      <c r="CE10" s="13">
        <v>2024</v>
      </c>
      <c r="CF10" s="5"/>
      <c r="CG10" s="5"/>
      <c r="CH10" s="5"/>
      <c r="CI10" s="5">
        <v>1</v>
      </c>
      <c r="CJ10" s="5">
        <v>2</v>
      </c>
      <c r="CK10" s="5">
        <v>3</v>
      </c>
      <c r="CL10" s="5">
        <v>4</v>
      </c>
      <c r="CM10" s="5">
        <v>2025</v>
      </c>
      <c r="CN10" s="5"/>
      <c r="CO10" s="5"/>
      <c r="CP10" s="5"/>
      <c r="CQ10" s="5">
        <v>1</v>
      </c>
      <c r="CR10" s="5">
        <v>2</v>
      </c>
      <c r="CS10" s="5">
        <v>3</v>
      </c>
      <c r="CT10" s="5">
        <v>4</v>
      </c>
      <c r="CU10" s="5">
        <v>2026</v>
      </c>
    </row>
    <row r="11" spans="1:101" x14ac:dyDescent="0.25">
      <c r="A11">
        <v>1</v>
      </c>
      <c r="B11" s="10" t="s">
        <v>41</v>
      </c>
      <c r="C11" s="6"/>
      <c r="D11" s="6" t="s">
        <v>28</v>
      </c>
      <c r="E11" s="6" t="s">
        <v>185</v>
      </c>
      <c r="F11" s="6"/>
      <c r="G11" s="6"/>
      <c r="H11" s="6"/>
      <c r="I11" s="6"/>
      <c r="J11" s="6"/>
      <c r="K11" s="6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6"/>
      <c r="AE11" s="10"/>
      <c r="AF11" s="10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10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6"/>
      <c r="CF11" s="6"/>
      <c r="CG11" s="10">
        <v>33.6</v>
      </c>
      <c r="CH11" s="10">
        <v>4</v>
      </c>
      <c r="CI11" s="10">
        <v>7.5</v>
      </c>
      <c r="CJ11" s="10">
        <v>39</v>
      </c>
      <c r="CK11" s="10">
        <v>33.6</v>
      </c>
      <c r="CL11" s="10">
        <v>7.5</v>
      </c>
      <c r="CM11" s="6">
        <f>SUM(CF11:CL11)</f>
        <v>125.19999999999999</v>
      </c>
      <c r="CN11" s="6">
        <f>(CM11-CF11)/2</f>
        <v>62.599999999999994</v>
      </c>
      <c r="CO11" s="10">
        <v>48</v>
      </c>
      <c r="CP11" s="10">
        <v>48</v>
      </c>
      <c r="CQ11" s="10">
        <v>36</v>
      </c>
      <c r="CR11" s="6"/>
      <c r="CS11" s="6"/>
      <c r="CT11" s="6"/>
      <c r="CU11" s="6">
        <f>SUM(CN11:CT11)</f>
        <v>194.6</v>
      </c>
    </row>
    <row r="12" spans="1:101" x14ac:dyDescent="0.25">
      <c r="A12">
        <v>2</v>
      </c>
      <c r="B12" s="10" t="s">
        <v>384</v>
      </c>
      <c r="C12" s="6"/>
      <c r="D12" s="6" t="s">
        <v>105</v>
      </c>
      <c r="E12" s="6" t="s">
        <v>98</v>
      </c>
      <c r="F12" s="6"/>
      <c r="G12" s="6"/>
      <c r="H12" s="6"/>
      <c r="I12" s="6"/>
      <c r="J12" s="6"/>
      <c r="K12" s="6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6"/>
      <c r="AE12" s="10"/>
      <c r="AF12" s="10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10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6"/>
      <c r="CF12" s="6"/>
      <c r="CG12" s="10">
        <v>36</v>
      </c>
      <c r="CH12" s="10"/>
      <c r="CI12" s="10">
        <v>75</v>
      </c>
      <c r="CJ12" s="10">
        <v>75</v>
      </c>
      <c r="CK12" s="10">
        <v>75</v>
      </c>
      <c r="CL12" s="10">
        <v>100</v>
      </c>
      <c r="CM12" s="6">
        <f>SUM(CF12:CL12)</f>
        <v>361</v>
      </c>
      <c r="CN12" s="6">
        <f>(CM12-CF12)/2</f>
        <v>180.5</v>
      </c>
      <c r="CO12" s="10"/>
      <c r="CP12" s="10"/>
      <c r="CQ12" s="10"/>
      <c r="CR12" s="6"/>
      <c r="CS12" s="6"/>
      <c r="CT12" s="6"/>
      <c r="CU12" s="6">
        <f>SUM(CN12:CT12)</f>
        <v>180.5</v>
      </c>
    </row>
    <row r="13" spans="1:101" x14ac:dyDescent="0.25">
      <c r="A13">
        <v>3</v>
      </c>
      <c r="B13" s="10" t="s">
        <v>503</v>
      </c>
      <c r="C13" s="6"/>
      <c r="D13" s="6" t="s">
        <v>342</v>
      </c>
      <c r="E13" s="6" t="s">
        <v>136</v>
      </c>
      <c r="F13" s="6"/>
      <c r="G13" s="6"/>
      <c r="H13" s="6"/>
      <c r="I13" s="6"/>
      <c r="J13" s="6"/>
      <c r="K13" s="6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6"/>
      <c r="AE13" s="10"/>
      <c r="AF13" s="10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10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6"/>
      <c r="CF13" s="6"/>
      <c r="CG13" s="10"/>
      <c r="CH13" s="10"/>
      <c r="CI13" s="10"/>
      <c r="CJ13" s="10"/>
      <c r="CK13" s="10"/>
      <c r="CL13" s="10"/>
      <c r="CM13" s="6"/>
      <c r="CN13" s="6"/>
      <c r="CO13" s="10">
        <v>36</v>
      </c>
      <c r="CP13" s="10">
        <v>3.2</v>
      </c>
      <c r="CQ13" s="10">
        <v>90</v>
      </c>
      <c r="CR13" s="6"/>
      <c r="CS13" s="6"/>
      <c r="CT13" s="6"/>
      <c r="CU13" s="6">
        <f>SUM(CN13:CT13)</f>
        <v>129.19999999999999</v>
      </c>
    </row>
    <row r="14" spans="1:101" x14ac:dyDescent="0.25">
      <c r="A14" s="22">
        <v>4</v>
      </c>
      <c r="B14" s="10" t="s">
        <v>380</v>
      </c>
      <c r="C14" s="6"/>
      <c r="D14" s="6" t="s">
        <v>381</v>
      </c>
      <c r="E14" s="6" t="s">
        <v>69</v>
      </c>
      <c r="F14" s="6"/>
      <c r="G14" s="6"/>
      <c r="H14" s="6"/>
      <c r="I14" s="6"/>
      <c r="J14" s="6"/>
      <c r="K14" s="6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6"/>
      <c r="AE14" s="10"/>
      <c r="AF14" s="10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10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6"/>
      <c r="CF14" s="6"/>
      <c r="CG14" s="10">
        <v>33.6</v>
      </c>
      <c r="CH14" s="10">
        <v>64</v>
      </c>
      <c r="CI14" s="10">
        <v>54</v>
      </c>
      <c r="CJ14" s="10">
        <v>36</v>
      </c>
      <c r="CK14" s="10">
        <v>39</v>
      </c>
      <c r="CL14" s="10">
        <v>2.4</v>
      </c>
      <c r="CM14" s="6">
        <f>SUM(CF14:CL14)</f>
        <v>229</v>
      </c>
      <c r="CN14" s="6">
        <f>(CM14-CF14)/2</f>
        <v>114.5</v>
      </c>
      <c r="CO14" s="10"/>
      <c r="CP14" s="10"/>
      <c r="CQ14" s="10"/>
      <c r="CR14" s="6"/>
      <c r="CS14" s="6"/>
      <c r="CT14" s="6"/>
      <c r="CU14" s="6">
        <f>SUM(CN14:CT14)</f>
        <v>114.5</v>
      </c>
    </row>
    <row r="15" spans="1:101" x14ac:dyDescent="0.25">
      <c r="A15">
        <v>5</v>
      </c>
      <c r="B15" s="10" t="s">
        <v>55</v>
      </c>
      <c r="C15" s="6"/>
      <c r="D15" s="6" t="s">
        <v>72</v>
      </c>
      <c r="E15" s="6" t="s">
        <v>623</v>
      </c>
      <c r="F15" s="6"/>
      <c r="G15" s="6"/>
      <c r="H15" s="6"/>
      <c r="I15" s="6"/>
      <c r="J15" s="6"/>
      <c r="K15" s="6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6"/>
      <c r="AE15" s="10"/>
      <c r="AF15" s="10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10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6"/>
      <c r="CF15" s="6"/>
      <c r="CG15" s="10"/>
      <c r="CH15" s="10"/>
      <c r="CI15" s="10"/>
      <c r="CJ15" s="10"/>
      <c r="CK15" s="10"/>
      <c r="CL15" s="10"/>
      <c r="CM15" s="6"/>
      <c r="CN15" s="6"/>
      <c r="CO15" s="10">
        <v>36</v>
      </c>
      <c r="CP15" s="10">
        <v>64</v>
      </c>
      <c r="CQ15" s="10"/>
      <c r="CR15" s="6"/>
      <c r="CS15" s="6"/>
      <c r="CT15" s="6"/>
      <c r="CU15" s="6">
        <f>SUM(CN15:CT15)</f>
        <v>100</v>
      </c>
      <c r="CW15" s="7"/>
    </row>
    <row r="16" spans="1:101" x14ac:dyDescent="0.25">
      <c r="A16">
        <v>6</v>
      </c>
      <c r="B16" s="10" t="s">
        <v>274</v>
      </c>
      <c r="C16" s="6"/>
      <c r="D16" s="6" t="s">
        <v>275</v>
      </c>
      <c r="E16" s="6" t="s">
        <v>131</v>
      </c>
      <c r="F16" s="6"/>
      <c r="G16" s="6"/>
      <c r="H16" s="6"/>
      <c r="I16" s="6"/>
      <c r="J16" s="6"/>
      <c r="K16" s="6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6"/>
      <c r="AE16" s="10"/>
      <c r="AF16" s="10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10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10"/>
      <c r="BN16" s="10"/>
      <c r="BO16" s="10"/>
      <c r="BP16" s="10">
        <v>40</v>
      </c>
      <c r="BQ16" s="10"/>
      <c r="BR16" s="10">
        <v>36</v>
      </c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6">
        <f>SUM(BD16:CD16)</f>
        <v>76</v>
      </c>
      <c r="CF16" s="6">
        <v>38</v>
      </c>
      <c r="CG16" s="10">
        <v>48</v>
      </c>
      <c r="CH16" s="10">
        <v>40</v>
      </c>
      <c r="CI16" s="10">
        <v>36</v>
      </c>
      <c r="CJ16" s="10">
        <v>5</v>
      </c>
      <c r="CK16" s="10"/>
      <c r="CL16" s="10"/>
      <c r="CM16" s="6">
        <f>SUM(CF16:CL16)</f>
        <v>167</v>
      </c>
      <c r="CN16" s="6">
        <f>(CM16-CF16)/2</f>
        <v>64.5</v>
      </c>
      <c r="CO16" s="10"/>
      <c r="CP16" s="10"/>
      <c r="CQ16" s="10"/>
      <c r="CR16" s="6"/>
      <c r="CS16" s="6"/>
      <c r="CT16" s="6"/>
      <c r="CU16" s="6">
        <f>SUM(CN16:CT16)</f>
        <v>64.5</v>
      </c>
    </row>
    <row r="17" spans="1:99" x14ac:dyDescent="0.25">
      <c r="A17">
        <v>7</v>
      </c>
      <c r="B17" s="10" t="s">
        <v>286</v>
      </c>
      <c r="C17" s="6"/>
      <c r="D17" s="6" t="s">
        <v>30</v>
      </c>
      <c r="E17" s="6" t="s">
        <v>173</v>
      </c>
      <c r="F17" s="6"/>
      <c r="G17" s="6"/>
      <c r="H17" s="6"/>
      <c r="I17" s="6"/>
      <c r="J17" s="6"/>
      <c r="K17" s="6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6"/>
      <c r="AE17" s="10"/>
      <c r="AF17" s="10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10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10"/>
      <c r="BN17" s="10"/>
      <c r="BO17" s="10"/>
      <c r="BP17" s="10"/>
      <c r="BQ17" s="10"/>
      <c r="BR17" s="10"/>
      <c r="BS17" s="10">
        <v>3</v>
      </c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6">
        <f>SUM(BD17:CD17)</f>
        <v>3</v>
      </c>
      <c r="CF17" s="6">
        <v>1.5</v>
      </c>
      <c r="CG17" s="10">
        <v>2.4</v>
      </c>
      <c r="CH17" s="10">
        <v>56</v>
      </c>
      <c r="CI17" s="10">
        <v>10</v>
      </c>
      <c r="CJ17" s="10">
        <v>7.5</v>
      </c>
      <c r="CK17" s="10">
        <v>5</v>
      </c>
      <c r="CL17" s="10">
        <v>44.8</v>
      </c>
      <c r="CM17" s="6">
        <f>SUM(CF17:CL17)</f>
        <v>127.2</v>
      </c>
      <c r="CN17" s="6">
        <f>(CM17-CF17)/2</f>
        <v>62.85</v>
      </c>
      <c r="CO17" s="10"/>
      <c r="CP17" s="10"/>
      <c r="CQ17" s="10"/>
      <c r="CR17" s="6"/>
      <c r="CS17" s="6"/>
      <c r="CT17" s="6"/>
      <c r="CU17" s="6">
        <f>SUM(CN17:CT17)</f>
        <v>62.85</v>
      </c>
    </row>
    <row r="18" spans="1:99" x14ac:dyDescent="0.25">
      <c r="A18">
        <v>8</v>
      </c>
      <c r="B18" s="10" t="s">
        <v>134</v>
      </c>
      <c r="C18" s="6"/>
      <c r="D18" s="6" t="s">
        <v>357</v>
      </c>
      <c r="E18" s="6" t="s">
        <v>131</v>
      </c>
      <c r="F18" s="6"/>
      <c r="G18" s="6"/>
      <c r="H18" s="6"/>
      <c r="I18" s="6"/>
      <c r="J18" s="6"/>
      <c r="K18" s="6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6"/>
      <c r="AE18" s="10"/>
      <c r="AF18" s="10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10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6"/>
      <c r="CF18" s="6">
        <f>160.4/2</f>
        <v>80.2</v>
      </c>
      <c r="CG18" s="10"/>
      <c r="CH18" s="10">
        <v>4</v>
      </c>
      <c r="CI18" s="10">
        <v>54</v>
      </c>
      <c r="CJ18" s="10">
        <v>52</v>
      </c>
      <c r="CK18" s="10"/>
      <c r="CL18" s="10"/>
      <c r="CM18" s="6">
        <f>SUM(CF18:CL18)</f>
        <v>190.2</v>
      </c>
      <c r="CN18" s="6">
        <f>(CM18-CF18)/2</f>
        <v>54.999999999999993</v>
      </c>
      <c r="CO18" s="10"/>
      <c r="CP18" s="10"/>
      <c r="CQ18" s="10"/>
      <c r="CR18" s="6"/>
      <c r="CS18" s="6"/>
      <c r="CT18" s="6"/>
      <c r="CU18" s="6">
        <f>SUM(CN18:CT18)</f>
        <v>54.999999999999993</v>
      </c>
    </row>
    <row r="19" spans="1:99" x14ac:dyDescent="0.25">
      <c r="A19">
        <v>9</v>
      </c>
      <c r="B19" s="10" t="s">
        <v>55</v>
      </c>
      <c r="C19" s="6"/>
      <c r="D19" s="6" t="s">
        <v>140</v>
      </c>
      <c r="E19" s="6" t="s">
        <v>477</v>
      </c>
      <c r="F19" s="6"/>
      <c r="G19" s="6"/>
      <c r="H19" s="6"/>
      <c r="I19" s="6"/>
      <c r="J19" s="6"/>
      <c r="K19" s="6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6"/>
      <c r="AE19" s="10"/>
      <c r="AF19" s="10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10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6"/>
      <c r="CF19" s="6"/>
      <c r="CG19" s="10">
        <v>33.6</v>
      </c>
      <c r="CH19" s="10">
        <v>3.2</v>
      </c>
      <c r="CI19" s="10">
        <v>7.5</v>
      </c>
      <c r="CJ19" s="10">
        <v>5</v>
      </c>
      <c r="CK19" s="10">
        <v>5</v>
      </c>
      <c r="CL19" s="10">
        <v>7.5</v>
      </c>
      <c r="CM19" s="6">
        <f>SUM(CF19:CL19)</f>
        <v>61.800000000000004</v>
      </c>
      <c r="CN19" s="6">
        <f>(CM19-CF19)/2</f>
        <v>30.900000000000002</v>
      </c>
      <c r="CO19" s="10"/>
      <c r="CP19" s="10"/>
      <c r="CQ19" s="10"/>
      <c r="CR19" s="6"/>
      <c r="CS19" s="6"/>
      <c r="CT19" s="6"/>
      <c r="CU19" s="6">
        <f>SUM(CN19:CT19)</f>
        <v>30.900000000000002</v>
      </c>
    </row>
    <row r="20" spans="1:99" x14ac:dyDescent="0.25">
      <c r="A20">
        <v>10</v>
      </c>
      <c r="B20" s="10" t="s">
        <v>453</v>
      </c>
      <c r="C20" s="6"/>
      <c r="D20" s="6" t="s">
        <v>339</v>
      </c>
      <c r="E20" s="6" t="s">
        <v>79</v>
      </c>
      <c r="F20" s="6"/>
      <c r="G20" s="6"/>
      <c r="H20" s="6"/>
      <c r="I20" s="6"/>
      <c r="J20" s="6"/>
      <c r="K20" s="6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6"/>
      <c r="AE20" s="10"/>
      <c r="AF20" s="10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10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6"/>
      <c r="CF20" s="6"/>
      <c r="CG20" s="10">
        <v>3.2</v>
      </c>
      <c r="CH20" s="10">
        <v>40</v>
      </c>
      <c r="CI20" s="10"/>
      <c r="CJ20" s="10"/>
      <c r="CK20" s="10"/>
      <c r="CL20" s="10"/>
      <c r="CM20" s="6">
        <f>SUM(CF20:CL20)</f>
        <v>43.2</v>
      </c>
      <c r="CN20" s="6">
        <f>(CM20-CF20)/2</f>
        <v>21.6</v>
      </c>
      <c r="CO20" s="10"/>
      <c r="CP20" s="10"/>
      <c r="CQ20" s="10"/>
      <c r="CR20" s="6"/>
      <c r="CS20" s="6"/>
      <c r="CT20" s="6"/>
      <c r="CU20" s="6">
        <f>SUM(CN20:CT20)</f>
        <v>21.6</v>
      </c>
    </row>
    <row r="21" spans="1:99" x14ac:dyDescent="0.25">
      <c r="A21">
        <v>11</v>
      </c>
      <c r="B21" s="10" t="s">
        <v>387</v>
      </c>
      <c r="C21" s="6"/>
      <c r="D21" s="6" t="s">
        <v>42</v>
      </c>
      <c r="E21" s="6" t="s">
        <v>22</v>
      </c>
      <c r="F21" s="6"/>
      <c r="G21" s="6"/>
      <c r="H21" s="6"/>
      <c r="I21" s="6"/>
      <c r="J21" s="6"/>
      <c r="K21" s="6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6"/>
      <c r="AE21" s="10"/>
      <c r="AF21" s="10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10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6"/>
      <c r="CF21" s="6"/>
      <c r="CG21" s="10">
        <v>2.4</v>
      </c>
      <c r="CH21" s="10"/>
      <c r="CI21" s="10">
        <v>39</v>
      </c>
      <c r="CJ21" s="10"/>
      <c r="CK21" s="10"/>
      <c r="CL21" s="10"/>
      <c r="CM21" s="6">
        <f>SUM(CF21:CL21)</f>
        <v>41.4</v>
      </c>
      <c r="CN21" s="6">
        <f>(CM21-CF21)/2</f>
        <v>20.7</v>
      </c>
      <c r="CO21" s="10"/>
      <c r="CP21" s="10"/>
      <c r="CQ21" s="10"/>
      <c r="CR21" s="6"/>
      <c r="CS21" s="6"/>
      <c r="CT21" s="6"/>
      <c r="CU21" s="6">
        <f>SUM(CN21:CT21)</f>
        <v>20.7</v>
      </c>
    </row>
    <row r="22" spans="1:99" x14ac:dyDescent="0.25">
      <c r="A22">
        <v>12</v>
      </c>
      <c r="B22" s="10" t="s">
        <v>258</v>
      </c>
      <c r="C22" s="6"/>
      <c r="D22" s="6" t="s">
        <v>259</v>
      </c>
      <c r="E22" s="6" t="s">
        <v>23</v>
      </c>
      <c r="F22" s="6"/>
      <c r="G22" s="6"/>
      <c r="H22" s="6"/>
      <c r="I22" s="6"/>
      <c r="J22" s="6"/>
      <c r="K22" s="6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6"/>
      <c r="AE22" s="10"/>
      <c r="AF22" s="10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10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>
        <v>72</v>
      </c>
      <c r="CE22" s="6">
        <f>SUM(BD22:CD22)</f>
        <v>72</v>
      </c>
      <c r="CF22" s="6">
        <v>36</v>
      </c>
      <c r="CG22" s="10"/>
      <c r="CH22" s="10">
        <v>40</v>
      </c>
      <c r="CI22" s="10"/>
      <c r="CJ22" s="10"/>
      <c r="CK22" s="10"/>
      <c r="CL22" s="10"/>
      <c r="CM22" s="6">
        <f>SUM(CF22:CL22)</f>
        <v>76</v>
      </c>
      <c r="CN22" s="6">
        <f>(CM22-CF22)/2</f>
        <v>20</v>
      </c>
      <c r="CO22" s="10"/>
      <c r="CP22" s="10"/>
      <c r="CQ22" s="10"/>
      <c r="CR22" s="6"/>
      <c r="CS22" s="6"/>
      <c r="CT22" s="6"/>
      <c r="CU22" s="6">
        <f>SUM(CN22:CT22)</f>
        <v>20</v>
      </c>
    </row>
    <row r="23" spans="1:99" x14ac:dyDescent="0.25">
      <c r="A23">
        <v>13</v>
      </c>
      <c r="B23" s="10" t="s">
        <v>243</v>
      </c>
      <c r="C23" s="6" t="s">
        <v>217</v>
      </c>
      <c r="D23" s="6" t="s">
        <v>244</v>
      </c>
      <c r="E23" s="6" t="s">
        <v>77</v>
      </c>
      <c r="F23" s="6"/>
      <c r="G23" s="6"/>
      <c r="H23" s="6"/>
      <c r="I23" s="6"/>
      <c r="J23" s="6"/>
      <c r="K23" s="6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6"/>
      <c r="AE23" s="10"/>
      <c r="AF23" s="10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10"/>
      <c r="BC23" s="6"/>
      <c r="BD23" s="6"/>
      <c r="BE23" s="6"/>
      <c r="BF23" s="6"/>
      <c r="BG23" s="6"/>
      <c r="BH23" s="6">
        <v>36</v>
      </c>
      <c r="BI23" s="6"/>
      <c r="BJ23" s="6"/>
      <c r="BK23" s="6"/>
      <c r="BL23" s="6">
        <v>60</v>
      </c>
      <c r="BM23" s="10"/>
      <c r="BN23" s="10"/>
      <c r="BO23" s="10"/>
      <c r="BP23" s="10">
        <v>4</v>
      </c>
      <c r="BQ23" s="10">
        <v>7.5</v>
      </c>
      <c r="BR23" s="10"/>
      <c r="BS23" s="10"/>
      <c r="BT23" s="10"/>
      <c r="BU23" s="10"/>
      <c r="BV23" s="10"/>
      <c r="BW23" s="10"/>
      <c r="BX23" s="10"/>
      <c r="BY23" s="10">
        <v>48</v>
      </c>
      <c r="BZ23" s="10"/>
      <c r="CA23" s="10">
        <v>7.5</v>
      </c>
      <c r="CB23" s="10"/>
      <c r="CC23" s="10"/>
      <c r="CD23" s="10">
        <v>10</v>
      </c>
      <c r="CE23" s="6">
        <f>SUM(BD23:CD23)</f>
        <v>173</v>
      </c>
      <c r="CF23" s="6">
        <v>86.5</v>
      </c>
      <c r="CG23" s="10"/>
      <c r="CH23" s="10"/>
      <c r="CI23" s="10">
        <v>39</v>
      </c>
      <c r="CJ23" s="10"/>
      <c r="CK23" s="10"/>
      <c r="CL23" s="10"/>
      <c r="CM23" s="6">
        <f>SUM(CF23:CL23)</f>
        <v>125.5</v>
      </c>
      <c r="CN23" s="6">
        <f>(CM23-CF23)/2</f>
        <v>19.5</v>
      </c>
      <c r="CO23" s="10"/>
      <c r="CP23" s="10"/>
      <c r="CQ23" s="10"/>
      <c r="CR23" s="6"/>
      <c r="CS23" s="6"/>
      <c r="CT23" s="6"/>
      <c r="CU23" s="6">
        <f>SUM(CN23:CT23)</f>
        <v>19.5</v>
      </c>
    </row>
    <row r="24" spans="1:99" x14ac:dyDescent="0.25">
      <c r="A24">
        <v>14</v>
      </c>
      <c r="B24" s="10" t="s">
        <v>41</v>
      </c>
      <c r="C24" s="6"/>
      <c r="D24" s="6" t="s">
        <v>166</v>
      </c>
      <c r="E24" s="6" t="s">
        <v>412</v>
      </c>
      <c r="F24" s="6"/>
      <c r="G24" s="6"/>
      <c r="H24" s="6"/>
      <c r="I24" s="6"/>
      <c r="J24" s="6"/>
      <c r="K24" s="6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6"/>
      <c r="AE24" s="10"/>
      <c r="AF24" s="10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10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6"/>
      <c r="CF24" s="6"/>
      <c r="CG24" s="10">
        <v>2.4</v>
      </c>
      <c r="CH24" s="10">
        <v>28.8</v>
      </c>
      <c r="CI24" s="10">
        <v>7.5</v>
      </c>
      <c r="CJ24" s="10"/>
      <c r="CK24" s="10"/>
      <c r="CL24" s="10"/>
      <c r="CM24" s="6">
        <f>SUM(CF24:CL24)</f>
        <v>38.700000000000003</v>
      </c>
      <c r="CN24" s="6">
        <f>(CM24-CF24)/2</f>
        <v>19.350000000000001</v>
      </c>
      <c r="CO24" s="10"/>
      <c r="CP24" s="10"/>
      <c r="CQ24" s="10"/>
      <c r="CR24" s="6"/>
      <c r="CS24" s="6"/>
      <c r="CT24" s="6"/>
      <c r="CU24" s="6">
        <f>SUM(CN24:CT24)</f>
        <v>19.350000000000001</v>
      </c>
    </row>
    <row r="25" spans="1:99" x14ac:dyDescent="0.25">
      <c r="A25">
        <v>15</v>
      </c>
      <c r="B25" s="10" t="s">
        <v>478</v>
      </c>
      <c r="C25" s="6"/>
      <c r="D25" s="6" t="s">
        <v>437</v>
      </c>
      <c r="E25" s="6" t="s">
        <v>137</v>
      </c>
      <c r="F25" s="6"/>
      <c r="G25" s="6"/>
      <c r="H25" s="6"/>
      <c r="I25" s="6"/>
      <c r="J25" s="6"/>
      <c r="K25" s="6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6"/>
      <c r="AE25" s="10"/>
      <c r="AF25" s="10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10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6"/>
      <c r="CF25" s="6"/>
      <c r="CG25" s="10">
        <v>36</v>
      </c>
      <c r="CH25" s="10"/>
      <c r="CI25" s="10"/>
      <c r="CJ25" s="10"/>
      <c r="CK25" s="10"/>
      <c r="CL25" s="10"/>
      <c r="CM25" s="6">
        <f>SUM(CF25:CL25)</f>
        <v>36</v>
      </c>
      <c r="CN25" s="6">
        <f>(CM25-CF25)/2</f>
        <v>18</v>
      </c>
      <c r="CO25" s="10"/>
      <c r="CP25" s="10"/>
      <c r="CQ25" s="10"/>
      <c r="CR25" s="6"/>
      <c r="CS25" s="6"/>
      <c r="CT25" s="6"/>
      <c r="CU25" s="6">
        <f>SUM(CN25:CT25)</f>
        <v>18</v>
      </c>
    </row>
    <row r="26" spans="1:99" x14ac:dyDescent="0.25">
      <c r="A26">
        <v>16</v>
      </c>
      <c r="B26" s="10" t="s">
        <v>20</v>
      </c>
      <c r="C26" s="6"/>
      <c r="D26" s="6" t="s">
        <v>135</v>
      </c>
      <c r="E26" s="6" t="s">
        <v>280</v>
      </c>
      <c r="F26" s="6"/>
      <c r="G26" s="6"/>
      <c r="H26" s="6"/>
      <c r="I26" s="6"/>
      <c r="J26" s="6"/>
      <c r="K26" s="6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6"/>
      <c r="AE26" s="10"/>
      <c r="AF26" s="10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10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6"/>
      <c r="CF26" s="6"/>
      <c r="CG26" s="10"/>
      <c r="CH26" s="10">
        <v>4</v>
      </c>
      <c r="CI26" s="10">
        <v>5</v>
      </c>
      <c r="CJ26" s="10"/>
      <c r="CK26" s="10"/>
      <c r="CL26" s="10"/>
      <c r="CM26" s="6">
        <f>SUM(CF26:CL26)</f>
        <v>9</v>
      </c>
      <c r="CN26" s="6">
        <f>(CM26-CF26)/2</f>
        <v>4.5</v>
      </c>
      <c r="CO26" s="10"/>
      <c r="CP26" s="10"/>
      <c r="CQ26" s="10"/>
      <c r="CR26" s="6"/>
      <c r="CS26" s="6"/>
      <c r="CT26" s="6"/>
      <c r="CU26" s="6">
        <f>SUM(CN26:CT26)</f>
        <v>4.5</v>
      </c>
    </row>
    <row r="27" spans="1:99" x14ac:dyDescent="0.25">
      <c r="A27">
        <v>17</v>
      </c>
      <c r="B27" s="10" t="s">
        <v>288</v>
      </c>
      <c r="C27" s="6"/>
      <c r="D27" s="6" t="s">
        <v>49</v>
      </c>
      <c r="E27" s="6" t="s">
        <v>436</v>
      </c>
      <c r="F27" s="6"/>
      <c r="G27" s="6"/>
      <c r="H27" s="6"/>
      <c r="I27" s="6"/>
      <c r="J27" s="6"/>
      <c r="K27" s="6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6"/>
      <c r="AE27" s="10"/>
      <c r="AF27" s="10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10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6"/>
      <c r="CF27" s="6"/>
      <c r="CG27" s="10"/>
      <c r="CH27" s="10"/>
      <c r="CI27" s="10">
        <v>7.5</v>
      </c>
      <c r="CJ27" s="10"/>
      <c r="CK27" s="10"/>
      <c r="CL27" s="10"/>
      <c r="CM27" s="6">
        <f>SUM(CF27:CL27)</f>
        <v>7.5</v>
      </c>
      <c r="CN27" s="6">
        <f>(CM27-CF27)/2</f>
        <v>3.75</v>
      </c>
      <c r="CO27" s="10"/>
      <c r="CP27" s="10"/>
      <c r="CQ27" s="10"/>
      <c r="CR27" s="6"/>
      <c r="CS27" s="6"/>
      <c r="CT27" s="6"/>
      <c r="CU27" s="6">
        <f>SUM(CN27:CT27)</f>
        <v>3.75</v>
      </c>
    </row>
    <row r="28" spans="1:99" x14ac:dyDescent="0.25">
      <c r="A28">
        <v>18</v>
      </c>
      <c r="B28" s="10" t="s">
        <v>380</v>
      </c>
      <c r="C28" s="6"/>
      <c r="D28" s="6" t="s">
        <v>437</v>
      </c>
      <c r="E28" s="6" t="s">
        <v>340</v>
      </c>
      <c r="F28" s="6"/>
      <c r="G28" s="6"/>
      <c r="H28" s="6"/>
      <c r="I28" s="6"/>
      <c r="J28" s="6"/>
      <c r="K28" s="6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6"/>
      <c r="AE28" s="10"/>
      <c r="AF28" s="10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10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6"/>
      <c r="CF28" s="6"/>
      <c r="CG28" s="10"/>
      <c r="CH28" s="10"/>
      <c r="CI28" s="10">
        <v>7.5</v>
      </c>
      <c r="CJ28" s="10"/>
      <c r="CK28" s="10"/>
      <c r="CL28" s="10"/>
      <c r="CM28" s="6">
        <f>SUM(CF28:CL28)</f>
        <v>7.5</v>
      </c>
      <c r="CN28" s="6">
        <f>(CM28-CF28)/2</f>
        <v>3.75</v>
      </c>
      <c r="CO28" s="10"/>
      <c r="CP28" s="10"/>
      <c r="CQ28" s="10"/>
      <c r="CR28" s="6"/>
      <c r="CS28" s="6"/>
      <c r="CT28" s="6"/>
      <c r="CU28" s="6">
        <f>SUM(CN28:CT28)</f>
        <v>3.75</v>
      </c>
    </row>
    <row r="29" spans="1:99" x14ac:dyDescent="0.25">
      <c r="A29">
        <v>19</v>
      </c>
      <c r="B29" s="10" t="s">
        <v>454</v>
      </c>
      <c r="C29" s="6"/>
      <c r="D29" s="6" t="s">
        <v>455</v>
      </c>
      <c r="E29" s="6" t="s">
        <v>393</v>
      </c>
      <c r="F29" s="6"/>
      <c r="G29" s="6"/>
      <c r="H29" s="6"/>
      <c r="I29" s="6"/>
      <c r="J29" s="6"/>
      <c r="K29" s="6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6"/>
      <c r="AE29" s="10"/>
      <c r="AF29" s="10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10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6"/>
      <c r="CF29" s="6"/>
      <c r="CG29" s="10">
        <v>2.4</v>
      </c>
      <c r="CH29" s="10">
        <v>4</v>
      </c>
      <c r="CI29" s="10"/>
      <c r="CJ29" s="10"/>
      <c r="CK29" s="10"/>
      <c r="CL29" s="10"/>
      <c r="CM29" s="6">
        <f>SUM(CF29:CL29)</f>
        <v>6.4</v>
      </c>
      <c r="CN29" s="6">
        <f>(CM29-CF29)/2</f>
        <v>3.2</v>
      </c>
      <c r="CO29" s="10"/>
      <c r="CP29" s="10"/>
      <c r="CQ29" s="10"/>
      <c r="CR29" s="6"/>
      <c r="CS29" s="6"/>
      <c r="CT29" s="6"/>
      <c r="CU29" s="6">
        <f>SUM(CN29:CT29)</f>
        <v>3.2</v>
      </c>
    </row>
    <row r="30" spans="1:99" x14ac:dyDescent="0.25">
      <c r="A30">
        <v>20</v>
      </c>
      <c r="B30" s="10" t="s">
        <v>495</v>
      </c>
      <c r="C30" s="6"/>
      <c r="D30" s="6" t="s">
        <v>70</v>
      </c>
      <c r="E30" s="6" t="s">
        <v>184</v>
      </c>
      <c r="F30" s="6"/>
      <c r="G30" s="6"/>
      <c r="H30" s="6"/>
      <c r="I30" s="6"/>
      <c r="J30" s="6"/>
      <c r="K30" s="6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6"/>
      <c r="AE30" s="10"/>
      <c r="AF30" s="10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10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6"/>
      <c r="CF30" s="6"/>
      <c r="CG30" s="10"/>
      <c r="CH30" s="10"/>
      <c r="CI30" s="10"/>
      <c r="CJ30" s="10"/>
      <c r="CK30" s="10"/>
      <c r="CL30" s="10"/>
      <c r="CM30" s="6"/>
      <c r="CN30" s="6"/>
      <c r="CO30" s="10">
        <v>2.4</v>
      </c>
      <c r="CP30" s="10"/>
      <c r="CQ30" s="10"/>
      <c r="CR30" s="6"/>
      <c r="CS30" s="6"/>
      <c r="CT30" s="6"/>
      <c r="CU30" s="6">
        <f>SUM(CN30:CT30)</f>
        <v>2.4</v>
      </c>
    </row>
    <row r="31" spans="1:99" x14ac:dyDescent="0.25">
      <c r="A31">
        <v>21</v>
      </c>
      <c r="B31" s="10" t="s">
        <v>372</v>
      </c>
      <c r="C31" s="6"/>
      <c r="D31" s="6" t="s">
        <v>70</v>
      </c>
      <c r="E31" s="6" t="s">
        <v>95</v>
      </c>
      <c r="F31" s="6"/>
      <c r="G31" s="6"/>
      <c r="H31" s="6"/>
      <c r="I31" s="6"/>
      <c r="J31" s="6"/>
      <c r="K31" s="6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6"/>
      <c r="AE31" s="10"/>
      <c r="AF31" s="10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10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6"/>
      <c r="CF31" s="6"/>
      <c r="CG31" s="10">
        <v>2.4</v>
      </c>
      <c r="CH31" s="10"/>
      <c r="CI31" s="10"/>
      <c r="CJ31" s="10"/>
      <c r="CK31" s="10"/>
      <c r="CL31" s="10"/>
      <c r="CM31" s="6">
        <f>SUM(CF31:CL31)</f>
        <v>2.4</v>
      </c>
      <c r="CN31" s="6">
        <f>(CM31-CF31)/2</f>
        <v>1.2</v>
      </c>
      <c r="CO31" s="10"/>
      <c r="CP31" s="10"/>
      <c r="CQ31" s="10"/>
      <c r="CR31" s="6"/>
      <c r="CS31" s="6"/>
      <c r="CT31" s="6"/>
      <c r="CU31" s="6">
        <f>SUM(CN31:CT31)</f>
        <v>1.2</v>
      </c>
    </row>
    <row r="32" spans="1:99" x14ac:dyDescent="0.25">
      <c r="A32">
        <v>22</v>
      </c>
      <c r="B32" s="10" t="s">
        <v>80</v>
      </c>
      <c r="C32" s="6"/>
      <c r="D32" s="6" t="s">
        <v>242</v>
      </c>
      <c r="E32" s="6" t="s">
        <v>480</v>
      </c>
      <c r="F32" s="6"/>
      <c r="G32" s="6"/>
      <c r="H32" s="6"/>
      <c r="I32" s="6"/>
      <c r="J32" s="6"/>
      <c r="K32" s="6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6"/>
      <c r="AE32" s="10"/>
      <c r="AF32" s="10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10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6"/>
      <c r="CF32" s="6"/>
      <c r="CG32" s="10">
        <v>2.4</v>
      </c>
      <c r="CH32" s="10"/>
      <c r="CI32" s="10"/>
      <c r="CJ32" s="10"/>
      <c r="CK32" s="10"/>
      <c r="CL32" s="10"/>
      <c r="CM32" s="6">
        <f>SUM(CF32:CL32)</f>
        <v>2.4</v>
      </c>
      <c r="CN32" s="6">
        <f>(CM32-CF32)/2</f>
        <v>1.2</v>
      </c>
      <c r="CO32" s="10"/>
      <c r="CP32" s="10"/>
      <c r="CQ32" s="10"/>
      <c r="CR32" s="6"/>
      <c r="CS32" s="6"/>
      <c r="CT32" s="6"/>
      <c r="CU32" s="6">
        <f>SUM(CN32:CT32)</f>
        <v>1.2</v>
      </c>
    </row>
    <row r="33" spans="1:99" x14ac:dyDescent="0.25">
      <c r="A33">
        <v>23</v>
      </c>
      <c r="B33" s="10" t="s">
        <v>312</v>
      </c>
      <c r="C33" s="6"/>
      <c r="D33" s="6" t="s">
        <v>42</v>
      </c>
      <c r="E33" s="6" t="s">
        <v>313</v>
      </c>
      <c r="F33" s="6"/>
      <c r="G33" s="6"/>
      <c r="H33" s="6"/>
      <c r="I33" s="6"/>
      <c r="J33" s="6"/>
      <c r="K33" s="6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6"/>
      <c r="AE33" s="10"/>
      <c r="AF33" s="10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10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6"/>
      <c r="CF33" s="6">
        <v>4</v>
      </c>
      <c r="CG33" s="10"/>
      <c r="CH33" s="10"/>
      <c r="CI33" s="10"/>
      <c r="CJ33" s="10"/>
      <c r="CK33" s="10"/>
      <c r="CL33" s="10"/>
      <c r="CM33" s="6">
        <f>SUM(CF33:CL33)</f>
        <v>4</v>
      </c>
      <c r="CN33" s="6">
        <f>(CM33-CF33)/2</f>
        <v>0</v>
      </c>
      <c r="CO33" s="10"/>
      <c r="CP33" s="10"/>
      <c r="CQ33" s="10"/>
      <c r="CR33" s="6"/>
      <c r="CS33" s="6"/>
      <c r="CT33" s="6"/>
      <c r="CU33" s="6">
        <f>SUM(CN33:CT33)</f>
        <v>0</v>
      </c>
    </row>
  </sheetData>
  <sortState xmlns:xlrd2="http://schemas.microsoft.com/office/spreadsheetml/2017/richdata2" ref="B11:CU33">
    <sortCondition descending="1" ref="CU11:CU33"/>
  </sortState>
  <mergeCells count="5">
    <mergeCell ref="B8:C10"/>
    <mergeCell ref="CI9:CL9"/>
    <mergeCell ref="CQ9:CT9"/>
    <mergeCell ref="D4:CU5"/>
    <mergeCell ref="B1:CU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-36</vt:lpstr>
      <vt:lpstr>-40</vt:lpstr>
      <vt:lpstr>-44</vt:lpstr>
      <vt:lpstr>-48</vt:lpstr>
      <vt:lpstr>-52</vt:lpstr>
      <vt:lpstr>-57</vt:lpstr>
      <vt:lpstr>-63</vt:lpstr>
      <vt:lpstr>-70</vt:lpstr>
      <vt:lpstr>+70</vt:lpstr>
      <vt:lpstr>-40m</vt:lpstr>
      <vt:lpstr>-45M</vt:lpstr>
      <vt:lpstr>-50M</vt:lpstr>
      <vt:lpstr>-55M</vt:lpstr>
      <vt:lpstr>-60M</vt:lpstr>
      <vt:lpstr>-66M</vt:lpstr>
      <vt:lpstr>-73M</vt:lpstr>
      <vt:lpstr>-81M</vt:lpstr>
      <vt:lpstr>+81M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</dc:creator>
  <cp:lastModifiedBy>01fejuchile 2025</cp:lastModifiedBy>
  <cp:lastPrinted>2015-03-13T14:15:56Z</cp:lastPrinted>
  <dcterms:created xsi:type="dcterms:W3CDTF">2015-01-14T22:24:54Z</dcterms:created>
  <dcterms:modified xsi:type="dcterms:W3CDTF">2026-09-02T15:34:41Z</dcterms:modified>
</cp:coreProperties>
</file>