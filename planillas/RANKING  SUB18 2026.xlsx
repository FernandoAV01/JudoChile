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5.xml" ContentType="application/vnd.ms-excel.person+xml"/>
  <Override PartName="/xl/persons/person0.xml" ContentType="application/vnd.ms-excel.person+xml"/>
  <Override PartName="/xl/persons/person21.xml" ContentType="application/vnd.ms-excel.person+xml"/>
  <Override PartName="/xl/persons/person25.xml" ContentType="application/vnd.ms-excel.person+xml"/>
  <Override PartName="/xl/persons/person41.xml" ContentType="application/vnd.ms-excel.person+xml"/>
  <Override PartName="/xl/persons/person46.xml" ContentType="application/vnd.ms-excel.person+xml"/>
  <Override PartName="/xl/persons/person10.xml" ContentType="application/vnd.ms-excel.person+xml"/>
  <Override PartName="/xl/persons/person16.xml" ContentType="application/vnd.ms-excel.person+xml"/>
  <Override PartName="/xl/persons/person31.xml" ContentType="application/vnd.ms-excel.person+xml"/>
  <Override PartName="/xl/persons/person35.xml" ContentType="application/vnd.ms-excel.person+xml"/>
  <Override PartName="/xl/persons/person51.xml" ContentType="application/vnd.ms-excel.person+xml"/>
  <Override PartName="/xl/persons/person56.xml" ContentType="application/vnd.ms-excel.person+xml"/>
  <Override PartName="/xl/persons/person38.xml" ContentType="application/vnd.ms-excel.person+xml"/>
  <Override PartName="/xl/persons/person59.xml" ContentType="application/vnd.ms-excel.person+xml"/>
  <Override PartName="/xl/persons/person53.xml" ContentType="application/vnd.ms-excel.person+xml"/>
  <Override PartName="/xl/persons/person45.xml" ContentType="application/vnd.ms-excel.person+xml"/>
  <Override PartName="/xl/persons/person37.xml" ContentType="application/vnd.ms-excel.person+xml"/>
  <Override PartName="/xl/persons/person28.xml" ContentType="application/vnd.ms-excel.person+xml"/>
  <Override PartName="/xl/persons/person24.xml" ContentType="application/vnd.ms-excel.person+xml"/>
  <Override PartName="/xl/persons/person15.xml" ContentType="application/vnd.ms-excel.person+xml"/>
  <Override PartName="/xl/persons/person11.xml" ContentType="application/vnd.ms-excel.person+xml"/>
  <Override PartName="/xl/persons/person7.xml" ContentType="application/vnd.ms-excel.person+xml"/>
  <Override PartName="/xl/persons/person2.xml" ContentType="application/vnd.ms-excel.person+xml"/>
  <Override PartName="/xl/persons/person54.xml" ContentType="application/vnd.ms-excel.person+xml"/>
  <Override PartName="/xl/persons/person.xml" ContentType="application/vnd.ms-excel.person+xml"/>
  <Override PartName="/xl/persons/person52.xml" ContentType="application/vnd.ms-excel.person+xml"/>
  <Override PartName="/xl/persons/person32.xml" ContentType="application/vnd.ms-excel.person+xml"/>
  <Override PartName="/xl/persons/person47.xml" ContentType="application/vnd.ms-excel.person+xml"/>
  <Override PartName="/xl/persons/person40.xml" ContentType="application/vnd.ms-excel.person+xml"/>
  <Override PartName="/xl/persons/person26.xml" ContentType="application/vnd.ms-excel.person+xml"/>
  <Override PartName="/xl/persons/person4.xml" ContentType="application/vnd.ms-excel.person+xml"/>
  <Override PartName="/xl/persons/person12.xml" ContentType="application/vnd.ms-excel.person+xml"/>
  <Override PartName="/xl/persons/person17.xml" ContentType="application/vnd.ms-excel.person+xml"/>
  <Override PartName="/xl/persons/person58.xml" ContentType="application/vnd.ms-excel.person+xml"/>
  <Override PartName="/xl/persons/person50.xml" ContentType="application/vnd.ms-excel.person+xml"/>
  <Override PartName="/xl/persons/person42.xml" ContentType="application/vnd.ms-excel.person+xml"/>
  <Override PartName="/xl/persons/person34.xml" ContentType="application/vnd.ms-excel.person+xml"/>
  <Override PartName="/xl/persons/person20.xml" ContentType="application/vnd.ms-excel.person+xml"/>
  <Override PartName="/xl/persons/person36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4.xml" ContentType="application/vnd.ms-excel.person+xml"/>
  <Override PartName="/xl/persons/person27.xml" ContentType="application/vnd.ms-excel.person+xml"/>
  <Override PartName="/xl/persons/person60.xml" ContentType="application/vnd.ms-excel.person+xml"/>
  <Override PartName="/xl/persons/person57.xml" ContentType="application/vnd.ms-excel.person+xml"/>
  <Override PartName="/xl/persons/person49.xml" ContentType="application/vnd.ms-excel.person+xml"/>
  <Override PartName="/xl/persons/person44.xml" ContentType="application/vnd.ms-excel.person+xml"/>
  <Override PartName="/xl/persons/person39.xml" ContentType="application/vnd.ms-excel.person+xml"/>
  <Override PartName="/xl/persons/person9.xml" ContentType="application/vnd.ms-excel.person+xml"/>
  <Override PartName="/xl/persons/person22.xml" ContentType="application/vnd.ms-excel.person+xml"/>
  <Override PartName="/xl/persons/person30.xml" ContentType="application/vnd.ms-excel.person+xml"/>
  <Override PartName="/xl/persons/person18.xml" ContentType="application/vnd.ms-excel.person+xml"/>
  <Override PartName="/xl/persons/person55.xml" ContentType="application/vnd.ms-excel.person+xml"/>
  <Override PartName="/xl/persons/person13.xml" ContentType="application/vnd.ms-excel.person+xml"/>
  <Override PartName="/xl/persons/person29.xml" ContentType="application/vnd.ms-excel.person+xml"/>
  <Override PartName="/xl/persons/person33.xml" ContentType="application/vnd.ms-excel.person+xml"/>
  <Override PartName="/xl/persons/person48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19.xml" ContentType="application/vnd.ms-excel.person+xml"/>
  <Override PartName="/xl/persons/person23.xml" ContentType="application/vnd.ms-excel.person+xml"/>
  <Override PartName="/xl/persons/person4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juc\Desktop\jo\2026\RANKING\"/>
    </mc:Choice>
  </mc:AlternateContent>
  <xr:revisionPtr revIDLastSave="0" documentId="13_ncr:1_{D1B237C6-7990-44FA-B9DD-359C159C46A5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-40" sheetId="31" r:id="rId1"/>
    <sheet name="-44" sheetId="30" r:id="rId2"/>
    <sheet name="-48" sheetId="1" r:id="rId3"/>
    <sheet name="-52" sheetId="16" r:id="rId4"/>
    <sheet name="-57" sheetId="17" r:id="rId5"/>
    <sheet name="-63" sheetId="18" r:id="rId6"/>
    <sheet name="-70" sheetId="19" r:id="rId7"/>
    <sheet name="+70" sheetId="21" r:id="rId8"/>
    <sheet name="-50" sheetId="29" r:id="rId9"/>
    <sheet name="-55" sheetId="27" r:id="rId10"/>
    <sheet name="-60" sheetId="22" r:id="rId11"/>
    <sheet name="-66" sheetId="23" r:id="rId12"/>
    <sheet name="-73" sheetId="24" r:id="rId13"/>
    <sheet name="-81" sheetId="25" r:id="rId14"/>
    <sheet name="-90" sheetId="26" r:id="rId15"/>
    <sheet name="+90" sheetId="28" r:id="rId16"/>
  </sheets>
  <calcPr calcId="191029"/>
</workbook>
</file>

<file path=xl/calcChain.xml><?xml version="1.0" encoding="utf-8"?>
<calcChain xmlns="http://schemas.openxmlformats.org/spreadsheetml/2006/main">
  <c r="CW21" i="26" l="1"/>
  <c r="CX21" i="26"/>
  <c r="CZ21" i="26"/>
  <c r="CE21" i="26"/>
  <c r="DW30" i="25"/>
  <c r="CS30" i="25"/>
  <c r="DR37" i="18"/>
  <c r="DS37" i="18" s="1"/>
  <c r="DW37" i="18" s="1"/>
  <c r="CU37" i="18"/>
  <c r="DW34" i="24"/>
  <c r="DX34" i="24" s="1"/>
  <c r="DZ34" i="24" s="1"/>
  <c r="DA34" i="24"/>
  <c r="DS85" i="22" l="1"/>
  <c r="DT85" i="22" s="1"/>
  <c r="DW85" i="22" s="1"/>
  <c r="CY85" i="22"/>
  <c r="DK33" i="17"/>
  <c r="DL33" i="17" s="1"/>
  <c r="DO33" i="17" s="1"/>
  <c r="DK37" i="17"/>
  <c r="DL37" i="17" s="1"/>
  <c r="DO37" i="17" s="1"/>
  <c r="CO33" i="17"/>
  <c r="CO37" i="17"/>
  <c r="CN15" i="28"/>
  <c r="CO15" i="28"/>
  <c r="CR15" i="28" s="1"/>
  <c r="CN17" i="28"/>
  <c r="CO17" i="28" s="1"/>
  <c r="CR17" i="28" s="1"/>
  <c r="CN18" i="28"/>
  <c r="CO18" i="28"/>
  <c r="CR18" i="28" s="1"/>
  <c r="BS15" i="28"/>
  <c r="BS17" i="28"/>
  <c r="BS18" i="28"/>
  <c r="DT74" i="23"/>
  <c r="DU74" i="23" s="1"/>
  <c r="DW74" i="23" s="1"/>
  <c r="DT75" i="23"/>
  <c r="DU75" i="23" s="1"/>
  <c r="DW75" i="23" s="1"/>
  <c r="CX75" i="23"/>
  <c r="CX74" i="23"/>
  <c r="DS68" i="22"/>
  <c r="DT68" i="22" s="1"/>
  <c r="DW68" i="22" s="1"/>
  <c r="DS82" i="22"/>
  <c r="DT82" i="22" s="1"/>
  <c r="DW82" i="22" s="1"/>
  <c r="DS83" i="22"/>
  <c r="DT83" i="22" s="1"/>
  <c r="DW83" i="22" s="1"/>
  <c r="CY68" i="22"/>
  <c r="CY82" i="22"/>
  <c r="CY83" i="22"/>
  <c r="CW39" i="22"/>
  <c r="DU61" i="27"/>
  <c r="DV61" i="27" s="1"/>
  <c r="DZ61" i="27" s="1"/>
  <c r="CW61" i="27"/>
  <c r="DU46" i="27"/>
  <c r="DV46" i="27" s="1"/>
  <c r="DZ46" i="27" s="1"/>
  <c r="CW46" i="27"/>
  <c r="CL31" i="29"/>
  <c r="CM31" i="29" s="1"/>
  <c r="CQ31" i="29" s="1"/>
  <c r="BQ31" i="29"/>
  <c r="CW20" i="26"/>
  <c r="CX20" i="26" s="1"/>
  <c r="CZ20" i="26" s="1"/>
  <c r="CE20" i="26"/>
  <c r="DW36" i="24"/>
  <c r="DX36" i="24" s="1"/>
  <c r="DZ36" i="24" s="1"/>
  <c r="DA36" i="24"/>
  <c r="DC28" i="16"/>
  <c r="DD28" i="16" s="1"/>
  <c r="DJ28" i="16" s="1"/>
  <c r="CI28" i="16"/>
  <c r="DT78" i="23"/>
  <c r="DU78" i="23" s="1"/>
  <c r="DW78" i="23" s="1"/>
  <c r="CX78" i="23"/>
  <c r="CZ23" i="21"/>
  <c r="DA23" i="21" s="1"/>
  <c r="DC23" i="21" s="1"/>
  <c r="CF23" i="21"/>
  <c r="DT77" i="23"/>
  <c r="DU77" i="23"/>
  <c r="DW77" i="23" s="1"/>
  <c r="CX77" i="23"/>
  <c r="DW29" i="25"/>
  <c r="CS29" i="25"/>
  <c r="DU44" i="27" l="1"/>
  <c r="DV44" i="27" s="1"/>
  <c r="DZ44" i="27" s="1"/>
  <c r="CW44" i="27"/>
  <c r="DR22" i="18"/>
  <c r="DS22" i="18" s="1"/>
  <c r="DW22" i="18" s="1"/>
  <c r="CU22" i="18"/>
  <c r="DK31" i="17"/>
  <c r="DL31" i="17"/>
  <c r="DO31" i="17" s="1"/>
  <c r="DK44" i="17"/>
  <c r="DL44" i="17"/>
  <c r="DO44" i="17" s="1"/>
  <c r="DK45" i="17"/>
  <c r="DL45" i="17"/>
  <c r="DO45" i="17" s="1"/>
  <c r="CO31" i="17"/>
  <c r="CO44" i="17"/>
  <c r="CO45" i="17"/>
  <c r="CQ22" i="1"/>
  <c r="CR22" i="1" s="1"/>
  <c r="CV22" i="1" s="1"/>
  <c r="BV22" i="1"/>
  <c r="DA13" i="24"/>
  <c r="DA16" i="24"/>
  <c r="DA20" i="24"/>
  <c r="DA24" i="24"/>
  <c r="DA23" i="24"/>
  <c r="DA26" i="24"/>
  <c r="DA29" i="24"/>
  <c r="DA28" i="24"/>
  <c r="DA32" i="24"/>
  <c r="DA37" i="24"/>
  <c r="DA46" i="24"/>
  <c r="DA50" i="24"/>
  <c r="DA52" i="24"/>
  <c r="DA48" i="24"/>
  <c r="DT25" i="23"/>
  <c r="DU25" i="23" s="1"/>
  <c r="DW25" i="23" s="1"/>
  <c r="DT44" i="23"/>
  <c r="DU44" i="23" s="1"/>
  <c r="DW44" i="23" s="1"/>
  <c r="DT49" i="23"/>
  <c r="DU49" i="23" s="1"/>
  <c r="DW49" i="23" s="1"/>
  <c r="CX25" i="23"/>
  <c r="CX44" i="23"/>
  <c r="CX49" i="23"/>
  <c r="DS32" i="22"/>
  <c r="DT32" i="22" s="1"/>
  <c r="DW32" i="22" s="1"/>
  <c r="DS78" i="22"/>
  <c r="DT78" i="22" s="1"/>
  <c r="DW78" i="22" s="1"/>
  <c r="CY32" i="22"/>
  <c r="CY78" i="22"/>
  <c r="CB11" i="16"/>
  <c r="AP12" i="30"/>
  <c r="AP11" i="30"/>
  <c r="CI24" i="16"/>
  <c r="DC24" i="16"/>
  <c r="DD24" i="16" s="1"/>
  <c r="DJ24" i="16" s="1"/>
  <c r="DR36" i="18"/>
  <c r="DS36" i="18" s="1"/>
  <c r="DW36" i="18" s="1"/>
  <c r="CU36" i="18"/>
  <c r="DK48" i="17"/>
  <c r="DL48" i="17" s="1"/>
  <c r="DO48" i="17" s="1"/>
  <c r="CO48" i="17"/>
  <c r="AL16" i="30"/>
  <c r="AM16" i="30"/>
  <c r="AP16" i="30" s="1"/>
  <c r="AG16" i="30"/>
  <c r="DW32" i="24"/>
  <c r="DX32" i="24" s="1"/>
  <c r="DZ32" i="24" s="1"/>
  <c r="CX29" i="23"/>
  <c r="DT29" i="23"/>
  <c r="DU29" i="23" s="1"/>
  <c r="DW29" i="23" s="1"/>
  <c r="DS53" i="22"/>
  <c r="DT53" i="22" s="1"/>
  <c r="DW53" i="22" s="1"/>
  <c r="DS79" i="22"/>
  <c r="DT79" i="22" s="1"/>
  <c r="DW79" i="22" s="1"/>
  <c r="CY53" i="22"/>
  <c r="CY79" i="22"/>
  <c r="DU57" i="27"/>
  <c r="DV57" i="27" s="1"/>
  <c r="DZ57" i="27" s="1"/>
  <c r="DU58" i="27"/>
  <c r="DV58" i="27" s="1"/>
  <c r="DZ58" i="27" s="1"/>
  <c r="CW57" i="27"/>
  <c r="CW58" i="27"/>
  <c r="CL30" i="29"/>
  <c r="CM30" i="29" s="1"/>
  <c r="CQ30" i="29" s="1"/>
  <c r="BQ30" i="29"/>
  <c r="DW39" i="25"/>
  <c r="CS39" i="25"/>
  <c r="DW50" i="24"/>
  <c r="DX50" i="24" s="1"/>
  <c r="DZ50" i="24" s="1"/>
  <c r="DU32" i="27"/>
  <c r="DV32" i="27" s="1"/>
  <c r="DZ32" i="27" s="1"/>
  <c r="DU36" i="27"/>
  <c r="DV36" i="27" s="1"/>
  <c r="DZ36" i="27" s="1"/>
  <c r="CW32" i="27"/>
  <c r="CW36" i="27"/>
  <c r="CL26" i="29"/>
  <c r="CM26" i="29" s="1"/>
  <c r="CQ26" i="29" s="1"/>
  <c r="BQ26" i="29"/>
  <c r="DK46" i="17"/>
  <c r="DL46" i="17" s="1"/>
  <c r="DO46" i="17" s="1"/>
  <c r="DK47" i="17"/>
  <c r="DL47" i="17" s="1"/>
  <c r="DO47" i="17" s="1"/>
  <c r="CO46" i="17"/>
  <c r="CO47" i="17"/>
  <c r="DC34" i="16"/>
  <c r="DD34" i="16" s="1"/>
  <c r="DJ34" i="16" s="1"/>
  <c r="CI34" i="16"/>
  <c r="DC30" i="16"/>
  <c r="DD30" i="16" s="1"/>
  <c r="DJ30" i="16" s="1"/>
  <c r="DC31" i="16"/>
  <c r="DD31" i="16" s="1"/>
  <c r="DJ31" i="16" s="1"/>
  <c r="CI30" i="16"/>
  <c r="CI31" i="16"/>
  <c r="CN14" i="28"/>
  <c r="CO14" i="28" s="1"/>
  <c r="CR14" i="28" s="1"/>
  <c r="BS14" i="28"/>
  <c r="DW26" i="24"/>
  <c r="DX26" i="24" s="1"/>
  <c r="DZ26" i="24" s="1"/>
  <c r="DW28" i="24"/>
  <c r="DX28" i="24" s="1"/>
  <c r="DZ28" i="24" s="1"/>
  <c r="DT36" i="23"/>
  <c r="DU36" i="23" s="1"/>
  <c r="DW36" i="23" s="1"/>
  <c r="DT71" i="23"/>
  <c r="DU71" i="23" s="1"/>
  <c r="DW71" i="23" s="1"/>
  <c r="CX36" i="23"/>
  <c r="CX71" i="23"/>
  <c r="CY34" i="22"/>
  <c r="DS34" i="22"/>
  <c r="DT34" i="22" s="1"/>
  <c r="DW34" i="22" s="1"/>
  <c r="BO17" i="1"/>
  <c r="DU26" i="27"/>
  <c r="DV26" i="27" s="1"/>
  <c r="DZ26" i="27" s="1"/>
  <c r="CW26" i="27"/>
  <c r="CS46" i="25"/>
  <c r="DW46" i="25"/>
  <c r="CP25" i="27"/>
  <c r="DU25" i="27" l="1"/>
  <c r="DV25" i="27" s="1"/>
  <c r="DZ25" i="27" s="1"/>
  <c r="CW25" i="27"/>
  <c r="CN20" i="18"/>
  <c r="CR18" i="22" l="1"/>
  <c r="DS23" i="22"/>
  <c r="DT23" i="22" s="1"/>
  <c r="DW23" i="22" s="1"/>
  <c r="CR23" i="22"/>
  <c r="CY23" i="22" s="1"/>
  <c r="CH20" i="17"/>
  <c r="CT18" i="24"/>
  <c r="DA18" i="24" s="1"/>
  <c r="BO15" i="1"/>
  <c r="BS17" i="19"/>
  <c r="CT17" i="24"/>
  <c r="DA17" i="24" s="1"/>
  <c r="CQ51" i="23"/>
  <c r="CQ12" i="23"/>
  <c r="CP20" i="27"/>
  <c r="CT20" i="19"/>
  <c r="CU20" i="19" s="1"/>
  <c r="CX20" i="19" s="1"/>
  <c r="BZ20" i="19"/>
  <c r="DR20" i="18"/>
  <c r="DS20" i="18" s="1"/>
  <c r="DW20" i="18" s="1"/>
  <c r="CU20" i="18"/>
  <c r="DC18" i="16"/>
  <c r="DD18" i="16" s="1"/>
  <c r="DJ18" i="16" s="1"/>
  <c r="CI18" i="16"/>
  <c r="CQ19" i="1"/>
  <c r="CR19" i="1" s="1"/>
  <c r="CV19" i="1" s="1"/>
  <c r="BV19" i="1"/>
  <c r="DT65" i="23"/>
  <c r="DU65" i="23" s="1"/>
  <c r="DW65" i="23" s="1"/>
  <c r="CX65" i="23"/>
  <c r="DS18" i="22" l="1"/>
  <c r="DT18" i="22" s="1"/>
  <c r="DW18" i="22" s="1"/>
  <c r="CY18" i="22"/>
  <c r="CW22" i="27"/>
  <c r="CW27" i="27"/>
  <c r="CW33" i="27"/>
  <c r="DU22" i="27"/>
  <c r="DV22" i="27" s="1"/>
  <c r="DZ22" i="27" s="1"/>
  <c r="DU27" i="27"/>
  <c r="DV27" i="27" s="1"/>
  <c r="DZ27" i="27" s="1"/>
  <c r="DU33" i="27"/>
  <c r="DV33" i="27" s="1"/>
  <c r="DZ33" i="27" s="1"/>
  <c r="CL14" i="25"/>
  <c r="BO25" i="1"/>
  <c r="BL11" i="28" l="1"/>
  <c r="DU47" i="27"/>
  <c r="DV47" i="27" s="1"/>
  <c r="DZ47" i="27" s="1"/>
  <c r="CP47" i="27"/>
  <c r="CW47" i="27"/>
  <c r="CR17" i="22"/>
  <c r="CY17" i="22" s="1"/>
  <c r="CP14" i="27"/>
  <c r="CW14" i="27" s="1"/>
  <c r="CR19" i="22"/>
  <c r="CY19" i="22" s="1"/>
  <c r="CP35" i="27"/>
  <c r="CW35" i="27" s="1"/>
  <c r="CG65" i="27"/>
  <c r="CH65" i="27" s="1"/>
  <c r="CO65" i="27" s="1"/>
  <c r="CP65" i="27" s="1"/>
  <c r="CW65" i="27" s="1"/>
  <c r="CG66" i="27"/>
  <c r="DF66" i="27" s="1"/>
  <c r="DO66" i="27" s="1"/>
  <c r="DP66" i="27" s="1"/>
  <c r="DU66" i="27" s="1"/>
  <c r="DV66" i="27" s="1"/>
  <c r="DZ66" i="27" s="1"/>
  <c r="CG67" i="27"/>
  <c r="DF67" i="27" s="1"/>
  <c r="DO67" i="27" s="1"/>
  <c r="DP67" i="27" s="1"/>
  <c r="DU67" i="27" s="1"/>
  <c r="DV67" i="27" s="1"/>
  <c r="DZ67" i="27" s="1"/>
  <c r="CG68" i="27"/>
  <c r="DF68" i="27" s="1"/>
  <c r="DO68" i="27" s="1"/>
  <c r="DP68" i="27" s="1"/>
  <c r="DU68" i="27" s="1"/>
  <c r="DV68" i="27" s="1"/>
  <c r="DZ68" i="27" s="1"/>
  <c r="BE69" i="27"/>
  <c r="CG70" i="27"/>
  <c r="DF70" i="27" s="1"/>
  <c r="DO70" i="27" s="1"/>
  <c r="DP70" i="27" s="1"/>
  <c r="DU70" i="27" s="1"/>
  <c r="DV70" i="27" s="1"/>
  <c r="DZ70" i="27" s="1"/>
  <c r="CG71" i="27"/>
  <c r="CH71" i="27" s="1"/>
  <c r="CO71" i="27" s="1"/>
  <c r="CP71" i="27" s="1"/>
  <c r="CW71" i="27" s="1"/>
  <c r="DU35" i="27"/>
  <c r="DV35" i="27" s="1"/>
  <c r="DZ35" i="27" s="1"/>
  <c r="CH13" i="17"/>
  <c r="Z13" i="30"/>
  <c r="AG13" i="30" s="1"/>
  <c r="CN11" i="28"/>
  <c r="CO11" i="28" s="1"/>
  <c r="CR11" i="28" s="1"/>
  <c r="BS11" i="28"/>
  <c r="DW25" i="24"/>
  <c r="DX25" i="24" s="1"/>
  <c r="DZ25" i="24" s="1"/>
  <c r="DW17" i="24"/>
  <c r="DX17" i="24" s="1"/>
  <c r="DZ17" i="24" s="1"/>
  <c r="DT12" i="23"/>
  <c r="DU12" i="23" s="1"/>
  <c r="DW12" i="23" s="1"/>
  <c r="DT56" i="23"/>
  <c r="DU56" i="23" s="1"/>
  <c r="DW56" i="23" s="1"/>
  <c r="DT51" i="23"/>
  <c r="DU51" i="23" s="1"/>
  <c r="DW51" i="23" s="1"/>
  <c r="CX51" i="23"/>
  <c r="CX56" i="23"/>
  <c r="CX12" i="23"/>
  <c r="DS36" i="22"/>
  <c r="DT36" i="22" s="1"/>
  <c r="DW36" i="22" s="1"/>
  <c r="DS17" i="22"/>
  <c r="DT17" i="22" s="1"/>
  <c r="DW17" i="22" s="1"/>
  <c r="DS57" i="22"/>
  <c r="DT57" i="22" s="1"/>
  <c r="DW57" i="22" s="1"/>
  <c r="DS60" i="22"/>
  <c r="DT60" i="22" s="1"/>
  <c r="DW60" i="22" s="1"/>
  <c r="DS49" i="22"/>
  <c r="DT49" i="22" s="1"/>
  <c r="DW49" i="22" s="1"/>
  <c r="DS19" i="22"/>
  <c r="DT19" i="22" s="1"/>
  <c r="DW19" i="22" s="1"/>
  <c r="DS74" i="22"/>
  <c r="DT74" i="22" s="1"/>
  <c r="DW74" i="22" s="1"/>
  <c r="CY74" i="22"/>
  <c r="CY49" i="22"/>
  <c r="CY60" i="22"/>
  <c r="CY57" i="22"/>
  <c r="CY36" i="22"/>
  <c r="DU34" i="27"/>
  <c r="DV34" i="27" s="1"/>
  <c r="DZ34" i="27" s="1"/>
  <c r="DU14" i="27"/>
  <c r="DV14" i="27" s="1"/>
  <c r="DZ14" i="27" s="1"/>
  <c r="DU20" i="27"/>
  <c r="DV20" i="27" s="1"/>
  <c r="DZ20" i="27" s="1"/>
  <c r="CW20" i="27"/>
  <c r="CL13" i="29"/>
  <c r="CM13" i="29" s="1"/>
  <c r="CQ13" i="29" s="1"/>
  <c r="CL28" i="29"/>
  <c r="CM28" i="29" s="1"/>
  <c r="CQ28" i="29" s="1"/>
  <c r="BQ13" i="29"/>
  <c r="BQ28" i="29"/>
  <c r="CT27" i="19"/>
  <c r="CU27" i="19" s="1"/>
  <c r="CX27" i="19" s="1"/>
  <c r="BZ27" i="19"/>
  <c r="DK14" i="17"/>
  <c r="DL14" i="17" s="1"/>
  <c r="DO14" i="17" s="1"/>
  <c r="DK17" i="17"/>
  <c r="DL17" i="17" s="1"/>
  <c r="DO17" i="17" s="1"/>
  <c r="DK13" i="17"/>
  <c r="DL13" i="17" s="1"/>
  <c r="DO13" i="17" s="1"/>
  <c r="CO13" i="17"/>
  <c r="CQ33" i="1"/>
  <c r="CR33" i="1" s="1"/>
  <c r="CV33" i="1" s="1"/>
  <c r="BV33" i="1"/>
  <c r="AL12" i="30"/>
  <c r="AM12" i="30" s="1"/>
  <c r="AL13" i="30"/>
  <c r="AM13" i="30" s="1"/>
  <c r="AP13" i="30" s="1"/>
  <c r="AL15" i="30"/>
  <c r="AM15" i="30" s="1"/>
  <c r="AP15" i="30" s="1"/>
  <c r="AG15" i="30"/>
  <c r="AG12" i="30"/>
  <c r="CH17" i="17"/>
  <c r="CO17" i="17" s="1"/>
  <c r="CP34" i="27"/>
  <c r="CW34" i="27" s="1"/>
  <c r="CT25" i="24"/>
  <c r="DA25" i="24" s="1"/>
  <c r="BJ20" i="29"/>
  <c r="BY13" i="21"/>
  <c r="DC21" i="16"/>
  <c r="DD21" i="16" s="1"/>
  <c r="DJ21" i="16" s="1"/>
  <c r="CB21" i="16"/>
  <c r="BJ11" i="29"/>
  <c r="CY69" i="27" l="1"/>
  <c r="DD69" i="27" s="1"/>
  <c r="DE69" i="27" s="1"/>
  <c r="BF69" i="27"/>
  <c r="CG69" i="27" s="1"/>
  <c r="DF65" i="27"/>
  <c r="DO65" i="27" s="1"/>
  <c r="DP65" i="27" s="1"/>
  <c r="DU65" i="27" s="1"/>
  <c r="DV65" i="27" s="1"/>
  <c r="DZ65" i="27" s="1"/>
  <c r="CH70" i="27"/>
  <c r="CO70" i="27" s="1"/>
  <c r="CP70" i="27" s="1"/>
  <c r="CW70" i="27" s="1"/>
  <c r="CH67" i="27"/>
  <c r="CO67" i="27" s="1"/>
  <c r="CP67" i="27" s="1"/>
  <c r="CW67" i="27" s="1"/>
  <c r="CH68" i="27"/>
  <c r="CO68" i="27" s="1"/>
  <c r="CP68" i="27" s="1"/>
  <c r="CW68" i="27" s="1"/>
  <c r="CH66" i="27"/>
  <c r="CO66" i="27" s="1"/>
  <c r="CP66" i="27" s="1"/>
  <c r="CW66" i="27" s="1"/>
  <c r="DF71" i="27"/>
  <c r="DO71" i="27" s="1"/>
  <c r="DP71" i="27" s="1"/>
  <c r="DU71" i="27" s="1"/>
  <c r="DV71" i="27" s="1"/>
  <c r="DZ71" i="27" s="1"/>
  <c r="CR13" i="22"/>
  <c r="CH14" i="17"/>
  <c r="CO14" i="17" s="1"/>
  <c r="CR38" i="22"/>
  <c r="DK53" i="17"/>
  <c r="DL53" i="17" s="1"/>
  <c r="DO53" i="17" s="1"/>
  <c r="CQ26" i="1"/>
  <c r="CR26" i="1" s="1"/>
  <c r="CV26" i="1" s="1"/>
  <c r="BV26" i="1"/>
  <c r="DF69" i="27" l="1"/>
  <c r="DO69" i="27" s="1"/>
  <c r="DP69" i="27" s="1"/>
  <c r="DU69" i="27" s="1"/>
  <c r="DV69" i="27" s="1"/>
  <c r="DZ69" i="27" s="1"/>
  <c r="CH69" i="27"/>
  <c r="CO69" i="27" s="1"/>
  <c r="CP69" i="27" s="1"/>
  <c r="CW69" i="27" s="1"/>
  <c r="DR18" i="18"/>
  <c r="DS18" i="18" s="1"/>
  <c r="DW18" i="18" s="1"/>
  <c r="CU18" i="18"/>
  <c r="DW20" i="24"/>
  <c r="DX20" i="24" s="1"/>
  <c r="DZ20" i="24" s="1"/>
  <c r="DW37" i="24"/>
  <c r="DX37" i="24" s="1"/>
  <c r="DZ37" i="24" s="1"/>
  <c r="DT35" i="23"/>
  <c r="DU35" i="23" s="1"/>
  <c r="DW35" i="23" s="1"/>
  <c r="DT45" i="23"/>
  <c r="DU45" i="23" s="1"/>
  <c r="DW45" i="23" s="1"/>
  <c r="CX45" i="23"/>
  <c r="CX35" i="23"/>
  <c r="DR32" i="25"/>
  <c r="DS32" i="25" s="1"/>
  <c r="DW32" i="25" s="1"/>
  <c r="DR37" i="25"/>
  <c r="DS37" i="25" s="1"/>
  <c r="DW37" i="25" s="1"/>
  <c r="CS37" i="25"/>
  <c r="CS32" i="25"/>
  <c r="CO53" i="17"/>
  <c r="DT39" i="23"/>
  <c r="DU39" i="23" s="1"/>
  <c r="DW39" i="23" s="1"/>
  <c r="CX39" i="23"/>
  <c r="CI21" i="16" l="1"/>
  <c r="DS33" i="22"/>
  <c r="DT33" i="22" s="1"/>
  <c r="DW33" i="22" s="1"/>
  <c r="DS43" i="22"/>
  <c r="DT43" i="22" s="1"/>
  <c r="DW43" i="22" s="1"/>
  <c r="CY43" i="22"/>
  <c r="DR17" i="25"/>
  <c r="DS17" i="25" s="1"/>
  <c r="DW17" i="25" s="1"/>
  <c r="CS17" i="25"/>
  <c r="DK25" i="17"/>
  <c r="DL25" i="17" s="1"/>
  <c r="DO25" i="17" s="1"/>
  <c r="CO25" i="17"/>
  <c r="AL17" i="30"/>
  <c r="AM17" i="30"/>
  <c r="AP17" i="30" s="1"/>
  <c r="AG17" i="30"/>
  <c r="DU37" i="27"/>
  <c r="DV37" i="27" s="1"/>
  <c r="DZ37" i="27" s="1"/>
  <c r="DU43" i="27"/>
  <c r="DV43" i="27" s="1"/>
  <c r="DZ43" i="27" s="1"/>
  <c r="DU60" i="27"/>
  <c r="DV60" i="27" s="1"/>
  <c r="DZ60" i="27" s="1"/>
  <c r="CW60" i="27"/>
  <c r="CW43" i="27"/>
  <c r="CW37" i="27"/>
  <c r="CW25" i="26"/>
  <c r="CX25" i="26" s="1"/>
  <c r="CZ25" i="26" s="1"/>
  <c r="CE25" i="26"/>
  <c r="DT58" i="23"/>
  <c r="DU58" i="23" s="1"/>
  <c r="DW58" i="23" s="1"/>
  <c r="DT42" i="23"/>
  <c r="DU42" i="23" s="1"/>
  <c r="DW42" i="23" s="1"/>
  <c r="CX42" i="23"/>
  <c r="CY33" i="22"/>
  <c r="CZ27" i="21"/>
  <c r="DA27" i="21" s="1"/>
  <c r="DC27" i="21" s="1"/>
  <c r="CF27" i="21"/>
  <c r="DR31" i="25"/>
  <c r="DS31" i="25" s="1"/>
  <c r="DW31" i="25" s="1"/>
  <c r="DR26" i="25"/>
  <c r="DS26" i="25"/>
  <c r="DW26" i="25" s="1"/>
  <c r="CS31" i="25"/>
  <c r="CS26" i="25"/>
  <c r="DR31" i="18"/>
  <c r="DS31" i="18" s="1"/>
  <c r="DW31" i="18" s="1"/>
  <c r="CU31" i="18"/>
  <c r="CZ13" i="21"/>
  <c r="DA13" i="21" s="1"/>
  <c r="DC13" i="21" s="1"/>
  <c r="CF13" i="21"/>
  <c r="DK28" i="17"/>
  <c r="DL28" i="17" s="1"/>
  <c r="DO28" i="17" s="1"/>
  <c r="DK27" i="17"/>
  <c r="DL27" i="17" s="1"/>
  <c r="DO27" i="17" s="1"/>
  <c r="CO27" i="17"/>
  <c r="CO28" i="17"/>
  <c r="CL20" i="29"/>
  <c r="CM20" i="29" s="1"/>
  <c r="CQ20" i="29" s="1"/>
  <c r="BQ20" i="29"/>
  <c r="CQ23" i="1"/>
  <c r="CR23" i="1" s="1"/>
  <c r="CV23" i="1" s="1"/>
  <c r="BV23" i="1"/>
  <c r="DS30" i="22"/>
  <c r="DT30" i="22" s="1"/>
  <c r="DW30" i="22" s="1"/>
  <c r="DS26" i="22"/>
  <c r="DT26" i="22" s="1"/>
  <c r="DW26" i="22" s="1"/>
  <c r="DS72" i="22"/>
  <c r="DT72" i="22" s="1"/>
  <c r="DW72" i="22" s="1"/>
  <c r="CY72" i="22"/>
  <c r="CY26" i="22"/>
  <c r="CY30" i="22"/>
  <c r="DR23" i="18"/>
  <c r="DS23" i="18" s="1"/>
  <c r="DW23" i="18" s="1"/>
  <c r="CU23" i="18"/>
  <c r="DW16" i="24"/>
  <c r="DX16" i="24" s="1"/>
  <c r="DZ16" i="24" s="1"/>
  <c r="DW24" i="24"/>
  <c r="DX24" i="24" s="1"/>
  <c r="DZ24" i="24" s="1"/>
  <c r="DW46" i="24"/>
  <c r="DX46" i="24" s="1"/>
  <c r="DZ46" i="24" s="1"/>
  <c r="DR33" i="18"/>
  <c r="DS33" i="18" s="1"/>
  <c r="DW33" i="18" s="1"/>
  <c r="CU33" i="18"/>
  <c r="CT24" i="19"/>
  <c r="CU24" i="19" s="1"/>
  <c r="CX24" i="19" s="1"/>
  <c r="BZ24" i="19"/>
  <c r="DK20" i="17"/>
  <c r="DL20" i="17" s="1"/>
  <c r="DO20" i="17" s="1"/>
  <c r="DK50" i="17"/>
  <c r="DL50" i="17" s="1"/>
  <c r="DO50" i="17" s="1"/>
  <c r="CO50" i="17"/>
  <c r="CO20" i="17"/>
  <c r="CQ17" i="1"/>
  <c r="CR17" i="1" s="1"/>
  <c r="CV17" i="1" s="1"/>
  <c r="BV17" i="1"/>
  <c r="AL18" i="30"/>
  <c r="AM18" i="30" s="1"/>
  <c r="AP18" i="30" s="1"/>
  <c r="AG18" i="30"/>
  <c r="DR28" i="25"/>
  <c r="DS28" i="25" s="1"/>
  <c r="DW28" i="25" s="1"/>
  <c r="CS28" i="25"/>
  <c r="DS29" i="22"/>
  <c r="DT29" i="22" s="1"/>
  <c r="DW29" i="22" s="1"/>
  <c r="DS84" i="22"/>
  <c r="DT84" i="22" s="1"/>
  <c r="DW84" i="22" s="1"/>
  <c r="CY84" i="22"/>
  <c r="CY29" i="22"/>
  <c r="DR14" i="18"/>
  <c r="DS14" i="18" s="1"/>
  <c r="DW14" i="18" s="1"/>
  <c r="DR26" i="18"/>
  <c r="DS26" i="18" s="1"/>
  <c r="DW26" i="18" s="1"/>
  <c r="CU14" i="18"/>
  <c r="CU26" i="18"/>
  <c r="DK18" i="17"/>
  <c r="DL18" i="17" s="1"/>
  <c r="DO18" i="17" s="1"/>
  <c r="DK36" i="17"/>
  <c r="DL36" i="17" s="1"/>
  <c r="DO36" i="17" s="1"/>
  <c r="CO18" i="17"/>
  <c r="CO36" i="17"/>
  <c r="DC11" i="16"/>
  <c r="DD11" i="16" s="1"/>
  <c r="DJ11" i="16" s="1"/>
  <c r="DC17" i="16"/>
  <c r="DD17" i="16" s="1"/>
  <c r="DJ17" i="16" s="1"/>
  <c r="CI11" i="16"/>
  <c r="CI17" i="16"/>
  <c r="CQ16" i="1"/>
  <c r="CR16" i="1" s="1"/>
  <c r="CV16" i="1" s="1"/>
  <c r="BV16" i="1"/>
  <c r="CW18" i="26" l="1"/>
  <c r="CX18" i="26" s="1"/>
  <c r="CZ18" i="26" s="1"/>
  <c r="CW17" i="26"/>
  <c r="CX17" i="26" s="1"/>
  <c r="CZ17" i="26" s="1"/>
  <c r="CE18" i="26"/>
  <c r="CE17" i="26"/>
  <c r="CX58" i="23"/>
  <c r="DW13" i="24" l="1"/>
  <c r="DX13" i="24" s="1"/>
  <c r="DZ13" i="24" s="1"/>
  <c r="DW29" i="24"/>
  <c r="DX29" i="24" s="1"/>
  <c r="DZ29" i="24" s="1"/>
  <c r="DW52" i="24"/>
  <c r="DX52" i="24" s="1"/>
  <c r="DZ52" i="24" s="1"/>
  <c r="DW48" i="24"/>
  <c r="DX48" i="24" s="1"/>
  <c r="DZ48" i="24" s="1"/>
  <c r="DT48" i="23"/>
  <c r="DU48" i="23" s="1"/>
  <c r="DW48" i="23" s="1"/>
  <c r="DT55" i="23"/>
  <c r="DU55" i="23" s="1"/>
  <c r="DW55" i="23" s="1"/>
  <c r="DT28" i="23"/>
  <c r="DU28" i="23" s="1"/>
  <c r="DW28" i="23" s="1"/>
  <c r="DT26" i="23"/>
  <c r="DU26" i="23" s="1"/>
  <c r="DW26" i="23" s="1"/>
  <c r="DT73" i="23"/>
  <c r="DU73" i="23" s="1"/>
  <c r="DW73" i="23" s="1"/>
  <c r="CX73" i="23"/>
  <c r="CX26" i="23"/>
  <c r="CX48" i="23"/>
  <c r="CX55" i="23"/>
  <c r="CX28" i="23"/>
  <c r="DS39" i="22"/>
  <c r="DT39" i="22" s="1"/>
  <c r="DW39" i="22" s="1"/>
  <c r="DS38" i="22"/>
  <c r="DT38" i="22" s="1"/>
  <c r="DW38" i="22" s="1"/>
  <c r="DS64" i="22"/>
  <c r="DT64" i="22" s="1"/>
  <c r="DW64" i="22" s="1"/>
  <c r="CY39" i="22"/>
  <c r="CY38" i="22"/>
  <c r="CY64" i="22"/>
  <c r="DU30" i="27"/>
  <c r="DV30" i="27" s="1"/>
  <c r="DZ30" i="27" s="1"/>
  <c r="DU24" i="27"/>
  <c r="DV24" i="27" s="1"/>
  <c r="DZ24" i="27" s="1"/>
  <c r="DU39" i="27"/>
  <c r="DV39" i="27" s="1"/>
  <c r="DZ39" i="27" s="1"/>
  <c r="DU42" i="27"/>
  <c r="DV42" i="27" s="1"/>
  <c r="DZ42" i="27" s="1"/>
  <c r="CW30" i="27"/>
  <c r="CW24" i="27"/>
  <c r="CW39" i="27"/>
  <c r="CW42" i="27"/>
  <c r="CL24" i="29"/>
  <c r="CM24" i="29" s="1"/>
  <c r="CQ24" i="29" s="1"/>
  <c r="CL11" i="29"/>
  <c r="CM11" i="29" s="1"/>
  <c r="CQ11" i="29" s="1"/>
  <c r="BQ11" i="29"/>
  <c r="BQ24" i="29"/>
  <c r="DK24" i="17"/>
  <c r="DL24" i="17" s="1"/>
  <c r="DO24" i="17" s="1"/>
  <c r="CO24" i="17"/>
  <c r="DR14" i="25"/>
  <c r="DS14" i="25" s="1"/>
  <c r="DW14" i="25" s="1"/>
  <c r="CS14" i="25"/>
  <c r="CT17" i="19"/>
  <c r="CU17" i="19" s="1"/>
  <c r="CX17" i="19" s="1"/>
  <c r="BZ17" i="19"/>
  <c r="CT23" i="19"/>
  <c r="DR32" i="18"/>
  <c r="DS32" i="18" s="1"/>
  <c r="DW32" i="18" s="1"/>
  <c r="CU32" i="18"/>
  <c r="DW18" i="24"/>
  <c r="DX18" i="24" s="1"/>
  <c r="DZ18" i="24" s="1"/>
  <c r="DT52" i="23"/>
  <c r="DU52" i="23" s="1"/>
  <c r="DW52" i="23" s="1"/>
  <c r="DT46" i="23"/>
  <c r="DU46" i="23" s="1"/>
  <c r="DW46" i="23" s="1"/>
  <c r="CX46" i="23"/>
  <c r="CX52" i="23"/>
  <c r="DS24" i="22"/>
  <c r="DT24" i="22" s="1"/>
  <c r="DW24" i="22" s="1"/>
  <c r="DS13" i="22"/>
  <c r="DT13" i="22" s="1"/>
  <c r="DW13" i="22" s="1"/>
  <c r="CY24" i="22"/>
  <c r="CY13" i="22"/>
  <c r="DU23" i="27"/>
  <c r="DV23" i="27" s="1"/>
  <c r="DZ23" i="27" s="1"/>
  <c r="DU55" i="27"/>
  <c r="DV55" i="27" s="1"/>
  <c r="DZ55" i="27" s="1"/>
  <c r="CW23" i="27"/>
  <c r="CW55" i="27"/>
  <c r="CL16" i="29"/>
  <c r="CM16" i="29" s="1"/>
  <c r="CQ16" i="29" s="1"/>
  <c r="CL19" i="29"/>
  <c r="CM19" i="29" s="1"/>
  <c r="CQ19" i="29" s="1"/>
  <c r="BQ16" i="29"/>
  <c r="BQ19" i="29"/>
  <c r="CQ15" i="1"/>
  <c r="CR15" i="1" s="1"/>
  <c r="CV15" i="1" s="1"/>
  <c r="CQ25" i="1"/>
  <c r="CR25" i="1" s="1"/>
  <c r="CV25" i="1" s="1"/>
  <c r="BV15" i="1"/>
  <c r="BV25" i="1"/>
  <c r="DC23" i="16"/>
  <c r="DD23" i="16" s="1"/>
  <c r="DJ23" i="16" s="1"/>
  <c r="CI23" i="16"/>
  <c r="CT38" i="24"/>
  <c r="DA38" i="24" s="1"/>
  <c r="CN17" i="18"/>
  <c r="CR58" i="22"/>
  <c r="DW38" i="24" l="1"/>
  <c r="DX38" i="24" s="1"/>
  <c r="DZ38" i="24" s="1"/>
  <c r="DR17" i="18"/>
  <c r="DS17" i="18" s="1"/>
  <c r="DW17" i="18" s="1"/>
  <c r="CU17" i="18"/>
  <c r="DS58" i="22"/>
  <c r="DT58" i="22" s="1"/>
  <c r="DW58" i="22" s="1"/>
  <c r="CY58" i="22"/>
  <c r="DW23" i="24" l="1"/>
  <c r="DX23" i="24" s="1"/>
  <c r="DZ23" i="24" s="1"/>
  <c r="DT37" i="23"/>
  <c r="DU37" i="23" s="1"/>
  <c r="DW37" i="23" s="1"/>
  <c r="DT43" i="23"/>
  <c r="DU43" i="23" s="1"/>
  <c r="DW43" i="23" s="1"/>
  <c r="CX37" i="23"/>
  <c r="CX43" i="23"/>
  <c r="DS81" i="22"/>
  <c r="DT81" i="22" s="1"/>
  <c r="DW81" i="22" s="1"/>
  <c r="CY81" i="22"/>
  <c r="CY44" i="22"/>
  <c r="DS44" i="22"/>
  <c r="DT44" i="22" s="1"/>
  <c r="DW44" i="22" s="1"/>
  <c r="DU18" i="27"/>
  <c r="DV18" i="27" s="1"/>
  <c r="DZ18" i="27" s="1"/>
  <c r="CW18" i="27"/>
  <c r="CL21" i="29"/>
  <c r="CM21" i="29" s="1"/>
  <c r="CQ21" i="29" s="1"/>
  <c r="BQ21" i="29"/>
  <c r="BZ23" i="19"/>
  <c r="DK26" i="17"/>
  <c r="DL26" i="17" s="1"/>
  <c r="DO26" i="17" s="1"/>
  <c r="DK52" i="17"/>
  <c r="DL52" i="17" s="1"/>
  <c r="DO52" i="17" s="1"/>
  <c r="CO26" i="17"/>
  <c r="CO52" i="17"/>
  <c r="DC26" i="16"/>
  <c r="DD26" i="16" s="1"/>
  <c r="DJ26" i="16" s="1"/>
  <c r="CI26" i="16"/>
  <c r="CQ24" i="1"/>
  <c r="CR24" i="1" s="1"/>
  <c r="CV24" i="1" s="1"/>
  <c r="BV24" i="1"/>
  <c r="AQ11" i="31" l="1"/>
  <c r="AO11" i="31"/>
  <c r="AG12" i="31" l="1"/>
  <c r="AG11" i="31"/>
  <c r="Z11" i="31"/>
  <c r="CZ16" i="21" l="1"/>
  <c r="DA16" i="21" s="1"/>
  <c r="DC16" i="21" s="1"/>
  <c r="CZ15" i="21"/>
  <c r="DA15" i="21" s="1"/>
  <c r="DC15" i="21" s="1"/>
  <c r="CZ20" i="21"/>
  <c r="DA20" i="21" s="1"/>
  <c r="DC20" i="21" s="1"/>
  <c r="CZ24" i="21"/>
  <c r="DA24" i="21" s="1"/>
  <c r="DC24" i="21" s="1"/>
  <c r="CZ14" i="21"/>
  <c r="DA14" i="21" s="1"/>
  <c r="DC14" i="21" s="1"/>
  <c r="CT15" i="19"/>
  <c r="CU15" i="19" s="1"/>
  <c r="CX15" i="19" s="1"/>
  <c r="CT13" i="19"/>
  <c r="CU13" i="19" s="1"/>
  <c r="CX13" i="19" s="1"/>
  <c r="CT14" i="19"/>
  <c r="CU14" i="19" s="1"/>
  <c r="CX14" i="19" s="1"/>
  <c r="CT12" i="19"/>
  <c r="CU12" i="19" s="1"/>
  <c r="CX12" i="19" s="1"/>
  <c r="DR21" i="18"/>
  <c r="DS21" i="18" s="1"/>
  <c r="DW21" i="18" s="1"/>
  <c r="DR16" i="18"/>
  <c r="DS16" i="18" s="1"/>
  <c r="DW16" i="18" s="1"/>
  <c r="DR12" i="18"/>
  <c r="DS12" i="18" s="1"/>
  <c r="DW12" i="18" s="1"/>
  <c r="DR13" i="18"/>
  <c r="DS13" i="18" s="1"/>
  <c r="DW13" i="18" s="1"/>
  <c r="DR15" i="18"/>
  <c r="DS15" i="18" s="1"/>
  <c r="DW15" i="18" s="1"/>
  <c r="DR25" i="18"/>
  <c r="DS25" i="18" s="1"/>
  <c r="DW25" i="18" s="1"/>
  <c r="DR28" i="18"/>
  <c r="DS28" i="18" s="1"/>
  <c r="DW28" i="18" s="1"/>
  <c r="DR30" i="18"/>
  <c r="DS30" i="18" s="1"/>
  <c r="DW30" i="18" s="1"/>
  <c r="CM30" i="18"/>
  <c r="CN30" i="18" s="1"/>
  <c r="CU30" i="18" s="1"/>
  <c r="DK21" i="17"/>
  <c r="DL21" i="17" s="1"/>
  <c r="DO21" i="17" s="1"/>
  <c r="DC20" i="16"/>
  <c r="DD20" i="16" s="1"/>
  <c r="DJ20" i="16" s="1"/>
  <c r="DC19" i="16"/>
  <c r="DD19" i="16" s="1"/>
  <c r="DJ19" i="16" s="1"/>
  <c r="DC16" i="16"/>
  <c r="DD16" i="16" s="1"/>
  <c r="DJ16" i="16" s="1"/>
  <c r="DC25" i="16"/>
  <c r="DD25" i="16" s="1"/>
  <c r="DJ25" i="16" s="1"/>
  <c r="DC27" i="16"/>
  <c r="DD27" i="16" s="1"/>
  <c r="DJ27" i="16" s="1"/>
  <c r="DC32" i="16"/>
  <c r="DD32" i="16" s="1"/>
  <c r="DJ32" i="16" s="1"/>
  <c r="DC33" i="16"/>
  <c r="DD33" i="16" s="1"/>
  <c r="DJ33" i="16" s="1"/>
  <c r="DC35" i="16"/>
  <c r="DD35" i="16" s="1"/>
  <c r="DJ35" i="16" s="1"/>
  <c r="DC22" i="16"/>
  <c r="DD22" i="16" s="1"/>
  <c r="DJ22" i="16" s="1"/>
  <c r="DC14" i="16"/>
  <c r="DD14" i="16" s="1"/>
  <c r="DJ14" i="16" s="1"/>
  <c r="CA22" i="16"/>
  <c r="CB22" i="16" s="1"/>
  <c r="CI22" i="16" s="1"/>
  <c r="CQ27" i="1"/>
  <c r="CR27" i="1" s="1"/>
  <c r="CV27" i="1" s="1"/>
  <c r="CQ35" i="1"/>
  <c r="CR35" i="1" s="1"/>
  <c r="CV35" i="1" s="1"/>
  <c r="CQ11" i="1"/>
  <c r="CR11" i="1" s="1"/>
  <c r="CV11" i="1" s="1"/>
  <c r="BN27" i="1"/>
  <c r="BO27" i="1" s="1"/>
  <c r="BV27" i="1" s="1"/>
  <c r="BN35" i="1"/>
  <c r="BO35" i="1" s="1"/>
  <c r="BV35" i="1" s="1"/>
  <c r="CW13" i="26"/>
  <c r="CX13" i="26" s="1"/>
  <c r="CZ13" i="26" s="1"/>
  <c r="CW15" i="26"/>
  <c r="CX15" i="26" s="1"/>
  <c r="CZ15" i="26" s="1"/>
  <c r="CW22" i="26"/>
  <c r="CX22" i="26" s="1"/>
  <c r="CZ22" i="26" s="1"/>
  <c r="CW24" i="26"/>
  <c r="CX24" i="26" s="1"/>
  <c r="CZ24" i="26" s="1"/>
  <c r="CW26" i="26"/>
  <c r="CX26" i="26" s="1"/>
  <c r="CZ26" i="26" s="1"/>
  <c r="CW27" i="26"/>
  <c r="CX27" i="26" s="1"/>
  <c r="CZ27" i="26" s="1"/>
  <c r="CW12" i="26"/>
  <c r="CX12" i="26" s="1"/>
  <c r="CZ12" i="26" s="1"/>
  <c r="BW27" i="26"/>
  <c r="BX27" i="26" s="1"/>
  <c r="CE27" i="26" s="1"/>
  <c r="DR19" i="25"/>
  <c r="DS19" i="25" s="1"/>
  <c r="DW19" i="25" s="1"/>
  <c r="DR18" i="25"/>
  <c r="DS18" i="25" s="1"/>
  <c r="DW18" i="25" s="1"/>
  <c r="DR13" i="25"/>
  <c r="DS13" i="25" s="1"/>
  <c r="DW13" i="25" s="1"/>
  <c r="DR34" i="25"/>
  <c r="DS34" i="25" s="1"/>
  <c r="DW34" i="25" s="1"/>
  <c r="DW15" i="24"/>
  <c r="DX15" i="24" s="1"/>
  <c r="DZ15" i="24" s="1"/>
  <c r="DW14" i="24"/>
  <c r="DX14" i="24" s="1"/>
  <c r="DZ14" i="24" s="1"/>
  <c r="DW19" i="24"/>
  <c r="DX19" i="24" s="1"/>
  <c r="DZ19" i="24" s="1"/>
  <c r="DW21" i="24"/>
  <c r="DX21" i="24" s="1"/>
  <c r="DZ21" i="24" s="1"/>
  <c r="DW27" i="24"/>
  <c r="DX27" i="24" s="1"/>
  <c r="DZ27" i="24" s="1"/>
  <c r="DW30" i="24"/>
  <c r="DX30" i="24" s="1"/>
  <c r="DZ30" i="24" s="1"/>
  <c r="DW39" i="24"/>
  <c r="DX39" i="24" s="1"/>
  <c r="DZ39" i="24" s="1"/>
  <c r="DW41" i="24"/>
  <c r="DX41" i="24" s="1"/>
  <c r="DZ41" i="24" s="1"/>
  <c r="DW42" i="24"/>
  <c r="DX42" i="24" s="1"/>
  <c r="DZ42" i="24" s="1"/>
  <c r="DW44" i="24"/>
  <c r="DX44" i="24" s="1"/>
  <c r="DZ44" i="24" s="1"/>
  <c r="DW40" i="24"/>
  <c r="DX40" i="24" s="1"/>
  <c r="DZ40" i="24" s="1"/>
  <c r="DW45" i="24"/>
  <c r="DX45" i="24" s="1"/>
  <c r="DZ45" i="24" s="1"/>
  <c r="DW47" i="24"/>
  <c r="DX47" i="24" s="1"/>
  <c r="DZ47" i="24" s="1"/>
  <c r="DW33" i="24"/>
  <c r="DX33" i="24" s="1"/>
  <c r="DZ33" i="24" s="1"/>
  <c r="DW49" i="24"/>
  <c r="DX49" i="24" s="1"/>
  <c r="DZ49" i="24" s="1"/>
  <c r="DW51" i="24"/>
  <c r="DX51" i="24" s="1"/>
  <c r="DZ51" i="24" s="1"/>
  <c r="DW53" i="24"/>
  <c r="DX53" i="24" s="1"/>
  <c r="DZ53" i="24" s="1"/>
  <c r="DT17" i="23"/>
  <c r="DU17" i="23" s="1"/>
  <c r="DW17" i="23" s="1"/>
  <c r="DT13" i="23"/>
  <c r="DU13" i="23" s="1"/>
  <c r="DW13" i="23" s="1"/>
  <c r="DT22" i="23"/>
  <c r="DU22" i="23" s="1"/>
  <c r="DW22" i="23" s="1"/>
  <c r="DT11" i="23"/>
  <c r="DU11" i="23" s="1"/>
  <c r="DW11" i="23" s="1"/>
  <c r="DT53" i="23"/>
  <c r="DU53" i="23" s="1"/>
  <c r="DW53" i="23" s="1"/>
  <c r="DT54" i="23"/>
  <c r="DU54" i="23" s="1"/>
  <c r="DW54" i="23" s="1"/>
  <c r="DT21" i="23"/>
  <c r="DU21" i="23" s="1"/>
  <c r="DW21" i="23" s="1"/>
  <c r="DT33" i="23"/>
  <c r="DU33" i="23" s="1"/>
  <c r="DW33" i="23" s="1"/>
  <c r="DT57" i="23"/>
  <c r="DU57" i="23" s="1"/>
  <c r="DW57" i="23" s="1"/>
  <c r="DT16" i="23"/>
  <c r="DU16" i="23" s="1"/>
  <c r="DW16" i="23" s="1"/>
  <c r="DT60" i="23"/>
  <c r="DU60" i="23" s="1"/>
  <c r="DW60" i="23" s="1"/>
  <c r="DT63" i="23"/>
  <c r="DU63" i="23" s="1"/>
  <c r="DW63" i="23" s="1"/>
  <c r="DT15" i="23"/>
  <c r="DU15" i="23" s="1"/>
  <c r="DW15" i="23" s="1"/>
  <c r="DT64" i="23"/>
  <c r="DU64" i="23" s="1"/>
  <c r="DW64" i="23" s="1"/>
  <c r="DT24" i="23"/>
  <c r="DU24" i="23" s="1"/>
  <c r="DW24" i="23" s="1"/>
  <c r="DT66" i="23"/>
  <c r="DU66" i="23" s="1"/>
  <c r="DW66" i="23" s="1"/>
  <c r="DT62" i="23"/>
  <c r="DU62" i="23" s="1"/>
  <c r="DW62" i="23" s="1"/>
  <c r="DT67" i="23"/>
  <c r="DU67" i="23" s="1"/>
  <c r="DW67" i="23" s="1"/>
  <c r="DT68" i="23"/>
  <c r="DU68" i="23" s="1"/>
  <c r="DW68" i="23" s="1"/>
  <c r="DT50" i="23"/>
  <c r="DU50" i="23" s="1"/>
  <c r="DW50" i="23" s="1"/>
  <c r="DT72" i="23"/>
  <c r="DU72" i="23" s="1"/>
  <c r="DW72" i="23" s="1"/>
  <c r="DT79" i="23"/>
  <c r="DU79" i="23" s="1"/>
  <c r="DW79" i="23" s="1"/>
  <c r="DT80" i="23"/>
  <c r="DU80" i="23" s="1"/>
  <c r="DW80" i="23" s="1"/>
  <c r="DT81" i="23"/>
  <c r="DU81" i="23" s="1"/>
  <c r="DW81" i="23" s="1"/>
  <c r="DT61" i="23"/>
  <c r="DU61" i="23" s="1"/>
  <c r="DW61" i="23" s="1"/>
  <c r="DT84" i="23"/>
  <c r="DU84" i="23" s="1"/>
  <c r="DW84" i="23" s="1"/>
  <c r="DT47" i="23"/>
  <c r="DU47" i="23" s="1"/>
  <c r="DW47" i="23" s="1"/>
  <c r="CP61" i="23"/>
  <c r="CQ61" i="23" s="1"/>
  <c r="CX61" i="23" s="1"/>
  <c r="CP84" i="23"/>
  <c r="CQ84" i="23" s="1"/>
  <c r="CX84" i="23" s="1"/>
  <c r="DT19" i="23"/>
  <c r="DU19" i="23" s="1"/>
  <c r="DW19" i="23" s="1"/>
  <c r="DS31" i="22"/>
  <c r="DT31" i="22" s="1"/>
  <c r="DW31" i="22" s="1"/>
  <c r="DS35" i="22"/>
  <c r="DT35" i="22" s="1"/>
  <c r="DW35" i="22" s="1"/>
  <c r="DS21" i="22"/>
  <c r="DT21" i="22" s="1"/>
  <c r="DW21" i="22" s="1"/>
  <c r="DS46" i="22"/>
  <c r="DT46" i="22" s="1"/>
  <c r="DW46" i="22" s="1"/>
  <c r="DS48" i="22"/>
  <c r="DT48" i="22" s="1"/>
  <c r="DW48" i="22" s="1"/>
  <c r="DS54" i="22"/>
  <c r="DT54" i="22" s="1"/>
  <c r="DW54" i="22" s="1"/>
  <c r="DS61" i="22"/>
  <c r="DT61" i="22" s="1"/>
  <c r="DW61" i="22" s="1"/>
  <c r="DS69" i="22"/>
  <c r="DT69" i="22" s="1"/>
  <c r="DW69" i="22" s="1"/>
  <c r="DS62" i="22"/>
  <c r="DT62" i="22" s="1"/>
  <c r="DW62" i="22" s="1"/>
  <c r="DS63" i="22"/>
  <c r="DT63" i="22" s="1"/>
  <c r="DW63" i="22" s="1"/>
  <c r="DS65" i="22"/>
  <c r="DT65" i="22" s="1"/>
  <c r="DW65" i="22" s="1"/>
  <c r="DS20" i="22"/>
  <c r="DT20" i="22" s="1"/>
  <c r="DW20" i="22" s="1"/>
  <c r="DS50" i="22"/>
  <c r="DT50" i="22" s="1"/>
  <c r="DW50" i="22" s="1"/>
  <c r="DS70" i="22"/>
  <c r="DT70" i="22" s="1"/>
  <c r="DW70" i="22" s="1"/>
  <c r="DS73" i="22"/>
  <c r="DT73" i="22" s="1"/>
  <c r="DW73" i="22" s="1"/>
  <c r="DS75" i="22"/>
  <c r="DT75" i="22" s="1"/>
  <c r="DW75" i="22" s="1"/>
  <c r="DS88" i="22"/>
  <c r="DT88" i="22" s="1"/>
  <c r="DW88" i="22" s="1"/>
  <c r="CL25" i="29"/>
  <c r="CM25" i="29" s="1"/>
  <c r="CQ25" i="29" s="1"/>
  <c r="CL12" i="29"/>
  <c r="CM12" i="29" s="1"/>
  <c r="CQ12" i="29" s="1"/>
  <c r="CE33" i="29"/>
  <c r="CF33" i="29" s="1"/>
  <c r="CL33" i="29" s="1"/>
  <c r="CM33" i="29" s="1"/>
  <c r="CQ33" i="29" s="1"/>
  <c r="BI33" i="29"/>
  <c r="BJ33" i="29" s="1"/>
  <c r="BQ33" i="29" s="1"/>
  <c r="CT16" i="19"/>
  <c r="CU16" i="19" s="1"/>
  <c r="CX16" i="19" s="1"/>
  <c r="AN11" i="31"/>
  <c r="DT14" i="23"/>
  <c r="DU14" i="23" s="1"/>
  <c r="DW14" i="23" s="1"/>
  <c r="DU11" i="27"/>
  <c r="DV11" i="27" s="1"/>
  <c r="DZ11" i="27" s="1"/>
  <c r="DL44" i="25"/>
  <c r="DM44" i="25" s="1"/>
  <c r="DR44" i="25" s="1"/>
  <c r="DS44" i="25" s="1"/>
  <c r="DW44" i="25" s="1"/>
  <c r="CK44" i="25"/>
  <c r="CL44" i="25" s="1"/>
  <c r="CS44" i="25" s="1"/>
  <c r="DM89" i="22"/>
  <c r="DN89" i="22" s="1"/>
  <c r="DS89" i="22" s="1"/>
  <c r="DT89" i="22" s="1"/>
  <c r="DW89" i="22" s="1"/>
  <c r="CQ89" i="22"/>
  <c r="CR89" i="22" s="1"/>
  <c r="CY89" i="22" s="1"/>
  <c r="CT26" i="21" l="1"/>
  <c r="CU26" i="21" s="1"/>
  <c r="CZ26" i="21" s="1"/>
  <c r="DA26" i="21" s="1"/>
  <c r="DC26" i="21" s="1"/>
  <c r="BX26" i="21"/>
  <c r="BY26" i="21" s="1"/>
  <c r="CF26" i="21" s="1"/>
  <c r="CA27" i="16"/>
  <c r="CB27" i="16" s="1"/>
  <c r="CI27" i="16" s="1"/>
  <c r="DL40" i="25"/>
  <c r="DM40" i="25" s="1"/>
  <c r="DR40" i="25" s="1"/>
  <c r="DS40" i="25" s="1"/>
  <c r="DW40" i="25" s="1"/>
  <c r="CK40" i="25"/>
  <c r="CL40" i="25" s="1"/>
  <c r="CS40" i="25" s="1"/>
  <c r="CP64" i="23"/>
  <c r="CQ64" i="23" s="1"/>
  <c r="CX64" i="23" s="1"/>
  <c r="CP81" i="23"/>
  <c r="CQ81" i="23" s="1"/>
  <c r="CX81" i="23" s="1"/>
  <c r="CP15" i="23"/>
  <c r="CQ15" i="23" s="1"/>
  <c r="CX15" i="23" s="1"/>
  <c r="CQ14" i="26"/>
  <c r="CR14" i="26" s="1"/>
  <c r="CW14" i="26" s="1"/>
  <c r="CX14" i="26" s="1"/>
  <c r="CZ14" i="26" s="1"/>
  <c r="CQ16" i="26"/>
  <c r="CR16" i="26" s="1"/>
  <c r="CW16" i="26" s="1"/>
  <c r="CX16" i="26" s="1"/>
  <c r="CZ16" i="26" s="1"/>
  <c r="BW14" i="26"/>
  <c r="BX14" i="26" s="1"/>
  <c r="CE14" i="26" s="1"/>
  <c r="BW16" i="26"/>
  <c r="BX16" i="26" s="1"/>
  <c r="CE16" i="26" s="1"/>
  <c r="DL20" i="25"/>
  <c r="DM20" i="25" s="1"/>
  <c r="DR20" i="25" s="1"/>
  <c r="DS20" i="25" s="1"/>
  <c r="DW20" i="25" s="1"/>
  <c r="CK20" i="25"/>
  <c r="CL20" i="25" s="1"/>
  <c r="CS20" i="25" s="1"/>
  <c r="CP67" i="23"/>
  <c r="CQ67" i="23" s="1"/>
  <c r="CX67" i="23" s="1"/>
  <c r="CP21" i="23"/>
  <c r="CQ21" i="23" s="1"/>
  <c r="CX21" i="23" s="1"/>
  <c r="CP79" i="23"/>
  <c r="CQ79" i="23" s="1"/>
  <c r="CX79" i="23" s="1"/>
  <c r="DM41" i="22"/>
  <c r="DN41" i="22" s="1"/>
  <c r="DS41" i="22" s="1"/>
  <c r="DT41" i="22" s="1"/>
  <c r="DW41" i="22" s="1"/>
  <c r="CQ41" i="22"/>
  <c r="CR41" i="22" s="1"/>
  <c r="CY41" i="22" s="1"/>
  <c r="DL42" i="25"/>
  <c r="DM42" i="25" s="1"/>
  <c r="DR42" i="25" s="1"/>
  <c r="DS42" i="25" s="1"/>
  <c r="DW42" i="25" s="1"/>
  <c r="CK42" i="25"/>
  <c r="CL42" i="25" s="1"/>
  <c r="CS42" i="25" s="1"/>
  <c r="CP63" i="23"/>
  <c r="CQ63" i="23" s="1"/>
  <c r="CX63" i="23" s="1"/>
  <c r="DE23" i="17"/>
  <c r="DF23" i="17" s="1"/>
  <c r="DK23" i="17" s="1"/>
  <c r="DL23" i="17" s="1"/>
  <c r="DO23" i="17" s="1"/>
  <c r="CG23" i="17"/>
  <c r="CH23" i="17" s="1"/>
  <c r="CO23" i="17" s="1"/>
  <c r="CP47" i="23"/>
  <c r="CQ47" i="23" s="1"/>
  <c r="CX47" i="23" s="1"/>
  <c r="CP16" i="23"/>
  <c r="CQ16" i="23" s="1"/>
  <c r="CX16" i="23" s="1"/>
  <c r="DM55" i="22"/>
  <c r="DN55" i="22" s="1"/>
  <c r="DS55" i="22" s="1"/>
  <c r="DT55" i="22" s="1"/>
  <c r="DW55" i="22" s="1"/>
  <c r="CQ55" i="22"/>
  <c r="CR55" i="22" s="1"/>
  <c r="CY55" i="22" s="1"/>
  <c r="DM77" i="22" l="1"/>
  <c r="DN77" i="22" s="1"/>
  <c r="DS77" i="22" s="1"/>
  <c r="DT77" i="22" s="1"/>
  <c r="DW77" i="22" s="1"/>
  <c r="CQ77" i="22"/>
  <c r="CR77" i="22" s="1"/>
  <c r="CY77" i="22" s="1"/>
  <c r="DM87" i="22"/>
  <c r="DN87" i="22" s="1"/>
  <c r="DS87" i="22" s="1"/>
  <c r="DT87" i="22" s="1"/>
  <c r="DW87" i="22" s="1"/>
  <c r="CQ87" i="22"/>
  <c r="CR87" i="22" s="1"/>
  <c r="CY87" i="22" s="1"/>
  <c r="DM25" i="22"/>
  <c r="DN25" i="22" s="1"/>
  <c r="DS25" i="22" s="1"/>
  <c r="DT25" i="22" s="1"/>
  <c r="DW25" i="22" s="1"/>
  <c r="DM76" i="22"/>
  <c r="DN76" i="22" s="1"/>
  <c r="DS76" i="22" s="1"/>
  <c r="DT76" i="22" s="1"/>
  <c r="DW76" i="22" s="1"/>
  <c r="CQ25" i="22"/>
  <c r="CR25" i="22" s="1"/>
  <c r="CY25" i="22" s="1"/>
  <c r="CQ76" i="22"/>
  <c r="CR76" i="22" s="1"/>
  <c r="CY76" i="22" s="1"/>
  <c r="BW24" i="26" l="1"/>
  <c r="BX24" i="26" s="1"/>
  <c r="CE24" i="26" s="1"/>
  <c r="CT19" i="21"/>
  <c r="CU19" i="21" s="1"/>
  <c r="CZ19" i="21" s="1"/>
  <c r="DA19" i="21" s="1"/>
  <c r="DC19" i="21" s="1"/>
  <c r="BX19" i="21"/>
  <c r="BY19" i="21" s="1"/>
  <c r="CF19" i="21" s="1"/>
  <c r="CT19" i="19"/>
  <c r="CU19" i="19" s="1"/>
  <c r="CX19" i="19" s="1"/>
  <c r="BR19" i="19"/>
  <c r="BS19" i="19" s="1"/>
  <c r="BZ19" i="19" s="1"/>
  <c r="CA32" i="16" l="1"/>
  <c r="CB32" i="16" s="1"/>
  <c r="CI32" i="16" s="1"/>
  <c r="CJ31" i="1" l="1"/>
  <c r="CK31" i="1" s="1"/>
  <c r="CQ31" i="1" s="1"/>
  <c r="CR31" i="1" s="1"/>
  <c r="CV31" i="1" s="1"/>
  <c r="BN31" i="1"/>
  <c r="BO31" i="1" s="1"/>
  <c r="BV31" i="1" s="1"/>
  <c r="BW12" i="26"/>
  <c r="BX12" i="26" s="1"/>
  <c r="CE12" i="26" s="1"/>
  <c r="DL22" i="25"/>
  <c r="DM22" i="25" s="1"/>
  <c r="DR22" i="25" s="1"/>
  <c r="DS22" i="25" s="1"/>
  <c r="DW22" i="25" s="1"/>
  <c r="CK22" i="25"/>
  <c r="CL22" i="25" s="1"/>
  <c r="CS22" i="25" s="1"/>
  <c r="CS39" i="24"/>
  <c r="CT39" i="24" s="1"/>
  <c r="DA39" i="24" s="1"/>
  <c r="CP11" i="23"/>
  <c r="CQ11" i="23" s="1"/>
  <c r="CX11" i="23" s="1"/>
  <c r="CP17" i="23"/>
  <c r="CQ17" i="23" s="1"/>
  <c r="CX17" i="23" s="1"/>
  <c r="CP13" i="23"/>
  <c r="CQ13" i="23" s="1"/>
  <c r="CX13" i="23" s="1"/>
  <c r="CP32" i="23"/>
  <c r="CQ32" i="23" s="1"/>
  <c r="CX32" i="23" s="1"/>
  <c r="CP41" i="23"/>
  <c r="CQ41" i="23" s="1"/>
  <c r="CX41" i="23" s="1"/>
  <c r="CP30" i="23"/>
  <c r="CQ30" i="23" s="1"/>
  <c r="CX30" i="23" s="1"/>
  <c r="CP34" i="23"/>
  <c r="CQ34" i="23" s="1"/>
  <c r="CX34" i="23" s="1"/>
  <c r="CP53" i="23"/>
  <c r="CQ53" i="23" s="1"/>
  <c r="CX53" i="23" s="1"/>
  <c r="CP57" i="23"/>
  <c r="CQ57" i="23" s="1"/>
  <c r="CX57" i="23" s="1"/>
  <c r="CP33" i="23"/>
  <c r="CQ33" i="23" s="1"/>
  <c r="CX33" i="23" s="1"/>
  <c r="CP54" i="23"/>
  <c r="CQ54" i="23" s="1"/>
  <c r="CX54" i="23" s="1"/>
  <c r="CP19" i="23"/>
  <c r="CQ19" i="23" s="1"/>
  <c r="CX19" i="23" s="1"/>
  <c r="CP60" i="23"/>
  <c r="CQ60" i="23" s="1"/>
  <c r="CX60" i="23" s="1"/>
  <c r="CP62" i="23"/>
  <c r="CQ62" i="23" s="1"/>
  <c r="CX62" i="23" s="1"/>
  <c r="CP68" i="23"/>
  <c r="CQ68" i="23" s="1"/>
  <c r="CX68" i="23" s="1"/>
  <c r="CP66" i="23"/>
  <c r="CQ66" i="23" s="1"/>
  <c r="CX66" i="23" s="1"/>
  <c r="CP50" i="23"/>
  <c r="CQ50" i="23" s="1"/>
  <c r="CX50" i="23" s="1"/>
  <c r="CP80" i="23"/>
  <c r="CQ80" i="23" s="1"/>
  <c r="CX80" i="23" s="1"/>
  <c r="CP72" i="23"/>
  <c r="CQ72" i="23" s="1"/>
  <c r="CX72" i="23" s="1"/>
  <c r="CP24" i="23"/>
  <c r="CQ24" i="23" s="1"/>
  <c r="CX24" i="23" s="1"/>
  <c r="DM52" i="22"/>
  <c r="DN52" i="22" s="1"/>
  <c r="DS52" i="22" s="1"/>
  <c r="DT52" i="22" s="1"/>
  <c r="DW52" i="22" s="1"/>
  <c r="DM80" i="22"/>
  <c r="DN80" i="22" s="1"/>
  <c r="DS80" i="22" s="1"/>
  <c r="DT80" i="22" s="1"/>
  <c r="DW80" i="22" s="1"/>
  <c r="CQ52" i="22"/>
  <c r="CR52" i="22" s="1"/>
  <c r="CY52" i="22" s="1"/>
  <c r="CQ80" i="22"/>
  <c r="CR80" i="22" s="1"/>
  <c r="CY80" i="22" s="1"/>
  <c r="DM66" i="22"/>
  <c r="DN66" i="22" s="1"/>
  <c r="DS66" i="22" s="1"/>
  <c r="DT66" i="22" s="1"/>
  <c r="DW66" i="22" s="1"/>
  <c r="CQ66" i="22"/>
  <c r="CR66" i="22" s="1"/>
  <c r="CY66" i="22" s="1"/>
  <c r="CJ69" i="22"/>
  <c r="BZ43" i="17"/>
  <c r="R11" i="31"/>
  <c r="CH11" i="27"/>
  <c r="CJ16" i="22"/>
  <c r="CH15" i="27"/>
  <c r="BQ11" i="21"/>
  <c r="CJ27" i="22"/>
  <c r="CI22" i="23"/>
  <c r="CP22" i="23" s="1"/>
  <c r="CQ22" i="23" s="1"/>
  <c r="CX22" i="23" s="1"/>
  <c r="BT14" i="16"/>
  <c r="CJ18" i="1"/>
  <c r="CK18" i="1" s="1"/>
  <c r="CQ18" i="1" s="1"/>
  <c r="CR18" i="1" s="1"/>
  <c r="CV18" i="1" s="1"/>
  <c r="BN18" i="1"/>
  <c r="BO18" i="1" s="1"/>
  <c r="BV18" i="1" s="1"/>
  <c r="CF21" i="18" l="1"/>
  <c r="CF24" i="18"/>
  <c r="BG29" i="1"/>
  <c r="R11" i="30"/>
  <c r="BB12" i="29"/>
  <c r="DE34" i="17" l="1"/>
  <c r="DF34" i="17" s="1"/>
  <c r="DK34" i="17" s="1"/>
  <c r="DL34" i="17" s="1"/>
  <c r="DO34" i="17" s="1"/>
  <c r="CG34" i="17"/>
  <c r="CH34" i="17" s="1"/>
  <c r="CO34" i="17" s="1"/>
  <c r="CS49" i="24"/>
  <c r="CT49" i="24" s="1"/>
  <c r="DA49" i="24" s="1"/>
  <c r="CT26" i="19"/>
  <c r="CU26" i="19" s="1"/>
  <c r="CX26" i="19" s="1"/>
  <c r="BR26" i="19"/>
  <c r="BS26" i="19" s="1"/>
  <c r="BZ26" i="19" s="1"/>
  <c r="DL36" i="25"/>
  <c r="DM36" i="25" s="1"/>
  <c r="DR36" i="25" s="1"/>
  <c r="DS36" i="25" s="1"/>
  <c r="DW36" i="25" s="1"/>
  <c r="CK36" i="25"/>
  <c r="CL36" i="25" s="1"/>
  <c r="CS36" i="25" s="1"/>
  <c r="CT11" i="21"/>
  <c r="CU11" i="21" s="1"/>
  <c r="CZ11" i="21" s="1"/>
  <c r="DA11" i="21" s="1"/>
  <c r="DC11" i="21" s="1"/>
  <c r="BX11" i="21"/>
  <c r="BY11" i="21" s="1"/>
  <c r="CF11" i="21" s="1"/>
  <c r="DE42" i="17"/>
  <c r="DF42" i="17" s="1"/>
  <c r="DK42" i="17" s="1"/>
  <c r="DL42" i="17" s="1"/>
  <c r="DO42" i="17" s="1"/>
  <c r="CG42" i="17"/>
  <c r="CH42" i="17" s="1"/>
  <c r="CO42" i="17" s="1"/>
  <c r="DE39" i="17"/>
  <c r="DF39" i="17" s="1"/>
  <c r="DK39" i="17" s="1"/>
  <c r="DL39" i="17" s="1"/>
  <c r="DO39" i="17" s="1"/>
  <c r="CG39" i="17"/>
  <c r="CH39" i="17" s="1"/>
  <c r="CO39" i="17" s="1"/>
  <c r="CJ34" i="1"/>
  <c r="CK34" i="1" s="1"/>
  <c r="CQ34" i="1" s="1"/>
  <c r="CR34" i="1" s="1"/>
  <c r="CV34" i="1" s="1"/>
  <c r="BN34" i="1"/>
  <c r="BO34" i="1" s="1"/>
  <c r="BV34" i="1" s="1"/>
  <c r="DL27" i="25"/>
  <c r="DM27" i="25" s="1"/>
  <c r="DR27" i="25" s="1"/>
  <c r="DS27" i="25" s="1"/>
  <c r="DW27" i="25" s="1"/>
  <c r="CK27" i="25"/>
  <c r="CL27" i="25" s="1"/>
  <c r="CS27" i="25" s="1"/>
  <c r="DM27" i="22"/>
  <c r="DN27" i="22" s="1"/>
  <c r="DS27" i="22" s="1"/>
  <c r="DT27" i="22" s="1"/>
  <c r="DW27" i="22" s="1"/>
  <c r="DM59" i="22"/>
  <c r="DN59" i="22" s="1"/>
  <c r="DS59" i="22" s="1"/>
  <c r="DT59" i="22" s="1"/>
  <c r="DW59" i="22" s="1"/>
  <c r="DM86" i="22"/>
  <c r="DN86" i="22" s="1"/>
  <c r="DS86" i="22" s="1"/>
  <c r="DT86" i="22" s="1"/>
  <c r="DW86" i="22" s="1"/>
  <c r="DM14" i="22"/>
  <c r="DN14" i="22" s="1"/>
  <c r="DS14" i="22" s="1"/>
  <c r="DT14" i="22" s="1"/>
  <c r="DW14" i="22" s="1"/>
  <c r="CQ27" i="22"/>
  <c r="CR27" i="22" s="1"/>
  <c r="CY27" i="22" s="1"/>
  <c r="CQ59" i="22"/>
  <c r="CR59" i="22" s="1"/>
  <c r="CY59" i="22" s="1"/>
  <c r="CQ86" i="22"/>
  <c r="CR86" i="22" s="1"/>
  <c r="CY86" i="22" s="1"/>
  <c r="CQ14" i="22"/>
  <c r="CR14" i="22" s="1"/>
  <c r="CY14" i="22" s="1"/>
  <c r="DO50" i="27"/>
  <c r="DP50" i="27" s="1"/>
  <c r="DU50" i="27" s="1"/>
  <c r="DV50" i="27" s="1"/>
  <c r="DZ50" i="27" s="1"/>
  <c r="DO40" i="27"/>
  <c r="DP40" i="27" s="1"/>
  <c r="DU40" i="27" s="1"/>
  <c r="DV40" i="27" s="1"/>
  <c r="DZ40" i="27" s="1"/>
  <c r="CO40" i="27"/>
  <c r="CP40" i="27" s="1"/>
  <c r="CW40" i="27" s="1"/>
  <c r="CO50" i="27"/>
  <c r="CP50" i="27" s="1"/>
  <c r="CW50" i="27" s="1"/>
  <c r="CE23" i="29"/>
  <c r="CF23" i="29" s="1"/>
  <c r="CL23" i="29" s="1"/>
  <c r="CM23" i="29" s="1"/>
  <c r="CQ23" i="29" s="1"/>
  <c r="BI23" i="29"/>
  <c r="BJ23" i="29" s="1"/>
  <c r="BQ23" i="29" s="1"/>
  <c r="CI14" i="23"/>
  <c r="CP14" i="23" s="1"/>
  <c r="CQ14" i="23" s="1"/>
  <c r="CX14" i="23" s="1"/>
  <c r="CL19" i="24"/>
  <c r="R14" i="30"/>
  <c r="CT22" i="21"/>
  <c r="CU22" i="21" s="1"/>
  <c r="CZ22" i="21" s="1"/>
  <c r="DA22" i="21" s="1"/>
  <c r="DC22" i="21" s="1"/>
  <c r="BX22" i="21"/>
  <c r="BY22" i="21" s="1"/>
  <c r="CF22" i="21" s="1"/>
  <c r="CK15" i="24" l="1"/>
  <c r="CL15" i="24" s="1"/>
  <c r="DI15" i="24" l="1"/>
  <c r="CU23" i="19" l="1"/>
  <c r="CX23" i="19" s="1"/>
  <c r="CT25" i="21"/>
  <c r="CU25" i="21" s="1"/>
  <c r="CZ25" i="21" s="1"/>
  <c r="DA25" i="21" s="1"/>
  <c r="DC25" i="21" s="1"/>
  <c r="BX25" i="21"/>
  <c r="BY25" i="21" s="1"/>
  <c r="CF25" i="21" s="1"/>
  <c r="CT25" i="19"/>
  <c r="CU25" i="19" s="1"/>
  <c r="CX25" i="19" s="1"/>
  <c r="BR25" i="19"/>
  <c r="BS25" i="19" s="1"/>
  <c r="BZ25" i="19" s="1"/>
  <c r="DE51" i="17"/>
  <c r="DF51" i="17" s="1"/>
  <c r="DK51" i="17" s="1"/>
  <c r="DL51" i="17" s="1"/>
  <c r="DO51" i="17" s="1"/>
  <c r="CG51" i="17"/>
  <c r="CH51" i="17" s="1"/>
  <c r="CO51" i="17" s="1"/>
  <c r="DL41" i="25"/>
  <c r="DM41" i="25" s="1"/>
  <c r="DR41" i="25" s="1"/>
  <c r="DS41" i="25" s="1"/>
  <c r="DW41" i="25" s="1"/>
  <c r="DL33" i="25"/>
  <c r="DM33" i="25" s="1"/>
  <c r="DR33" i="25" s="1"/>
  <c r="DS33" i="25" s="1"/>
  <c r="DW33" i="25" s="1"/>
  <c r="CK41" i="25"/>
  <c r="CL41" i="25" s="1"/>
  <c r="CS41" i="25" s="1"/>
  <c r="CK33" i="25"/>
  <c r="CL33" i="25" s="1"/>
  <c r="CS33" i="25" s="1"/>
  <c r="CS40" i="24"/>
  <c r="CT40" i="24" s="1"/>
  <c r="DA40" i="24" s="1"/>
  <c r="DM71" i="22"/>
  <c r="DN71" i="22" s="1"/>
  <c r="DS71" i="22" s="1"/>
  <c r="DT71" i="22" s="1"/>
  <c r="DW71" i="22" s="1"/>
  <c r="DM22" i="22"/>
  <c r="DN22" i="22" s="1"/>
  <c r="DS22" i="22" s="1"/>
  <c r="DT22" i="22" s="1"/>
  <c r="DW22" i="22" s="1"/>
  <c r="CQ71" i="22"/>
  <c r="CR71" i="22" s="1"/>
  <c r="CY71" i="22" s="1"/>
  <c r="CQ22" i="22"/>
  <c r="CR22" i="22" s="1"/>
  <c r="CY22" i="22" s="1"/>
  <c r="CT11" i="19"/>
  <c r="CU11" i="19" s="1"/>
  <c r="CX11" i="19" s="1"/>
  <c r="CT22" i="19"/>
  <c r="CU22" i="19" s="1"/>
  <c r="CX22" i="19" s="1"/>
  <c r="BR12" i="19"/>
  <c r="BS12" i="19" s="1"/>
  <c r="BZ12" i="19" s="1"/>
  <c r="BR11" i="19"/>
  <c r="BS11" i="19" s="1"/>
  <c r="BZ11" i="19" s="1"/>
  <c r="BR22" i="19"/>
  <c r="BS22" i="19" s="1"/>
  <c r="BZ22" i="19" s="1"/>
  <c r="DM24" i="18"/>
  <c r="DN24" i="18" s="1"/>
  <c r="DR24" i="18" s="1"/>
  <c r="DS24" i="18" s="1"/>
  <c r="DW24" i="18" s="1"/>
  <c r="DM29" i="18"/>
  <c r="DN29" i="18" s="1"/>
  <c r="DR29" i="18" s="1"/>
  <c r="DS29" i="18" s="1"/>
  <c r="DW29" i="18" s="1"/>
  <c r="CM24" i="18"/>
  <c r="CN24" i="18" s="1"/>
  <c r="CU24" i="18" s="1"/>
  <c r="CM29" i="18"/>
  <c r="CN29" i="18" s="1"/>
  <c r="CU29" i="18" s="1"/>
  <c r="DE15" i="17"/>
  <c r="DF15" i="17" s="1"/>
  <c r="DK15" i="17" s="1"/>
  <c r="DL15" i="17" s="1"/>
  <c r="DO15" i="17" s="1"/>
  <c r="DE43" i="17"/>
  <c r="DF43" i="17" s="1"/>
  <c r="DK43" i="17" s="1"/>
  <c r="DL43" i="17" s="1"/>
  <c r="DO43" i="17" s="1"/>
  <c r="DE49" i="17"/>
  <c r="DF49" i="17" s="1"/>
  <c r="DK49" i="17" s="1"/>
  <c r="DL49" i="17" s="1"/>
  <c r="DO49" i="17" s="1"/>
  <c r="CG15" i="17"/>
  <c r="CH15" i="17" s="1"/>
  <c r="CO15" i="17" s="1"/>
  <c r="CG43" i="17"/>
  <c r="CH43" i="17" s="1"/>
  <c r="CO43" i="17" s="1"/>
  <c r="CG49" i="17"/>
  <c r="CH49" i="17" s="1"/>
  <c r="CO49" i="17" s="1"/>
  <c r="CA19" i="16"/>
  <c r="CB19" i="16" s="1"/>
  <c r="CI19" i="16" s="1"/>
  <c r="CJ13" i="1"/>
  <c r="CK13" i="1" s="1"/>
  <c r="CQ13" i="1" s="1"/>
  <c r="CR13" i="1" s="1"/>
  <c r="CV13" i="1" s="1"/>
  <c r="CJ21" i="1"/>
  <c r="CK21" i="1" s="1"/>
  <c r="CQ21" i="1" s="1"/>
  <c r="CR21" i="1" s="1"/>
  <c r="CV21" i="1" s="1"/>
  <c r="BN13" i="1"/>
  <c r="BO13" i="1" s="1"/>
  <c r="BV13" i="1" s="1"/>
  <c r="BN21" i="1"/>
  <c r="BO21" i="1" s="1"/>
  <c r="BV21" i="1" s="1"/>
  <c r="DL25" i="25"/>
  <c r="DM25" i="25" s="1"/>
  <c r="DR25" i="25" s="1"/>
  <c r="DS25" i="25" s="1"/>
  <c r="DW25" i="25" s="1"/>
  <c r="CK25" i="25"/>
  <c r="CL25" i="25" s="1"/>
  <c r="CS25" i="25" s="1"/>
  <c r="CS15" i="24"/>
  <c r="CT15" i="24" s="1"/>
  <c r="DA15" i="24" s="1"/>
  <c r="CS42" i="24"/>
  <c r="CT42" i="24" s="1"/>
  <c r="DA42" i="24" s="1"/>
  <c r="CQ31" i="22"/>
  <c r="CR31" i="22" s="1"/>
  <c r="CY31" i="22" s="1"/>
  <c r="CQ50" i="22"/>
  <c r="CR50" i="22" s="1"/>
  <c r="CY50" i="22" s="1"/>
  <c r="CQ54" i="22"/>
  <c r="CR54" i="22" s="1"/>
  <c r="CY54" i="22" s="1"/>
  <c r="CQ62" i="22"/>
  <c r="CR62" i="22" s="1"/>
  <c r="CY62" i="22" s="1"/>
  <c r="CQ75" i="22"/>
  <c r="CR75" i="22" s="1"/>
  <c r="CY75" i="22" s="1"/>
  <c r="CQ73" i="22"/>
  <c r="CR73" i="22" s="1"/>
  <c r="CY73" i="22" s="1"/>
  <c r="DU59" i="27"/>
  <c r="DV59" i="27" s="1"/>
  <c r="DZ59" i="27" s="1"/>
  <c r="CO59" i="27"/>
  <c r="CP59" i="27" s="1"/>
  <c r="CW59" i="27" s="1"/>
  <c r="CE14" i="29"/>
  <c r="CF14" i="29" s="1"/>
  <c r="CL14" i="29" s="1"/>
  <c r="CM14" i="29" s="1"/>
  <c r="CQ14" i="29" s="1"/>
  <c r="CE27" i="29"/>
  <c r="CF27" i="29" s="1"/>
  <c r="CL27" i="29" s="1"/>
  <c r="CM27" i="29" s="1"/>
  <c r="CQ27" i="29" s="1"/>
  <c r="CE29" i="29"/>
  <c r="CF29" i="29" s="1"/>
  <c r="CL29" i="29" s="1"/>
  <c r="CM29" i="29" s="1"/>
  <c r="CQ29" i="29" s="1"/>
  <c r="BI14" i="29"/>
  <c r="BJ14" i="29" s="1"/>
  <c r="BQ14" i="29" s="1"/>
  <c r="BI27" i="29"/>
  <c r="BJ27" i="29" s="1"/>
  <c r="BQ27" i="29" s="1"/>
  <c r="BI29" i="29"/>
  <c r="BJ29" i="29" s="1"/>
  <c r="BQ29" i="29" s="1"/>
  <c r="BX24" i="21"/>
  <c r="BY24" i="21" s="1"/>
  <c r="CF24" i="21" s="1"/>
  <c r="CA33" i="16"/>
  <c r="CB33" i="16" s="1"/>
  <c r="CI33" i="16" s="1"/>
  <c r="DU54" i="27"/>
  <c r="DV54" i="27" s="1"/>
  <c r="DZ54" i="27" s="1"/>
  <c r="CO54" i="27"/>
  <c r="CP54" i="27" s="1"/>
  <c r="CW54" i="27" s="1"/>
  <c r="DE12" i="17" l="1"/>
  <c r="DF12" i="17" s="1"/>
  <c r="DK12" i="17" s="1"/>
  <c r="DL12" i="17" s="1"/>
  <c r="DO12" i="17" s="1"/>
  <c r="CG12" i="17"/>
  <c r="CH12" i="17" s="1"/>
  <c r="CO12" i="17" s="1"/>
  <c r="CA35" i="16"/>
  <c r="CB35" i="16" s="1"/>
  <c r="CI35" i="16" s="1"/>
  <c r="CJ13" i="28"/>
  <c r="CK13" i="28" s="1"/>
  <c r="CN13" i="28" s="1"/>
  <c r="CO13" i="28" s="1"/>
  <c r="CR13" i="28" s="1"/>
  <c r="BK13" i="28"/>
  <c r="BL13" i="28" s="1"/>
  <c r="BS13" i="28" s="1"/>
  <c r="DU17" i="27"/>
  <c r="DV17" i="27" s="1"/>
  <c r="DZ17" i="27" s="1"/>
  <c r="CO17" i="27"/>
  <c r="CP17" i="27" s="1"/>
  <c r="CW17" i="27" s="1"/>
  <c r="CQ21" i="22"/>
  <c r="CR21" i="22" s="1"/>
  <c r="CY21" i="22" s="1"/>
  <c r="CS33" i="24"/>
  <c r="CT33" i="24" s="1"/>
  <c r="DA33" i="24" s="1"/>
  <c r="DL38" i="25"/>
  <c r="DM38" i="25" s="1"/>
  <c r="DR38" i="25" s="1"/>
  <c r="DS38" i="25" s="1"/>
  <c r="DW38" i="25" s="1"/>
  <c r="CK18" i="25"/>
  <c r="CL18" i="25" s="1"/>
  <c r="CS18" i="25" s="1"/>
  <c r="CK34" i="25"/>
  <c r="CL34" i="25" s="1"/>
  <c r="CS34" i="25" s="1"/>
  <c r="CK19" i="25"/>
  <c r="CL19" i="25" s="1"/>
  <c r="CS19" i="25" s="1"/>
  <c r="CK13" i="25"/>
  <c r="CL13" i="25" s="1"/>
  <c r="CS13" i="25" s="1"/>
  <c r="CK43" i="25"/>
  <c r="CL43" i="25" s="1"/>
  <c r="CS43" i="25" s="1"/>
  <c r="CK38" i="25"/>
  <c r="CL38" i="25" s="1"/>
  <c r="CS38" i="25" s="1"/>
  <c r="DT30" i="23"/>
  <c r="DU30" i="23" s="1"/>
  <c r="DW30" i="23" s="1"/>
  <c r="DE16" i="17"/>
  <c r="DF16" i="17" s="1"/>
  <c r="DK16" i="17" s="1"/>
  <c r="DL16" i="17" s="1"/>
  <c r="DO16" i="17" s="1"/>
  <c r="CG16" i="17"/>
  <c r="CH16" i="17" s="1"/>
  <c r="CO16" i="17" s="1"/>
  <c r="BW22" i="26"/>
  <c r="BX22" i="26" s="1"/>
  <c r="CE22" i="26" s="1"/>
  <c r="CS45" i="24"/>
  <c r="CT45" i="24" s="1"/>
  <c r="DA45" i="24" s="1"/>
  <c r="DS16" i="22"/>
  <c r="DT16" i="22" s="1"/>
  <c r="DW16" i="22" s="1"/>
  <c r="CQ16" i="22"/>
  <c r="CR16" i="22" s="1"/>
  <c r="CY16" i="22" s="1"/>
  <c r="CQ69" i="22"/>
  <c r="CR69" i="22" s="1"/>
  <c r="CY69" i="22" s="1"/>
  <c r="DU41" i="27"/>
  <c r="DV41" i="27" s="1"/>
  <c r="DZ41" i="27" s="1"/>
  <c r="DU62" i="27"/>
  <c r="DV62" i="27" s="1"/>
  <c r="DZ62" i="27" s="1"/>
  <c r="CO41" i="27"/>
  <c r="CP41" i="27" s="1"/>
  <c r="CW41" i="27" s="1"/>
  <c r="CO62" i="27"/>
  <c r="CP62" i="27" s="1"/>
  <c r="CW62" i="27" s="1"/>
  <c r="CS21" i="24"/>
  <c r="CT21" i="24" s="1"/>
  <c r="DA21" i="24" s="1"/>
  <c r="CM28" i="18"/>
  <c r="CN28" i="18" s="1"/>
  <c r="CU28" i="18" s="1"/>
  <c r="BW13" i="26"/>
  <c r="BX13" i="26" s="1"/>
  <c r="CE13" i="26" s="1"/>
  <c r="CS41" i="24"/>
  <c r="CT41" i="24" s="1"/>
  <c r="DA41" i="24" s="1"/>
  <c r="CS51" i="24"/>
  <c r="CT51" i="24" s="1"/>
  <c r="DA51" i="24" s="1"/>
  <c r="BX14" i="21" l="1"/>
  <c r="BY14" i="21" s="1"/>
  <c r="CF14" i="21" s="1"/>
  <c r="CQ35" i="22"/>
  <c r="CR35" i="22" s="1"/>
  <c r="CY35" i="22" s="1"/>
  <c r="DL43" i="25" l="1"/>
  <c r="DM43" i="25" s="1"/>
  <c r="DR43" i="25" s="1"/>
  <c r="DS43" i="25" s="1"/>
  <c r="DW43" i="25" s="1"/>
  <c r="CL17" i="29"/>
  <c r="CM17" i="29" s="1"/>
  <c r="CQ17" i="29" s="1"/>
  <c r="DT32" i="23"/>
  <c r="DU32" i="23" s="1"/>
  <c r="DW32" i="23" s="1"/>
  <c r="CM21" i="18"/>
  <c r="CN21" i="18" s="1"/>
  <c r="CU21" i="18" s="1"/>
  <c r="DE38" i="17"/>
  <c r="DF38" i="17" s="1"/>
  <c r="DK38" i="17" s="1"/>
  <c r="DL38" i="17" s="1"/>
  <c r="DO38" i="17" s="1"/>
  <c r="CG38" i="17"/>
  <c r="CH38" i="17" s="1"/>
  <c r="CO38" i="17" s="1"/>
  <c r="CS14" i="24"/>
  <c r="CT14" i="24" s="1"/>
  <c r="DA14" i="24" s="1"/>
  <c r="CS19" i="24"/>
  <c r="CT19" i="24" s="1"/>
  <c r="DA19" i="24" s="1"/>
  <c r="CS27" i="24"/>
  <c r="CT27" i="24" s="1"/>
  <c r="DA27" i="24" s="1"/>
  <c r="CS47" i="24"/>
  <c r="CT47" i="24" s="1"/>
  <c r="DA47" i="24" s="1"/>
  <c r="CS30" i="24"/>
  <c r="CT30" i="24" s="1"/>
  <c r="DA30" i="24" s="1"/>
  <c r="CS44" i="24"/>
  <c r="CT44" i="24" s="1"/>
  <c r="DA44" i="24" s="1"/>
  <c r="CS53" i="24"/>
  <c r="CT53" i="24" s="1"/>
  <c r="DA53" i="24" s="1"/>
  <c r="DT41" i="23"/>
  <c r="DU41" i="23" s="1"/>
  <c r="DW41" i="23" s="1"/>
  <c r="CJ29" i="1"/>
  <c r="CK29" i="1" s="1"/>
  <c r="CQ29" i="1" s="1"/>
  <c r="CR29" i="1" s="1"/>
  <c r="CV29" i="1" s="1"/>
  <c r="BN29" i="1"/>
  <c r="BO29" i="1" s="1"/>
  <c r="BV29" i="1" s="1"/>
  <c r="DE30" i="17"/>
  <c r="DF30" i="17" s="1"/>
  <c r="DK30" i="17" s="1"/>
  <c r="DL30" i="17" s="1"/>
  <c r="DO30" i="17" s="1"/>
  <c r="CG30" i="17"/>
  <c r="CH30" i="17" s="1"/>
  <c r="CO30" i="17" s="1"/>
  <c r="CJ14" i="1"/>
  <c r="CK14" i="1" s="1"/>
  <c r="CQ14" i="1" s="1"/>
  <c r="CR14" i="1" s="1"/>
  <c r="CV14" i="1" s="1"/>
  <c r="BN14" i="1"/>
  <c r="BO14" i="1" s="1"/>
  <c r="BV14" i="1" s="1"/>
  <c r="CA16" i="16"/>
  <c r="CB16" i="16" s="1"/>
  <c r="CI16" i="16" s="1"/>
  <c r="CJ12" i="28"/>
  <c r="CK12" i="28" s="1"/>
  <c r="CN12" i="28" s="1"/>
  <c r="CO12" i="28" s="1"/>
  <c r="CR12" i="28" s="1"/>
  <c r="BK12" i="28"/>
  <c r="BL12" i="28" s="1"/>
  <c r="BS12" i="28" s="1"/>
  <c r="BX16" i="21"/>
  <c r="BY16" i="21" s="1"/>
  <c r="CF16" i="21" s="1"/>
  <c r="BW15" i="26"/>
  <c r="BX15" i="26" s="1"/>
  <c r="CE15" i="26" s="1"/>
  <c r="CQ63" i="22"/>
  <c r="CR63" i="22" s="1"/>
  <c r="CY63" i="22" s="1"/>
  <c r="DU15" i="27"/>
  <c r="DV15" i="27" s="1"/>
  <c r="DZ15" i="27" s="1"/>
  <c r="CO15" i="27"/>
  <c r="CP15" i="27" s="1"/>
  <c r="CW15" i="27" s="1"/>
  <c r="Y11" i="30"/>
  <c r="Z11" i="30" s="1"/>
  <c r="AG11" i="30" s="1"/>
  <c r="CJ30" i="1"/>
  <c r="CK30" i="1" s="1"/>
  <c r="CQ30" i="1" s="1"/>
  <c r="CR30" i="1" s="1"/>
  <c r="CV30" i="1" s="1"/>
  <c r="BN30" i="1"/>
  <c r="BO30" i="1" s="1"/>
  <c r="BV30" i="1" s="1"/>
  <c r="Y14" i="30"/>
  <c r="Z14" i="30" s="1"/>
  <c r="AG14" i="30" s="1"/>
  <c r="CQ70" i="22" l="1"/>
  <c r="CR70" i="22" s="1"/>
  <c r="CY70" i="22" s="1"/>
  <c r="CQ88" i="22"/>
  <c r="CR88" i="22" s="1"/>
  <c r="CY88" i="22" s="1"/>
  <c r="BX20" i="21"/>
  <c r="BY20" i="21" s="1"/>
  <c r="CF20" i="21" s="1"/>
  <c r="DT34" i="23"/>
  <c r="DU34" i="23" s="1"/>
  <c r="DW34" i="23" s="1"/>
  <c r="BI25" i="29"/>
  <c r="BJ25" i="29" s="1"/>
  <c r="BQ25" i="29" s="1"/>
  <c r="CT28" i="19"/>
  <c r="CU28" i="19" s="1"/>
  <c r="CX28" i="19" s="1"/>
  <c r="BR28" i="19"/>
  <c r="BS28" i="19" s="1"/>
  <c r="BZ28" i="19" s="1"/>
  <c r="CM25" i="18"/>
  <c r="CN25" i="18" s="1"/>
  <c r="CU25" i="18" s="1"/>
  <c r="CG22" i="17"/>
  <c r="CH22" i="17" s="1"/>
  <c r="CO22" i="17" s="1"/>
  <c r="DK22" i="17"/>
  <c r="DL22" i="17" s="1"/>
  <c r="DO22" i="17" s="1"/>
  <c r="DU12" i="27"/>
  <c r="DV12" i="27" s="1"/>
  <c r="DZ12" i="27" s="1"/>
  <c r="DU29" i="27"/>
  <c r="DV29" i="27" s="1"/>
  <c r="DZ29" i="27" s="1"/>
  <c r="CO12" i="27"/>
  <c r="CP12" i="27" s="1"/>
  <c r="CW12" i="27" s="1"/>
  <c r="CO29" i="27"/>
  <c r="CP29" i="27" s="1"/>
  <c r="CW29" i="27" s="1"/>
  <c r="CM12" i="18"/>
  <c r="CN12" i="18" s="1"/>
  <c r="CU12" i="18" s="1"/>
  <c r="BR13" i="19"/>
  <c r="BS13" i="19" s="1"/>
  <c r="BZ13" i="19" s="1"/>
  <c r="BX21" i="21" l="1"/>
  <c r="BY21" i="21" s="1"/>
  <c r="CF21" i="21" s="1"/>
  <c r="BX15" i="21"/>
  <c r="BY15" i="21" s="1"/>
  <c r="CF15" i="21" s="1"/>
  <c r="CV21" i="21"/>
  <c r="CZ21" i="21" s="1"/>
  <c r="DA21" i="21" s="1"/>
  <c r="DC21" i="21" s="1"/>
  <c r="BR16" i="19"/>
  <c r="BS16" i="19" s="1"/>
  <c r="BZ16" i="19" s="1"/>
  <c r="BR14" i="19"/>
  <c r="BS14" i="19" s="1"/>
  <c r="BZ14" i="19" s="1"/>
  <c r="BR15" i="19"/>
  <c r="BS15" i="19" s="1"/>
  <c r="BZ15" i="19" s="1"/>
  <c r="CM16" i="18"/>
  <c r="CN16" i="18" s="1"/>
  <c r="CU16" i="18" s="1"/>
  <c r="CM15" i="18"/>
  <c r="CN15" i="18" s="1"/>
  <c r="CU15" i="18" s="1"/>
  <c r="CM13" i="18"/>
  <c r="CN13" i="18" s="1"/>
  <c r="CU13" i="18" s="1"/>
  <c r="DK11" i="17"/>
  <c r="DL11" i="17" s="1"/>
  <c r="DO11" i="17" s="1"/>
  <c r="CG11" i="17"/>
  <c r="CH11" i="17" s="1"/>
  <c r="CO11" i="17" s="1"/>
  <c r="CG21" i="17"/>
  <c r="CH21" i="17" s="1"/>
  <c r="CO21" i="17" s="1"/>
  <c r="CA25" i="16"/>
  <c r="CB25" i="16" s="1"/>
  <c r="CI25" i="16" s="1"/>
  <c r="CA20" i="16"/>
  <c r="CB20" i="16" s="1"/>
  <c r="CI20" i="16" s="1"/>
  <c r="CA14" i="16"/>
  <c r="CB14" i="16" s="1"/>
  <c r="CI14" i="16" s="1"/>
  <c r="BN11" i="1"/>
  <c r="BO11" i="1" s="1"/>
  <c r="BV11" i="1" s="1"/>
  <c r="AN12" i="31"/>
  <c r="Y11" i="31"/>
  <c r="BW26" i="26"/>
  <c r="BX26" i="26" s="1"/>
  <c r="CE26" i="26" s="1"/>
  <c r="CQ61" i="22"/>
  <c r="CR61" i="22" s="1"/>
  <c r="CY61" i="22" s="1"/>
  <c r="CQ20" i="22"/>
  <c r="CR20" i="22" s="1"/>
  <c r="CY20" i="22" s="1"/>
  <c r="CQ46" i="22"/>
  <c r="CR46" i="22" s="1"/>
  <c r="CY46" i="22" s="1"/>
  <c r="CQ65" i="22"/>
  <c r="CR65" i="22" s="1"/>
  <c r="CY65" i="22" s="1"/>
  <c r="CQ48" i="22"/>
  <c r="CR48" i="22" s="1"/>
  <c r="CY48" i="22" s="1"/>
  <c r="DU51" i="27"/>
  <c r="DV51" i="27" s="1"/>
  <c r="DZ51" i="27" s="1"/>
  <c r="DU19" i="27"/>
  <c r="DV19" i="27" s="1"/>
  <c r="DZ19" i="27" s="1"/>
  <c r="DU49" i="27"/>
  <c r="DV49" i="27" s="1"/>
  <c r="DZ49" i="27" s="1"/>
  <c r="DU52" i="27"/>
  <c r="DV52" i="27" s="1"/>
  <c r="DZ52" i="27" s="1"/>
  <c r="CO11" i="27"/>
  <c r="CP11" i="27" s="1"/>
  <c r="CW11" i="27" s="1"/>
  <c r="CO51" i="27"/>
  <c r="CP51" i="27" s="1"/>
  <c r="CW51" i="27" s="1"/>
  <c r="CO19" i="27"/>
  <c r="CP19" i="27" s="1"/>
  <c r="CW19" i="27" s="1"/>
  <c r="CO49" i="27"/>
  <c r="CP49" i="27" s="1"/>
  <c r="CW49" i="27" s="1"/>
  <c r="CO52" i="27"/>
  <c r="CP52" i="27" s="1"/>
  <c r="CW52" i="27" s="1"/>
  <c r="BI17" i="29"/>
  <c r="BJ17" i="29" s="1"/>
  <c r="BQ17" i="29" s="1"/>
  <c r="BI12" i="29"/>
  <c r="BJ12" i="29" s="1"/>
  <c r="BQ12" i="29" s="1"/>
  <c r="CE34" i="18" l="1"/>
  <c r="CF34" i="18" s="1"/>
  <c r="CM34" i="18" s="1"/>
  <c r="CN34" i="18" s="1"/>
  <c r="CU34" i="18" s="1"/>
  <c r="CE27" i="18"/>
  <c r="CF27" i="18" s="1"/>
  <c r="CM27" i="18" s="1"/>
  <c r="CN27" i="18" s="1"/>
  <c r="CU27" i="18" s="1"/>
  <c r="CE11" i="18"/>
  <c r="CF11" i="18" s="1"/>
  <c r="CM11" i="18" s="1"/>
  <c r="CN11" i="18" s="1"/>
  <c r="CU11" i="18" s="1"/>
  <c r="BY19" i="17"/>
  <c r="BZ19" i="17" s="1"/>
  <c r="CG19" i="17" s="1"/>
  <c r="CH19" i="17" s="1"/>
  <c r="CO19" i="17" s="1"/>
  <c r="BY32" i="17"/>
  <c r="BZ32" i="17" s="1"/>
  <c r="CG32" i="17" s="1"/>
  <c r="CH32" i="17" s="1"/>
  <c r="CO32" i="17" s="1"/>
  <c r="BY35" i="17"/>
  <c r="BZ35" i="17" s="1"/>
  <c r="CG35" i="17" s="1"/>
  <c r="CH35" i="17" s="1"/>
  <c r="CO35" i="17" s="1"/>
  <c r="BY55" i="17"/>
  <c r="BZ55" i="17" s="1"/>
  <c r="CG55" i="17" s="1"/>
  <c r="CH55" i="17" s="1"/>
  <c r="CO55" i="17" s="1"/>
  <c r="BY29" i="17"/>
  <c r="BS15" i="16"/>
  <c r="BT15" i="16" s="1"/>
  <c r="CA15" i="16" s="1"/>
  <c r="CB15" i="16" s="1"/>
  <c r="CI15" i="16" s="1"/>
  <c r="BS29" i="16"/>
  <c r="BT29" i="16" s="1"/>
  <c r="CA29" i="16" s="1"/>
  <c r="CB29" i="16" s="1"/>
  <c r="CI29" i="16" s="1"/>
  <c r="BS13" i="16"/>
  <c r="BT13" i="16" s="1"/>
  <c r="CA13" i="16" s="1"/>
  <c r="CB13" i="16" s="1"/>
  <c r="CI13" i="16" s="1"/>
  <c r="BS12" i="16"/>
  <c r="BT12" i="16" s="1"/>
  <c r="CA12" i="16" s="1"/>
  <c r="CB12" i="16" s="1"/>
  <c r="CI12" i="16" s="1"/>
  <c r="BF20" i="1"/>
  <c r="BG20" i="1" s="1"/>
  <c r="BN20" i="1" s="1"/>
  <c r="BO20" i="1" s="1"/>
  <c r="BV20" i="1" s="1"/>
  <c r="BF32" i="1"/>
  <c r="BG32" i="1" s="1"/>
  <c r="BN32" i="1" s="1"/>
  <c r="BO32" i="1" s="1"/>
  <c r="BV32" i="1" s="1"/>
  <c r="BF12" i="1"/>
  <c r="BG12" i="1" s="1"/>
  <c r="BN12" i="1" s="1"/>
  <c r="BO12" i="1" s="1"/>
  <c r="BV12" i="1" s="1"/>
  <c r="BC16" i="28"/>
  <c r="BD16" i="28" s="1"/>
  <c r="BK16" i="28" s="1"/>
  <c r="BL16" i="28" s="1"/>
  <c r="BS16" i="28" s="1"/>
  <c r="BO23" i="26"/>
  <c r="BP23" i="26" s="1"/>
  <c r="BW23" i="26" s="1"/>
  <c r="BX23" i="26" s="1"/>
  <c r="CE23" i="26" s="1"/>
  <c r="BO19" i="26"/>
  <c r="BP19" i="26" s="1"/>
  <c r="BW19" i="26" s="1"/>
  <c r="BX19" i="26" s="1"/>
  <c r="CE19" i="26" s="1"/>
  <c r="CC15" i="25"/>
  <c r="CD15" i="25" s="1"/>
  <c r="CK15" i="25" s="1"/>
  <c r="CL15" i="25" s="1"/>
  <c r="CS15" i="25" s="1"/>
  <c r="CC12" i="25"/>
  <c r="CD12" i="25" s="1"/>
  <c r="CK12" i="25" s="1"/>
  <c r="CL12" i="25" s="1"/>
  <c r="CS12" i="25" s="1"/>
  <c r="CC23" i="25"/>
  <c r="CC16" i="25"/>
  <c r="CD16" i="25" s="1"/>
  <c r="CK16" i="25" s="1"/>
  <c r="CL16" i="25" s="1"/>
  <c r="CS16" i="25" s="1"/>
  <c r="CC35" i="25"/>
  <c r="CD35" i="25" s="1"/>
  <c r="CK35" i="25" s="1"/>
  <c r="CL35" i="25" s="1"/>
  <c r="CS35" i="25" s="1"/>
  <c r="CK11" i="24"/>
  <c r="CL11" i="24" s="1"/>
  <c r="CS11" i="24" s="1"/>
  <c r="CT11" i="24" s="1"/>
  <c r="DA11" i="24" s="1"/>
  <c r="CK54" i="24"/>
  <c r="CL54" i="24" s="1"/>
  <c r="CS54" i="24" s="1"/>
  <c r="CT54" i="24" s="1"/>
  <c r="DA54" i="24" s="1"/>
  <c r="CK31" i="24"/>
  <c r="CK55" i="24"/>
  <c r="CL55" i="24" s="1"/>
  <c r="CS55" i="24" s="1"/>
  <c r="CT55" i="24" s="1"/>
  <c r="DA55" i="24" s="1"/>
  <c r="CK12" i="24"/>
  <c r="CL12" i="24" s="1"/>
  <c r="CS12" i="24" s="1"/>
  <c r="CT12" i="24" s="1"/>
  <c r="DA12" i="24" s="1"/>
  <c r="CK43" i="24"/>
  <c r="CL43" i="24" s="1"/>
  <c r="CS43" i="24" s="1"/>
  <c r="CT43" i="24" s="1"/>
  <c r="DA43" i="24" s="1"/>
  <c r="CH59" i="23"/>
  <c r="CI59" i="23" s="1"/>
  <c r="CP59" i="23" s="1"/>
  <c r="CQ59" i="23" s="1"/>
  <c r="CX59" i="23" s="1"/>
  <c r="CH40" i="23"/>
  <c r="CI40" i="23" s="1"/>
  <c r="CP40" i="23" s="1"/>
  <c r="CQ40" i="23" s="1"/>
  <c r="CX40" i="23" s="1"/>
  <c r="CH69" i="23"/>
  <c r="CI69" i="23" s="1"/>
  <c r="CP69" i="23" s="1"/>
  <c r="CQ69" i="23" s="1"/>
  <c r="CX69" i="23" s="1"/>
  <c r="CH38" i="23"/>
  <c r="CI38" i="23" s="1"/>
  <c r="CP38" i="23" s="1"/>
  <c r="CQ38" i="23" s="1"/>
  <c r="CX38" i="23" s="1"/>
  <c r="CH82" i="23"/>
  <c r="CI82" i="23" s="1"/>
  <c r="CP82" i="23" s="1"/>
  <c r="CQ82" i="23" s="1"/>
  <c r="CX82" i="23" s="1"/>
  <c r="CH70" i="23"/>
  <c r="CI70" i="23" s="1"/>
  <c r="CP70" i="23" s="1"/>
  <c r="CQ70" i="23" s="1"/>
  <c r="CX70" i="23" s="1"/>
  <c r="CH83" i="23"/>
  <c r="CH18" i="23"/>
  <c r="CI15" i="22"/>
  <c r="CJ15" i="22" s="1"/>
  <c r="CQ15" i="22" s="1"/>
  <c r="CR15" i="22" s="1"/>
  <c r="CY15" i="22" s="1"/>
  <c r="CI91" i="22"/>
  <c r="CJ91" i="22" s="1"/>
  <c r="CQ91" i="22" s="1"/>
  <c r="CR91" i="22" s="1"/>
  <c r="CY91" i="22" s="1"/>
  <c r="CI37" i="22"/>
  <c r="CJ37" i="22" s="1"/>
  <c r="CQ37" i="22" s="1"/>
  <c r="CR37" i="22" s="1"/>
  <c r="CY37" i="22" s="1"/>
  <c r="CI45" i="22"/>
  <c r="CJ45" i="22" s="1"/>
  <c r="CQ45" i="22" s="1"/>
  <c r="CR45" i="22" s="1"/>
  <c r="CY45" i="22" s="1"/>
  <c r="CI28" i="22"/>
  <c r="CJ28" i="22" s="1"/>
  <c r="CQ28" i="22" s="1"/>
  <c r="CR28" i="22" s="1"/>
  <c r="CY28" i="22" s="1"/>
  <c r="CI40" i="22"/>
  <c r="CJ40" i="22" s="1"/>
  <c r="CQ40" i="22" s="1"/>
  <c r="CR40" i="22" s="1"/>
  <c r="CY40" i="22" s="1"/>
  <c r="CI93" i="22"/>
  <c r="CJ93" i="22" s="1"/>
  <c r="CQ93" i="22" s="1"/>
  <c r="CR93" i="22" s="1"/>
  <c r="CY93" i="22" s="1"/>
  <c r="CI94" i="22"/>
  <c r="CJ94" i="22" s="1"/>
  <c r="CQ94" i="22" s="1"/>
  <c r="CR94" i="22" s="1"/>
  <c r="CY94" i="22" s="1"/>
  <c r="CI56" i="22"/>
  <c r="CJ56" i="22" s="1"/>
  <c r="CQ56" i="22" s="1"/>
  <c r="CR56" i="22" s="1"/>
  <c r="CY56" i="22" s="1"/>
  <c r="CI67" i="22"/>
  <c r="CJ67" i="22" s="1"/>
  <c r="CQ67" i="22" s="1"/>
  <c r="CR67" i="22" s="1"/>
  <c r="CY67" i="22" s="1"/>
  <c r="CI96" i="22"/>
  <c r="CJ96" i="22" s="1"/>
  <c r="CQ96" i="22" s="1"/>
  <c r="CR96" i="22" s="1"/>
  <c r="CY96" i="22" s="1"/>
  <c r="CI47" i="22"/>
  <c r="CJ47" i="22" s="1"/>
  <c r="CQ47" i="22" s="1"/>
  <c r="CR47" i="22" s="1"/>
  <c r="CY47" i="22" s="1"/>
  <c r="CG13" i="27"/>
  <c r="CH13" i="27" s="1"/>
  <c r="CO13" i="27" s="1"/>
  <c r="CP13" i="27" s="1"/>
  <c r="CW13" i="27" s="1"/>
  <c r="CG53" i="27"/>
  <c r="CH53" i="27" s="1"/>
  <c r="CO53" i="27" s="1"/>
  <c r="CP53" i="27" s="1"/>
  <c r="CW53" i="27" s="1"/>
  <c r="CG16" i="27"/>
  <c r="CH16" i="27" s="1"/>
  <c r="CO16" i="27" s="1"/>
  <c r="CP16" i="27" s="1"/>
  <c r="CW16" i="27" s="1"/>
  <c r="CG48" i="27"/>
  <c r="CH48" i="27" s="1"/>
  <c r="CO48" i="27" s="1"/>
  <c r="CP48" i="27" s="1"/>
  <c r="CW48" i="27" s="1"/>
  <c r="CG31" i="27"/>
  <c r="CH31" i="27" s="1"/>
  <c r="CO31" i="27" s="1"/>
  <c r="CP31" i="27" s="1"/>
  <c r="CW31" i="27" s="1"/>
  <c r="CG56" i="27"/>
  <c r="CH56" i="27" s="1"/>
  <c r="CO56" i="27" s="1"/>
  <c r="CP56" i="27" s="1"/>
  <c r="CW56" i="27" s="1"/>
  <c r="CG38" i="27"/>
  <c r="CH38" i="27" s="1"/>
  <c r="CO38" i="27" s="1"/>
  <c r="CP38" i="27" s="1"/>
  <c r="CW38" i="27" s="1"/>
  <c r="CG45" i="27"/>
  <c r="CH45" i="27" s="1"/>
  <c r="CO45" i="27" s="1"/>
  <c r="CP45" i="27" s="1"/>
  <c r="CW45" i="27" s="1"/>
  <c r="CG21" i="27"/>
  <c r="CH21" i="27" s="1"/>
  <c r="CO21" i="27" s="1"/>
  <c r="CP21" i="27" s="1"/>
  <c r="CW21" i="27" s="1"/>
  <c r="CG63" i="27"/>
  <c r="BA18" i="29"/>
  <c r="BB18" i="29" s="1"/>
  <c r="BI18" i="29" s="1"/>
  <c r="BJ18" i="29" s="1"/>
  <c r="BQ18" i="29" s="1"/>
  <c r="BA15" i="29"/>
  <c r="BB15" i="29" s="1"/>
  <c r="BI15" i="29" s="1"/>
  <c r="BJ15" i="29" s="1"/>
  <c r="BQ15" i="29" s="1"/>
  <c r="BA32" i="29"/>
  <c r="BB32" i="29" s="1"/>
  <c r="BI32" i="29" s="1"/>
  <c r="BJ32" i="29" s="1"/>
  <c r="BQ32" i="29" s="1"/>
  <c r="BP12" i="21"/>
  <c r="BQ12" i="21" s="1"/>
  <c r="BX12" i="21" s="1"/>
  <c r="BY12" i="21" s="1"/>
  <c r="CF12" i="21" s="1"/>
  <c r="BP18" i="21"/>
  <c r="CL18" i="21"/>
  <c r="CM18" i="21" s="1"/>
  <c r="DG31" i="24"/>
  <c r="DH31" i="24" s="1"/>
  <c r="DA16" i="25"/>
  <c r="DB16" i="25" s="1"/>
  <c r="DE18" i="23"/>
  <c r="DF18" i="23" s="1"/>
  <c r="DE83" i="23"/>
  <c r="DF83" i="23" s="1"/>
  <c r="DE47" i="22"/>
  <c r="DA23" i="25"/>
  <c r="DB23" i="25" s="1"/>
  <c r="CV29" i="17"/>
  <c r="CW29" i="17" s="1"/>
  <c r="DF45" i="27" l="1"/>
  <c r="DO45" i="27" s="1"/>
  <c r="DP45" i="27" s="1"/>
  <c r="DU45" i="27" s="1"/>
  <c r="DV45" i="27" s="1"/>
  <c r="DZ45" i="27" s="1"/>
  <c r="DF47" i="22"/>
  <c r="DM47" i="22" s="1"/>
  <c r="DN47" i="22" s="1"/>
  <c r="DS47" i="22" s="1"/>
  <c r="DT47" i="22" s="1"/>
  <c r="DW47" i="22" s="1"/>
  <c r="DC16" i="25"/>
  <c r="DL16" i="25" s="1"/>
  <c r="DM16" i="25" s="1"/>
  <c r="DR16" i="25" s="1"/>
  <c r="DS16" i="25" s="1"/>
  <c r="DW16" i="25" s="1"/>
  <c r="CN18" i="21"/>
  <c r="CT18" i="21" s="1"/>
  <c r="CU18" i="21" s="1"/>
  <c r="CZ18" i="21" s="1"/>
  <c r="DA18" i="21" s="1"/>
  <c r="DC18" i="21" s="1"/>
  <c r="BQ18" i="21"/>
  <c r="BX18" i="21" s="1"/>
  <c r="BY18" i="21" s="1"/>
  <c r="CF18" i="21" s="1"/>
  <c r="CX29" i="17"/>
  <c r="DE29" i="17" s="1"/>
  <c r="DF29" i="17" s="1"/>
  <c r="DK29" i="17" s="1"/>
  <c r="DL29" i="17" s="1"/>
  <c r="DO29" i="17" s="1"/>
  <c r="BZ29" i="17"/>
  <c r="CG29" i="17" s="1"/>
  <c r="CH29" i="17" s="1"/>
  <c r="CO29" i="17" s="1"/>
  <c r="DC23" i="25"/>
  <c r="DL23" i="25" s="1"/>
  <c r="DM23" i="25" s="1"/>
  <c r="DR23" i="25" s="1"/>
  <c r="DS23" i="25" s="1"/>
  <c r="DW23" i="25" s="1"/>
  <c r="CD23" i="25"/>
  <c r="CK23" i="25" s="1"/>
  <c r="CL23" i="25" s="1"/>
  <c r="CS23" i="25" s="1"/>
  <c r="DI31" i="24"/>
  <c r="DQ31" i="24" s="1"/>
  <c r="DR31" i="24" s="1"/>
  <c r="DW31" i="24" s="1"/>
  <c r="DX31" i="24" s="1"/>
  <c r="DZ31" i="24" s="1"/>
  <c r="CL31" i="24"/>
  <c r="CS31" i="24" s="1"/>
  <c r="CT31" i="24" s="1"/>
  <c r="DA31" i="24" s="1"/>
  <c r="DG83" i="23"/>
  <c r="DM83" i="23" s="1"/>
  <c r="DN83" i="23" s="1"/>
  <c r="DT83" i="23" s="1"/>
  <c r="DU83" i="23" s="1"/>
  <c r="DW83" i="23" s="1"/>
  <c r="CI83" i="23"/>
  <c r="CP83" i="23" s="1"/>
  <c r="CQ83" i="23" s="1"/>
  <c r="CX83" i="23" s="1"/>
  <c r="DG18" i="23"/>
  <c r="DM18" i="23" s="1"/>
  <c r="DN18" i="23" s="1"/>
  <c r="DT18" i="23" s="1"/>
  <c r="DU18" i="23" s="1"/>
  <c r="DW18" i="23" s="1"/>
  <c r="CI18" i="23"/>
  <c r="CP18" i="23" s="1"/>
  <c r="CQ18" i="23" s="1"/>
  <c r="CX18" i="23" s="1"/>
  <c r="DF63" i="27"/>
  <c r="DO63" i="27" s="1"/>
  <c r="DP63" i="27" s="1"/>
  <c r="DU63" i="27" s="1"/>
  <c r="DV63" i="27" s="1"/>
  <c r="DZ63" i="27" s="1"/>
  <c r="CH63" i="27"/>
  <c r="CO63" i="27" s="1"/>
  <c r="CP63" i="27" s="1"/>
  <c r="CW63" i="27" s="1"/>
  <c r="DF21" i="27"/>
  <c r="DO21" i="27" s="1"/>
  <c r="DP21" i="27" s="1"/>
  <c r="DU21" i="27" s="1"/>
  <c r="DV21" i="27" s="1"/>
  <c r="DZ21" i="27" s="1"/>
  <c r="DC27" i="18" l="1"/>
  <c r="DD27" i="18" s="1"/>
  <c r="DE27" i="18"/>
  <c r="CO29" i="16"/>
  <c r="CP29" i="16" s="1"/>
  <c r="CQ29" i="16"/>
  <c r="CW29" i="16" l="1"/>
  <c r="CX29" i="16" s="1"/>
  <c r="DC29" i="16" s="1"/>
  <c r="DD29" i="16" s="1"/>
  <c r="DJ29" i="16" s="1"/>
  <c r="DM27" i="18"/>
  <c r="DN27" i="18" s="1"/>
  <c r="DR27" i="18" s="1"/>
  <c r="DS27" i="18" s="1"/>
  <c r="DW27" i="18" s="1"/>
  <c r="DE67" i="22"/>
  <c r="DF67" i="22"/>
  <c r="DF38" i="27"/>
  <c r="DO38" i="27" s="1"/>
  <c r="DP38" i="27" s="1"/>
  <c r="DU38" i="27" s="1"/>
  <c r="DV38" i="27" s="1"/>
  <c r="DZ38" i="27" s="1"/>
  <c r="DG43" i="24"/>
  <c r="DH43" i="24" s="1"/>
  <c r="DI43" i="24"/>
  <c r="DQ43" i="24" l="1"/>
  <c r="DR43" i="24" s="1"/>
  <c r="DW43" i="24" s="1"/>
  <c r="DX43" i="24" s="1"/>
  <c r="DZ43" i="24" s="1"/>
  <c r="DM67" i="22"/>
  <c r="DN67" i="22" s="1"/>
  <c r="DS67" i="22" s="1"/>
  <c r="DT67" i="22" s="1"/>
  <c r="DW67" i="22" s="1"/>
  <c r="CV55" i="17"/>
  <c r="CW55" i="17" s="1"/>
  <c r="CX35" i="17"/>
  <c r="CX55" i="17"/>
  <c r="CO13" i="16"/>
  <c r="CP13" i="16" s="1"/>
  <c r="CQ13" i="16"/>
  <c r="BX18" i="29"/>
  <c r="BY18" i="29" s="1"/>
  <c r="BZ18" i="29"/>
  <c r="DG82" i="23"/>
  <c r="CV35" i="17"/>
  <c r="CW35" i="17" s="1"/>
  <c r="DI55" i="24"/>
  <c r="DE40" i="22"/>
  <c r="DE96" i="22"/>
  <c r="DF94" i="22"/>
  <c r="DF40" i="22"/>
  <c r="DF96" i="22"/>
  <c r="DE82" i="23"/>
  <c r="DF82" i="23" s="1"/>
  <c r="DG55" i="24"/>
  <c r="DH55" i="24" s="1"/>
  <c r="DE94" i="22"/>
  <c r="DE55" i="17" l="1"/>
  <c r="DF55" i="17" s="1"/>
  <c r="DK55" i="17" s="1"/>
  <c r="DL55" i="17" s="1"/>
  <c r="DO55" i="17" s="1"/>
  <c r="DE35" i="17"/>
  <c r="DF35" i="17" s="1"/>
  <c r="DK35" i="17" s="1"/>
  <c r="DL35" i="17" s="1"/>
  <c r="DO35" i="17" s="1"/>
  <c r="CW13" i="16"/>
  <c r="CX13" i="16" s="1"/>
  <c r="DC13" i="16" s="1"/>
  <c r="DD13" i="16" s="1"/>
  <c r="DJ13" i="16" s="1"/>
  <c r="DQ55" i="24"/>
  <c r="DR55" i="24" s="1"/>
  <c r="DW55" i="24" s="1"/>
  <c r="DX55" i="24" s="1"/>
  <c r="DZ55" i="24" s="1"/>
  <c r="DM82" i="23"/>
  <c r="DN82" i="23" s="1"/>
  <c r="DT82" i="23" s="1"/>
  <c r="DU82" i="23" s="1"/>
  <c r="DW82" i="23" s="1"/>
  <c r="DM40" i="22"/>
  <c r="DN40" i="22" s="1"/>
  <c r="DS40" i="22" s="1"/>
  <c r="DT40" i="22" s="1"/>
  <c r="DW40" i="22" s="1"/>
  <c r="CE18" i="29"/>
  <c r="CF18" i="29" s="1"/>
  <c r="CL18" i="29" s="1"/>
  <c r="CM18" i="29" s="1"/>
  <c r="CQ18" i="29" s="1"/>
  <c r="DM96" i="22"/>
  <c r="DN96" i="22" s="1"/>
  <c r="DS96" i="22" s="1"/>
  <c r="DT96" i="22" s="1"/>
  <c r="DW96" i="22" s="1"/>
  <c r="DM94" i="22"/>
  <c r="DN94" i="22" s="1"/>
  <c r="DS94" i="22" s="1"/>
  <c r="DT94" i="22" s="1"/>
  <c r="DW94" i="22" s="1"/>
  <c r="DF31" i="27" l="1"/>
  <c r="DO31" i="27" s="1"/>
  <c r="DP31" i="27" s="1"/>
  <c r="DU31" i="27" s="1"/>
  <c r="DV31" i="27" s="1"/>
  <c r="DZ31" i="27" s="1"/>
  <c r="CJ19" i="26"/>
  <c r="CK19" i="26" s="1"/>
  <c r="CL19" i="26"/>
  <c r="DE40" i="23"/>
  <c r="DF40" i="23" s="1"/>
  <c r="DG40" i="23"/>
  <c r="DM40" i="23" l="1"/>
  <c r="DN40" i="23" s="1"/>
  <c r="DT40" i="23" s="1"/>
  <c r="DU40" i="23" s="1"/>
  <c r="DW40" i="23" s="1"/>
  <c r="CQ19" i="26"/>
  <c r="CR19" i="26" s="1"/>
  <c r="CW19" i="26" s="1"/>
  <c r="CX19" i="26" s="1"/>
  <c r="CZ19" i="26" s="1"/>
  <c r="CX32" i="17" l="1"/>
  <c r="CQ12" i="16"/>
  <c r="CQ15" i="16"/>
  <c r="CC12" i="1"/>
  <c r="CC20" i="1"/>
  <c r="CC32" i="1"/>
  <c r="CC16" i="28"/>
  <c r="CJ23" i="26"/>
  <c r="CK23" i="26" s="1"/>
  <c r="CL23" i="26"/>
  <c r="DA12" i="25"/>
  <c r="DB12" i="25" s="1"/>
  <c r="DC15" i="25"/>
  <c r="DC35" i="25"/>
  <c r="DC12" i="25"/>
  <c r="DI12" i="24"/>
  <c r="DI11" i="24"/>
  <c r="DI54" i="24"/>
  <c r="DG59" i="23"/>
  <c r="DG38" i="23"/>
  <c r="DG69" i="23"/>
  <c r="DG70" i="23"/>
  <c r="DF15" i="22"/>
  <c r="DF45" i="22"/>
  <c r="DF93" i="22"/>
  <c r="DF37" i="22"/>
  <c r="DF56" i="22"/>
  <c r="DF53" i="27"/>
  <c r="DO53" i="27" s="1"/>
  <c r="DP53" i="27" s="1"/>
  <c r="DU53" i="27" s="1"/>
  <c r="DV53" i="27" s="1"/>
  <c r="DZ53" i="27" s="1"/>
  <c r="DF16" i="27"/>
  <c r="DO16" i="27" s="1"/>
  <c r="DP16" i="27" s="1"/>
  <c r="DU16" i="27" s="1"/>
  <c r="DV16" i="27" s="1"/>
  <c r="DZ16" i="27" s="1"/>
  <c r="DF56" i="27"/>
  <c r="DO56" i="27" s="1"/>
  <c r="DP56" i="27" s="1"/>
  <c r="DU56" i="27" s="1"/>
  <c r="DV56" i="27" s="1"/>
  <c r="DZ56" i="27" s="1"/>
  <c r="BX15" i="29"/>
  <c r="BY15" i="29" s="1"/>
  <c r="BZ32" i="29"/>
  <c r="BZ15" i="29"/>
  <c r="DE93" i="22"/>
  <c r="DF91" i="22"/>
  <c r="DF28" i="22"/>
  <c r="CN12" i="21"/>
  <c r="DE28" i="22"/>
  <c r="DA35" i="25"/>
  <c r="DB35" i="25" s="1"/>
  <c r="CL12" i="21"/>
  <c r="CM12" i="21" s="1"/>
  <c r="CA16" i="28"/>
  <c r="CB16" i="28" s="1"/>
  <c r="DE70" i="23"/>
  <c r="DF70" i="23" s="1"/>
  <c r="DE91" i="22"/>
  <c r="DE37" i="22"/>
  <c r="DF48" i="27"/>
  <c r="DO48" i="27" s="1"/>
  <c r="DP48" i="27" s="1"/>
  <c r="DU48" i="27" s="1"/>
  <c r="DV48" i="27" s="1"/>
  <c r="DZ48" i="27" s="1"/>
  <c r="DE15" i="22"/>
  <c r="DE69" i="23"/>
  <c r="DF69" i="23" s="1"/>
  <c r="DG11" i="24"/>
  <c r="DH11" i="24" s="1"/>
  <c r="DG54" i="24"/>
  <c r="DH54" i="24" s="1"/>
  <c r="CO15" i="16"/>
  <c r="CP15" i="16" s="1"/>
  <c r="CV32" i="17"/>
  <c r="CW32" i="17" s="1"/>
  <c r="CA32" i="1"/>
  <c r="CB32" i="1" s="1"/>
  <c r="DE59" i="23"/>
  <c r="DF59" i="23" s="1"/>
  <c r="DE38" i="23"/>
  <c r="DF38" i="23" s="1"/>
  <c r="DE56" i="22"/>
  <c r="DE45" i="22"/>
  <c r="BX32" i="29"/>
  <c r="BY32" i="29" s="1"/>
  <c r="DA15" i="25"/>
  <c r="DB15" i="25" s="1"/>
  <c r="DG12" i="24"/>
  <c r="DH12" i="24" s="1"/>
  <c r="CA20" i="1"/>
  <c r="CB20" i="1" s="1"/>
  <c r="AR18" i="19"/>
  <c r="AS18" i="19" s="1"/>
  <c r="BJ18" i="19" s="1"/>
  <c r="BK18" i="19" s="1"/>
  <c r="BR18" i="19" s="1"/>
  <c r="BS18" i="19" s="1"/>
  <c r="BZ18" i="19" s="1"/>
  <c r="CF18" i="19"/>
  <c r="CG18" i="19" s="1"/>
  <c r="DC11" i="18"/>
  <c r="DD11" i="18" s="1"/>
  <c r="DC34" i="18"/>
  <c r="DD34" i="18" s="1"/>
  <c r="CV19" i="17"/>
  <c r="CW19" i="17" s="1"/>
  <c r="CO12" i="16"/>
  <c r="CP12" i="16" s="1"/>
  <c r="CA12" i="1"/>
  <c r="CB12" i="1" s="1"/>
  <c r="AL11" i="30"/>
  <c r="AM11" i="30" s="1"/>
  <c r="AL14" i="30"/>
  <c r="AM14" i="30" s="1"/>
  <c r="AP14" i="30" s="1"/>
  <c r="DE11" i="22"/>
  <c r="DE12" i="22"/>
  <c r="BE11" i="22"/>
  <c r="BF11" i="22" s="1"/>
  <c r="CI11" i="22" s="1"/>
  <c r="CJ11" i="22" s="1"/>
  <c r="CQ11" i="22" s="1"/>
  <c r="CR11" i="22" s="1"/>
  <c r="CY11" i="22" s="1"/>
  <c r="BE12" i="22"/>
  <c r="BF12" i="22" s="1"/>
  <c r="CI12" i="22" s="1"/>
  <c r="CJ12" i="22" s="1"/>
  <c r="CQ12" i="22" s="1"/>
  <c r="CR12" i="22" s="1"/>
  <c r="CY12" i="22" s="1"/>
  <c r="DE31" i="23"/>
  <c r="DF31" i="23" s="1"/>
  <c r="BD31" i="23"/>
  <c r="BE31" i="23" s="1"/>
  <c r="CH31" i="23" s="1"/>
  <c r="CI31" i="23" s="1"/>
  <c r="CP31" i="23" s="1"/>
  <c r="CQ31" i="23" s="1"/>
  <c r="CX31" i="23" s="1"/>
  <c r="DG35" i="24"/>
  <c r="DH35" i="24" s="1"/>
  <c r="BF35" i="24"/>
  <c r="BG35" i="24" s="1"/>
  <c r="CK35" i="24" s="1"/>
  <c r="CL35" i="24" s="1"/>
  <c r="CS35" i="24" s="1"/>
  <c r="CT35" i="24" s="1"/>
  <c r="DA35" i="24" s="1"/>
  <c r="DA11" i="25"/>
  <c r="DB11" i="25" s="1"/>
  <c r="DA21" i="25"/>
  <c r="DB21" i="25" s="1"/>
  <c r="AZ11" i="25"/>
  <c r="BA11" i="25" s="1"/>
  <c r="CC11" i="25" s="1"/>
  <c r="CD11" i="25" s="1"/>
  <c r="CK11" i="25" s="1"/>
  <c r="CL11" i="25" s="1"/>
  <c r="CS11" i="25" s="1"/>
  <c r="AZ21" i="25"/>
  <c r="BA21" i="25" s="1"/>
  <c r="CC21" i="25" s="1"/>
  <c r="CD21" i="25" s="1"/>
  <c r="CK21" i="25" s="1"/>
  <c r="CL21" i="25" s="1"/>
  <c r="CS21" i="25" s="1"/>
  <c r="CJ11" i="26"/>
  <c r="CK11" i="26" s="1"/>
  <c r="AU11" i="26"/>
  <c r="AV11" i="26" s="1"/>
  <c r="BO11" i="26" s="1"/>
  <c r="BP11" i="26" s="1"/>
  <c r="BW11" i="26" s="1"/>
  <c r="BX11" i="26" s="1"/>
  <c r="CE11" i="26" s="1"/>
  <c r="DE32" i="17" l="1"/>
  <c r="DF32" i="17" s="1"/>
  <c r="DK32" i="17" s="1"/>
  <c r="DL32" i="17" s="1"/>
  <c r="DO32" i="17" s="1"/>
  <c r="DM70" i="23"/>
  <c r="DN70" i="23" s="1"/>
  <c r="DT70" i="23" s="1"/>
  <c r="DU70" i="23" s="1"/>
  <c r="DW70" i="23" s="1"/>
  <c r="CJ12" i="1"/>
  <c r="CK12" i="1" s="1"/>
  <c r="CQ12" i="1" s="1"/>
  <c r="CR12" i="1" s="1"/>
  <c r="CV12" i="1" s="1"/>
  <c r="DL15" i="25"/>
  <c r="DM15" i="25" s="1"/>
  <c r="DR15" i="25" s="1"/>
  <c r="DS15" i="25" s="1"/>
  <c r="DW15" i="25" s="1"/>
  <c r="CW15" i="16"/>
  <c r="CX15" i="16" s="1"/>
  <c r="DC15" i="16" s="1"/>
  <c r="DD15" i="16" s="1"/>
  <c r="DJ15" i="16" s="1"/>
  <c r="DL35" i="25"/>
  <c r="DM35" i="25" s="1"/>
  <c r="DR35" i="25" s="1"/>
  <c r="DS35" i="25" s="1"/>
  <c r="DW35" i="25" s="1"/>
  <c r="DM37" i="22"/>
  <c r="DN37" i="22" s="1"/>
  <c r="DS37" i="22" s="1"/>
  <c r="DT37" i="22" s="1"/>
  <c r="DW37" i="22" s="1"/>
  <c r="DM45" i="22"/>
  <c r="DN45" i="22" s="1"/>
  <c r="DS45" i="22" s="1"/>
  <c r="DT45" i="22" s="1"/>
  <c r="DW45" i="22" s="1"/>
  <c r="CW12" i="16"/>
  <c r="CX12" i="16" s="1"/>
  <c r="DC12" i="16" s="1"/>
  <c r="DD12" i="16" s="1"/>
  <c r="DJ12" i="16" s="1"/>
  <c r="DL12" i="25"/>
  <c r="DM12" i="25" s="1"/>
  <c r="DR12" i="25" s="1"/>
  <c r="DS12" i="25" s="1"/>
  <c r="DW12" i="25" s="1"/>
  <c r="DQ54" i="24"/>
  <c r="DR54" i="24" s="1"/>
  <c r="DW54" i="24" s="1"/>
  <c r="DX54" i="24" s="1"/>
  <c r="DZ54" i="24" s="1"/>
  <c r="DQ11" i="24"/>
  <c r="DR11" i="24" s="1"/>
  <c r="DW11" i="24" s="1"/>
  <c r="DX11" i="24" s="1"/>
  <c r="DZ11" i="24" s="1"/>
  <c r="DQ12" i="24"/>
  <c r="DR12" i="24" s="1"/>
  <c r="DW12" i="24" s="1"/>
  <c r="DX12" i="24" s="1"/>
  <c r="DZ12" i="24" s="1"/>
  <c r="DM69" i="23"/>
  <c r="DN69" i="23" s="1"/>
  <c r="DT69" i="23" s="1"/>
  <c r="DU69" i="23" s="1"/>
  <c r="DW69" i="23" s="1"/>
  <c r="DM38" i="23"/>
  <c r="DN38" i="23" s="1"/>
  <c r="DT38" i="23" s="1"/>
  <c r="DU38" i="23" s="1"/>
  <c r="DW38" i="23" s="1"/>
  <c r="DM59" i="23"/>
  <c r="DN59" i="23" s="1"/>
  <c r="DT59" i="23" s="1"/>
  <c r="DU59" i="23" s="1"/>
  <c r="DW59" i="23" s="1"/>
  <c r="DM28" i="22"/>
  <c r="DN28" i="22" s="1"/>
  <c r="DS28" i="22" s="1"/>
  <c r="DT28" i="22" s="1"/>
  <c r="DW28" i="22" s="1"/>
  <c r="DM15" i="22"/>
  <c r="DN15" i="22" s="1"/>
  <c r="DS15" i="22" s="1"/>
  <c r="DT15" i="22" s="1"/>
  <c r="DW15" i="22" s="1"/>
  <c r="DM93" i="22"/>
  <c r="DN93" i="22" s="1"/>
  <c r="DS93" i="22" s="1"/>
  <c r="DT93" i="22" s="1"/>
  <c r="DW93" i="22" s="1"/>
  <c r="CJ20" i="1"/>
  <c r="CK20" i="1" s="1"/>
  <c r="CQ20" i="1" s="1"/>
  <c r="CR20" i="1" s="1"/>
  <c r="CV20" i="1" s="1"/>
  <c r="CQ23" i="26"/>
  <c r="CR23" i="26" s="1"/>
  <c r="CW23" i="26" s="1"/>
  <c r="CX23" i="26" s="1"/>
  <c r="CZ23" i="26" s="1"/>
  <c r="CL11" i="26"/>
  <c r="CQ11" i="26" s="1"/>
  <c r="CR11" i="26" s="1"/>
  <c r="CW11" i="26" s="1"/>
  <c r="CX11" i="26" s="1"/>
  <c r="CZ11" i="26" s="1"/>
  <c r="CE15" i="29"/>
  <c r="CF15" i="29" s="1"/>
  <c r="CL15" i="29" s="1"/>
  <c r="CM15" i="29" s="1"/>
  <c r="CQ15" i="29" s="1"/>
  <c r="DM91" i="22"/>
  <c r="DN91" i="22" s="1"/>
  <c r="DS91" i="22" s="1"/>
  <c r="DT91" i="22" s="1"/>
  <c r="DW91" i="22" s="1"/>
  <c r="CT12" i="21"/>
  <c r="CU12" i="21" s="1"/>
  <c r="CZ12" i="21" s="1"/>
  <c r="DA12" i="21" s="1"/>
  <c r="DC12" i="21" s="1"/>
  <c r="CJ16" i="28"/>
  <c r="CK16" i="28" s="1"/>
  <c r="CN16" i="28" s="1"/>
  <c r="CO16" i="28" s="1"/>
  <c r="CR16" i="28" s="1"/>
  <c r="CE32" i="29"/>
  <c r="CF32" i="29" s="1"/>
  <c r="CL32" i="29" s="1"/>
  <c r="CM32" i="29" s="1"/>
  <c r="CQ32" i="29" s="1"/>
  <c r="CX19" i="17"/>
  <c r="DE19" i="17" s="1"/>
  <c r="DF19" i="17" s="1"/>
  <c r="DK19" i="17" s="1"/>
  <c r="DL19" i="17" s="1"/>
  <c r="DO19" i="17" s="1"/>
  <c r="CJ32" i="1"/>
  <c r="CK32" i="1" s="1"/>
  <c r="CQ32" i="1" s="1"/>
  <c r="CR32" i="1" s="1"/>
  <c r="CV32" i="1" s="1"/>
  <c r="DG31" i="23"/>
  <c r="DM31" i="23" s="1"/>
  <c r="DN31" i="23" s="1"/>
  <c r="DT31" i="23" s="1"/>
  <c r="DU31" i="23" s="1"/>
  <c r="DW31" i="23" s="1"/>
  <c r="DM56" i="22"/>
  <c r="DN56" i="22" s="1"/>
  <c r="DS56" i="22" s="1"/>
  <c r="DT56" i="22" s="1"/>
  <c r="DW56" i="22" s="1"/>
  <c r="DF13" i="27"/>
  <c r="DO13" i="27" s="1"/>
  <c r="DP13" i="27" s="1"/>
  <c r="DU13" i="27" s="1"/>
  <c r="DV13" i="27" s="1"/>
  <c r="DZ13" i="27" s="1"/>
  <c r="CH18" i="19"/>
  <c r="CN18" i="19" s="1"/>
  <c r="CO18" i="19" s="1"/>
  <c r="CT18" i="19" s="1"/>
  <c r="CU18" i="19" s="1"/>
  <c r="CX18" i="19" s="1"/>
  <c r="DC21" i="25"/>
  <c r="DL21" i="25" s="1"/>
  <c r="DM21" i="25" s="1"/>
  <c r="DR21" i="25" s="1"/>
  <c r="DS21" i="25" s="1"/>
  <c r="DW21" i="25" s="1"/>
  <c r="DC11" i="25"/>
  <c r="DL11" i="25" s="1"/>
  <c r="DM11" i="25" s="1"/>
  <c r="DR11" i="25" s="1"/>
  <c r="DS11" i="25" s="1"/>
  <c r="DW11" i="25" s="1"/>
  <c r="DI35" i="24"/>
  <c r="DQ35" i="24" s="1"/>
  <c r="DR35" i="24" s="1"/>
  <c r="DW35" i="24" s="1"/>
  <c r="DX35" i="24" s="1"/>
  <c r="DZ35" i="24" s="1"/>
  <c r="DF12" i="22"/>
  <c r="DM12" i="22" s="1"/>
  <c r="DN12" i="22" s="1"/>
  <c r="DS12" i="22" s="1"/>
  <c r="DT12" i="22" s="1"/>
  <c r="DW12" i="22" s="1"/>
  <c r="DF11" i="22"/>
  <c r="DM11" i="22" s="1"/>
  <c r="DN11" i="22" s="1"/>
  <c r="DS11" i="22" s="1"/>
  <c r="DT11" i="22" s="1"/>
  <c r="DW11" i="22" s="1"/>
  <c r="DE11" i="18"/>
  <c r="DM11" i="18" s="1"/>
  <c r="DN11" i="18" s="1"/>
  <c r="DR11" i="18" s="1"/>
  <c r="DS11" i="18" s="1"/>
  <c r="DW11" i="18" s="1"/>
  <c r="DE34" i="18"/>
  <c r="DM34" i="18" s="1"/>
  <c r="DN34" i="18" s="1"/>
  <c r="DR34" i="18" s="1"/>
  <c r="DS34" i="18" s="1"/>
  <c r="DW34" i="18" s="1"/>
  <c r="AU17" i="21"/>
  <c r="AV17" i="21" s="1"/>
  <c r="BP17" i="21" s="1"/>
  <c r="BQ17" i="21" s="1"/>
  <c r="BX17" i="21" s="1"/>
  <c r="BY17" i="21" s="1"/>
  <c r="CF17" i="21" s="1"/>
  <c r="AR21" i="19"/>
  <c r="AS21" i="19" s="1"/>
  <c r="BJ21" i="19" s="1"/>
  <c r="BK21" i="19" s="1"/>
  <c r="BR21" i="19" s="1"/>
  <c r="BS21" i="19" s="1"/>
  <c r="BZ21" i="19" s="1"/>
  <c r="BF19" i="18"/>
  <c r="BG19" i="18" s="1"/>
  <c r="CE19" i="18" s="1"/>
  <c r="CF19" i="18" s="1"/>
  <c r="CM19" i="18" s="1"/>
  <c r="CN19" i="18" s="1"/>
  <c r="CU19" i="18" s="1"/>
  <c r="BF35" i="18"/>
  <c r="BG35" i="18" s="1"/>
  <c r="CE35" i="18" s="1"/>
  <c r="CF35" i="18" s="1"/>
  <c r="CM35" i="18" s="1"/>
  <c r="CN35" i="18" s="1"/>
  <c r="CU35" i="18" s="1"/>
  <c r="BA54" i="17"/>
  <c r="BB54" i="17" s="1"/>
  <c r="BY54" i="17" s="1"/>
  <c r="BZ54" i="17" s="1"/>
  <c r="CG54" i="17" s="1"/>
  <c r="CH54" i="17" s="1"/>
  <c r="CO54" i="17" s="1"/>
  <c r="BA41" i="17"/>
  <c r="BB41" i="17" s="1"/>
  <c r="BY41" i="17" s="1"/>
  <c r="BZ41" i="17" s="1"/>
  <c r="CG41" i="17" s="1"/>
  <c r="CH41" i="17" s="1"/>
  <c r="CO41" i="17" s="1"/>
  <c r="BA40" i="17"/>
  <c r="BB40" i="17" s="1"/>
  <c r="BY40" i="17" s="1"/>
  <c r="BZ40" i="17" s="1"/>
  <c r="CG40" i="17" s="1"/>
  <c r="CH40" i="17" s="1"/>
  <c r="CO40" i="17" s="1"/>
  <c r="AN28" i="1"/>
  <c r="AO28" i="1" s="1"/>
  <c r="BF28" i="1" s="1"/>
  <c r="BG28" i="1" s="1"/>
  <c r="BN28" i="1" s="1"/>
  <c r="BO28" i="1" s="1"/>
  <c r="BV28" i="1" s="1"/>
  <c r="AZ24" i="25"/>
  <c r="BA24" i="25" s="1"/>
  <c r="CC24" i="25" s="1"/>
  <c r="CD24" i="25" s="1"/>
  <c r="CK24" i="25" s="1"/>
  <c r="CL24" i="25" s="1"/>
  <c r="CS24" i="25" s="1"/>
  <c r="BF22" i="24"/>
  <c r="BG22" i="24" s="1"/>
  <c r="CK22" i="24" s="1"/>
  <c r="CL22" i="24" s="1"/>
  <c r="CS22" i="24" s="1"/>
  <c r="CT22" i="24" s="1"/>
  <c r="DA22" i="24" s="1"/>
  <c r="BD20" i="23"/>
  <c r="BE20" i="23" s="1"/>
  <c r="CH20" i="23" s="1"/>
  <c r="CI20" i="23" s="1"/>
  <c r="CP20" i="23" s="1"/>
  <c r="CQ20" i="23" s="1"/>
  <c r="CX20" i="23" s="1"/>
  <c r="BD27" i="23"/>
  <c r="BE27" i="23" s="1"/>
  <c r="CH27" i="23" s="1"/>
  <c r="CI27" i="23" s="1"/>
  <c r="CP27" i="23" s="1"/>
  <c r="CQ27" i="23" s="1"/>
  <c r="CX27" i="23" s="1"/>
  <c r="BD76" i="23"/>
  <c r="BE76" i="23" s="1"/>
  <c r="CH76" i="23" s="1"/>
  <c r="CI76" i="23" s="1"/>
  <c r="CP76" i="23" s="1"/>
  <c r="CQ76" i="23" s="1"/>
  <c r="CX76" i="23" s="1"/>
  <c r="CX54" i="17" l="1"/>
  <c r="CN17" i="21"/>
  <c r="CH21" i="19"/>
  <c r="CX40" i="17"/>
  <c r="CX41" i="17"/>
  <c r="CC28" i="1"/>
  <c r="DG27" i="23"/>
  <c r="DG20" i="23"/>
  <c r="DG76" i="23"/>
  <c r="DC24" i="25"/>
  <c r="DI22" i="24"/>
  <c r="DE35" i="18"/>
  <c r="DE19" i="18"/>
  <c r="BE90" i="22"/>
  <c r="BF90" i="22" s="1"/>
  <c r="CI90" i="22" s="1"/>
  <c r="CJ90" i="22" s="1"/>
  <c r="CQ90" i="22" s="1"/>
  <c r="CR90" i="22" s="1"/>
  <c r="CY90" i="22" s="1"/>
  <c r="BE42" i="22"/>
  <c r="BF42" i="22" s="1"/>
  <c r="CI42" i="22" s="1"/>
  <c r="CJ42" i="22" s="1"/>
  <c r="CQ42" i="22" s="1"/>
  <c r="CR42" i="22" s="1"/>
  <c r="CY42" i="22" s="1"/>
  <c r="BE51" i="22"/>
  <c r="BF51" i="22" s="1"/>
  <c r="CI51" i="22" s="1"/>
  <c r="CJ51" i="22" s="1"/>
  <c r="CQ51" i="22" s="1"/>
  <c r="CR51" i="22" s="1"/>
  <c r="CY51" i="22" s="1"/>
  <c r="BE95" i="22"/>
  <c r="BF95" i="22" s="1"/>
  <c r="CI95" i="22" s="1"/>
  <c r="CJ95" i="22" s="1"/>
  <c r="CQ95" i="22" s="1"/>
  <c r="CR95" i="22" s="1"/>
  <c r="CY95" i="22" s="1"/>
  <c r="BE64" i="27"/>
  <c r="BF64" i="27" s="1"/>
  <c r="CG64" i="27" s="1"/>
  <c r="CH64" i="27" s="1"/>
  <c r="CO64" i="27" s="1"/>
  <c r="CP64" i="27" s="1"/>
  <c r="CW64" i="27" s="1"/>
  <c r="BE28" i="27"/>
  <c r="BF28" i="27" s="1"/>
  <c r="CG28" i="27" s="1"/>
  <c r="CH28" i="27" s="1"/>
  <c r="CO28" i="27" s="1"/>
  <c r="CP28" i="27" s="1"/>
  <c r="CW28" i="27" s="1"/>
  <c r="AI22" i="29"/>
  <c r="AJ22" i="29" s="1"/>
  <c r="BA22" i="29" s="1"/>
  <c r="BB22" i="29" s="1"/>
  <c r="BI22" i="29" s="1"/>
  <c r="BJ22" i="29" s="1"/>
  <c r="BQ22" i="29" s="1"/>
  <c r="BD23" i="23"/>
  <c r="BE23" i="23" s="1"/>
  <c r="CH23" i="23" s="1"/>
  <c r="CI23" i="23" s="1"/>
  <c r="CP23" i="23" s="1"/>
  <c r="CQ23" i="23" s="1"/>
  <c r="CX23" i="23" s="1"/>
  <c r="CZ27" i="23"/>
  <c r="DE27" i="23" s="1"/>
  <c r="DF27" i="23" s="1"/>
  <c r="DM27" i="23" l="1"/>
  <c r="DN27" i="23" s="1"/>
  <c r="DT27" i="23" s="1"/>
  <c r="DU27" i="23" s="1"/>
  <c r="DW27" i="23" s="1"/>
  <c r="BZ22" i="29"/>
  <c r="DF64" i="27"/>
  <c r="DF28" i="27"/>
  <c r="DG23" i="23"/>
  <c r="DF51" i="22"/>
  <c r="DF42" i="22"/>
  <c r="DF90" i="22"/>
  <c r="DF95" i="22"/>
  <c r="DA42" i="22"/>
  <c r="DD42" i="22" s="1"/>
  <c r="DE42" i="22" s="1"/>
  <c r="DA95" i="22"/>
  <c r="DD95" i="22" s="1"/>
  <c r="DE95" i="22" s="1"/>
  <c r="CW35" i="18"/>
  <c r="DC35" i="18" s="1"/>
  <c r="DD35" i="18" s="1"/>
  <c r="DM35" i="18" s="1"/>
  <c r="DN35" i="18" s="1"/>
  <c r="DR35" i="18" s="1"/>
  <c r="DS35" i="18" s="1"/>
  <c r="DW35" i="18" s="1"/>
  <c r="CQ41" i="17"/>
  <c r="CV41" i="17" s="1"/>
  <c r="CW41" i="17" s="1"/>
  <c r="DE41" i="17" s="1"/>
  <c r="DF41" i="17" s="1"/>
  <c r="DK41" i="17" s="1"/>
  <c r="DL41" i="17" s="1"/>
  <c r="DO41" i="17" s="1"/>
  <c r="CU24" i="25"/>
  <c r="DA24" i="25" s="1"/>
  <c r="DB24" i="25" s="1"/>
  <c r="DL24" i="25" s="1"/>
  <c r="DM24" i="25" s="1"/>
  <c r="DR24" i="25" s="1"/>
  <c r="DS24" i="25" s="1"/>
  <c r="DW24" i="25" s="1"/>
  <c r="CZ76" i="23"/>
  <c r="DE76" i="23" s="1"/>
  <c r="DF76" i="23" s="1"/>
  <c r="DM76" i="23" s="1"/>
  <c r="DN76" i="23" s="1"/>
  <c r="DT76" i="23" s="1"/>
  <c r="DU76" i="23" s="1"/>
  <c r="DW76" i="23" s="1"/>
  <c r="CZ23" i="23"/>
  <c r="DE23" i="23" s="1"/>
  <c r="DF23" i="23" s="1"/>
  <c r="CY28" i="27"/>
  <c r="DD28" i="27" s="1"/>
  <c r="DE28" i="27" s="1"/>
  <c r="BX28" i="1"/>
  <c r="CA28" i="1" s="1"/>
  <c r="CB28" i="1" s="1"/>
  <c r="CJ28" i="1" s="1"/>
  <c r="CK28" i="1" s="1"/>
  <c r="CQ28" i="1" s="1"/>
  <c r="CR28" i="1" s="1"/>
  <c r="CV28" i="1" s="1"/>
  <c r="DC22" i="24"/>
  <c r="DG22" i="24" s="1"/>
  <c r="DH22" i="24" s="1"/>
  <c r="DQ22" i="24" s="1"/>
  <c r="DR22" i="24" s="1"/>
  <c r="DW22" i="24" s="1"/>
  <c r="DX22" i="24" s="1"/>
  <c r="DZ22" i="24" s="1"/>
  <c r="BS22" i="29"/>
  <c r="BX22" i="29" s="1"/>
  <c r="BY22" i="29" s="1"/>
  <c r="DM23" i="23" l="1"/>
  <c r="DN23" i="23" s="1"/>
  <c r="DT23" i="23" s="1"/>
  <c r="DU23" i="23" s="1"/>
  <c r="DW23" i="23" s="1"/>
  <c r="DO28" i="27"/>
  <c r="DP28" i="27" s="1"/>
  <c r="DU28" i="27" s="1"/>
  <c r="DV28" i="27" s="1"/>
  <c r="DZ28" i="27" s="1"/>
  <c r="CE22" i="29"/>
  <c r="CF22" i="29" s="1"/>
  <c r="CL22" i="29" s="1"/>
  <c r="CM22" i="29" s="1"/>
  <c r="CQ22" i="29" s="1"/>
  <c r="DM42" i="22"/>
  <c r="DN42" i="22" s="1"/>
  <c r="DS42" i="22" s="1"/>
  <c r="DT42" i="22" s="1"/>
  <c r="DW42" i="22" s="1"/>
  <c r="DM95" i="22"/>
  <c r="DN95" i="22" s="1"/>
  <c r="DS95" i="22" s="1"/>
  <c r="DT95" i="22" s="1"/>
  <c r="DW95" i="22" s="1"/>
  <c r="CH17" i="21"/>
  <c r="CL17" i="21" s="1"/>
  <c r="CM17" i="21" s="1"/>
  <c r="CT17" i="21" s="1"/>
  <c r="CU17" i="21" s="1"/>
  <c r="CZ17" i="21" s="1"/>
  <c r="DA17" i="21" s="1"/>
  <c r="DC17" i="21" s="1"/>
  <c r="CY64" i="27" l="1"/>
  <c r="DD64" i="27" s="1"/>
  <c r="DE64" i="27" s="1"/>
  <c r="DO64" i="27" s="1"/>
  <c r="DP64" i="27" s="1"/>
  <c r="DU64" i="27" s="1"/>
  <c r="DV64" i="27" s="1"/>
  <c r="DZ64" i="27" s="1"/>
  <c r="CW19" i="18"/>
  <c r="DC19" i="18" s="1"/>
  <c r="DD19" i="18" s="1"/>
  <c r="DM19" i="18" s="1"/>
  <c r="DN19" i="18" s="1"/>
  <c r="DR19" i="18" s="1"/>
  <c r="DS19" i="18" s="1"/>
  <c r="DW19" i="18" s="1"/>
  <c r="CB21" i="19"/>
  <c r="CF21" i="19" s="1"/>
  <c r="CG21" i="19" s="1"/>
  <c r="CN21" i="19" s="1"/>
  <c r="CO21" i="19" s="1"/>
  <c r="CT21" i="19" s="1"/>
  <c r="CU21" i="19" s="1"/>
  <c r="CX21" i="19" s="1"/>
  <c r="CQ54" i="17"/>
  <c r="CV54" i="17" s="1"/>
  <c r="CW54" i="17" s="1"/>
  <c r="DE54" i="17" s="1"/>
  <c r="DF54" i="17" s="1"/>
  <c r="DK54" i="17" s="1"/>
  <c r="DL54" i="17" s="1"/>
  <c r="DO54" i="17" s="1"/>
  <c r="CQ40" i="17"/>
  <c r="CV40" i="17" s="1"/>
  <c r="CW40" i="17" s="1"/>
  <c r="DE40" i="17" s="1"/>
  <c r="DF40" i="17" s="1"/>
  <c r="DK40" i="17" s="1"/>
  <c r="DL40" i="17" s="1"/>
  <c r="DO40" i="17" s="1"/>
  <c r="CZ20" i="23"/>
  <c r="DE20" i="23" s="1"/>
  <c r="DF20" i="23" s="1"/>
  <c r="DM20" i="23" s="1"/>
  <c r="DN20" i="23" s="1"/>
  <c r="DT20" i="23" s="1"/>
  <c r="DU20" i="23" s="1"/>
  <c r="DW20" i="23" s="1"/>
  <c r="DA90" i="22"/>
  <c r="DD90" i="22" s="1"/>
  <c r="DE90" i="22" s="1"/>
  <c r="DM90" i="22" s="1"/>
  <c r="DN90" i="22" s="1"/>
  <c r="DS90" i="22" s="1"/>
  <c r="DT90" i="22" s="1"/>
  <c r="DW90" i="22" s="1"/>
  <c r="DA51" i="22"/>
  <c r="DD51" i="22" s="1"/>
  <c r="DE51" i="22" s="1"/>
  <c r="DM51" i="22" s="1"/>
  <c r="DN51" i="22" s="1"/>
  <c r="DS51" i="22" s="1"/>
  <c r="DT51" i="22" s="1"/>
  <c r="DW51" i="22" s="1"/>
  <c r="AB45" i="25" l="1"/>
  <c r="AC45" i="25" s="1"/>
  <c r="AZ45" i="25" s="1"/>
  <c r="BA45" i="25" s="1"/>
  <c r="CC45" i="25" s="1"/>
  <c r="CD45" i="25" s="1"/>
  <c r="CK45" i="25" s="1"/>
  <c r="CL45" i="25" s="1"/>
  <c r="CS45" i="25" s="1"/>
  <c r="AE92" i="22"/>
  <c r="AF92" i="22" s="1"/>
  <c r="BE92" i="22" s="1"/>
  <c r="BF92" i="22" s="1"/>
  <c r="CI92" i="22" s="1"/>
  <c r="CJ92" i="22" s="1"/>
  <c r="CQ92" i="22" s="1"/>
  <c r="CR92" i="22" s="1"/>
  <c r="CY92" i="22" s="1"/>
  <c r="DC45" i="25" l="1"/>
  <c r="DF92" i="22"/>
  <c r="CU45" i="25"/>
  <c r="DA45" i="25" s="1"/>
  <c r="DB45" i="25" s="1"/>
  <c r="DA92" i="22"/>
  <c r="DD92" i="22" s="1"/>
  <c r="DE92" i="22" s="1"/>
  <c r="DL45" i="25" l="1"/>
  <c r="DM45" i="25" s="1"/>
  <c r="DR45" i="25" s="1"/>
  <c r="DS45" i="25" s="1"/>
  <c r="DW45" i="25" s="1"/>
  <c r="DM92" i="22"/>
  <c r="DN92" i="22" s="1"/>
  <c r="DS92" i="22" s="1"/>
  <c r="DT92" i="22" s="1"/>
  <c r="DW92" i="22" s="1"/>
</calcChain>
</file>

<file path=xl/sharedStrings.xml><?xml version="1.0" encoding="utf-8"?>
<sst xmlns="http://schemas.openxmlformats.org/spreadsheetml/2006/main" count="4995" uniqueCount="801">
  <si>
    <t>CATEG.</t>
  </si>
  <si>
    <t>SEXO</t>
  </si>
  <si>
    <t>PESO</t>
  </si>
  <si>
    <t>FEDERACION DE JUDO DE CHILE</t>
  </si>
  <si>
    <t>NOMBRE</t>
  </si>
  <si>
    <t>CLUB</t>
  </si>
  <si>
    <t>TOTAL</t>
  </si>
  <si>
    <t>F</t>
  </si>
  <si>
    <t>YAMA HARASHI</t>
  </si>
  <si>
    <t>PUDAHUEL</t>
  </si>
  <si>
    <t>FRANCISCO</t>
  </si>
  <si>
    <t>SHIRU</t>
  </si>
  <si>
    <t>MAHO</t>
  </si>
  <si>
    <t>MAGOTACHI</t>
  </si>
  <si>
    <t>APELLIDOS</t>
  </si>
  <si>
    <t>RE</t>
  </si>
  <si>
    <t>XII</t>
  </si>
  <si>
    <t>M</t>
  </si>
  <si>
    <t>SUB 18</t>
  </si>
  <si>
    <t>m70</t>
  </si>
  <si>
    <t>JULIAN</t>
  </si>
  <si>
    <t>PUDETO</t>
  </si>
  <si>
    <t>BENJAMIN</t>
  </si>
  <si>
    <t>M90</t>
  </si>
  <si>
    <t>LEONES TARAPACA</t>
  </si>
  <si>
    <t>PE</t>
  </si>
  <si>
    <t>PERU</t>
  </si>
  <si>
    <t>HIROSHIMA</t>
  </si>
  <si>
    <t>PER</t>
  </si>
  <si>
    <t>ZENRYOKU</t>
  </si>
  <si>
    <t>MARTINA</t>
  </si>
  <si>
    <t>CARAB ARICA</t>
  </si>
  <si>
    <t>TOMAS</t>
  </si>
  <si>
    <t>CARLOS</t>
  </si>
  <si>
    <t>CACERES</t>
  </si>
  <si>
    <t>LOPEZ</t>
  </si>
  <si>
    <t>ALVAREZ</t>
  </si>
  <si>
    <t>NOVOA</t>
  </si>
  <si>
    <t>GARRIDO</t>
  </si>
  <si>
    <t>GALLARDO</t>
  </si>
  <si>
    <t>XV</t>
  </si>
  <si>
    <t>SOTO</t>
  </si>
  <si>
    <t>NAC</t>
  </si>
  <si>
    <t>CAMILO</t>
  </si>
  <si>
    <t>PALMA</t>
  </si>
  <si>
    <t>CRSH</t>
  </si>
  <si>
    <t>QUISPE</t>
  </si>
  <si>
    <t>RODRIGO</t>
  </si>
  <si>
    <t>RIVERA</t>
  </si>
  <si>
    <t>BUDOKAN</t>
  </si>
  <si>
    <t>FERNANDEZ</t>
  </si>
  <si>
    <t>FRANCISCA</t>
  </si>
  <si>
    <t>ARAYA</t>
  </si>
  <si>
    <t>DRAGON</t>
  </si>
  <si>
    <t>I</t>
  </si>
  <si>
    <t>LEON</t>
  </si>
  <si>
    <t>VASQUEZ</t>
  </si>
  <si>
    <t>NAGASAKI</t>
  </si>
  <si>
    <t>CORTES</t>
  </si>
  <si>
    <t>LUCIANO</t>
  </si>
  <si>
    <t>ALONSO</t>
  </si>
  <si>
    <t>SHIHAN</t>
  </si>
  <si>
    <t>CARDENAS</t>
  </si>
  <si>
    <t>MATIAS</t>
  </si>
  <si>
    <t>ROJAS</t>
  </si>
  <si>
    <t>GARCIA</t>
  </si>
  <si>
    <t>NAVIA</t>
  </si>
  <si>
    <t>MORENO</t>
  </si>
  <si>
    <t>VIII</t>
  </si>
  <si>
    <t>SEBASTIAN</t>
  </si>
  <si>
    <t>IX</t>
  </si>
  <si>
    <t>ANTONELLA</t>
  </si>
  <si>
    <t>OSCAR</t>
  </si>
  <si>
    <t>SAKURA NEWEN</t>
  </si>
  <si>
    <t>DIEGO</t>
  </si>
  <si>
    <t>FRANCO</t>
  </si>
  <si>
    <t>CRISTOBAL</t>
  </si>
  <si>
    <t>GONZALEZ</t>
  </si>
  <si>
    <t>FELIPE</t>
  </si>
  <si>
    <t>NA CC</t>
  </si>
  <si>
    <t>STGO</t>
  </si>
  <si>
    <t>ISC SAN BERNARDO</t>
  </si>
  <si>
    <t>CARRASCO</t>
  </si>
  <si>
    <t>PANGUI</t>
  </si>
  <si>
    <t>EASTMAN</t>
  </si>
  <si>
    <t>PARRA</t>
  </si>
  <si>
    <t>SAMURAI</t>
  </si>
  <si>
    <t>VEGA</t>
  </si>
  <si>
    <t>GABRIEL</t>
  </si>
  <si>
    <t>LUCAS</t>
  </si>
  <si>
    <t>JUAN</t>
  </si>
  <si>
    <t>MUÑOZ</t>
  </si>
  <si>
    <t>JOAQUIN</t>
  </si>
  <si>
    <t>CASAKANO</t>
  </si>
  <si>
    <t>AGUILA</t>
  </si>
  <si>
    <t>VALENTINA</t>
  </si>
  <si>
    <t>SAAVEDRA</t>
  </si>
  <si>
    <t>RODRIGUEZ</t>
  </si>
  <si>
    <t>HERNANDEZ</t>
  </si>
  <si>
    <t>RAMIREZ</t>
  </si>
  <si>
    <t>JJSS</t>
  </si>
  <si>
    <t>ARG</t>
  </si>
  <si>
    <t>NA ZS</t>
  </si>
  <si>
    <t>PAN</t>
  </si>
  <si>
    <t>SEISHIN</t>
  </si>
  <si>
    <t>FIGUEROA</t>
  </si>
  <si>
    <t>KAZOKU TOME</t>
  </si>
  <si>
    <t>MY GARDEN</t>
  </si>
  <si>
    <t>MAXIMILIANO</t>
  </si>
  <si>
    <t>DIAZ</t>
  </si>
  <si>
    <t>GASPAR</t>
  </si>
  <si>
    <t>FUJIYAMA</t>
  </si>
  <si>
    <t>FLORES</t>
  </si>
  <si>
    <t>REYES</t>
  </si>
  <si>
    <t>SELEC</t>
  </si>
  <si>
    <t>MORALES</t>
  </si>
  <si>
    <t>BANZAI</t>
  </si>
  <si>
    <t>LUIS</t>
  </si>
  <si>
    <t>GODOI</t>
  </si>
  <si>
    <t>V</t>
  </si>
  <si>
    <t>III-IV</t>
  </si>
  <si>
    <t>RISEI SAKURA</t>
  </si>
  <si>
    <t>VICENTE</t>
  </si>
  <si>
    <t>ZEPEDA</t>
  </si>
  <si>
    <t>KAZOKU JC</t>
  </si>
  <si>
    <t>ANGEL</t>
  </si>
  <si>
    <t>LA MERCED</t>
  </si>
  <si>
    <t>CAMPOS</t>
  </si>
  <si>
    <t>ORTIZ</t>
  </si>
  <si>
    <t>FULEHO</t>
  </si>
  <si>
    <t>II</t>
  </si>
  <si>
    <t>ESCONDIDA</t>
  </si>
  <si>
    <t>DINASTIA</t>
  </si>
  <si>
    <t>MARTIN</t>
  </si>
  <si>
    <t>VALDES</t>
  </si>
  <si>
    <t>BELEN</t>
  </si>
  <si>
    <t>ZC</t>
  </si>
  <si>
    <t>COLCHAGUA</t>
  </si>
  <si>
    <t>VIÑA</t>
  </si>
  <si>
    <t>ZS</t>
  </si>
  <si>
    <t>SJM</t>
  </si>
  <si>
    <t>SMJ</t>
  </si>
  <si>
    <t>ZN</t>
  </si>
  <si>
    <t>IQQ</t>
  </si>
  <si>
    <t>PINO</t>
  </si>
  <si>
    <t>NA ZC</t>
  </si>
  <si>
    <t>MAURICIO</t>
  </si>
  <si>
    <t>CATALINA</t>
  </si>
  <si>
    <t>XIV</t>
  </si>
  <si>
    <t>VICTOR SAITO</t>
  </si>
  <si>
    <t>JOHN</t>
  </si>
  <si>
    <t>VI</t>
  </si>
  <si>
    <t>MOLINA</t>
  </si>
  <si>
    <t>XI</t>
  </si>
  <si>
    <t>REP DOM</t>
  </si>
  <si>
    <t>XIII</t>
  </si>
  <si>
    <t>CP</t>
  </si>
  <si>
    <t>IGNACIO</t>
  </si>
  <si>
    <t>IRIGOYEN</t>
  </si>
  <si>
    <t>NA ZN</t>
  </si>
  <si>
    <t>AH</t>
  </si>
  <si>
    <t>L</t>
  </si>
  <si>
    <t>FUENTES</t>
  </si>
  <si>
    <t>SU</t>
  </si>
  <si>
    <t>NA</t>
  </si>
  <si>
    <t>FN</t>
  </si>
  <si>
    <t>X</t>
  </si>
  <si>
    <t>MADRID</t>
  </si>
  <si>
    <t>02.04</t>
  </si>
  <si>
    <t>TORRES</t>
  </si>
  <si>
    <t>IAN</t>
  </si>
  <si>
    <t>01.04</t>
  </si>
  <si>
    <t>JACQUELINE</t>
  </si>
  <si>
    <t>NEYTAN</t>
  </si>
  <si>
    <t>STEPHANIA</t>
  </si>
  <si>
    <t>RIOSECO</t>
  </si>
  <si>
    <t>KAREN</t>
  </si>
  <si>
    <t>ÑIQUEN</t>
  </si>
  <si>
    <t>ZAMBRA</t>
  </si>
  <si>
    <t>08.04</t>
  </si>
  <si>
    <t>15.04</t>
  </si>
  <si>
    <t>VARGAS</t>
  </si>
  <si>
    <t>ACHURRA</t>
  </si>
  <si>
    <t>LUCCAS</t>
  </si>
  <si>
    <t xml:space="preserve">NA </t>
  </si>
  <si>
    <t>29.04</t>
  </si>
  <si>
    <t>QUEZADA</t>
  </si>
  <si>
    <t>ALGARROBO</t>
  </si>
  <si>
    <t>CERNA</t>
  </si>
  <si>
    <t>ESC I CORDOVA</t>
  </si>
  <si>
    <t>CHEHUAN</t>
  </si>
  <si>
    <t>NAVARRO</t>
  </si>
  <si>
    <t>MARCHANDON</t>
  </si>
  <si>
    <t>HINODE</t>
  </si>
  <si>
    <t>CABRERA</t>
  </si>
  <si>
    <t>VICTOR</t>
  </si>
  <si>
    <t>SAN IGNACIO</t>
  </si>
  <si>
    <t>KODOKAN CHILE</t>
  </si>
  <si>
    <t>ATARI</t>
  </si>
  <si>
    <t>MOLERO</t>
  </si>
  <si>
    <t>DOMINIK</t>
  </si>
  <si>
    <t>ACAD ROMO</t>
  </si>
  <si>
    <t>JUSTIN</t>
  </si>
  <si>
    <t>DIANA</t>
  </si>
  <si>
    <t>ISIDORA</t>
  </si>
  <si>
    <t>AGUSTINA</t>
  </si>
  <si>
    <t>EMILIA</t>
  </si>
  <si>
    <t>DE LA GUARDA</t>
  </si>
  <si>
    <t>JITA KYOEI</t>
  </si>
  <si>
    <t>ALMENDRA</t>
  </si>
  <si>
    <t>27.05</t>
  </si>
  <si>
    <t>DEREK</t>
  </si>
  <si>
    <t>% RANKING</t>
  </si>
  <si>
    <t xml:space="preserve">TOTAL </t>
  </si>
  <si>
    <t>NACIONAL</t>
  </si>
  <si>
    <t>CP CHILE</t>
  </si>
  <si>
    <t>20.05</t>
  </si>
  <si>
    <t>ESCOBILLANA</t>
  </si>
  <si>
    <t>CAES DE RUA</t>
  </si>
  <si>
    <t>AMENGUAL</t>
  </si>
  <si>
    <t>CP ARG</t>
  </si>
  <si>
    <t>10.06</t>
  </si>
  <si>
    <t>ADOLFO</t>
  </si>
  <si>
    <t>PABLO</t>
  </si>
  <si>
    <t>ZO</t>
  </si>
  <si>
    <t>17.06</t>
  </si>
  <si>
    <t>SAMUEL</t>
  </si>
  <si>
    <t>FRANKO</t>
  </si>
  <si>
    <t>BALTIERRA</t>
  </si>
  <si>
    <t>MAXIMO</t>
  </si>
  <si>
    <t>ALEJANDRA</t>
  </si>
  <si>
    <t>TALCAHUANO</t>
  </si>
  <si>
    <t>24.06</t>
  </si>
  <si>
    <t>VIZA</t>
  </si>
  <si>
    <t>PROY G NAVIA</t>
  </si>
  <si>
    <t>EDDY</t>
  </si>
  <si>
    <t>PALLERES</t>
  </si>
  <si>
    <t>JHON</t>
  </si>
  <si>
    <t>MARTINEZ</t>
  </si>
  <si>
    <t>01.07</t>
  </si>
  <si>
    <t>ALBORNOZ</t>
  </si>
  <si>
    <t>ALARCON</t>
  </si>
  <si>
    <t>VALPARAISO</t>
  </si>
  <si>
    <t>ROMERO</t>
  </si>
  <si>
    <t>RIVERO</t>
  </si>
  <si>
    <t>STHEFANNY</t>
  </si>
  <si>
    <t>CP PERU</t>
  </si>
  <si>
    <t>15.07</t>
  </si>
  <si>
    <t>ALFARO</t>
  </si>
  <si>
    <t>CONTRERAS</t>
  </si>
  <si>
    <t>29.07</t>
  </si>
  <si>
    <t>ARRELLANO</t>
  </si>
  <si>
    <t>ESFO CHILLAN</t>
  </si>
  <si>
    <t>TABITA</t>
  </si>
  <si>
    <t>ORTEGA</t>
  </si>
  <si>
    <t>JOSEFA</t>
  </si>
  <si>
    <t>V-VI</t>
  </si>
  <si>
    <t>05.08</t>
  </si>
  <si>
    <t>12.08</t>
  </si>
  <si>
    <t>CARVAJAL</t>
  </si>
  <si>
    <t>PAR</t>
  </si>
  <si>
    <t>19.08</t>
  </si>
  <si>
    <t>26.08</t>
  </si>
  <si>
    <t>SOFIA</t>
  </si>
  <si>
    <t>VERA</t>
  </si>
  <si>
    <t>PANAM</t>
  </si>
  <si>
    <t>CAN</t>
  </si>
  <si>
    <t>09.09</t>
  </si>
  <si>
    <t>VII-VIII-XVI</t>
  </si>
  <si>
    <t>ETCHEGOYEN</t>
  </si>
  <si>
    <t>30.09</t>
  </si>
  <si>
    <t>BORGEAUD</t>
  </si>
  <si>
    <t>ARIEL</t>
  </si>
  <si>
    <t>UTA</t>
  </si>
  <si>
    <t>MARIA</t>
  </si>
  <si>
    <t>KURAMA HOKI</t>
  </si>
  <si>
    <t>07.10</t>
  </si>
  <si>
    <t>08.10</t>
  </si>
  <si>
    <t>14.10</t>
  </si>
  <si>
    <t>BACHMAN</t>
  </si>
  <si>
    <t>11.11</t>
  </si>
  <si>
    <t>CP CAN</t>
  </si>
  <si>
    <t>CJ</t>
  </si>
  <si>
    <t>CHI</t>
  </si>
  <si>
    <t>09.12</t>
  </si>
  <si>
    <t>BUGUEÑO</t>
  </si>
  <si>
    <t>RANKING INTERNACIONAL 2024</t>
  </si>
  <si>
    <t>SEL</t>
  </si>
  <si>
    <t>25.02</t>
  </si>
  <si>
    <t>ERIC</t>
  </si>
  <si>
    <t>ALBERTO</t>
  </si>
  <si>
    <t>ESCRICH</t>
  </si>
  <si>
    <t>KENJI</t>
  </si>
  <si>
    <t>RETAMAL</t>
  </si>
  <si>
    <t>EDRITH</t>
  </si>
  <si>
    <t>ABARCA</t>
  </si>
  <si>
    <t>PALOMO</t>
  </si>
  <si>
    <t>ANDRES</t>
  </si>
  <si>
    <t>AUKAN</t>
  </si>
  <si>
    <t>BANEGAS</t>
  </si>
  <si>
    <t>JESUS</t>
  </si>
  <si>
    <t>ROJANO</t>
  </si>
  <si>
    <t>REIJH</t>
  </si>
  <si>
    <t>KODOMOTACHI</t>
  </si>
  <si>
    <t>TOLOZA</t>
  </si>
  <si>
    <t>AYINKO</t>
  </si>
  <si>
    <t>VALENCIA</t>
  </si>
  <si>
    <t>JALLOIS</t>
  </si>
  <si>
    <t>MATILDA</t>
  </si>
  <si>
    <t>LLANCAMAN</t>
  </si>
  <si>
    <t>OYARZO</t>
  </si>
  <si>
    <t>CRISTINA</t>
  </si>
  <si>
    <t>SILVA</t>
  </si>
  <si>
    <t>ARIANY</t>
  </si>
  <si>
    <t>SEPULVEDA</t>
  </si>
  <si>
    <t>IGNACIA</t>
  </si>
  <si>
    <t>JORQUERA</t>
  </si>
  <si>
    <t>CASTRO</t>
  </si>
  <si>
    <t>CHAVEZ</t>
  </si>
  <si>
    <t>06.04</t>
  </si>
  <si>
    <t>URTUBUA</t>
  </si>
  <si>
    <t>DANIELA</t>
  </si>
  <si>
    <t>CASTILLO</t>
  </si>
  <si>
    <t>KATIA</t>
  </si>
  <si>
    <t>ELYIN</t>
  </si>
  <si>
    <t>RUJANO</t>
  </si>
  <si>
    <t>TOME</t>
  </si>
  <si>
    <t>FABIAN</t>
  </si>
  <si>
    <t>RIO CRUCES</t>
  </si>
  <si>
    <t>PASTEN</t>
  </si>
  <si>
    <t>JJBB</t>
  </si>
  <si>
    <t>BOL</t>
  </si>
  <si>
    <t>12.04</t>
  </si>
  <si>
    <t>RM</t>
  </si>
  <si>
    <t>RUBILAR</t>
  </si>
  <si>
    <t>LORENZO</t>
  </si>
  <si>
    <t>COL REP SIRIA</t>
  </si>
  <si>
    <t>BECKER</t>
  </si>
  <si>
    <t>RODOLFO</t>
  </si>
  <si>
    <t>ALEMAN</t>
  </si>
  <si>
    <t>HIDALGO</t>
  </si>
  <si>
    <t>ROBINSON</t>
  </si>
  <si>
    <t>EMILIANO</t>
  </si>
  <si>
    <t>BRA</t>
  </si>
  <si>
    <t>22.04</t>
  </si>
  <si>
    <t>20.04</t>
  </si>
  <si>
    <t>LEMUS</t>
  </si>
  <si>
    <t>MILLING</t>
  </si>
  <si>
    <t>FERNANDA</t>
  </si>
  <si>
    <t>AGUIRRE</t>
  </si>
  <si>
    <t>ARUQUIPA</t>
  </si>
  <si>
    <t>VERGARA</t>
  </si>
  <si>
    <t>SERGIO</t>
  </si>
  <si>
    <t>VALENZUELA</t>
  </si>
  <si>
    <t>VILLALOBOS</t>
  </si>
  <si>
    <t>DEIVY</t>
  </si>
  <si>
    <t>CHIRINO</t>
  </si>
  <si>
    <t>ROBLES</t>
  </si>
  <si>
    <t>PAULA</t>
  </si>
  <si>
    <t>ARREDONDO</t>
  </si>
  <si>
    <t>LYA</t>
  </si>
  <si>
    <t>CARRIZO</t>
  </si>
  <si>
    <t>27.04</t>
  </si>
  <si>
    <t>MANQUI</t>
  </si>
  <si>
    <t>AGUSTIN</t>
  </si>
  <si>
    <t>JOSUE</t>
  </si>
  <si>
    <t>18.05</t>
  </si>
  <si>
    <t>AQUILES</t>
  </si>
  <si>
    <t>TRANAMIL</t>
  </si>
  <si>
    <t>DURAN</t>
  </si>
  <si>
    <t>MERA</t>
  </si>
  <si>
    <t>NICOLE</t>
  </si>
  <si>
    <t>CC</t>
  </si>
  <si>
    <t>01.06</t>
  </si>
  <si>
    <t>ARUKI KATA</t>
  </si>
  <si>
    <t>PACHECO</t>
  </si>
  <si>
    <t>EZEQUIEL</t>
  </si>
  <si>
    <t>MANSILLA</t>
  </si>
  <si>
    <t>SALATIER</t>
  </si>
  <si>
    <t>MAUREIRA</t>
  </si>
  <si>
    <t>MEDINA</t>
  </si>
  <si>
    <t>ARRIAGADA</t>
  </si>
  <si>
    <t>15.06</t>
  </si>
  <si>
    <t>FUJILOLEN</t>
  </si>
  <si>
    <t>MONTILLA</t>
  </si>
  <si>
    <t>JEREMY</t>
  </si>
  <si>
    <t>MANUEL</t>
  </si>
  <si>
    <t>PENA</t>
  </si>
  <si>
    <t>ALFONSINA</t>
  </si>
  <si>
    <t>22.06</t>
  </si>
  <si>
    <t>23.06</t>
  </si>
  <si>
    <t>13.07</t>
  </si>
  <si>
    <t>EUDRY</t>
  </si>
  <si>
    <t>SUZAKU</t>
  </si>
  <si>
    <t>XIOMARA</t>
  </si>
  <si>
    <t>17.08</t>
  </si>
  <si>
    <t>THOMKA</t>
  </si>
  <si>
    <t>MU</t>
  </si>
  <si>
    <t>28.08</t>
  </si>
  <si>
    <t>29.08</t>
  </si>
  <si>
    <t>30.08</t>
  </si>
  <si>
    <t>31.08</t>
  </si>
  <si>
    <t>24.08</t>
  </si>
  <si>
    <t>07.09</t>
  </si>
  <si>
    <t>STUARDO</t>
  </si>
  <si>
    <t>JORDAN</t>
  </si>
  <si>
    <t>LUNA</t>
  </si>
  <si>
    <t>TERAN</t>
  </si>
  <si>
    <t>ENGERBETH</t>
  </si>
  <si>
    <t>URIBE</t>
  </si>
  <si>
    <t>ROA</t>
  </si>
  <si>
    <t>CARABINEROS CHILE</t>
  </si>
  <si>
    <t>CARABINEROS DE CHILE</t>
  </si>
  <si>
    <t>08.09</t>
  </si>
  <si>
    <t>13.09</t>
  </si>
  <si>
    <t>15.09</t>
  </si>
  <si>
    <t>14.09</t>
  </si>
  <si>
    <t>X-XIV</t>
  </si>
  <si>
    <t>28.09</t>
  </si>
  <si>
    <t>VELASQUEZ</t>
  </si>
  <si>
    <t>12.10</t>
  </si>
  <si>
    <t>XPRO</t>
  </si>
  <si>
    <t>CF</t>
  </si>
  <si>
    <t>02.11</t>
  </si>
  <si>
    <t>15.11</t>
  </si>
  <si>
    <t>23.11</t>
  </si>
  <si>
    <t>DYLAN</t>
  </si>
  <si>
    <t>CONCE</t>
  </si>
  <si>
    <t>14.12</t>
  </si>
  <si>
    <t>RE / ZO / NA</t>
  </si>
  <si>
    <t>FEB</t>
  </si>
  <si>
    <t>GUILLERMO</t>
  </si>
  <si>
    <t>ESCOBAR</t>
  </si>
  <si>
    <t>FERRER</t>
  </si>
  <si>
    <t>NAVARETTE</t>
  </si>
  <si>
    <t>GELVES</t>
  </si>
  <si>
    <t>KRISTHYAN</t>
  </si>
  <si>
    <t>CHACON</t>
  </si>
  <si>
    <t>POBLETE</t>
  </si>
  <si>
    <t>EVANS</t>
  </si>
  <si>
    <t>MARIN</t>
  </si>
  <si>
    <t>BAEZ</t>
  </si>
  <si>
    <t>SAIT</t>
  </si>
  <si>
    <t>SAN MARTIN</t>
  </si>
  <si>
    <t>HERRERA</t>
  </si>
  <si>
    <t>BELTRAN</t>
  </si>
  <si>
    <t>FERNANDO</t>
  </si>
  <si>
    <t>GUERRA</t>
  </si>
  <si>
    <t>SEVERINO</t>
  </si>
  <si>
    <t>ANDERSON</t>
  </si>
  <si>
    <t>BARRA</t>
  </si>
  <si>
    <t>DOMINICKE</t>
  </si>
  <si>
    <t>KATALINA</t>
  </si>
  <si>
    <t>LARROZA</t>
  </si>
  <si>
    <t>FLAVIA</t>
  </si>
  <si>
    <t>KOIVUSAARI</t>
  </si>
  <si>
    <t>STELLA</t>
  </si>
  <si>
    <t>GABRIELA</t>
  </si>
  <si>
    <t>RENATA</t>
  </si>
  <si>
    <t>ROBLEDO</t>
  </si>
  <si>
    <t>TIARE</t>
  </si>
  <si>
    <t>GUTIERREZ</t>
  </si>
  <si>
    <t>ZAIDA</t>
  </si>
  <si>
    <t>BUROTTO</t>
  </si>
  <si>
    <t>VIDAL</t>
  </si>
  <si>
    <t>EMMA</t>
  </si>
  <si>
    <t>TATIANA</t>
  </si>
  <si>
    <t>ESPINOSA</t>
  </si>
  <si>
    <t>MARIA JOSE</t>
  </si>
  <si>
    <t>PEDEMONTE</t>
  </si>
  <si>
    <t>HELENA</t>
  </si>
  <si>
    <t>CORDOVA</t>
  </si>
  <si>
    <t>ANAIS</t>
  </si>
  <si>
    <t>BRAVO</t>
  </si>
  <si>
    <t>MONTSERRAT</t>
  </si>
  <si>
    <t>VIDELA</t>
  </si>
  <si>
    <t>FRANKLIN</t>
  </si>
  <si>
    <t>NAVELA</t>
  </si>
  <si>
    <t>LEIVA</t>
  </si>
  <si>
    <t>BASUALTO</t>
  </si>
  <si>
    <t>CAÑAS</t>
  </si>
  <si>
    <t>MEZA</t>
  </si>
  <si>
    <t>CULIPRAN</t>
  </si>
  <si>
    <t>VEGAS</t>
  </si>
  <si>
    <t>EILIN</t>
  </si>
  <si>
    <t>MOREIRA</t>
  </si>
  <si>
    <t>SOPHIA</t>
  </si>
  <si>
    <t>HUAIQUIFIL</t>
  </si>
  <si>
    <t>URSULA</t>
  </si>
  <si>
    <t>MANKE PUCON</t>
  </si>
  <si>
    <t>VIVALLO</t>
  </si>
  <si>
    <t>EMIR</t>
  </si>
  <si>
    <t>RUIZ</t>
  </si>
  <si>
    <t>MAIRA</t>
  </si>
  <si>
    <t>ARANCIBIA</t>
  </si>
  <si>
    <t>ALVARO</t>
  </si>
  <si>
    <t>BARRIENTOS</t>
  </si>
  <si>
    <t>BRAYAN</t>
  </si>
  <si>
    <t>LUCERO</t>
  </si>
  <si>
    <t>EDUALIS</t>
  </si>
  <si>
    <t>CENIZARIO</t>
  </si>
  <si>
    <t>FABRICIO</t>
  </si>
  <si>
    <t>LIZAMA</t>
  </si>
  <si>
    <t>JARA</t>
  </si>
  <si>
    <t>RIOJA</t>
  </si>
  <si>
    <t>MEJIA</t>
  </si>
  <si>
    <t>JHORDY</t>
  </si>
  <si>
    <t>ACEVEDO</t>
  </si>
  <si>
    <t>05.04</t>
  </si>
  <si>
    <t>RAYEN</t>
  </si>
  <si>
    <t>LICARAYEN</t>
  </si>
  <si>
    <t>KUMIKATA</t>
  </si>
  <si>
    <t>FUMEY</t>
  </si>
  <si>
    <t>DAMARITS</t>
  </si>
  <si>
    <t>MAYKOL</t>
  </si>
  <si>
    <t>CLAROS</t>
  </si>
  <si>
    <t>SALVADOR</t>
  </si>
  <si>
    <t>VICTORIA</t>
  </si>
  <si>
    <t>18.04</t>
  </si>
  <si>
    <t>JUDO GUZMAN</t>
  </si>
  <si>
    <t>AZOCAR</t>
  </si>
  <si>
    <t>ALEXIS</t>
  </si>
  <si>
    <t>EDUARDO</t>
  </si>
  <si>
    <t>ROCHA</t>
  </si>
  <si>
    <t>OCTAVIO</t>
  </si>
  <si>
    <t>KIREI</t>
  </si>
  <si>
    <t>PROY. G NAVIA</t>
  </si>
  <si>
    <t>DIVERSON</t>
  </si>
  <si>
    <t>CASTELLANO</t>
  </si>
  <si>
    <t>DANIEL</t>
  </si>
  <si>
    <t>EMILIO</t>
  </si>
  <si>
    <t>KOBAYASHI</t>
  </si>
  <si>
    <t>CARVALLO</t>
  </si>
  <si>
    <t>SANTANDER</t>
  </si>
  <si>
    <t>VALERIA</t>
  </si>
  <si>
    <t>OSSA</t>
  </si>
  <si>
    <t>ALEXANDER</t>
  </si>
  <si>
    <t>APLABAZA</t>
  </si>
  <si>
    <t>MANKE</t>
  </si>
  <si>
    <t>GATICA</t>
  </si>
  <si>
    <t>SENSEI TEMUCO</t>
  </si>
  <si>
    <t>HAZIEL</t>
  </si>
  <si>
    <t>CHOL CHOL</t>
  </si>
  <si>
    <t>ANGARITA</t>
  </si>
  <si>
    <t>CAMILA</t>
  </si>
  <si>
    <t>JAIME CHARLES</t>
  </si>
  <si>
    <t>JARPA</t>
  </si>
  <si>
    <t>GEANELLA</t>
  </si>
  <si>
    <t>LABBE</t>
  </si>
  <si>
    <t>FUKUOKA</t>
  </si>
  <si>
    <t>CARRILLO</t>
  </si>
  <si>
    <t>TRUJILLO</t>
  </si>
  <si>
    <t>JAIR</t>
  </si>
  <si>
    <t>IBAÑEZ</t>
  </si>
  <si>
    <t>DEYVI</t>
  </si>
  <si>
    <t>GANDARA</t>
  </si>
  <si>
    <t>QUINTEROS</t>
  </si>
  <si>
    <t>LEVILL</t>
  </si>
  <si>
    <t>ESTAMAN</t>
  </si>
  <si>
    <t>MARQUEZ</t>
  </si>
  <si>
    <t>IDALIA</t>
  </si>
  <si>
    <t>AMANDA</t>
  </si>
  <si>
    <t>ASHLEY</t>
  </si>
  <si>
    <t>KIDO CURACAVI</t>
  </si>
  <si>
    <t>MAXIMILANO</t>
  </si>
  <si>
    <t>JUDO ORIENTE</t>
  </si>
  <si>
    <t>JIMENEZ</t>
  </si>
  <si>
    <t>ALDO</t>
  </si>
  <si>
    <t>CONTENTE</t>
  </si>
  <si>
    <t>JOSE</t>
  </si>
  <si>
    <t>TAPIA</t>
  </si>
  <si>
    <t>ESTRELLA</t>
  </si>
  <si>
    <t>SHIRLEY</t>
  </si>
  <si>
    <t>OZANAM</t>
  </si>
  <si>
    <t>FUENTEVILLA</t>
  </si>
  <si>
    <t>CCRSH</t>
  </si>
  <si>
    <t>VALDA</t>
  </si>
  <si>
    <t>KAZOKU LA SERENA</t>
  </si>
  <si>
    <t>TORO</t>
  </si>
  <si>
    <t>MURILLO</t>
  </si>
  <si>
    <t>XIOMY</t>
  </si>
  <si>
    <t>SHIN YU</t>
  </si>
  <si>
    <t>MELINAO</t>
  </si>
  <si>
    <t>MAYA</t>
  </si>
  <si>
    <t>KYOUDAI</t>
  </si>
  <si>
    <t>DUSTIN</t>
  </si>
  <si>
    <t>GALEAS</t>
  </si>
  <si>
    <t>JOAQUI</t>
  </si>
  <si>
    <t>ASHLY</t>
  </si>
  <si>
    <t>MAGGIE</t>
  </si>
  <si>
    <t>AGREDA</t>
  </si>
  <si>
    <t>TRIANA</t>
  </si>
  <si>
    <t>ESPINOZA</t>
  </si>
  <si>
    <t>MAXIMUS</t>
  </si>
  <si>
    <t>RIVEROS</t>
  </si>
  <si>
    <t>SHOGAI</t>
  </si>
  <si>
    <t>KAZOKU LS</t>
  </si>
  <si>
    <t>MELLA</t>
  </si>
  <si>
    <t>SAEZ</t>
  </si>
  <si>
    <t>CLEMENTE</t>
  </si>
  <si>
    <t>PETER</t>
  </si>
  <si>
    <t>OÑATE</t>
  </si>
  <si>
    <t>HUAMAN</t>
  </si>
  <si>
    <t>EMANUEL</t>
  </si>
  <si>
    <t>JIAME CHARLES</t>
  </si>
  <si>
    <t>NUNEZ</t>
  </si>
  <si>
    <t>JUDO TALCA</t>
  </si>
  <si>
    <t>23.10</t>
  </si>
  <si>
    <t>14.11</t>
  </si>
  <si>
    <t>ARCOS</t>
  </si>
  <si>
    <t>VALERO</t>
  </si>
  <si>
    <t>REP SIRIA</t>
  </si>
  <si>
    <t>ESQUIVEL</t>
  </si>
  <si>
    <t>TAYRA</t>
  </si>
  <si>
    <t>ZAMBRANO</t>
  </si>
  <si>
    <t>MIRANDA</t>
  </si>
  <si>
    <t>RANKING NACIONAL 2026</t>
  </si>
  <si>
    <t>RANKING INTERNACIONAL 2026</t>
  </si>
  <si>
    <t>VALDEBENITO</t>
  </si>
  <si>
    <t>VILLACURA</t>
  </si>
  <si>
    <t>MAYTE</t>
  </si>
  <si>
    <t>CALDERON</t>
  </si>
  <si>
    <t>HEVIA</t>
  </si>
  <si>
    <t>VIÑA DEL MAR</t>
  </si>
  <si>
    <t>SUAREZ</t>
  </si>
  <si>
    <t>ISMAEL</t>
  </si>
  <si>
    <t>SALAS</t>
  </si>
  <si>
    <t>PEDRO</t>
  </si>
  <si>
    <t>BECAR</t>
  </si>
  <si>
    <t>CARRION</t>
  </si>
  <si>
    <t>AYLEN</t>
  </si>
  <si>
    <t>LANDEROS</t>
  </si>
  <si>
    <t>HUAIQUIPAN</t>
  </si>
  <si>
    <t>MARYORIE</t>
  </si>
  <si>
    <t>KOSAI</t>
  </si>
  <si>
    <t>MARCOS</t>
  </si>
  <si>
    <t>IKIKATA</t>
  </si>
  <si>
    <t>SALVATIERRA</t>
  </si>
  <si>
    <t>SEGOVIA</t>
  </si>
  <si>
    <t>EYDAN</t>
  </si>
  <si>
    <t>DELGADO</t>
  </si>
  <si>
    <t>NICOLAO</t>
  </si>
  <si>
    <t>AMARO</t>
  </si>
  <si>
    <t>ARANEDA</t>
  </si>
  <si>
    <t>ANTONIA</t>
  </si>
  <si>
    <t>MALDONADO</t>
  </si>
  <si>
    <t>VILLA</t>
  </si>
  <si>
    <t>GALVEZ</t>
  </si>
  <si>
    <t>ALVEZ</t>
  </si>
  <si>
    <t>CISTERNA</t>
  </si>
  <si>
    <t>CHUSEIKAN</t>
  </si>
  <si>
    <t>GARAY</t>
  </si>
  <si>
    <t>CARIQUEO</t>
  </si>
  <si>
    <t>ANTHONY</t>
  </si>
  <si>
    <t>LA PINTANA</t>
  </si>
  <si>
    <t>SARDIN</t>
  </si>
  <si>
    <t>SANTIAGO</t>
  </si>
  <si>
    <t>SHOGAI ÑUÑOA</t>
  </si>
  <si>
    <t>BRUNO</t>
  </si>
  <si>
    <t>MARCELO</t>
  </si>
  <si>
    <t>BADILLA</t>
  </si>
  <si>
    <t>LUENGO</t>
  </si>
  <si>
    <t>ALEJANDRO</t>
  </si>
  <si>
    <t>BASCUÑAN</t>
  </si>
  <si>
    <t>DANTE</t>
  </si>
  <si>
    <t>DAINE</t>
  </si>
  <si>
    <t>ANAHIS</t>
  </si>
  <si>
    <t>KIDO</t>
  </si>
  <si>
    <t>RIFFO</t>
  </si>
  <si>
    <t>AMELIA</t>
  </si>
  <si>
    <t>FIORELLA</t>
  </si>
  <si>
    <t>LEAL</t>
  </si>
  <si>
    <t>SANAE</t>
  </si>
  <si>
    <t>PGN</t>
  </si>
  <si>
    <t>KRISHTYAN</t>
  </si>
  <si>
    <t>NICOLAS</t>
  </si>
  <si>
    <t>SHIRO SAIGO KIDS</t>
  </si>
  <si>
    <t>MONSERRAT</t>
  </si>
  <si>
    <t>FLORENCIA</t>
  </si>
  <si>
    <t>GAETE</t>
  </si>
  <si>
    <t>KATHERINE</t>
  </si>
  <si>
    <t>BECERRA</t>
  </si>
  <si>
    <t>ISABELLA</t>
  </si>
  <si>
    <t>BRUNA</t>
  </si>
  <si>
    <t>MATEO</t>
  </si>
  <si>
    <t>STROMBERGER</t>
  </si>
  <si>
    <t>ANGELA</t>
  </si>
  <si>
    <t>GODOY</t>
  </si>
  <si>
    <t>ANANDA</t>
  </si>
  <si>
    <t>ORELLANA</t>
  </si>
  <si>
    <t>LEONOR</t>
  </si>
  <si>
    <t>APABLAZA</t>
  </si>
  <si>
    <t>VEJAR</t>
  </si>
  <si>
    <t>ARLEN</t>
  </si>
  <si>
    <t>DIP</t>
  </si>
  <si>
    <t>JUDO TRUENO</t>
  </si>
  <si>
    <t>CRISTIAN</t>
  </si>
  <si>
    <t>CONTERAS</t>
  </si>
  <si>
    <t>VALLADOLID</t>
  </si>
  <si>
    <t>DANNA</t>
  </si>
  <si>
    <t>CONSUELO</t>
  </si>
  <si>
    <t>MELENDRE</t>
  </si>
  <si>
    <t>GRACIA</t>
  </si>
  <si>
    <t>PULQUILLANCA</t>
  </si>
  <si>
    <t>YAMARASHI</t>
  </si>
  <si>
    <t>PAZ</t>
  </si>
  <si>
    <t>HUANCA</t>
  </si>
  <si>
    <t>PAINICURA</t>
  </si>
  <si>
    <t>LILITH</t>
  </si>
  <si>
    <t>CID</t>
  </si>
  <si>
    <t>MELENDEZ</t>
  </si>
  <si>
    <t>CABELLO</t>
  </si>
  <si>
    <t>VALVERDE</t>
  </si>
  <si>
    <t>NAYARA</t>
  </si>
  <si>
    <t>ANISHA</t>
  </si>
  <si>
    <t>BUSTAMANTE</t>
  </si>
  <si>
    <t>FREDES</t>
  </si>
  <si>
    <t>CONSTANZA</t>
  </si>
  <si>
    <t>PIETROBONI</t>
  </si>
  <si>
    <t>NERIEL</t>
  </si>
  <si>
    <t>TRIPAINAO</t>
  </si>
  <si>
    <t>ALONDRA</t>
  </si>
  <si>
    <t>BRICEÑO</t>
  </si>
  <si>
    <t>MERCADO</t>
  </si>
  <si>
    <t>ISAAC</t>
  </si>
  <si>
    <t>SANDOVAL</t>
  </si>
  <si>
    <t>AUGUSTO</t>
  </si>
  <si>
    <t>ROLANDO</t>
  </si>
  <si>
    <t>ZEGARRA</t>
  </si>
  <si>
    <t>ANDRE</t>
  </si>
  <si>
    <t>TORRICO</t>
  </si>
  <si>
    <t>REYNOLS</t>
  </si>
  <si>
    <t>STALIN</t>
  </si>
  <si>
    <t>DE LA HOZ</t>
  </si>
  <si>
    <t>SAID</t>
  </si>
  <si>
    <t>DANILLA</t>
  </si>
  <si>
    <t>AGUILERA</t>
  </si>
  <si>
    <t>ACADEMIA ROMO</t>
  </si>
  <si>
    <t>MIA</t>
  </si>
  <si>
    <t>MOSCOSO</t>
  </si>
  <si>
    <t>ODESUR</t>
  </si>
  <si>
    <t>PANAMA</t>
  </si>
  <si>
    <t>13.04</t>
  </si>
  <si>
    <t>14.04</t>
  </si>
  <si>
    <t>ECU</t>
  </si>
  <si>
    <t>28.04</t>
  </si>
  <si>
    <t xml:space="preserve">FELIPE </t>
  </si>
  <si>
    <t>CHEISUKAN</t>
  </si>
  <si>
    <t>SANTIGO</t>
  </si>
  <si>
    <t>TRUENO</t>
  </si>
  <si>
    <t>CATALDO</t>
  </si>
  <si>
    <t>LUKAS</t>
  </si>
  <si>
    <t>RICARDO</t>
  </si>
  <si>
    <t>KOSEN CURACAVI</t>
  </si>
  <si>
    <t>ESTEVES</t>
  </si>
  <si>
    <t>ARANZA</t>
  </si>
  <si>
    <t>REBOLLEDO</t>
  </si>
  <si>
    <t>LUCIA</t>
  </si>
  <si>
    <t>TOMODACHI</t>
  </si>
  <si>
    <t>DALTROZO</t>
  </si>
  <si>
    <t>SALGADO</t>
  </si>
  <si>
    <t>DAVID</t>
  </si>
  <si>
    <t>CAYUHAN</t>
  </si>
  <si>
    <t>ARISPE</t>
  </si>
  <si>
    <t>ELIAS</t>
  </si>
  <si>
    <t>PIZARRO</t>
  </si>
  <si>
    <t>GERMAN</t>
  </si>
  <si>
    <t>MAMANI</t>
  </si>
  <si>
    <t>ARELY</t>
  </si>
  <si>
    <t>CUYA</t>
  </si>
  <si>
    <t>OP</t>
  </si>
  <si>
    <t>30.05</t>
  </si>
  <si>
    <t>03.06</t>
  </si>
  <si>
    <t xml:space="preserve">CAÑAS </t>
  </si>
  <si>
    <t>ARAN</t>
  </si>
  <si>
    <t>ZAHIR</t>
  </si>
  <si>
    <t>kobayashi</t>
  </si>
  <si>
    <t>DOBSON</t>
  </si>
  <si>
    <t>20.08</t>
  </si>
  <si>
    <t>21.08</t>
  </si>
  <si>
    <t>WENUTRAI</t>
  </si>
  <si>
    <t>HUENCHULAF</t>
  </si>
  <si>
    <t>DONOSO</t>
  </si>
  <si>
    <t>COLEGIO REP SIRIA</t>
  </si>
  <si>
    <t>ARJONA</t>
  </si>
  <si>
    <t>CALVO</t>
  </si>
  <si>
    <t>GALDAMES</t>
  </si>
  <si>
    <t>ESLABON</t>
  </si>
  <si>
    <t>SAIAN</t>
  </si>
  <si>
    <t>DYNAMIS SHOGUN</t>
  </si>
  <si>
    <t>ULLOA</t>
  </si>
  <si>
    <t>ARON</t>
  </si>
  <si>
    <t>PINTANA</t>
  </si>
  <si>
    <t>ZUÑIGA</t>
  </si>
  <si>
    <t>CDUSS</t>
  </si>
  <si>
    <t>MORAGA</t>
  </si>
  <si>
    <t>ALEX</t>
  </si>
  <si>
    <t>GARNERO</t>
  </si>
  <si>
    <t>VITTORIO</t>
  </si>
  <si>
    <t>YAMARICO</t>
  </si>
  <si>
    <t>BAYRON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</si>
</sst>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9" xfId="0" applyNumberFormat="1" applyBorder="1"/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0" borderId="9" xfId="0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17" fontId="0" fillId="0" borderId="1" xfId="0" applyNumberFormat="1" applyBorder="1" applyAlignment="1">
      <alignment horizontal="center"/>
    </xf>
    <xf numFmtId="17" fontId="0" fillId="0" borderId="8" xfId="0" applyNumberFormat="1" applyBorder="1"/>
    <xf numFmtId="17" fontId="0" fillId="0" borderId="12" xfId="0" applyNumberFormat="1" applyBorder="1"/>
    <xf numFmtId="17" fontId="0" fillId="0" borderId="6" xfId="0" applyNumberFormat="1" applyBorder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7" fontId="0" fillId="0" borderId="8" xfId="0" applyNumberForma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0" fillId="5" borderId="5" xfId="0" applyFill="1" applyBorder="1"/>
    <xf numFmtId="0" fontId="0" fillId="0" borderId="13" xfId="0" applyBorder="1" applyAlignment="1">
      <alignment horizontal="center"/>
    </xf>
    <xf numFmtId="0" fontId="0" fillId="0" borderId="11" xfId="0" applyBorder="1"/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0" fontId="0" fillId="8" borderId="0" xfId="0" applyFill="1"/>
    <xf numFmtId="0" fontId="0" fillId="0" borderId="14" xfId="0" applyBorder="1" applyAlignment="1">
      <alignment horizontal="center"/>
    </xf>
    <xf numFmtId="0" fontId="0" fillId="0" borderId="14" xfId="0" applyBorder="1"/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7" xfId="0" applyNumberForma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3"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5.xml"/><Relationship Id="rId21" Type="http://schemas.microsoft.com/office/2017/10/relationships/person" Target="persons/person0.xml"/><Relationship Id="rId42" Type="http://schemas.microsoft.com/office/2017/10/relationships/person" Target="persons/person21.xml"/><Relationship Id="rId47" Type="http://schemas.microsoft.com/office/2017/10/relationships/person" Target="persons/person25.xml"/><Relationship Id="rId63" Type="http://schemas.microsoft.com/office/2017/10/relationships/person" Target="persons/person41.xml"/><Relationship Id="rId68" Type="http://schemas.microsoft.com/office/2017/10/relationships/person" Target="persons/person4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microsoft.com/office/2017/10/relationships/person" Target="persons/person10.xml"/><Relationship Id="rId37" Type="http://schemas.microsoft.com/office/2017/10/relationships/person" Target="persons/person16.xml"/><Relationship Id="rId53" Type="http://schemas.microsoft.com/office/2017/10/relationships/person" Target="persons/person31.xml"/><Relationship Id="rId58" Type="http://schemas.microsoft.com/office/2017/10/relationships/person" Target="persons/person35.xml"/><Relationship Id="rId74" Type="http://schemas.microsoft.com/office/2017/10/relationships/person" Target="persons/person51.xml"/><Relationship Id="rId79" Type="http://schemas.microsoft.com/office/2017/10/relationships/person" Target="persons/person56.xml"/><Relationship Id="rId5" Type="http://schemas.openxmlformats.org/officeDocument/2006/relationships/worksheet" Target="worksheets/sheet5.xml"/><Relationship Id="rId61" Type="http://schemas.microsoft.com/office/2017/10/relationships/person" Target="persons/person38.xml"/><Relationship Id="rId82" Type="http://schemas.microsoft.com/office/2017/10/relationships/person" Target="persons/person59.xml"/><Relationship Id="rId19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69" Type="http://schemas.microsoft.com/office/2017/10/relationships/person" Target="persons/person53.xml"/><Relationship Id="rId64" Type="http://schemas.microsoft.com/office/2017/10/relationships/person" Target="persons/person45.xml"/><Relationship Id="rId56" Type="http://schemas.microsoft.com/office/2017/10/relationships/person" Target="persons/person37.xml"/><Relationship Id="rId48" Type="http://schemas.microsoft.com/office/2017/10/relationships/person" Target="persons/person28.xml"/><Relationship Id="rId43" Type="http://schemas.microsoft.com/office/2017/10/relationships/person" Target="persons/person24.xml"/><Relationship Id="rId35" Type="http://schemas.microsoft.com/office/2017/10/relationships/person" Target="persons/person15.xml"/><Relationship Id="rId30" Type="http://schemas.microsoft.com/office/2017/10/relationships/person" Target="persons/person11.xml"/><Relationship Id="rId27" Type="http://schemas.microsoft.com/office/2017/10/relationships/person" Target="persons/person7.xml"/><Relationship Id="rId22" Type="http://schemas.microsoft.com/office/2017/10/relationships/person" Target="persons/person2.xml"/><Relationship Id="rId77" Type="http://schemas.microsoft.com/office/2017/10/relationships/person" Target="persons/person54.xml"/><Relationship Id="rId8" Type="http://schemas.openxmlformats.org/officeDocument/2006/relationships/worksheet" Target="worksheets/sheet8.xml"/><Relationship Id="rId80" Type="http://schemas.microsoft.com/office/2017/10/relationships/person" Target="persons/person.xml"/><Relationship Id="rId72" Type="http://schemas.microsoft.com/office/2017/10/relationships/person" Target="persons/person52.xml"/><Relationship Id="rId51" Type="http://schemas.microsoft.com/office/2017/10/relationships/person" Target="persons/person3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67" Type="http://schemas.microsoft.com/office/2017/10/relationships/person" Target="persons/person47.xml"/><Relationship Id="rId59" Type="http://schemas.microsoft.com/office/2017/10/relationships/person" Target="persons/person40.xml"/><Relationship Id="rId46" Type="http://schemas.microsoft.com/office/2017/10/relationships/person" Target="persons/person26.xml"/><Relationship Id="rId25" Type="http://schemas.microsoft.com/office/2017/10/relationships/person" Target="persons/person4.xml"/><Relationship Id="rId33" Type="http://schemas.microsoft.com/office/2017/10/relationships/person" Target="persons/person12.xml"/><Relationship Id="rId38" Type="http://schemas.microsoft.com/office/2017/10/relationships/person" Target="persons/person17.xml"/><Relationship Id="rId20" Type="http://schemas.openxmlformats.org/officeDocument/2006/relationships/calcChain" Target="calcChain.xml"/><Relationship Id="rId75" Type="http://schemas.microsoft.com/office/2017/10/relationships/person" Target="persons/person58.xml"/><Relationship Id="rId70" Type="http://schemas.microsoft.com/office/2017/10/relationships/person" Target="persons/person50.xml"/><Relationship Id="rId62" Type="http://schemas.microsoft.com/office/2017/10/relationships/person" Target="persons/person42.xml"/><Relationship Id="rId54" Type="http://schemas.microsoft.com/office/2017/10/relationships/person" Target="persons/person34.xml"/><Relationship Id="rId41" Type="http://schemas.microsoft.com/office/2017/10/relationships/person" Target="persons/person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57" Type="http://schemas.microsoft.com/office/2017/10/relationships/person" Target="persons/person36.xml"/><Relationship Id="rId23" Type="http://schemas.microsoft.com/office/2017/10/relationships/person" Target="persons/person1.xml"/><Relationship Id="rId28" Type="http://schemas.microsoft.com/office/2017/10/relationships/person" Target="persons/person6.xml"/><Relationship Id="rId36" Type="http://schemas.microsoft.com/office/2017/10/relationships/person" Target="persons/person14.xml"/><Relationship Id="rId49" Type="http://schemas.microsoft.com/office/2017/10/relationships/person" Target="persons/person27.xml"/><Relationship Id="rId10" Type="http://schemas.openxmlformats.org/officeDocument/2006/relationships/worksheet" Target="worksheets/sheet10.xml"/><Relationship Id="rId81" Type="http://schemas.microsoft.com/office/2017/10/relationships/person" Target="persons/person60.xml"/><Relationship Id="rId78" Type="http://schemas.microsoft.com/office/2017/10/relationships/person" Target="persons/person57.xml"/><Relationship Id="rId73" Type="http://schemas.microsoft.com/office/2017/10/relationships/person" Target="persons/person49.xml"/><Relationship Id="rId65" Type="http://schemas.microsoft.com/office/2017/10/relationships/person" Target="persons/person44.xml"/><Relationship Id="rId60" Type="http://schemas.microsoft.com/office/2017/10/relationships/person" Target="persons/person39.xml"/><Relationship Id="rId31" Type="http://schemas.microsoft.com/office/2017/10/relationships/person" Target="persons/person9.xml"/><Relationship Id="rId44" Type="http://schemas.microsoft.com/office/2017/10/relationships/person" Target="persons/person22.xml"/><Relationship Id="rId52" Type="http://schemas.microsoft.com/office/2017/10/relationships/person" Target="persons/person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9" Type="http://schemas.microsoft.com/office/2017/10/relationships/person" Target="persons/person18.xml"/><Relationship Id="rId76" Type="http://schemas.microsoft.com/office/2017/10/relationships/person" Target="persons/person55.xml"/><Relationship Id="rId34" Type="http://schemas.microsoft.com/office/2017/10/relationships/person" Target="persons/person13.xml"/><Relationship Id="rId50" Type="http://schemas.microsoft.com/office/2017/10/relationships/person" Target="persons/person29.xml"/><Relationship Id="rId55" Type="http://schemas.microsoft.com/office/2017/10/relationships/person" Target="persons/person33.xml"/><Relationship Id="rId7" Type="http://schemas.openxmlformats.org/officeDocument/2006/relationships/worksheet" Target="worksheets/sheet7.xml"/><Relationship Id="rId71" Type="http://schemas.microsoft.com/office/2017/10/relationships/person" Target="persons/person48.xml"/><Relationship Id="rId2" Type="http://schemas.openxmlformats.org/officeDocument/2006/relationships/worksheet" Target="worksheets/sheet2.xml"/><Relationship Id="rId29" Type="http://schemas.microsoft.com/office/2017/10/relationships/person" Target="persons/person8.xml"/><Relationship Id="rId24" Type="http://schemas.microsoft.com/office/2017/10/relationships/person" Target="persons/person3.xml"/><Relationship Id="rId40" Type="http://schemas.microsoft.com/office/2017/10/relationships/person" Target="persons/person19.xml"/><Relationship Id="rId45" Type="http://schemas.microsoft.com/office/2017/10/relationships/person" Target="persons/person23.xml"/><Relationship Id="rId66" Type="http://schemas.microsoft.com/office/2017/10/relationships/person" Target="persons/person4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24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27131890-BBDF-4F34-BA01-61995C2ECEB0}"/>
            </a:ext>
          </a:extLst>
        </xdr:cNvPr>
        <xdr:cNvSpPr>
          <a:spLocks noChangeAspect="1" noChangeArrowheads="1"/>
        </xdr:cNvSpPr>
      </xdr:nvSpPr>
      <xdr:spPr bwMode="auto">
        <a:xfrm>
          <a:off x="3512820" y="0"/>
          <a:ext cx="304800" cy="44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21431</xdr:colOff>
      <xdr:row>0</xdr:row>
      <xdr:rowOff>1</xdr:rowOff>
    </xdr:from>
    <xdr:to>
      <xdr:col>43</xdr:col>
      <xdr:colOff>702468</xdr:colOff>
      <xdr:row>5</xdr:row>
      <xdr:rowOff>99399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937980-E9E1-43D5-9164-5F39FF0C6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4119" y="1"/>
          <a:ext cx="681037" cy="1254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24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75628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45243</xdr:colOff>
      <xdr:row>0</xdr:row>
      <xdr:rowOff>0</xdr:rowOff>
    </xdr:from>
    <xdr:to>
      <xdr:col>42</xdr:col>
      <xdr:colOff>659382</xdr:colOff>
      <xdr:row>4</xdr:row>
      <xdr:rowOff>140335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8118" y="0"/>
          <a:ext cx="614139" cy="1057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0</xdr:row>
      <xdr:rowOff>0</xdr:rowOff>
    </xdr:from>
    <xdr:to>
      <xdr:col>65</xdr:col>
      <xdr:colOff>304800</xdr:colOff>
      <xdr:row>0</xdr:row>
      <xdr:rowOff>304800</xdr:rowOff>
    </xdr:to>
    <xdr:sp macro="" textlink="">
      <xdr:nvSpPr>
        <xdr:cNvPr id="2053" name="AutoShape 5" descr="Feju Chile - Home | Facebook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9093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100</xdr:col>
      <xdr:colOff>15308</xdr:colOff>
      <xdr:row>0</xdr:row>
      <xdr:rowOff>0</xdr:rowOff>
    </xdr:from>
    <xdr:to>
      <xdr:col>100</xdr:col>
      <xdr:colOff>631352</xdr:colOff>
      <xdr:row>4</xdr:row>
      <xdr:rowOff>2540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8246" y="0"/>
          <a:ext cx="616044" cy="9193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0</xdr:row>
      <xdr:rowOff>0</xdr:rowOff>
    </xdr:from>
    <xdr:to>
      <xdr:col>78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114</xdr:col>
      <xdr:colOff>54429</xdr:colOff>
      <xdr:row>0</xdr:row>
      <xdr:rowOff>0</xdr:rowOff>
    </xdr:from>
    <xdr:to>
      <xdr:col>114</xdr:col>
      <xdr:colOff>712289</xdr:colOff>
      <xdr:row>4</xdr:row>
      <xdr:rowOff>24890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0648" y="0"/>
          <a:ext cx="657860" cy="9416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0</xdr:row>
      <xdr:rowOff>0</xdr:rowOff>
    </xdr:from>
    <xdr:to>
      <xdr:col>84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5377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119</xdr:col>
      <xdr:colOff>19729</xdr:colOff>
      <xdr:row>0</xdr:row>
      <xdr:rowOff>6804</xdr:rowOff>
    </xdr:from>
    <xdr:to>
      <xdr:col>119</xdr:col>
      <xdr:colOff>621709</xdr:colOff>
      <xdr:row>4</xdr:row>
      <xdr:rowOff>30143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6417" y="6804"/>
          <a:ext cx="601980" cy="9401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0</xdr:row>
      <xdr:rowOff>0</xdr:rowOff>
    </xdr:from>
    <xdr:to>
      <xdr:col>90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47420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127</xdr:col>
      <xdr:colOff>51367</xdr:colOff>
      <xdr:row>0</xdr:row>
      <xdr:rowOff>34701</xdr:rowOff>
    </xdr:from>
    <xdr:to>
      <xdr:col>127</xdr:col>
      <xdr:colOff>608263</xdr:colOff>
      <xdr:row>4</xdr:row>
      <xdr:rowOff>66450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5805" y="34701"/>
          <a:ext cx="556896" cy="9485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0</xdr:row>
      <xdr:rowOff>0</xdr:rowOff>
    </xdr:from>
    <xdr:to>
      <xdr:col>69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102</xdr:col>
      <xdr:colOff>31976</xdr:colOff>
      <xdr:row>0</xdr:row>
      <xdr:rowOff>11567</xdr:rowOff>
    </xdr:from>
    <xdr:to>
      <xdr:col>102</xdr:col>
      <xdr:colOff>658815</xdr:colOff>
      <xdr:row>4</xdr:row>
      <xdr:rowOff>163060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04976" y="11567"/>
          <a:ext cx="626839" cy="10682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75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2710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107</xdr:col>
      <xdr:colOff>37419</xdr:colOff>
      <xdr:row>0</xdr:row>
      <xdr:rowOff>0</xdr:rowOff>
    </xdr:from>
    <xdr:to>
      <xdr:col>107</xdr:col>
      <xdr:colOff>669973</xdr:colOff>
      <xdr:row>4</xdr:row>
      <xdr:rowOff>107156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2200" y="0"/>
          <a:ext cx="632554" cy="1023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48987</xdr:colOff>
      <xdr:row>0</xdr:row>
      <xdr:rowOff>0</xdr:rowOff>
    </xdr:from>
    <xdr:to>
      <xdr:col>96</xdr:col>
      <xdr:colOff>117565</xdr:colOff>
      <xdr:row>5</xdr:row>
      <xdr:rowOff>118595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7204A6-A717-04E0-CE2A-7A72CD733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3800" y="0"/>
          <a:ext cx="830578" cy="12258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0</xdr:row>
      <xdr:rowOff>0</xdr:rowOff>
    </xdr:from>
    <xdr:to>
      <xdr:col>92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27100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130</xdr:col>
      <xdr:colOff>32656</xdr:colOff>
      <xdr:row>0</xdr:row>
      <xdr:rowOff>0</xdr:rowOff>
    </xdr:from>
    <xdr:to>
      <xdr:col>130</xdr:col>
      <xdr:colOff>692421</xdr:colOff>
      <xdr:row>4</xdr:row>
      <xdr:rowOff>72390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8437" y="0"/>
          <a:ext cx="659765" cy="9891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0</xdr:row>
      <xdr:rowOff>0</xdr:rowOff>
    </xdr:from>
    <xdr:to>
      <xdr:col>94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5377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127</xdr:col>
      <xdr:colOff>55451</xdr:colOff>
      <xdr:row>0</xdr:row>
      <xdr:rowOff>11906</xdr:rowOff>
    </xdr:from>
    <xdr:to>
      <xdr:col>127</xdr:col>
      <xdr:colOff>740253</xdr:colOff>
      <xdr:row>4</xdr:row>
      <xdr:rowOff>54451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3607" y="11906"/>
          <a:ext cx="684802" cy="9355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127</xdr:col>
      <xdr:colOff>33676</xdr:colOff>
      <xdr:row>0</xdr:row>
      <xdr:rowOff>20751</xdr:rowOff>
    </xdr:from>
    <xdr:to>
      <xdr:col>127</xdr:col>
      <xdr:colOff>586761</xdr:colOff>
      <xdr:row>4</xdr:row>
      <xdr:rowOff>60120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51895" y="20751"/>
          <a:ext cx="553085" cy="9561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129</xdr:col>
      <xdr:colOff>747032</xdr:colOff>
      <xdr:row>0</xdr:row>
      <xdr:rowOff>0</xdr:rowOff>
    </xdr:from>
    <xdr:to>
      <xdr:col>130</xdr:col>
      <xdr:colOff>559072</xdr:colOff>
      <xdr:row>4</xdr:row>
      <xdr:rowOff>62229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3251" y="0"/>
          <a:ext cx="574040" cy="9790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127</xdr:col>
      <xdr:colOff>31639</xdr:colOff>
      <xdr:row>0</xdr:row>
      <xdr:rowOff>9187</xdr:rowOff>
    </xdr:from>
    <xdr:to>
      <xdr:col>127</xdr:col>
      <xdr:colOff>708549</xdr:colOff>
      <xdr:row>4</xdr:row>
      <xdr:rowOff>72324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0733" y="9187"/>
          <a:ext cx="676910" cy="97991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104</xdr:col>
      <xdr:colOff>20751</xdr:colOff>
      <xdr:row>0</xdr:row>
      <xdr:rowOff>20752</xdr:rowOff>
    </xdr:from>
    <xdr:to>
      <xdr:col>104</xdr:col>
      <xdr:colOff>678611</xdr:colOff>
      <xdr:row>5</xdr:row>
      <xdr:rowOff>60122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0751" y="20752"/>
          <a:ext cx="657860" cy="1146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62</xdr:col>
      <xdr:colOff>304800</xdr:colOff>
      <xdr:row>4</xdr:row>
      <xdr:rowOff>34925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474200" y="0"/>
          <a:ext cx="304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96</xdr:col>
      <xdr:colOff>20410</xdr:colOff>
      <xdr:row>0</xdr:row>
      <xdr:rowOff>8845</xdr:rowOff>
    </xdr:from>
    <xdr:to>
      <xdr:col>96</xdr:col>
      <xdr:colOff>686162</xdr:colOff>
      <xdr:row>4</xdr:row>
      <xdr:rowOff>80600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2348" y="8845"/>
          <a:ext cx="665752" cy="9885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persons/person59.xml><?xml version="1.0" encoding="utf-8"?>
<personList xmlns="http://schemas.microsoft.com/office/spreadsheetml/2018/threadedcomments" xmlns:x="http://schemas.openxmlformats.org/spreadsheetml/2006/main"/>
</file>

<file path=xl/persons/person6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7DFF-2B12-4651-8917-CCDC4C04B68F}">
  <dimension ref="A1:AQ12"/>
  <sheetViews>
    <sheetView zoomScale="80" zoomScaleNormal="80" workbookViewId="0">
      <selection activeCell="A11" sqref="A11"/>
    </sheetView>
  </sheetViews>
  <sheetFormatPr baseColWidth="10" defaultRowHeight="15" x14ac:dyDescent="0.25"/>
  <cols>
    <col min="1" max="1" width="2.42578125" customWidth="1"/>
    <col min="6" max="17" width="0" hidden="1" customWidth="1"/>
    <col min="18" max="18" width="7.85546875" hidden="1" customWidth="1"/>
    <col min="19" max="19" width="7.5703125" style="8" hidden="1" customWidth="1"/>
    <col min="20" max="20" width="7.42578125" hidden="1" customWidth="1"/>
    <col min="21" max="21" width="8.140625" style="8" hidden="1" customWidth="1"/>
    <col min="22" max="22" width="7.5703125" hidden="1" customWidth="1"/>
    <col min="23" max="23" width="7.28515625" hidden="1" customWidth="1"/>
    <col min="24" max="24" width="8.5703125" hidden="1" customWidth="1"/>
    <col min="27" max="27" width="7.85546875" style="8" customWidth="1"/>
    <col min="28" max="28" width="7.140625" style="8" customWidth="1"/>
    <col min="29" max="29" width="8" style="8" customWidth="1"/>
    <col min="35" max="35" width="0" hidden="1" customWidth="1"/>
    <col min="36" max="36" width="4.140625" hidden="1" customWidth="1"/>
    <col min="37" max="39" width="6" hidden="1" customWidth="1"/>
    <col min="42" max="42" width="6.28515625" style="8" customWidth="1"/>
  </cols>
  <sheetData>
    <row r="1" spans="1:43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</row>
    <row r="2" spans="1:43" ht="15.75" thickBot="1" x14ac:dyDescent="0.3">
      <c r="C2" s="8"/>
      <c r="D2" s="8"/>
      <c r="E2" s="8"/>
      <c r="I2" s="8"/>
      <c r="J2" s="8"/>
      <c r="K2" s="8"/>
    </row>
    <row r="3" spans="1:43" ht="15.75" thickTop="1" x14ac:dyDescent="0.25">
      <c r="B3" s="1" t="s">
        <v>0</v>
      </c>
      <c r="C3" s="4" t="s">
        <v>18</v>
      </c>
      <c r="I3" s="8"/>
      <c r="J3" s="8"/>
      <c r="K3" s="8"/>
    </row>
    <row r="4" spans="1:43" ht="15.75" customHeight="1" x14ac:dyDescent="0.25">
      <c r="B4" s="2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I4" s="64" t="s">
        <v>617</v>
      </c>
      <c r="AJ4" s="64"/>
      <c r="AK4" s="64"/>
      <c r="AL4" s="64"/>
      <c r="AM4" s="64"/>
      <c r="AN4" s="64"/>
      <c r="AO4" s="64"/>
      <c r="AP4" s="64"/>
      <c r="AQ4" s="64"/>
    </row>
    <row r="5" spans="1:43" ht="16.5" customHeight="1" thickBot="1" x14ac:dyDescent="0.3">
      <c r="B5" s="3" t="s">
        <v>2</v>
      </c>
      <c r="C5" s="33">
        <v>-44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I5" s="64"/>
      <c r="AJ5" s="64"/>
      <c r="AK5" s="64"/>
      <c r="AL5" s="64"/>
      <c r="AM5" s="64"/>
      <c r="AN5" s="64"/>
      <c r="AO5" s="64"/>
      <c r="AP5" s="64"/>
      <c r="AQ5" s="64"/>
    </row>
    <row r="6" spans="1:43" ht="15.75" thickTop="1" x14ac:dyDescent="0.25">
      <c r="I6" s="8"/>
      <c r="J6" s="8"/>
      <c r="K6" s="8"/>
      <c r="AI6" s="8"/>
      <c r="AJ6" s="8"/>
      <c r="AK6" s="8"/>
      <c r="AL6" s="8"/>
      <c r="AM6" s="8"/>
    </row>
    <row r="7" spans="1:43" ht="15.75" thickBot="1" x14ac:dyDescent="0.3">
      <c r="I7" s="8"/>
      <c r="J7" s="8"/>
      <c r="K7" s="8"/>
      <c r="AI7" s="8"/>
      <c r="AJ7" s="8"/>
      <c r="AK7" s="8"/>
      <c r="AL7" s="8"/>
      <c r="AM7" s="8"/>
    </row>
    <row r="8" spans="1:43" ht="15.75" thickTop="1" x14ac:dyDescent="0.25">
      <c r="B8" s="56" t="s">
        <v>14</v>
      </c>
      <c r="C8" s="57"/>
      <c r="D8" s="1"/>
      <c r="E8" s="1"/>
      <c r="F8" s="4" t="s">
        <v>102</v>
      </c>
      <c r="G8" s="4" t="s">
        <v>15</v>
      </c>
      <c r="H8" s="4" t="s">
        <v>139</v>
      </c>
      <c r="I8" s="4" t="s">
        <v>142</v>
      </c>
      <c r="J8" s="4" t="s">
        <v>15</v>
      </c>
      <c r="K8" s="4" t="s">
        <v>159</v>
      </c>
      <c r="L8" s="1"/>
      <c r="M8" s="12">
        <v>44927</v>
      </c>
      <c r="N8" s="4" t="s">
        <v>15</v>
      </c>
      <c r="O8" s="4" t="s">
        <v>224</v>
      </c>
      <c r="P8" s="4" t="s">
        <v>164</v>
      </c>
      <c r="Q8" s="4" t="s">
        <v>6</v>
      </c>
      <c r="R8" s="28">
        <v>45658</v>
      </c>
      <c r="S8" s="28"/>
      <c r="T8" s="28"/>
      <c r="U8" s="35"/>
      <c r="V8" s="30"/>
      <c r="W8" s="30"/>
      <c r="X8" s="31"/>
      <c r="Y8" s="28" t="s">
        <v>6</v>
      </c>
      <c r="Z8" s="28">
        <v>46023</v>
      </c>
      <c r="AA8" s="28"/>
      <c r="AB8" s="28"/>
      <c r="AC8" s="35"/>
      <c r="AD8" s="36"/>
      <c r="AE8" s="36"/>
      <c r="AF8" s="37"/>
      <c r="AG8" s="28" t="s">
        <v>213</v>
      </c>
      <c r="AI8" s="28">
        <v>45658</v>
      </c>
      <c r="AJ8" s="4" t="s">
        <v>287</v>
      </c>
      <c r="AK8" s="4" t="s">
        <v>156</v>
      </c>
      <c r="AL8" s="4" t="s">
        <v>25</v>
      </c>
      <c r="AM8" s="4" t="s">
        <v>163</v>
      </c>
      <c r="AN8" s="1" t="s">
        <v>6</v>
      </c>
      <c r="AO8" s="28">
        <v>46023</v>
      </c>
      <c r="AP8" s="4" t="s">
        <v>163</v>
      </c>
      <c r="AQ8" s="1" t="s">
        <v>6</v>
      </c>
    </row>
    <row r="9" spans="1:43" x14ac:dyDescent="0.25">
      <c r="B9" s="58"/>
      <c r="C9" s="59"/>
      <c r="D9" s="2"/>
      <c r="E9" s="2"/>
      <c r="F9" s="9" t="s">
        <v>103</v>
      </c>
      <c r="G9" s="9" t="s">
        <v>120</v>
      </c>
      <c r="H9" s="9" t="s">
        <v>140</v>
      </c>
      <c r="I9" s="9" t="s">
        <v>143</v>
      </c>
      <c r="J9" s="9" t="s">
        <v>54</v>
      </c>
      <c r="K9" s="9" t="s">
        <v>160</v>
      </c>
      <c r="L9" s="2" t="s">
        <v>6</v>
      </c>
      <c r="M9" s="2"/>
      <c r="N9" s="9" t="s">
        <v>54</v>
      </c>
      <c r="O9" s="9" t="s">
        <v>142</v>
      </c>
      <c r="P9" s="9" t="s">
        <v>139</v>
      </c>
      <c r="Q9" s="2"/>
      <c r="R9" s="5"/>
      <c r="S9" s="9" t="s">
        <v>15</v>
      </c>
      <c r="T9" s="9" t="s">
        <v>224</v>
      </c>
      <c r="U9" s="60" t="s">
        <v>429</v>
      </c>
      <c r="V9" s="61"/>
      <c r="W9" s="61"/>
      <c r="X9" s="62"/>
      <c r="Y9" s="5"/>
      <c r="Z9" s="5"/>
      <c r="AA9" s="9" t="s">
        <v>15</v>
      </c>
      <c r="AB9" s="9" t="s">
        <v>224</v>
      </c>
      <c r="AC9" s="60" t="s">
        <v>429</v>
      </c>
      <c r="AD9" s="61"/>
      <c r="AE9" s="61"/>
      <c r="AF9" s="62"/>
      <c r="AG9" s="9"/>
      <c r="AI9" s="5"/>
      <c r="AJ9" s="5"/>
      <c r="AK9" s="5" t="s">
        <v>103</v>
      </c>
      <c r="AL9" s="5" t="s">
        <v>28</v>
      </c>
      <c r="AM9" s="5" t="s">
        <v>260</v>
      </c>
      <c r="AN9" s="2"/>
      <c r="AO9" s="5"/>
      <c r="AP9" s="5" t="s">
        <v>28</v>
      </c>
      <c r="AQ9" s="2"/>
    </row>
    <row r="10" spans="1:43" x14ac:dyDescent="0.25">
      <c r="B10" s="58"/>
      <c r="C10" s="59"/>
      <c r="D10" s="2" t="s">
        <v>4</v>
      </c>
      <c r="E10" s="2" t="s">
        <v>5</v>
      </c>
      <c r="F10" s="10">
        <v>44695</v>
      </c>
      <c r="G10" s="10">
        <v>44709</v>
      </c>
      <c r="H10" s="10">
        <v>44730</v>
      </c>
      <c r="I10" s="10">
        <v>44737</v>
      </c>
      <c r="J10" s="10">
        <v>44779</v>
      </c>
      <c r="K10" s="10">
        <v>44829</v>
      </c>
      <c r="L10" s="2">
        <v>2022</v>
      </c>
      <c r="M10" s="2"/>
      <c r="N10" s="2" t="s">
        <v>171</v>
      </c>
      <c r="O10" s="2" t="s">
        <v>232</v>
      </c>
      <c r="P10" s="5" t="s">
        <v>250</v>
      </c>
      <c r="Q10" s="2">
        <v>2014</v>
      </c>
      <c r="R10" s="5"/>
      <c r="S10" s="5"/>
      <c r="T10" s="5"/>
      <c r="U10" s="5">
        <v>1</v>
      </c>
      <c r="V10" s="5">
        <v>2</v>
      </c>
      <c r="W10" s="5">
        <v>3</v>
      </c>
      <c r="X10" s="5">
        <v>4</v>
      </c>
      <c r="Y10" s="5">
        <v>2025</v>
      </c>
      <c r="Z10" s="5"/>
      <c r="AA10" s="5"/>
      <c r="AB10" s="5"/>
      <c r="AC10" s="5">
        <v>1</v>
      </c>
      <c r="AD10" s="5">
        <v>2</v>
      </c>
      <c r="AE10" s="5">
        <v>3</v>
      </c>
      <c r="AF10" s="5">
        <v>4</v>
      </c>
      <c r="AG10" s="5">
        <v>2026</v>
      </c>
      <c r="AI10" s="17"/>
      <c r="AJ10" s="5" t="s">
        <v>430</v>
      </c>
      <c r="AK10" s="5" t="s">
        <v>508</v>
      </c>
      <c r="AL10" s="5" t="s">
        <v>518</v>
      </c>
      <c r="AM10" s="5" t="s">
        <v>607</v>
      </c>
      <c r="AN10" s="2">
        <v>2025</v>
      </c>
      <c r="AO10" s="5"/>
      <c r="AP10" s="5" t="s">
        <v>772</v>
      </c>
      <c r="AQ10" s="2">
        <v>2026</v>
      </c>
    </row>
    <row r="11" spans="1:43" x14ac:dyDescent="0.25">
      <c r="A11" s="52">
        <v>1</v>
      </c>
      <c r="B11" s="19" t="s">
        <v>177</v>
      </c>
      <c r="C11" s="19"/>
      <c r="D11" s="19" t="s">
        <v>452</v>
      </c>
      <c r="E11" s="19" t="s">
        <v>53</v>
      </c>
      <c r="F11" s="6"/>
      <c r="G11" s="6"/>
      <c r="H11" s="6"/>
      <c r="I11" s="11"/>
      <c r="J11" s="11"/>
      <c r="K11" s="11"/>
      <c r="L11" s="6"/>
      <c r="M11" s="6"/>
      <c r="N11" s="6"/>
      <c r="O11" s="6"/>
      <c r="P11" s="6"/>
      <c r="Q11" s="6"/>
      <c r="R11" s="6">
        <f>105.1/2</f>
        <v>52.55</v>
      </c>
      <c r="S11" s="11">
        <v>36</v>
      </c>
      <c r="T11" s="11">
        <v>48</v>
      </c>
      <c r="U11" s="11">
        <v>90</v>
      </c>
      <c r="V11" s="11">
        <v>90</v>
      </c>
      <c r="W11" s="6">
        <v>120</v>
      </c>
      <c r="X11" s="6">
        <v>120</v>
      </c>
      <c r="Y11" s="6">
        <f>SUM(R11:X11)</f>
        <v>556.54999999999995</v>
      </c>
      <c r="Z11" s="6">
        <f>(Y11-R11)/2</f>
        <v>251.99999999999997</v>
      </c>
      <c r="AA11" s="11">
        <v>36</v>
      </c>
      <c r="AB11" s="11">
        <v>48</v>
      </c>
      <c r="AC11" s="11">
        <v>90</v>
      </c>
      <c r="AD11" s="6"/>
      <c r="AE11" s="6"/>
      <c r="AF11" s="6"/>
      <c r="AG11" s="6">
        <f>SUM(Z11:AF11)</f>
        <v>426</v>
      </c>
      <c r="AI11" s="11"/>
      <c r="AJ11" s="11">
        <v>20</v>
      </c>
      <c r="AK11" s="11">
        <v>150</v>
      </c>
      <c r="AL11" s="11">
        <v>15</v>
      </c>
      <c r="AM11" s="11">
        <v>5</v>
      </c>
      <c r="AN11" s="19">
        <f>SUM(AI11:AM11)</f>
        <v>190</v>
      </c>
      <c r="AO11" s="6">
        <f>(AN11-AI11)/2</f>
        <v>95</v>
      </c>
      <c r="AP11" s="11">
        <v>5</v>
      </c>
      <c r="AQ11" s="6">
        <f>SUM(AO11:AP11)</f>
        <v>100</v>
      </c>
    </row>
    <row r="12" spans="1:43" x14ac:dyDescent="0.25">
      <c r="A12">
        <v>2</v>
      </c>
      <c r="B12" s="6"/>
      <c r="C12" s="6"/>
      <c r="D12" s="6"/>
      <c r="E12" s="6"/>
      <c r="F12" s="6"/>
      <c r="G12" s="6"/>
      <c r="H12" s="6"/>
      <c r="I12" s="11"/>
      <c r="J12" s="11"/>
      <c r="K12" s="11"/>
      <c r="L12" s="6"/>
      <c r="M12" s="6"/>
      <c r="N12" s="6"/>
      <c r="O12" s="6"/>
      <c r="P12" s="6"/>
      <c r="Q12" s="6"/>
      <c r="R12" s="6"/>
      <c r="S12" s="11"/>
      <c r="T12" s="6"/>
      <c r="U12" s="11"/>
      <c r="V12" s="6"/>
      <c r="W12" s="6"/>
      <c r="X12" s="6"/>
      <c r="Y12" s="6"/>
      <c r="Z12" s="6"/>
      <c r="AA12" s="11"/>
      <c r="AB12" s="11"/>
      <c r="AC12" s="11"/>
      <c r="AD12" s="6"/>
      <c r="AE12" s="6"/>
      <c r="AF12" s="6"/>
      <c r="AG12" s="6">
        <f>SUM(Z12:AF12)</f>
        <v>0</v>
      </c>
      <c r="AI12" s="11"/>
      <c r="AJ12" s="11"/>
      <c r="AK12" s="11"/>
      <c r="AL12" s="11"/>
      <c r="AM12" s="11"/>
      <c r="AN12" s="6">
        <f t="shared" ref="AN12" si="0">SUM(AI12:AJ12)</f>
        <v>0</v>
      </c>
      <c r="AO12" s="6"/>
      <c r="AP12" s="11"/>
      <c r="AQ12" s="6"/>
    </row>
  </sheetData>
  <mergeCells count="6">
    <mergeCell ref="B1:AQ1"/>
    <mergeCell ref="B8:C10"/>
    <mergeCell ref="U9:X9"/>
    <mergeCell ref="AC9:AF9"/>
    <mergeCell ref="D4:AG5"/>
    <mergeCell ref="AI4:AQ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"/>
  <sheetViews>
    <sheetView zoomScale="80" zoomScaleNormal="80" workbookViewId="0">
      <selection activeCell="AD12" sqref="AD12"/>
    </sheetView>
  </sheetViews>
  <sheetFormatPr baseColWidth="10" defaultRowHeight="15" x14ac:dyDescent="0.25"/>
  <cols>
    <col min="1" max="1" width="4" customWidth="1"/>
    <col min="2" max="2" width="13.85546875" bestFit="1" customWidth="1"/>
    <col min="4" max="4" width="12.85546875" customWidth="1"/>
    <col min="5" max="5" width="15.5703125" bestFit="1" customWidth="1"/>
    <col min="6" max="7" width="7.28515625" hidden="1" customWidth="1"/>
    <col min="8" max="8" width="6.28515625" hidden="1" customWidth="1"/>
    <col min="9" max="9" width="6.28515625" style="8" hidden="1" customWidth="1"/>
    <col min="10" max="10" width="6.7109375" style="8" hidden="1" customWidth="1"/>
    <col min="11" max="11" width="7.28515625" style="8" hidden="1" customWidth="1"/>
    <col min="12" max="12" width="0" hidden="1" customWidth="1"/>
    <col min="13" max="13" width="7.140625" hidden="1" customWidth="1"/>
    <col min="14" max="16" width="5.5703125" hidden="1" customWidth="1"/>
    <col min="17" max="17" width="6.28515625" hidden="1" customWidth="1"/>
    <col min="18" max="18" width="7.85546875" hidden="1" customWidth="1"/>
    <col min="19" max="24" width="6.85546875" style="8" hidden="1" customWidth="1"/>
    <col min="25" max="25" width="6.85546875" customWidth="1"/>
    <col min="26" max="26" width="7.85546875" bestFit="1" customWidth="1"/>
    <col min="27" max="27" width="6.85546875" customWidth="1"/>
    <col min="28" max="32" width="6.85546875" style="8" customWidth="1"/>
    <col min="33" max="33" width="6.85546875" customWidth="1"/>
    <col min="35" max="35" width="0" hidden="1" customWidth="1"/>
    <col min="36" max="37" width="5.5703125" hidden="1" customWidth="1"/>
    <col min="40" max="40" width="9.28515625" style="8" bestFit="1" customWidth="1"/>
    <col min="41" max="41" width="6" style="8" bestFit="1" customWidth="1"/>
  </cols>
  <sheetData>
    <row r="1" spans="1:42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</row>
    <row r="2" spans="1:42" ht="15.75" thickBot="1" x14ac:dyDescent="0.3">
      <c r="C2" s="8"/>
      <c r="D2" s="8"/>
      <c r="E2" s="8"/>
    </row>
    <row r="3" spans="1:42" ht="15.75" thickTop="1" x14ac:dyDescent="0.25">
      <c r="B3" s="1" t="s">
        <v>0</v>
      </c>
      <c r="C3" s="4" t="s">
        <v>18</v>
      </c>
    </row>
    <row r="4" spans="1:42" ht="14.45" customHeight="1" x14ac:dyDescent="0.25">
      <c r="B4" s="2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I4" s="64" t="s">
        <v>617</v>
      </c>
      <c r="AJ4" s="64"/>
      <c r="AK4" s="64"/>
      <c r="AL4" s="64"/>
      <c r="AM4" s="64"/>
      <c r="AN4" s="64"/>
      <c r="AO4" s="64"/>
      <c r="AP4" s="64"/>
    </row>
    <row r="5" spans="1:42" ht="15" customHeight="1" thickBot="1" x14ac:dyDescent="0.3">
      <c r="B5" s="3" t="s">
        <v>2</v>
      </c>
      <c r="C5" s="33">
        <v>-44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I5" s="64"/>
      <c r="AJ5" s="64"/>
      <c r="AK5" s="64"/>
      <c r="AL5" s="64"/>
      <c r="AM5" s="64"/>
      <c r="AN5" s="64"/>
      <c r="AO5" s="64"/>
      <c r="AP5" s="64"/>
    </row>
    <row r="6" spans="1:42" ht="15.75" thickTop="1" x14ac:dyDescent="0.25">
      <c r="AI6" s="8"/>
      <c r="AJ6" s="8"/>
      <c r="AK6" s="8"/>
    </row>
    <row r="7" spans="1:42" ht="15.75" thickBot="1" x14ac:dyDescent="0.3">
      <c r="AI7" s="8"/>
      <c r="AJ7" s="8"/>
      <c r="AK7" s="8"/>
    </row>
    <row r="8" spans="1:42" ht="15" customHeight="1" thickTop="1" x14ac:dyDescent="0.25">
      <c r="B8" s="56" t="s">
        <v>14</v>
      </c>
      <c r="C8" s="57"/>
      <c r="D8" s="1"/>
      <c r="E8" s="1"/>
      <c r="F8" s="4" t="s">
        <v>102</v>
      </c>
      <c r="G8" s="4" t="s">
        <v>15</v>
      </c>
      <c r="H8" s="4" t="s">
        <v>139</v>
      </c>
      <c r="I8" s="4" t="s">
        <v>142</v>
      </c>
      <c r="J8" s="4" t="s">
        <v>15</v>
      </c>
      <c r="K8" s="4" t="s">
        <v>159</v>
      </c>
      <c r="L8" s="1"/>
      <c r="M8" s="12">
        <v>44927</v>
      </c>
      <c r="N8" s="4" t="s">
        <v>15</v>
      </c>
      <c r="O8" s="4" t="s">
        <v>224</v>
      </c>
      <c r="P8" s="4" t="s">
        <v>164</v>
      </c>
      <c r="Q8" s="4" t="s">
        <v>6</v>
      </c>
      <c r="R8" s="28">
        <v>45658</v>
      </c>
      <c r="S8" s="28"/>
      <c r="T8" s="28"/>
      <c r="U8" s="35"/>
      <c r="V8" s="36"/>
      <c r="W8" s="36"/>
      <c r="X8" s="37"/>
      <c r="Y8" s="28" t="s">
        <v>6</v>
      </c>
      <c r="Z8" s="28">
        <v>46023</v>
      </c>
      <c r="AA8" s="28"/>
      <c r="AB8" s="28"/>
      <c r="AC8" s="35"/>
      <c r="AD8" s="36"/>
      <c r="AE8" s="36"/>
      <c r="AF8" s="37"/>
      <c r="AG8" s="28" t="s">
        <v>213</v>
      </c>
      <c r="AI8" s="28">
        <v>45658</v>
      </c>
      <c r="AJ8" s="4" t="s">
        <v>287</v>
      </c>
      <c r="AK8" s="4" t="s">
        <v>163</v>
      </c>
      <c r="AL8" s="1" t="s">
        <v>6</v>
      </c>
      <c r="AM8" s="28">
        <v>46023</v>
      </c>
      <c r="AN8" s="4" t="s">
        <v>740</v>
      </c>
      <c r="AO8" s="4" t="s">
        <v>163</v>
      </c>
      <c r="AP8" s="1" t="s">
        <v>6</v>
      </c>
    </row>
    <row r="9" spans="1:42" ht="14.45" customHeight="1" x14ac:dyDescent="0.25">
      <c r="B9" s="58"/>
      <c r="C9" s="59"/>
      <c r="D9" s="2"/>
      <c r="E9" s="2"/>
      <c r="F9" s="9" t="s">
        <v>103</v>
      </c>
      <c r="G9" s="9" t="s">
        <v>120</v>
      </c>
      <c r="H9" s="9" t="s">
        <v>140</v>
      </c>
      <c r="I9" s="9" t="s">
        <v>143</v>
      </c>
      <c r="J9" s="9" t="s">
        <v>54</v>
      </c>
      <c r="K9" s="9" t="s">
        <v>160</v>
      </c>
      <c r="L9" s="2" t="s">
        <v>6</v>
      </c>
      <c r="M9" s="2"/>
      <c r="N9" s="9" t="s">
        <v>54</v>
      </c>
      <c r="O9" s="9" t="s">
        <v>142</v>
      </c>
      <c r="P9" s="9" t="s">
        <v>139</v>
      </c>
      <c r="Q9" s="2"/>
      <c r="R9" s="5"/>
      <c r="S9" s="9" t="s">
        <v>15</v>
      </c>
      <c r="T9" s="9" t="s">
        <v>224</v>
      </c>
      <c r="U9" s="60" t="s">
        <v>429</v>
      </c>
      <c r="V9" s="61"/>
      <c r="W9" s="61"/>
      <c r="X9" s="62"/>
      <c r="Y9" s="5"/>
      <c r="Z9" s="5"/>
      <c r="AA9" s="9" t="s">
        <v>15</v>
      </c>
      <c r="AB9" s="9" t="s">
        <v>224</v>
      </c>
      <c r="AC9" s="60" t="s">
        <v>429</v>
      </c>
      <c r="AD9" s="61"/>
      <c r="AE9" s="61"/>
      <c r="AF9" s="62"/>
      <c r="AG9" s="9"/>
      <c r="AI9" s="5"/>
      <c r="AJ9" s="5"/>
      <c r="AK9" s="5" t="s">
        <v>260</v>
      </c>
      <c r="AL9" s="2"/>
      <c r="AM9" s="5"/>
      <c r="AN9" s="5" t="s">
        <v>741</v>
      </c>
      <c r="AO9" s="5" t="s">
        <v>28</v>
      </c>
      <c r="AP9" s="2"/>
    </row>
    <row r="10" spans="1:42" x14ac:dyDescent="0.25">
      <c r="B10" s="58"/>
      <c r="C10" s="59"/>
      <c r="D10" s="2" t="s">
        <v>4</v>
      </c>
      <c r="E10" s="2" t="s">
        <v>5</v>
      </c>
      <c r="F10" s="10">
        <v>44695</v>
      </c>
      <c r="G10" s="10">
        <v>44709</v>
      </c>
      <c r="H10" s="10">
        <v>44730</v>
      </c>
      <c r="I10" s="10">
        <v>44737</v>
      </c>
      <c r="J10" s="10">
        <v>44779</v>
      </c>
      <c r="K10" s="10">
        <v>44829</v>
      </c>
      <c r="L10" s="2">
        <v>2022</v>
      </c>
      <c r="M10" s="2"/>
      <c r="N10" s="2" t="s">
        <v>171</v>
      </c>
      <c r="O10" s="2" t="s">
        <v>232</v>
      </c>
      <c r="P10" s="5" t="s">
        <v>250</v>
      </c>
      <c r="Q10" s="2">
        <v>2014</v>
      </c>
      <c r="R10" s="5"/>
      <c r="S10" s="5"/>
      <c r="T10" s="5"/>
      <c r="U10" s="5">
        <v>1</v>
      </c>
      <c r="V10" s="5">
        <v>2</v>
      </c>
      <c r="W10" s="5">
        <v>3</v>
      </c>
      <c r="X10" s="5">
        <v>4</v>
      </c>
      <c r="Y10" s="5">
        <v>2025</v>
      </c>
      <c r="Z10" s="5"/>
      <c r="AA10" s="5"/>
      <c r="AB10" s="5"/>
      <c r="AC10" s="5">
        <v>1</v>
      </c>
      <c r="AD10" s="5">
        <v>2</v>
      </c>
      <c r="AE10" s="5">
        <v>3</v>
      </c>
      <c r="AF10" s="5">
        <v>4</v>
      </c>
      <c r="AG10" s="5">
        <v>2026</v>
      </c>
      <c r="AI10" s="17"/>
      <c r="AJ10" s="5" t="s">
        <v>430</v>
      </c>
      <c r="AK10" s="5" t="s">
        <v>607</v>
      </c>
      <c r="AL10" s="2">
        <v>2025</v>
      </c>
      <c r="AM10" s="5"/>
      <c r="AN10" s="5" t="s">
        <v>742</v>
      </c>
      <c r="AO10" s="5" t="s">
        <v>772</v>
      </c>
      <c r="AP10" s="2">
        <v>2026</v>
      </c>
    </row>
    <row r="11" spans="1:42" x14ac:dyDescent="0.25">
      <c r="A11">
        <v>1</v>
      </c>
      <c r="B11" s="19" t="s">
        <v>450</v>
      </c>
      <c r="C11" s="19"/>
      <c r="D11" s="19" t="s">
        <v>451</v>
      </c>
      <c r="E11" s="19" t="s">
        <v>42</v>
      </c>
      <c r="F11" s="6"/>
      <c r="G11" s="6"/>
      <c r="H11" s="6"/>
      <c r="I11" s="11"/>
      <c r="J11" s="11"/>
      <c r="K11" s="11"/>
      <c r="L11" s="6"/>
      <c r="M11" s="6"/>
      <c r="N11" s="6"/>
      <c r="O11" s="6"/>
      <c r="P11" s="6"/>
      <c r="Q11" s="6"/>
      <c r="R11" s="6">
        <f>679/4</f>
        <v>169.75</v>
      </c>
      <c r="S11" s="11">
        <v>36</v>
      </c>
      <c r="T11" s="11">
        <v>48</v>
      </c>
      <c r="U11" s="11">
        <v>120</v>
      </c>
      <c r="V11" s="11">
        <v>160</v>
      </c>
      <c r="W11" s="11">
        <v>120</v>
      </c>
      <c r="X11" s="11">
        <v>120</v>
      </c>
      <c r="Y11" s="6">
        <f>SUM(R11:X11)</f>
        <v>773.75</v>
      </c>
      <c r="Z11" s="6">
        <f>(Y11-R11)/2</f>
        <v>302</v>
      </c>
      <c r="AA11" s="6">
        <v>36</v>
      </c>
      <c r="AB11" s="11">
        <v>64</v>
      </c>
      <c r="AC11" s="11">
        <v>150</v>
      </c>
      <c r="AD11" s="11">
        <v>36</v>
      </c>
      <c r="AE11" s="11"/>
      <c r="AF11" s="11"/>
      <c r="AG11" s="6">
        <f t="shared" ref="AG11:AG18" si="0">SUM(Z11:AF11)</f>
        <v>588</v>
      </c>
      <c r="AI11" s="11"/>
      <c r="AJ11" s="11">
        <v>20</v>
      </c>
      <c r="AK11" s="11"/>
      <c r="AL11" s="6">
        <f t="shared" ref="AL11:AL18" si="1">SUM(AI11:AJ11)</f>
        <v>20</v>
      </c>
      <c r="AM11" s="6">
        <f t="shared" ref="AM11:AM18" si="2">(AL11-AJ11)/2</f>
        <v>0</v>
      </c>
      <c r="AN11" s="11">
        <v>12.5</v>
      </c>
      <c r="AO11" s="11">
        <v>100</v>
      </c>
      <c r="AP11" s="19">
        <f>SUM(AM11:AO11)</f>
        <v>112.5</v>
      </c>
    </row>
    <row r="12" spans="1:42" x14ac:dyDescent="0.25">
      <c r="A12">
        <v>2</v>
      </c>
      <c r="B12" s="49" t="s">
        <v>689</v>
      </c>
      <c r="C12" s="49"/>
      <c r="D12" s="49" t="s">
        <v>315</v>
      </c>
      <c r="E12" s="49" t="s">
        <v>12</v>
      </c>
      <c r="F12" s="6"/>
      <c r="G12" s="6"/>
      <c r="H12" s="6"/>
      <c r="I12" s="11"/>
      <c r="J12" s="11"/>
      <c r="K12" s="11"/>
      <c r="L12" s="6"/>
      <c r="M12" s="6"/>
      <c r="N12" s="6"/>
      <c r="O12" s="6"/>
      <c r="P12" s="6"/>
      <c r="Q12" s="6"/>
      <c r="R12" s="6"/>
      <c r="S12" s="11"/>
      <c r="T12" s="11"/>
      <c r="U12" s="11"/>
      <c r="V12" s="11"/>
      <c r="W12" s="11"/>
      <c r="X12" s="11"/>
      <c r="Y12" s="6"/>
      <c r="Z12" s="6"/>
      <c r="AA12" s="6">
        <v>48</v>
      </c>
      <c r="AB12" s="11">
        <v>3.2</v>
      </c>
      <c r="AC12" s="11">
        <v>105</v>
      </c>
      <c r="AD12" s="11"/>
      <c r="AE12" s="11"/>
      <c r="AF12" s="11"/>
      <c r="AG12" s="6">
        <f t="shared" si="0"/>
        <v>156.19999999999999</v>
      </c>
      <c r="AI12" s="6"/>
      <c r="AJ12" s="6"/>
      <c r="AK12" s="6"/>
      <c r="AL12" s="6">
        <f t="shared" si="1"/>
        <v>0</v>
      </c>
      <c r="AM12" s="6">
        <f t="shared" si="2"/>
        <v>0</v>
      </c>
      <c r="AN12" s="11"/>
      <c r="AO12" s="11">
        <v>5</v>
      </c>
      <c r="AP12" s="49">
        <f>SUM(AM12:AO12)</f>
        <v>5</v>
      </c>
    </row>
    <row r="13" spans="1:42" x14ac:dyDescent="0.25">
      <c r="A13">
        <v>3</v>
      </c>
      <c r="B13" s="6" t="s">
        <v>712</v>
      </c>
      <c r="C13" s="6"/>
      <c r="D13" s="6" t="s">
        <v>713</v>
      </c>
      <c r="E13" s="6" t="s">
        <v>27</v>
      </c>
      <c r="F13" s="6"/>
      <c r="G13" s="6"/>
      <c r="H13" s="6"/>
      <c r="I13" s="11"/>
      <c r="J13" s="11"/>
      <c r="K13" s="11"/>
      <c r="L13" s="6"/>
      <c r="M13" s="6"/>
      <c r="N13" s="6"/>
      <c r="O13" s="6"/>
      <c r="P13" s="6"/>
      <c r="Q13" s="6"/>
      <c r="R13" s="6"/>
      <c r="S13" s="11"/>
      <c r="T13" s="11"/>
      <c r="U13" s="11"/>
      <c r="V13" s="11"/>
      <c r="W13" s="11"/>
      <c r="X13" s="11"/>
      <c r="Y13" s="6"/>
      <c r="Z13" s="6">
        <f>86.1/2</f>
        <v>43.05</v>
      </c>
      <c r="AA13" s="6">
        <v>33.6</v>
      </c>
      <c r="AB13" s="11"/>
      <c r="AC13" s="11">
        <v>75</v>
      </c>
      <c r="AD13" s="11"/>
      <c r="AE13" s="11"/>
      <c r="AF13" s="11"/>
      <c r="AG13" s="6">
        <f t="shared" si="0"/>
        <v>151.65</v>
      </c>
      <c r="AL13" s="6">
        <f t="shared" si="1"/>
        <v>0</v>
      </c>
      <c r="AM13" s="6">
        <f t="shared" si="2"/>
        <v>0</v>
      </c>
      <c r="AN13" s="11"/>
      <c r="AO13" s="11"/>
      <c r="AP13" s="6">
        <f t="shared" ref="AP13:AP18" si="3">SUM(AM13:AN13)</f>
        <v>0</v>
      </c>
    </row>
    <row r="14" spans="1:42" x14ac:dyDescent="0.25">
      <c r="A14" s="52">
        <v>4</v>
      </c>
      <c r="B14" s="6" t="s">
        <v>167</v>
      </c>
      <c r="C14" s="6"/>
      <c r="D14" s="6" t="s">
        <v>493</v>
      </c>
      <c r="E14" s="6" t="s">
        <v>8</v>
      </c>
      <c r="F14" s="6"/>
      <c r="G14" s="6"/>
      <c r="H14" s="6"/>
      <c r="I14" s="11"/>
      <c r="J14" s="11"/>
      <c r="K14" s="11"/>
      <c r="L14" s="6"/>
      <c r="M14" s="6"/>
      <c r="N14" s="6"/>
      <c r="O14" s="6"/>
      <c r="P14" s="6"/>
      <c r="Q14" s="6">
        <v>186.5</v>
      </c>
      <c r="R14" s="6">
        <f>Q14/2</f>
        <v>93.25</v>
      </c>
      <c r="S14" s="11">
        <v>36</v>
      </c>
      <c r="T14" s="11"/>
      <c r="U14" s="11">
        <v>56</v>
      </c>
      <c r="V14" s="11">
        <v>84</v>
      </c>
      <c r="W14" s="11">
        <v>60</v>
      </c>
      <c r="X14" s="11">
        <v>8</v>
      </c>
      <c r="Y14" s="6">
        <f>SUM(R14:X14)</f>
        <v>337.25</v>
      </c>
      <c r="Z14" s="6">
        <f>(Y14-R14)/2</f>
        <v>122</v>
      </c>
      <c r="AA14" s="6"/>
      <c r="AB14" s="11"/>
      <c r="AC14" s="11"/>
      <c r="AD14" s="11"/>
      <c r="AE14" s="11"/>
      <c r="AF14" s="11"/>
      <c r="AG14" s="6">
        <f t="shared" si="0"/>
        <v>122</v>
      </c>
      <c r="AI14" s="8"/>
      <c r="AJ14" s="8"/>
      <c r="AK14" s="8"/>
      <c r="AL14" s="6">
        <f t="shared" si="1"/>
        <v>0</v>
      </c>
      <c r="AM14" s="6">
        <f t="shared" si="2"/>
        <v>0</v>
      </c>
      <c r="AN14" s="11"/>
      <c r="AO14" s="11"/>
      <c r="AP14" s="6">
        <f t="shared" si="3"/>
        <v>0</v>
      </c>
    </row>
    <row r="15" spans="1:42" x14ac:dyDescent="0.25">
      <c r="A15">
        <v>5</v>
      </c>
      <c r="B15" s="6" t="s">
        <v>715</v>
      </c>
      <c r="C15" s="6"/>
      <c r="D15" s="6" t="s">
        <v>714</v>
      </c>
      <c r="E15" s="6" t="s">
        <v>27</v>
      </c>
      <c r="F15" s="6"/>
      <c r="G15" s="6"/>
      <c r="H15" s="6"/>
      <c r="I15" s="11"/>
      <c r="J15" s="11"/>
      <c r="K15" s="11"/>
      <c r="L15" s="6"/>
      <c r="M15" s="6"/>
      <c r="N15" s="6"/>
      <c r="O15" s="6"/>
      <c r="P15" s="6"/>
      <c r="Q15" s="6"/>
      <c r="R15" s="6"/>
      <c r="S15" s="11"/>
      <c r="T15" s="11"/>
      <c r="U15" s="11"/>
      <c r="V15" s="11"/>
      <c r="W15" s="11"/>
      <c r="X15" s="11"/>
      <c r="Y15" s="6"/>
      <c r="Z15" s="6"/>
      <c r="AA15" s="6">
        <v>24</v>
      </c>
      <c r="AB15" s="11"/>
      <c r="AC15" s="11">
        <v>60</v>
      </c>
      <c r="AD15" s="11"/>
      <c r="AE15" s="11"/>
      <c r="AF15" s="11"/>
      <c r="AG15" s="6">
        <f t="shared" si="0"/>
        <v>84</v>
      </c>
      <c r="AL15" s="6">
        <f t="shared" si="1"/>
        <v>0</v>
      </c>
      <c r="AM15" s="6">
        <f t="shared" si="2"/>
        <v>0</v>
      </c>
      <c r="AN15" s="11"/>
      <c r="AO15" s="11"/>
      <c r="AP15" s="6">
        <f t="shared" si="3"/>
        <v>0</v>
      </c>
    </row>
    <row r="16" spans="1:42" x14ac:dyDescent="0.25">
      <c r="A16">
        <v>6</v>
      </c>
      <c r="B16" s="11" t="s">
        <v>112</v>
      </c>
      <c r="C16" s="6"/>
      <c r="D16" s="6" t="s">
        <v>708</v>
      </c>
      <c r="E16" s="6" t="s">
        <v>42</v>
      </c>
      <c r="F16" s="6"/>
      <c r="G16" s="6"/>
      <c r="H16" s="6"/>
      <c r="I16" s="11"/>
      <c r="J16" s="11"/>
      <c r="K16" s="11"/>
      <c r="L16" s="6"/>
      <c r="M16" s="6"/>
      <c r="N16" s="6"/>
      <c r="O16" s="6"/>
      <c r="P16" s="6"/>
      <c r="Q16" s="6"/>
      <c r="R16" s="6"/>
      <c r="S16" s="11"/>
      <c r="T16" s="11"/>
      <c r="U16" s="11"/>
      <c r="V16" s="11"/>
      <c r="W16" s="11"/>
      <c r="X16" s="11"/>
      <c r="Y16" s="6"/>
      <c r="Z16" s="6"/>
      <c r="AA16" s="6"/>
      <c r="AB16" s="11">
        <v>44.8</v>
      </c>
      <c r="AC16" s="11"/>
      <c r="AD16" s="11"/>
      <c r="AE16" s="11"/>
      <c r="AF16" s="11"/>
      <c r="AG16" s="6">
        <f t="shared" si="0"/>
        <v>44.8</v>
      </c>
      <c r="AL16" s="6">
        <f t="shared" si="1"/>
        <v>0</v>
      </c>
      <c r="AM16" s="6">
        <f t="shared" si="2"/>
        <v>0</v>
      </c>
      <c r="AN16" s="11"/>
      <c r="AO16" s="11"/>
      <c r="AP16" s="6">
        <f t="shared" si="3"/>
        <v>0</v>
      </c>
    </row>
    <row r="17" spans="1:42" x14ac:dyDescent="0.25">
      <c r="A17">
        <v>7</v>
      </c>
      <c r="B17" s="6" t="s">
        <v>698</v>
      </c>
      <c r="C17" s="6"/>
      <c r="D17" s="6" t="s">
        <v>699</v>
      </c>
      <c r="E17" s="6" t="s">
        <v>231</v>
      </c>
      <c r="F17" s="6"/>
      <c r="G17" s="6"/>
      <c r="H17" s="6"/>
      <c r="I17" s="11"/>
      <c r="J17" s="11"/>
      <c r="K17" s="11"/>
      <c r="L17" s="6"/>
      <c r="M17" s="6"/>
      <c r="N17" s="6"/>
      <c r="O17" s="6"/>
      <c r="P17" s="6"/>
      <c r="Q17" s="6"/>
      <c r="R17" s="6"/>
      <c r="S17" s="11"/>
      <c r="T17" s="11"/>
      <c r="U17" s="11"/>
      <c r="V17" s="11"/>
      <c r="W17" s="11"/>
      <c r="X17" s="11"/>
      <c r="Y17" s="6"/>
      <c r="Z17" s="6"/>
      <c r="AA17" s="6">
        <v>36</v>
      </c>
      <c r="AB17" s="11"/>
      <c r="AC17" s="11">
        <v>7.5</v>
      </c>
      <c r="AD17" s="11"/>
      <c r="AE17" s="11"/>
      <c r="AF17" s="11"/>
      <c r="AG17" s="6">
        <f t="shared" si="0"/>
        <v>43.5</v>
      </c>
      <c r="AL17" s="6">
        <f t="shared" si="1"/>
        <v>0</v>
      </c>
      <c r="AM17" s="6">
        <f t="shared" si="2"/>
        <v>0</v>
      </c>
      <c r="AN17" s="11"/>
      <c r="AO17" s="11"/>
      <c r="AP17" s="6">
        <f t="shared" si="3"/>
        <v>0</v>
      </c>
    </row>
    <row r="18" spans="1:42" x14ac:dyDescent="0.25">
      <c r="A18">
        <v>8</v>
      </c>
      <c r="B18" s="6" t="s">
        <v>349</v>
      </c>
      <c r="C18" s="6"/>
      <c r="D18" s="6" t="s">
        <v>677</v>
      </c>
      <c r="E18" s="6" t="s">
        <v>673</v>
      </c>
      <c r="F18" s="6"/>
      <c r="G18" s="6"/>
      <c r="H18" s="6"/>
      <c r="I18" s="11"/>
      <c r="J18" s="11"/>
      <c r="K18" s="11"/>
      <c r="L18" s="6"/>
      <c r="M18" s="6"/>
      <c r="N18" s="6"/>
      <c r="O18" s="6"/>
      <c r="P18" s="6"/>
      <c r="Q18" s="6"/>
      <c r="R18" s="6"/>
      <c r="S18" s="11"/>
      <c r="T18" s="11"/>
      <c r="U18" s="11"/>
      <c r="V18" s="11"/>
      <c r="W18" s="11"/>
      <c r="X18" s="11"/>
      <c r="Y18" s="6"/>
      <c r="Z18" s="6"/>
      <c r="AA18" s="6">
        <v>36</v>
      </c>
      <c r="AB18" s="11"/>
      <c r="AC18" s="11"/>
      <c r="AD18" s="11"/>
      <c r="AE18" s="11"/>
      <c r="AF18" s="11"/>
      <c r="AG18" s="6">
        <f t="shared" si="0"/>
        <v>36</v>
      </c>
      <c r="AL18" s="6">
        <f t="shared" si="1"/>
        <v>0</v>
      </c>
      <c r="AM18" s="6">
        <f t="shared" si="2"/>
        <v>0</v>
      </c>
      <c r="AN18" s="11"/>
      <c r="AO18" s="11"/>
      <c r="AP18" s="6">
        <f t="shared" si="3"/>
        <v>0</v>
      </c>
    </row>
  </sheetData>
  <sortState xmlns:xlrd2="http://schemas.microsoft.com/office/spreadsheetml/2017/richdata2" ref="B11:AP18">
    <sortCondition descending="1" ref="AG11:AG18"/>
  </sortState>
  <mergeCells count="6">
    <mergeCell ref="B1:AP1"/>
    <mergeCell ref="B8:C10"/>
    <mergeCell ref="U9:X9"/>
    <mergeCell ref="AC9:AF9"/>
    <mergeCell ref="D4:AG5"/>
    <mergeCell ref="AI4:AP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35"/>
  <sheetViews>
    <sheetView zoomScale="80" zoomScaleNormal="80" workbookViewId="0">
      <selection activeCell="B11" sqref="B11:CV35"/>
    </sheetView>
  </sheetViews>
  <sheetFormatPr baseColWidth="10" defaultRowHeight="15" x14ac:dyDescent="0.25"/>
  <cols>
    <col min="1" max="1" width="3.42578125" bestFit="1" customWidth="1"/>
    <col min="2" max="2" width="14.42578125" style="8" bestFit="1" customWidth="1"/>
    <col min="3" max="3" width="13.5703125" bestFit="1" customWidth="1"/>
    <col min="4" max="4" width="12" bestFit="1" customWidth="1"/>
    <col min="5" max="5" width="17" bestFit="1" customWidth="1"/>
    <col min="6" max="6" width="6.7109375" style="8" hidden="1" customWidth="1"/>
    <col min="7" max="8" width="6.5703125" hidden="1" customWidth="1"/>
    <col min="9" max="10" width="6.42578125" hidden="1" customWidth="1"/>
    <col min="11" max="11" width="7.28515625" hidden="1" customWidth="1"/>
    <col min="12" max="15" width="6.28515625" hidden="1" customWidth="1"/>
    <col min="16" max="16" width="6.28515625" style="8" hidden="1" customWidth="1"/>
    <col min="17" max="18" width="6.7109375" style="8" hidden="1" customWidth="1"/>
    <col min="19" max="19" width="9" style="8" hidden="1" customWidth="1"/>
    <col min="20" max="22" width="7.28515625" style="8" hidden="1" customWidth="1"/>
    <col min="23" max="23" width="6.42578125" style="8" hidden="1" customWidth="1"/>
    <col min="24" max="24" width="7.28515625" style="8" hidden="1" customWidth="1"/>
    <col min="25" max="25" width="6.140625" style="8" hidden="1" customWidth="1"/>
    <col min="26" max="26" width="9.42578125" hidden="1" customWidth="1"/>
    <col min="27" max="27" width="8.28515625" hidden="1" customWidth="1"/>
    <col min="28" max="35" width="5.5703125" hidden="1" customWidth="1"/>
    <col min="36" max="36" width="10.5703125" hidden="1" customWidth="1"/>
    <col min="37" max="39" width="5.5703125" hidden="1" customWidth="1"/>
    <col min="40" max="43" width="7" hidden="1" customWidth="1"/>
    <col min="44" max="44" width="10.5703125" hidden="1" customWidth="1"/>
    <col min="45" max="50" width="5.5703125" hidden="1" customWidth="1"/>
    <col min="51" max="52" width="5.5703125" style="8" hidden="1" customWidth="1"/>
    <col min="53" max="53" width="10.85546875" style="8" hidden="1" customWidth="1"/>
    <col min="54" max="56" width="5.5703125" style="8" hidden="1" customWidth="1"/>
    <col min="57" max="57" width="6.85546875" style="8" hidden="1" customWidth="1"/>
    <col min="58" max="58" width="7" hidden="1" customWidth="1"/>
    <col min="59" max="59" width="7.85546875" hidden="1" customWidth="1"/>
    <col min="60" max="65" width="7" style="8" hidden="1" customWidth="1"/>
    <col min="66" max="66" width="7" customWidth="1"/>
    <col min="67" max="67" width="7.85546875" bestFit="1" customWidth="1"/>
    <col min="68" max="71" width="7" style="8" customWidth="1"/>
    <col min="72" max="74" width="7" customWidth="1"/>
    <col min="76" max="76" width="0" hidden="1" customWidth="1"/>
    <col min="77" max="77" width="8.28515625" hidden="1" customWidth="1"/>
    <col min="78" max="78" width="6.7109375" hidden="1" customWidth="1"/>
    <col min="79" max="79" width="0" hidden="1" customWidth="1"/>
    <col min="80" max="81" width="0" style="8" hidden="1" customWidth="1"/>
    <col min="82" max="87" width="5.5703125" style="8" hidden="1" customWidth="1"/>
    <col min="88" max="88" width="0" hidden="1" customWidth="1"/>
    <col min="89" max="89" width="10" hidden="1" customWidth="1"/>
    <col min="90" max="90" width="6.7109375" style="8" hidden="1" customWidth="1"/>
    <col min="91" max="94" width="6" style="8" hidden="1" customWidth="1"/>
    <col min="97" max="99" width="6" style="8" customWidth="1"/>
  </cols>
  <sheetData>
    <row r="1" spans="1:100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</row>
    <row r="2" spans="1:100" ht="15.75" thickBot="1" x14ac:dyDescent="0.3">
      <c r="C2" s="8"/>
      <c r="D2" s="8"/>
      <c r="E2" s="8"/>
      <c r="BX2" s="8"/>
      <c r="CA2" s="8"/>
    </row>
    <row r="3" spans="1:100" ht="15.75" thickTop="1" x14ac:dyDescent="0.25">
      <c r="B3" s="4" t="s">
        <v>0</v>
      </c>
      <c r="C3" s="4" t="s">
        <v>18</v>
      </c>
      <c r="BX3" s="8"/>
      <c r="CA3" s="8"/>
    </row>
    <row r="4" spans="1:100" ht="14.65" customHeight="1" x14ac:dyDescent="0.25">
      <c r="B4" s="5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X4" s="64" t="s">
        <v>617</v>
      </c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</row>
    <row r="5" spans="1:100" ht="15" customHeight="1" thickBot="1" x14ac:dyDescent="0.3">
      <c r="B5" s="33" t="s">
        <v>2</v>
      </c>
      <c r="C5" s="33">
        <v>-48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</row>
    <row r="6" spans="1:100" ht="15.75" thickTop="1" x14ac:dyDescent="0.25">
      <c r="BX6" s="8"/>
      <c r="CA6" s="8"/>
    </row>
    <row r="7" spans="1:100" ht="15.75" thickBot="1" x14ac:dyDescent="0.3">
      <c r="BX7" s="8"/>
      <c r="CA7" s="8"/>
    </row>
    <row r="8" spans="1:100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25</v>
      </c>
      <c r="J8" s="4" t="s">
        <v>79</v>
      </c>
      <c r="K8" s="4" t="s">
        <v>102</v>
      </c>
      <c r="L8" s="4" t="s">
        <v>136</v>
      </c>
      <c r="M8" s="4" t="s">
        <v>139</v>
      </c>
      <c r="N8" s="4" t="s">
        <v>142</v>
      </c>
      <c r="O8" s="4" t="s">
        <v>145</v>
      </c>
      <c r="P8" s="4" t="s">
        <v>15</v>
      </c>
      <c r="Q8" s="4" t="s">
        <v>15</v>
      </c>
      <c r="R8" s="4" t="s">
        <v>15</v>
      </c>
      <c r="S8" s="4" t="s">
        <v>156</v>
      </c>
      <c r="T8" s="4" t="s">
        <v>15</v>
      </c>
      <c r="U8" s="4" t="s">
        <v>15</v>
      </c>
      <c r="V8" s="4" t="s">
        <v>159</v>
      </c>
      <c r="W8" s="4" t="s">
        <v>15</v>
      </c>
      <c r="X8" s="4" t="s">
        <v>163</v>
      </c>
      <c r="Y8" s="4" t="s">
        <v>164</v>
      </c>
      <c r="Z8" s="1"/>
      <c r="AA8" s="12">
        <v>44927</v>
      </c>
      <c r="AB8" s="4" t="s">
        <v>15</v>
      </c>
      <c r="AC8" s="4" t="s">
        <v>184</v>
      </c>
      <c r="AD8" s="4" t="s">
        <v>224</v>
      </c>
      <c r="AE8" s="4" t="s">
        <v>224</v>
      </c>
      <c r="AF8" s="4" t="s">
        <v>224</v>
      </c>
      <c r="AG8" s="4" t="s">
        <v>15</v>
      </c>
      <c r="AH8" s="4" t="s">
        <v>164</v>
      </c>
      <c r="AI8" s="4" t="s">
        <v>15</v>
      </c>
      <c r="AJ8" s="4" t="s">
        <v>15</v>
      </c>
      <c r="AK8" s="4" t="s">
        <v>164</v>
      </c>
      <c r="AL8" s="4" t="s">
        <v>15</v>
      </c>
      <c r="AM8" s="4" t="s">
        <v>165</v>
      </c>
      <c r="AN8" s="4" t="s">
        <v>6</v>
      </c>
      <c r="AO8" s="28">
        <v>45292</v>
      </c>
      <c r="AP8" s="28" t="s">
        <v>15</v>
      </c>
      <c r="AQ8" s="28" t="s">
        <v>15</v>
      </c>
      <c r="AR8" s="28" t="s">
        <v>15</v>
      </c>
      <c r="AS8" s="28" t="s">
        <v>15</v>
      </c>
      <c r="AT8" s="28" t="s">
        <v>164</v>
      </c>
      <c r="AU8" s="28" t="s">
        <v>164</v>
      </c>
      <c r="AV8" s="28" t="s">
        <v>224</v>
      </c>
      <c r="AW8" s="28" t="s">
        <v>224</v>
      </c>
      <c r="AX8" s="28" t="s">
        <v>224</v>
      </c>
      <c r="AY8" s="28" t="s">
        <v>164</v>
      </c>
      <c r="AZ8" s="28" t="s">
        <v>15</v>
      </c>
      <c r="BA8" s="28" t="s">
        <v>15</v>
      </c>
      <c r="BB8" s="28" t="s">
        <v>15</v>
      </c>
      <c r="BC8" s="28" t="s">
        <v>15</v>
      </c>
      <c r="BD8" s="28" t="s">
        <v>164</v>
      </c>
      <c r="BE8" s="28" t="s">
        <v>165</v>
      </c>
      <c r="BF8" s="28" t="s">
        <v>6</v>
      </c>
      <c r="BG8" s="28">
        <v>45658</v>
      </c>
      <c r="BH8" s="28"/>
      <c r="BI8" s="28"/>
      <c r="BJ8" s="35"/>
      <c r="BK8" s="36"/>
      <c r="BL8" s="36"/>
      <c r="BM8" s="37"/>
      <c r="BN8" s="28" t="s">
        <v>6</v>
      </c>
      <c r="BO8" s="28">
        <v>46023</v>
      </c>
      <c r="BP8" s="28"/>
      <c r="BQ8" s="28"/>
      <c r="BR8" s="35"/>
      <c r="BS8" s="36"/>
      <c r="BT8" s="36"/>
      <c r="BU8" s="37"/>
      <c r="BV8" s="28" t="s">
        <v>213</v>
      </c>
      <c r="BX8" s="4" t="s">
        <v>212</v>
      </c>
      <c r="BY8" s="1" t="s">
        <v>215</v>
      </c>
      <c r="BZ8" s="13" t="s">
        <v>163</v>
      </c>
      <c r="CA8" s="4" t="s">
        <v>213</v>
      </c>
      <c r="CB8" s="28">
        <v>45292</v>
      </c>
      <c r="CC8" s="4" t="s">
        <v>212</v>
      </c>
      <c r="CD8" s="4" t="s">
        <v>287</v>
      </c>
      <c r="CE8" s="4" t="s">
        <v>25</v>
      </c>
      <c r="CF8" s="4" t="s">
        <v>397</v>
      </c>
      <c r="CG8" s="4" t="s">
        <v>156</v>
      </c>
      <c r="CH8" s="4" t="s">
        <v>163</v>
      </c>
      <c r="CI8" s="4" t="s">
        <v>282</v>
      </c>
      <c r="CJ8" s="1" t="s">
        <v>6</v>
      </c>
      <c r="CK8" s="28">
        <v>45658</v>
      </c>
      <c r="CL8" s="4" t="s">
        <v>287</v>
      </c>
      <c r="CM8" s="4" t="s">
        <v>156</v>
      </c>
      <c r="CN8" s="4" t="s">
        <v>25</v>
      </c>
      <c r="CO8" s="4" t="s">
        <v>163</v>
      </c>
      <c r="CP8" s="4" t="s">
        <v>282</v>
      </c>
      <c r="CQ8" s="1" t="s">
        <v>6</v>
      </c>
      <c r="CR8" s="28">
        <v>46023</v>
      </c>
      <c r="CS8" s="4" t="s">
        <v>770</v>
      </c>
      <c r="CT8" s="4" t="s">
        <v>163</v>
      </c>
      <c r="CU8" s="4" t="s">
        <v>397</v>
      </c>
      <c r="CV8" s="1" t="s">
        <v>6</v>
      </c>
    </row>
    <row r="9" spans="1:100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5" t="s">
        <v>26</v>
      </c>
      <c r="J9" s="9" t="s">
        <v>80</v>
      </c>
      <c r="K9" s="9" t="s">
        <v>103</v>
      </c>
      <c r="L9" s="9" t="s">
        <v>138</v>
      </c>
      <c r="M9" s="9" t="s">
        <v>140</v>
      </c>
      <c r="N9" s="9" t="s">
        <v>143</v>
      </c>
      <c r="O9" s="9" t="s">
        <v>80</v>
      </c>
      <c r="P9" s="9" t="s">
        <v>148</v>
      </c>
      <c r="Q9" s="9" t="s">
        <v>54</v>
      </c>
      <c r="R9" s="9" t="s">
        <v>153</v>
      </c>
      <c r="S9" s="9" t="s">
        <v>154</v>
      </c>
      <c r="T9" s="9" t="s">
        <v>16</v>
      </c>
      <c r="U9" s="9" t="s">
        <v>148</v>
      </c>
      <c r="V9" s="9" t="s">
        <v>160</v>
      </c>
      <c r="W9" s="9" t="s">
        <v>70</v>
      </c>
      <c r="X9" s="9" t="s">
        <v>101</v>
      </c>
      <c r="Y9" s="9" t="s">
        <v>165</v>
      </c>
      <c r="Z9" s="2" t="s">
        <v>6</v>
      </c>
      <c r="AA9" s="2"/>
      <c r="AB9" s="9" t="s">
        <v>54</v>
      </c>
      <c r="AC9" s="9" t="s">
        <v>136</v>
      </c>
      <c r="AD9" s="9" t="s">
        <v>139</v>
      </c>
      <c r="AE9" s="9" t="s">
        <v>142</v>
      </c>
      <c r="AF9" s="9" t="s">
        <v>136</v>
      </c>
      <c r="AG9" s="9" t="s">
        <v>120</v>
      </c>
      <c r="AH9" s="9" t="s">
        <v>139</v>
      </c>
      <c r="AI9" s="9" t="s">
        <v>54</v>
      </c>
      <c r="AJ9" s="9" t="s">
        <v>268</v>
      </c>
      <c r="AK9" s="9" t="s">
        <v>142</v>
      </c>
      <c r="AL9" s="9" t="s">
        <v>153</v>
      </c>
      <c r="AM9" s="9"/>
      <c r="AN9" s="2"/>
      <c r="AO9" s="5"/>
      <c r="AP9" s="5" t="s">
        <v>333</v>
      </c>
      <c r="AQ9" s="5" t="s">
        <v>120</v>
      </c>
      <c r="AR9" s="5" t="s">
        <v>268</v>
      </c>
      <c r="AS9" s="5" t="s">
        <v>54</v>
      </c>
      <c r="AT9" s="5" t="s">
        <v>139</v>
      </c>
      <c r="AU9" s="5" t="s">
        <v>372</v>
      </c>
      <c r="AV9" s="5" t="s">
        <v>139</v>
      </c>
      <c r="AW9" s="5" t="s">
        <v>136</v>
      </c>
      <c r="AX9" s="5" t="s">
        <v>142</v>
      </c>
      <c r="AY9" s="5" t="s">
        <v>136</v>
      </c>
      <c r="AZ9" s="5" t="s">
        <v>333</v>
      </c>
      <c r="BA9" s="5" t="s">
        <v>268</v>
      </c>
      <c r="BB9" s="5" t="s">
        <v>54</v>
      </c>
      <c r="BC9" s="5" t="s">
        <v>120</v>
      </c>
      <c r="BD9" s="5" t="s">
        <v>142</v>
      </c>
      <c r="BE9" s="5" t="s">
        <v>427</v>
      </c>
      <c r="BF9" s="5"/>
      <c r="BG9" s="5"/>
      <c r="BH9" s="9" t="s">
        <v>15</v>
      </c>
      <c r="BI9" s="9" t="s">
        <v>224</v>
      </c>
      <c r="BJ9" s="60" t="s">
        <v>429</v>
      </c>
      <c r="BK9" s="61"/>
      <c r="BL9" s="61"/>
      <c r="BM9" s="62"/>
      <c r="BN9" s="5"/>
      <c r="BO9" s="5"/>
      <c r="BP9" s="9" t="s">
        <v>15</v>
      </c>
      <c r="BQ9" s="9" t="s">
        <v>224</v>
      </c>
      <c r="BR9" s="60" t="s">
        <v>429</v>
      </c>
      <c r="BS9" s="61"/>
      <c r="BT9" s="61"/>
      <c r="BU9" s="62"/>
      <c r="BV9" s="9"/>
      <c r="BX9" s="5" t="s">
        <v>214</v>
      </c>
      <c r="BY9" s="2"/>
      <c r="BZ9" s="14" t="s">
        <v>260</v>
      </c>
      <c r="CA9" s="5"/>
      <c r="CC9" s="5" t="s">
        <v>214</v>
      </c>
      <c r="CD9" s="5"/>
      <c r="CE9" s="5" t="s">
        <v>343</v>
      </c>
      <c r="CF9" s="5" t="s">
        <v>28</v>
      </c>
      <c r="CG9" s="5" t="s">
        <v>260</v>
      </c>
      <c r="CH9" s="5" t="s">
        <v>260</v>
      </c>
      <c r="CI9" s="5" t="s">
        <v>80</v>
      </c>
      <c r="CJ9" s="2"/>
      <c r="CK9" s="5"/>
      <c r="CL9" s="5"/>
      <c r="CM9" s="5" t="s">
        <v>103</v>
      </c>
      <c r="CN9" s="5" t="s">
        <v>28</v>
      </c>
      <c r="CO9" s="5" t="s">
        <v>260</v>
      </c>
      <c r="CP9" s="5" t="s">
        <v>80</v>
      </c>
      <c r="CQ9" s="2"/>
      <c r="CR9" s="5"/>
      <c r="CS9" s="5" t="s">
        <v>28</v>
      </c>
      <c r="CT9" s="5" t="s">
        <v>28</v>
      </c>
      <c r="CU9" s="5" t="s">
        <v>744</v>
      </c>
      <c r="CV9" s="2"/>
    </row>
    <row r="10" spans="1:100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44681</v>
      </c>
      <c r="K10" s="10">
        <v>44695</v>
      </c>
      <c r="L10" s="10">
        <v>44730</v>
      </c>
      <c r="M10" s="10">
        <v>44730</v>
      </c>
      <c r="N10" s="10">
        <v>44737</v>
      </c>
      <c r="O10" s="10">
        <v>44759</v>
      </c>
      <c r="P10" s="10">
        <v>44765</v>
      </c>
      <c r="Q10" s="10">
        <v>44779</v>
      </c>
      <c r="R10" s="10">
        <v>44800</v>
      </c>
      <c r="S10" s="10">
        <v>44813</v>
      </c>
      <c r="T10" s="10">
        <v>44814</v>
      </c>
      <c r="U10" s="10">
        <v>44814</v>
      </c>
      <c r="V10" s="10">
        <v>44829</v>
      </c>
      <c r="W10" s="10">
        <v>44863</v>
      </c>
      <c r="X10" s="10">
        <v>44866</v>
      </c>
      <c r="Y10" s="10">
        <v>44906</v>
      </c>
      <c r="Z10" s="2">
        <v>2022</v>
      </c>
      <c r="AA10" s="2"/>
      <c r="AB10" s="2" t="s">
        <v>171</v>
      </c>
      <c r="AC10" s="2" t="s">
        <v>185</v>
      </c>
      <c r="AD10" s="2" t="s">
        <v>225</v>
      </c>
      <c r="AE10" s="2" t="s">
        <v>232</v>
      </c>
      <c r="AF10" s="5" t="s">
        <v>239</v>
      </c>
      <c r="AG10" s="5" t="s">
        <v>247</v>
      </c>
      <c r="AH10" s="5" t="s">
        <v>250</v>
      </c>
      <c r="AI10" s="5" t="s">
        <v>258</v>
      </c>
      <c r="AJ10" s="5" t="s">
        <v>267</v>
      </c>
      <c r="AK10" s="5" t="s">
        <v>270</v>
      </c>
      <c r="AL10" s="5" t="s">
        <v>278</v>
      </c>
      <c r="AM10" s="5" t="s">
        <v>284</v>
      </c>
      <c r="AN10" s="2">
        <v>2023</v>
      </c>
      <c r="AO10" s="17"/>
      <c r="AP10" s="17" t="s">
        <v>319</v>
      </c>
      <c r="AQ10" s="17" t="s">
        <v>319</v>
      </c>
      <c r="AR10" s="17" t="s">
        <v>319</v>
      </c>
      <c r="AS10" s="17" t="s">
        <v>362</v>
      </c>
      <c r="AT10" s="17" t="s">
        <v>366</v>
      </c>
      <c r="AU10" s="17" t="s">
        <v>373</v>
      </c>
      <c r="AV10" s="17" t="s">
        <v>382</v>
      </c>
      <c r="AW10" s="17" t="s">
        <v>382</v>
      </c>
      <c r="AX10" s="17" t="s">
        <v>389</v>
      </c>
      <c r="AY10" s="17" t="s">
        <v>391</v>
      </c>
      <c r="AZ10" s="17" t="s">
        <v>402</v>
      </c>
      <c r="BA10" s="17" t="s">
        <v>403</v>
      </c>
      <c r="BB10" s="17" t="s">
        <v>403</v>
      </c>
      <c r="BC10" s="17" t="s">
        <v>416</v>
      </c>
      <c r="BD10" s="17" t="s">
        <v>420</v>
      </c>
      <c r="BE10" s="17" t="s">
        <v>428</v>
      </c>
      <c r="BF10" s="17">
        <v>2024</v>
      </c>
      <c r="BG10" s="5"/>
      <c r="BH10" s="5"/>
      <c r="BI10" s="5"/>
      <c r="BJ10" s="5">
        <v>1</v>
      </c>
      <c r="BK10" s="5">
        <v>2</v>
      </c>
      <c r="BL10" s="5">
        <v>3</v>
      </c>
      <c r="BM10" s="5">
        <v>4</v>
      </c>
      <c r="BN10" s="5">
        <v>2025</v>
      </c>
      <c r="BO10" s="5"/>
      <c r="BP10" s="5"/>
      <c r="BQ10" s="5"/>
      <c r="BR10" s="5">
        <v>1</v>
      </c>
      <c r="BS10" s="5">
        <v>2</v>
      </c>
      <c r="BT10" s="5">
        <v>3</v>
      </c>
      <c r="BU10" s="5">
        <v>4</v>
      </c>
      <c r="BV10" s="5">
        <v>2026</v>
      </c>
      <c r="BX10" s="17"/>
      <c r="BY10" s="16">
        <v>45077</v>
      </c>
      <c r="BZ10" s="25">
        <v>45153</v>
      </c>
      <c r="CA10" s="17">
        <v>2023</v>
      </c>
      <c r="CC10" s="5"/>
      <c r="CD10" s="5" t="s">
        <v>288</v>
      </c>
      <c r="CE10" s="5" t="s">
        <v>344</v>
      </c>
      <c r="CF10" s="5" t="s">
        <v>399</v>
      </c>
      <c r="CG10" s="5" t="s">
        <v>414</v>
      </c>
      <c r="CH10" s="5" t="s">
        <v>415</v>
      </c>
      <c r="CI10" s="5" t="s">
        <v>425</v>
      </c>
      <c r="CJ10" s="2">
        <v>2024</v>
      </c>
      <c r="CK10" s="5"/>
      <c r="CL10" s="5" t="s">
        <v>430</v>
      </c>
      <c r="CM10" s="5" t="s">
        <v>508</v>
      </c>
      <c r="CN10" s="5" t="s">
        <v>518</v>
      </c>
      <c r="CO10" s="5" t="s">
        <v>607</v>
      </c>
      <c r="CP10" s="5" t="s">
        <v>425</v>
      </c>
      <c r="CQ10" s="2">
        <v>2025</v>
      </c>
      <c r="CR10" s="5"/>
      <c r="CS10" s="5" t="s">
        <v>771</v>
      </c>
      <c r="CT10" s="5" t="s">
        <v>772</v>
      </c>
      <c r="CU10" s="5" t="s">
        <v>778</v>
      </c>
      <c r="CV10" s="2">
        <v>2026</v>
      </c>
    </row>
    <row r="11" spans="1:100" x14ac:dyDescent="0.25">
      <c r="A11">
        <v>1</v>
      </c>
      <c r="B11" s="20" t="s">
        <v>264</v>
      </c>
      <c r="C11" s="21"/>
      <c r="D11" s="21" t="s">
        <v>135</v>
      </c>
      <c r="E11" s="21" t="s">
        <v>9</v>
      </c>
      <c r="F11" s="11"/>
      <c r="G11" s="6"/>
      <c r="H11" s="6"/>
      <c r="I11" s="6"/>
      <c r="J11" s="6"/>
      <c r="K11" s="6"/>
      <c r="L11" s="6"/>
      <c r="M11" s="6"/>
      <c r="N11" s="6"/>
      <c r="O11" s="6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11"/>
      <c r="AZ11" s="11"/>
      <c r="BA11" s="11"/>
      <c r="BB11" s="11"/>
      <c r="BC11" s="11"/>
      <c r="BD11" s="11"/>
      <c r="BE11" s="11"/>
      <c r="BF11" s="6"/>
      <c r="BG11" s="6"/>
      <c r="BH11" s="11">
        <v>48</v>
      </c>
      <c r="BI11" s="11">
        <v>64</v>
      </c>
      <c r="BJ11" s="11">
        <v>75</v>
      </c>
      <c r="BK11" s="11">
        <v>140</v>
      </c>
      <c r="BL11" s="11">
        <v>150</v>
      </c>
      <c r="BM11" s="11">
        <v>105</v>
      </c>
      <c r="BN11" s="11">
        <f>SUM(BG11:BM11)</f>
        <v>582</v>
      </c>
      <c r="BO11" s="11">
        <f>(BN11-BG11)/2</f>
        <v>291</v>
      </c>
      <c r="BP11" s="11">
        <v>48</v>
      </c>
      <c r="BQ11" s="11">
        <v>80</v>
      </c>
      <c r="BR11" s="11">
        <v>105</v>
      </c>
      <c r="BS11" s="11">
        <v>100</v>
      </c>
      <c r="BT11" s="11">
        <v>33.6</v>
      </c>
      <c r="BU11" s="11"/>
      <c r="BV11" s="11">
        <f>SUM(BO11:BU11)</f>
        <v>657.6</v>
      </c>
      <c r="BX11" s="6"/>
      <c r="BY11" s="6"/>
      <c r="BZ11" s="6"/>
      <c r="CA11" s="6"/>
      <c r="CB11" s="11"/>
      <c r="CC11" s="11"/>
      <c r="CD11" s="11"/>
      <c r="CE11" s="11"/>
      <c r="CF11" s="11"/>
      <c r="CG11" s="11"/>
      <c r="CH11" s="11"/>
      <c r="CI11" s="39"/>
      <c r="CJ11" s="6"/>
      <c r="CK11" s="6"/>
      <c r="CL11" s="11">
        <v>30</v>
      </c>
      <c r="CM11" s="11"/>
      <c r="CN11" s="11"/>
      <c r="CO11" s="11">
        <v>5</v>
      </c>
      <c r="CP11" s="11">
        <v>25</v>
      </c>
      <c r="CQ11" s="6">
        <f>SUM(CK11:CP11)</f>
        <v>60</v>
      </c>
      <c r="CR11" s="6">
        <f>(CQ11-CK11)/2</f>
        <v>30</v>
      </c>
      <c r="CS11" s="11"/>
      <c r="CT11" s="11"/>
      <c r="CU11" s="11"/>
      <c r="CV11" s="21">
        <f>SUM(CR11:CS11)</f>
        <v>30</v>
      </c>
    </row>
    <row r="12" spans="1:100" x14ac:dyDescent="0.25">
      <c r="A12">
        <v>2</v>
      </c>
      <c r="B12" s="18" t="s">
        <v>306</v>
      </c>
      <c r="C12" s="19"/>
      <c r="D12" s="19" t="s">
        <v>274</v>
      </c>
      <c r="E12" s="19" t="s">
        <v>27</v>
      </c>
      <c r="F12" s="11"/>
      <c r="G12" s="6"/>
      <c r="H12" s="6"/>
      <c r="I12" s="6"/>
      <c r="J12" s="6"/>
      <c r="K12" s="6"/>
      <c r="L12" s="6"/>
      <c r="M12" s="6"/>
      <c r="N12" s="6"/>
      <c r="O12" s="6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157.69999999999999</v>
      </c>
      <c r="AP12" s="6"/>
      <c r="AQ12" s="6"/>
      <c r="AR12" s="6"/>
      <c r="AS12" s="6">
        <v>48</v>
      </c>
      <c r="AT12" s="6">
        <v>150</v>
      </c>
      <c r="AU12" s="6">
        <v>80</v>
      </c>
      <c r="AV12" s="6"/>
      <c r="AW12" s="6"/>
      <c r="AX12" s="6">
        <v>80</v>
      </c>
      <c r="AY12" s="11">
        <v>150</v>
      </c>
      <c r="AZ12" s="11"/>
      <c r="BA12" s="11"/>
      <c r="BB12" s="11">
        <v>36</v>
      </c>
      <c r="BC12" s="11"/>
      <c r="BD12" s="11">
        <v>120</v>
      </c>
      <c r="BE12" s="11">
        <v>160</v>
      </c>
      <c r="BF12" s="11">
        <f>SUM(AO12:BE12)</f>
        <v>981.7</v>
      </c>
      <c r="BG12" s="11">
        <f>(BF12-AO12)/2</f>
        <v>412</v>
      </c>
      <c r="BH12" s="11">
        <v>48</v>
      </c>
      <c r="BI12" s="11">
        <v>64</v>
      </c>
      <c r="BJ12" s="11">
        <v>150</v>
      </c>
      <c r="BK12" s="11">
        <v>100</v>
      </c>
      <c r="BL12" s="11">
        <v>150</v>
      </c>
      <c r="BM12" s="11">
        <v>200</v>
      </c>
      <c r="BN12" s="11">
        <f>SUM(BG12:BM12)</f>
        <v>1124</v>
      </c>
      <c r="BO12" s="11">
        <f>(BN12-BG12)/2</f>
        <v>356</v>
      </c>
      <c r="BP12" s="11">
        <v>48</v>
      </c>
      <c r="BQ12" s="11">
        <v>80</v>
      </c>
      <c r="BR12" s="11">
        <v>150</v>
      </c>
      <c r="BS12" s="11"/>
      <c r="BT12" s="11"/>
      <c r="BU12" s="11"/>
      <c r="BV12" s="11">
        <f>SUM(BO12:BU12)</f>
        <v>634</v>
      </c>
      <c r="BX12" s="6"/>
      <c r="BY12" s="6"/>
      <c r="BZ12" s="6"/>
      <c r="CA12" s="11">
        <f>SUM(BX12:BY12)</f>
        <v>0</v>
      </c>
      <c r="CB12" s="11">
        <f>(CA12)/2</f>
        <v>0</v>
      </c>
      <c r="CC12" s="11">
        <f>BF12/4</f>
        <v>245.42500000000001</v>
      </c>
      <c r="CD12" s="11">
        <v>18</v>
      </c>
      <c r="CE12" s="11">
        <v>15</v>
      </c>
      <c r="CF12" s="11">
        <v>25</v>
      </c>
      <c r="CG12" s="11">
        <v>150</v>
      </c>
      <c r="CH12" s="11">
        <v>100</v>
      </c>
      <c r="CI12" s="39">
        <v>30</v>
      </c>
      <c r="CJ12" s="6">
        <f>SUM(CB12:CI12)</f>
        <v>583.42499999999995</v>
      </c>
      <c r="CK12" s="6">
        <f>(CJ12-CB12)/2</f>
        <v>291.71249999999998</v>
      </c>
      <c r="CL12" s="11">
        <v>22.25</v>
      </c>
      <c r="CM12" s="11">
        <v>150</v>
      </c>
      <c r="CN12" s="11">
        <v>108</v>
      </c>
      <c r="CO12" s="11">
        <v>100</v>
      </c>
      <c r="CP12" s="11">
        <v>50</v>
      </c>
      <c r="CQ12" s="6">
        <f>SUM(CK12:CP12)</f>
        <v>721.96249999999998</v>
      </c>
      <c r="CR12" s="6">
        <f>(CQ12-CK12)/2</f>
        <v>215.125</v>
      </c>
      <c r="CS12" s="11">
        <v>150</v>
      </c>
      <c r="CT12" s="11">
        <v>100</v>
      </c>
      <c r="CU12" s="11">
        <v>80</v>
      </c>
      <c r="CV12" s="19">
        <f>SUM(CR12:CU12)</f>
        <v>545.125</v>
      </c>
    </row>
    <row r="13" spans="1:100" x14ac:dyDescent="0.25">
      <c r="A13">
        <v>3</v>
      </c>
      <c r="B13" s="11" t="s">
        <v>112</v>
      </c>
      <c r="C13" s="6"/>
      <c r="D13" s="6" t="s">
        <v>135</v>
      </c>
      <c r="E13" s="6" t="s">
        <v>126</v>
      </c>
      <c r="F13" s="11"/>
      <c r="G13" s="6"/>
      <c r="H13" s="6"/>
      <c r="I13" s="6"/>
      <c r="J13" s="6"/>
      <c r="K13" s="6"/>
      <c r="L13" s="6"/>
      <c r="M13" s="6"/>
      <c r="N13" s="6"/>
      <c r="O13" s="6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11"/>
      <c r="AZ13" s="11"/>
      <c r="BA13" s="11"/>
      <c r="BB13" s="11"/>
      <c r="BC13" s="11"/>
      <c r="BD13" s="11"/>
      <c r="BE13" s="11"/>
      <c r="BF13" s="6"/>
      <c r="BG13" s="6"/>
      <c r="BH13" s="11">
        <v>48</v>
      </c>
      <c r="BI13" s="11"/>
      <c r="BJ13" s="11">
        <v>75</v>
      </c>
      <c r="BK13" s="11">
        <v>54</v>
      </c>
      <c r="BL13" s="11">
        <v>60</v>
      </c>
      <c r="BM13" s="11">
        <v>10</v>
      </c>
      <c r="BN13" s="11">
        <f>SUM(BG13:BM13)</f>
        <v>247</v>
      </c>
      <c r="BO13" s="11">
        <f>(BN13-BG13)/2</f>
        <v>123.5</v>
      </c>
      <c r="BP13" s="11">
        <v>48</v>
      </c>
      <c r="BQ13" s="11">
        <v>40</v>
      </c>
      <c r="BR13" s="11">
        <v>75</v>
      </c>
      <c r="BS13" s="11">
        <v>48</v>
      </c>
      <c r="BT13" s="11"/>
      <c r="BU13" s="11"/>
      <c r="BV13" s="11">
        <f>SUM(BO13:BU13)</f>
        <v>334.5</v>
      </c>
      <c r="BX13" s="6"/>
      <c r="BY13" s="6"/>
      <c r="BZ13" s="6"/>
      <c r="CA13" s="6"/>
      <c r="CB13" s="11"/>
      <c r="CC13" s="11"/>
      <c r="CD13" s="11"/>
      <c r="CE13" s="11"/>
      <c r="CF13" s="11"/>
      <c r="CG13" s="11"/>
      <c r="CH13" s="11"/>
      <c r="CI13" s="39"/>
      <c r="CJ13" s="6">
        <f>SUM(CB13:CD13)</f>
        <v>0</v>
      </c>
      <c r="CK13" s="6">
        <f>(CJ13-CB13)/2</f>
        <v>0</v>
      </c>
      <c r="CL13" s="11"/>
      <c r="CM13" s="11"/>
      <c r="CN13" s="11"/>
      <c r="CO13" s="11"/>
      <c r="CP13" s="11"/>
      <c r="CQ13" s="6">
        <f>SUM(CK13:CM13)</f>
        <v>0</v>
      </c>
      <c r="CR13" s="6">
        <f>(CQ13-CK13)/2</f>
        <v>0</v>
      </c>
      <c r="CS13" s="11"/>
      <c r="CT13" s="11"/>
      <c r="CU13" s="11"/>
      <c r="CV13" s="6">
        <f>SUM(CR13:CS13)</f>
        <v>0</v>
      </c>
    </row>
    <row r="14" spans="1:100" x14ac:dyDescent="0.25">
      <c r="A14">
        <v>4</v>
      </c>
      <c r="B14" s="11" t="s">
        <v>317</v>
      </c>
      <c r="C14" s="6"/>
      <c r="D14" s="6" t="s">
        <v>509</v>
      </c>
      <c r="E14" s="6" t="s">
        <v>634</v>
      </c>
      <c r="F14" s="11"/>
      <c r="G14" s="6"/>
      <c r="H14" s="6"/>
      <c r="I14" s="6"/>
      <c r="J14" s="6"/>
      <c r="K14" s="6"/>
      <c r="L14" s="6"/>
      <c r="M14" s="6"/>
      <c r="N14" s="6"/>
      <c r="O14" s="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11"/>
      <c r="AZ14" s="11"/>
      <c r="BA14" s="11"/>
      <c r="BB14" s="11"/>
      <c r="BC14" s="11"/>
      <c r="BD14" s="11"/>
      <c r="BE14" s="11"/>
      <c r="BF14" s="6"/>
      <c r="BG14" s="6"/>
      <c r="BH14" s="11">
        <v>36</v>
      </c>
      <c r="BI14" s="11">
        <v>64</v>
      </c>
      <c r="BJ14" s="11">
        <v>54</v>
      </c>
      <c r="BK14" s="11">
        <v>7.5</v>
      </c>
      <c r="BL14" s="11">
        <v>36</v>
      </c>
      <c r="BM14" s="11">
        <v>100</v>
      </c>
      <c r="BN14" s="11">
        <f>SUM(BG14:BM14)</f>
        <v>297.5</v>
      </c>
      <c r="BO14" s="11">
        <f>(BN14-BG14)/2</f>
        <v>148.75</v>
      </c>
      <c r="BP14" s="11">
        <v>33.6</v>
      </c>
      <c r="BQ14" s="11">
        <v>56</v>
      </c>
      <c r="BR14" s="11">
        <v>54</v>
      </c>
      <c r="BS14" s="11"/>
      <c r="BT14" s="11"/>
      <c r="BU14" s="11"/>
      <c r="BV14" s="11">
        <f>SUM(BO14:BU14)</f>
        <v>292.35000000000002</v>
      </c>
      <c r="BX14" s="6"/>
      <c r="BY14" s="6"/>
      <c r="BZ14" s="6"/>
      <c r="CA14" s="6"/>
      <c r="CB14" s="11"/>
      <c r="CC14" s="11"/>
      <c r="CD14" s="11"/>
      <c r="CE14" s="11"/>
      <c r="CF14" s="11"/>
      <c r="CG14" s="11"/>
      <c r="CH14" s="11"/>
      <c r="CI14" s="39"/>
      <c r="CJ14" s="6">
        <f>SUM(CB14:CD14)</f>
        <v>0</v>
      </c>
      <c r="CK14" s="6">
        <f>(CJ14-CB14)/2</f>
        <v>0</v>
      </c>
      <c r="CL14" s="11"/>
      <c r="CM14" s="11"/>
      <c r="CN14" s="11"/>
      <c r="CO14" s="11"/>
      <c r="CP14" s="11">
        <v>2.5</v>
      </c>
      <c r="CQ14" s="6">
        <f>SUM(CK14:CP14)</f>
        <v>2.5</v>
      </c>
      <c r="CR14" s="6">
        <f>(CQ14-CK14)/2</f>
        <v>1.25</v>
      </c>
      <c r="CS14" s="11"/>
      <c r="CT14" s="11">
        <v>5</v>
      </c>
      <c r="CU14" s="11"/>
      <c r="CV14" s="6">
        <f>SUM(CR14:CT14)</f>
        <v>6.25</v>
      </c>
    </row>
    <row r="15" spans="1:100" x14ac:dyDescent="0.25">
      <c r="A15">
        <v>5</v>
      </c>
      <c r="B15" s="11" t="s">
        <v>181</v>
      </c>
      <c r="C15" s="6"/>
      <c r="D15" s="6" t="s">
        <v>472</v>
      </c>
      <c r="E15" s="6" t="s">
        <v>634</v>
      </c>
      <c r="F15" s="11"/>
      <c r="G15" s="6"/>
      <c r="H15" s="6"/>
      <c r="I15" s="6"/>
      <c r="J15" s="6"/>
      <c r="K15" s="6"/>
      <c r="L15" s="6"/>
      <c r="M15" s="6"/>
      <c r="N15" s="6"/>
      <c r="O15" s="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11"/>
      <c r="AZ15" s="11"/>
      <c r="BA15" s="11"/>
      <c r="BB15" s="11"/>
      <c r="BC15" s="11"/>
      <c r="BD15" s="11"/>
      <c r="BE15" s="11"/>
      <c r="BF15" s="6"/>
      <c r="BG15" s="6"/>
      <c r="BH15" s="11"/>
      <c r="BI15" s="11"/>
      <c r="BJ15" s="11"/>
      <c r="BK15" s="11"/>
      <c r="BL15" s="11"/>
      <c r="BM15" s="11"/>
      <c r="BN15" s="6"/>
      <c r="BO15" s="6">
        <f>221.5/2</f>
        <v>110.75</v>
      </c>
      <c r="BP15" s="11">
        <v>48</v>
      </c>
      <c r="BQ15" s="11">
        <v>40</v>
      </c>
      <c r="BR15" s="11">
        <v>7.5</v>
      </c>
      <c r="BS15" s="11">
        <v>48</v>
      </c>
      <c r="BT15" s="6"/>
      <c r="BU15" s="6"/>
      <c r="BV15" s="11">
        <f>SUM(BO15:BU15)</f>
        <v>254.25</v>
      </c>
      <c r="BX15" s="6"/>
      <c r="BY15" s="6"/>
      <c r="BZ15" s="6"/>
      <c r="CA15" s="6"/>
      <c r="CB15" s="11"/>
      <c r="CC15" s="11"/>
      <c r="CD15" s="11"/>
      <c r="CE15" s="11"/>
      <c r="CF15" s="11"/>
      <c r="CG15" s="11"/>
      <c r="CH15" s="11"/>
      <c r="CI15" s="39"/>
      <c r="CJ15" s="6"/>
      <c r="CK15" s="6"/>
      <c r="CL15" s="11"/>
      <c r="CM15" s="11"/>
      <c r="CN15" s="11"/>
      <c r="CO15" s="11"/>
      <c r="CP15" s="11"/>
      <c r="CQ15" s="6">
        <f>SUM(CK15:CP15)</f>
        <v>0</v>
      </c>
      <c r="CR15" s="6">
        <f>(CQ15-CK15)/2</f>
        <v>0</v>
      </c>
      <c r="CS15" s="11"/>
      <c r="CT15" s="11"/>
      <c r="CU15" s="11"/>
      <c r="CV15" s="6">
        <f>SUM(CR15:CS15)</f>
        <v>0</v>
      </c>
    </row>
    <row r="16" spans="1:100" x14ac:dyDescent="0.25">
      <c r="A16">
        <v>6</v>
      </c>
      <c r="B16" s="11" t="s">
        <v>665</v>
      </c>
      <c r="C16" s="6"/>
      <c r="D16" s="6" t="s">
        <v>666</v>
      </c>
      <c r="E16" s="6" t="s">
        <v>667</v>
      </c>
      <c r="F16" s="11"/>
      <c r="G16" s="6"/>
      <c r="H16" s="6"/>
      <c r="I16" s="6"/>
      <c r="J16" s="6"/>
      <c r="K16" s="6"/>
      <c r="L16" s="6"/>
      <c r="M16" s="6"/>
      <c r="N16" s="6"/>
      <c r="O16" s="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11"/>
      <c r="AZ16" s="11"/>
      <c r="BA16" s="11"/>
      <c r="BB16" s="11"/>
      <c r="BC16" s="11"/>
      <c r="BD16" s="11"/>
      <c r="BE16" s="11"/>
      <c r="BF16" s="6"/>
      <c r="BG16" s="6"/>
      <c r="BH16" s="11"/>
      <c r="BI16" s="11"/>
      <c r="BJ16" s="11"/>
      <c r="BK16" s="11"/>
      <c r="BL16" s="11"/>
      <c r="BM16" s="11"/>
      <c r="BN16" s="6"/>
      <c r="BO16" s="6">
        <v>151.25</v>
      </c>
      <c r="BP16" s="11">
        <v>2.4</v>
      </c>
      <c r="BQ16" s="11">
        <v>56</v>
      </c>
      <c r="BR16" s="11">
        <v>2.4</v>
      </c>
      <c r="BS16" s="11">
        <v>5</v>
      </c>
      <c r="BT16" s="6"/>
      <c r="BU16" s="6"/>
      <c r="BV16" s="11">
        <f>SUM(BO16:BU16)</f>
        <v>217.05</v>
      </c>
      <c r="BX16" s="6"/>
      <c r="BY16" s="6"/>
      <c r="BZ16" s="6"/>
      <c r="CA16" s="6"/>
      <c r="CB16" s="11"/>
      <c r="CC16" s="11"/>
      <c r="CD16" s="11"/>
      <c r="CE16" s="11"/>
      <c r="CF16" s="11"/>
      <c r="CG16" s="11"/>
      <c r="CH16" s="11"/>
      <c r="CI16" s="39"/>
      <c r="CJ16" s="6"/>
      <c r="CK16" s="6"/>
      <c r="CL16" s="11"/>
      <c r="CM16" s="11"/>
      <c r="CN16" s="11"/>
      <c r="CO16" s="11"/>
      <c r="CP16" s="11"/>
      <c r="CQ16" s="6">
        <f>SUM(CK16:CP16)</f>
        <v>0</v>
      </c>
      <c r="CR16" s="6">
        <f>(CQ16-CK16)/2</f>
        <v>0</v>
      </c>
      <c r="CS16" s="11"/>
      <c r="CT16" s="11"/>
      <c r="CU16" s="11"/>
      <c r="CV16" s="6">
        <f>SUM(CR16:CS16)</f>
        <v>0</v>
      </c>
    </row>
    <row r="17" spans="1:100" x14ac:dyDescent="0.25">
      <c r="A17">
        <v>7</v>
      </c>
      <c r="B17" s="11" t="s">
        <v>77</v>
      </c>
      <c r="C17" s="6"/>
      <c r="D17" s="6" t="s">
        <v>678</v>
      </c>
      <c r="E17" s="6" t="s">
        <v>218</v>
      </c>
      <c r="F17" s="11"/>
      <c r="G17" s="6"/>
      <c r="H17" s="6"/>
      <c r="I17" s="6"/>
      <c r="J17" s="6"/>
      <c r="K17" s="6"/>
      <c r="L17" s="6"/>
      <c r="M17" s="6"/>
      <c r="N17" s="6"/>
      <c r="O17" s="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11"/>
      <c r="AZ17" s="11"/>
      <c r="BA17" s="11"/>
      <c r="BB17" s="11"/>
      <c r="BC17" s="11"/>
      <c r="BD17" s="11"/>
      <c r="BE17" s="11"/>
      <c r="BF17" s="6"/>
      <c r="BG17" s="6"/>
      <c r="BH17" s="11"/>
      <c r="BI17" s="11"/>
      <c r="BJ17" s="11"/>
      <c r="BK17" s="11"/>
      <c r="BL17" s="11"/>
      <c r="BM17" s="11"/>
      <c r="BN17" s="6"/>
      <c r="BO17" s="6">
        <f>225.5/2</f>
        <v>112.75</v>
      </c>
      <c r="BP17" s="11">
        <v>36</v>
      </c>
      <c r="BQ17" s="11">
        <v>56</v>
      </c>
      <c r="BR17" s="11"/>
      <c r="BS17" s="11"/>
      <c r="BT17" s="6"/>
      <c r="BU17" s="6"/>
      <c r="BV17" s="11">
        <f>SUM(BO17:BU17)</f>
        <v>204.75</v>
      </c>
      <c r="CA17" s="6"/>
      <c r="CB17" s="11"/>
      <c r="CC17" s="11"/>
      <c r="CD17" s="11"/>
      <c r="CE17" s="11"/>
      <c r="CF17" s="11"/>
      <c r="CG17" s="11"/>
      <c r="CH17" s="11"/>
      <c r="CI17" s="39"/>
      <c r="CJ17" s="6"/>
      <c r="CK17" s="6"/>
      <c r="CL17" s="11"/>
      <c r="CM17" s="11"/>
      <c r="CN17" s="11"/>
      <c r="CO17" s="11"/>
      <c r="CP17" s="11"/>
      <c r="CQ17" s="6">
        <f>SUM(CK17:CP17)</f>
        <v>0</v>
      </c>
      <c r="CR17" s="6">
        <f>(CQ17-CK17)/2</f>
        <v>0</v>
      </c>
      <c r="CS17" s="11"/>
      <c r="CT17" s="11"/>
      <c r="CU17" s="11"/>
      <c r="CV17" s="6">
        <f>SUM(CR17:CS17)</f>
        <v>0</v>
      </c>
    </row>
    <row r="18" spans="1:100" x14ac:dyDescent="0.25">
      <c r="A18" s="52">
        <v>8</v>
      </c>
      <c r="B18" s="11" t="s">
        <v>128</v>
      </c>
      <c r="C18" s="6"/>
      <c r="D18" s="6" t="s">
        <v>147</v>
      </c>
      <c r="E18" s="6" t="s">
        <v>121</v>
      </c>
      <c r="F18" s="11"/>
      <c r="G18" s="6"/>
      <c r="H18" s="6"/>
      <c r="I18" s="6"/>
      <c r="J18" s="6"/>
      <c r="K18" s="6"/>
      <c r="L18" s="6"/>
      <c r="M18" s="6"/>
      <c r="N18" s="6"/>
      <c r="O18" s="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11"/>
      <c r="AZ18" s="11"/>
      <c r="BA18" s="11"/>
      <c r="BB18" s="11"/>
      <c r="BC18" s="11"/>
      <c r="BD18" s="11"/>
      <c r="BE18" s="11"/>
      <c r="BF18" s="6"/>
      <c r="BG18" s="6">
        <v>92.35</v>
      </c>
      <c r="BH18" s="11">
        <v>36</v>
      </c>
      <c r="BI18" s="11">
        <v>3.2</v>
      </c>
      <c r="BJ18" s="11">
        <v>75</v>
      </c>
      <c r="BK18" s="11">
        <v>100</v>
      </c>
      <c r="BL18" s="11">
        <v>3.2</v>
      </c>
      <c r="BM18" s="11">
        <v>6</v>
      </c>
      <c r="BN18" s="11">
        <f>SUM(BG18:BM18)</f>
        <v>315.74999999999994</v>
      </c>
      <c r="BO18" s="11">
        <f>(BN18-BG18)/2</f>
        <v>111.69999999999997</v>
      </c>
      <c r="BP18" s="11">
        <v>33.6</v>
      </c>
      <c r="BQ18" s="11">
        <v>40</v>
      </c>
      <c r="BR18" s="11">
        <v>7.5</v>
      </c>
      <c r="BS18" s="11">
        <v>2.4</v>
      </c>
      <c r="BT18" s="11"/>
      <c r="BU18" s="11"/>
      <c r="BV18" s="11">
        <f>SUM(BO18:BU18)</f>
        <v>195.2</v>
      </c>
      <c r="CA18" s="6"/>
      <c r="CB18" s="11"/>
      <c r="CC18" s="11"/>
      <c r="CD18" s="11"/>
      <c r="CE18" s="11"/>
      <c r="CF18" s="11"/>
      <c r="CG18" s="11"/>
      <c r="CH18" s="11"/>
      <c r="CI18" s="39"/>
      <c r="CJ18" s="6">
        <f>SUM(CB18:CD18)</f>
        <v>0</v>
      </c>
      <c r="CK18" s="6">
        <f>(CJ18-CB18)/2</f>
        <v>0</v>
      </c>
      <c r="CL18" s="11"/>
      <c r="CM18" s="11"/>
      <c r="CN18" s="11"/>
      <c r="CO18" s="11"/>
      <c r="CP18" s="11"/>
      <c r="CQ18" s="6">
        <f>SUM(CK18:CM18)</f>
        <v>0</v>
      </c>
      <c r="CR18" s="6">
        <f>(CQ18-CK18)/2</f>
        <v>0</v>
      </c>
      <c r="CS18" s="11"/>
      <c r="CT18" s="11"/>
      <c r="CU18" s="11"/>
      <c r="CV18" s="6">
        <f>SUM(CR18:CS18)</f>
        <v>0</v>
      </c>
    </row>
    <row r="19" spans="1:100" x14ac:dyDescent="0.25">
      <c r="A19">
        <v>9</v>
      </c>
      <c r="B19" s="11" t="s">
        <v>167</v>
      </c>
      <c r="C19" s="6"/>
      <c r="D19" s="6" t="s">
        <v>493</v>
      </c>
      <c r="E19" s="6" t="s">
        <v>8</v>
      </c>
      <c r="F19" s="11"/>
      <c r="G19" s="6"/>
      <c r="H19" s="6"/>
      <c r="I19" s="6"/>
      <c r="J19" s="6"/>
      <c r="K19" s="6"/>
      <c r="L19" s="6"/>
      <c r="M19" s="6"/>
      <c r="N19" s="6"/>
      <c r="O19" s="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11"/>
      <c r="AZ19" s="11"/>
      <c r="BA19" s="11"/>
      <c r="BB19" s="11"/>
      <c r="BC19" s="11"/>
      <c r="BD19" s="11"/>
      <c r="BE19" s="11"/>
      <c r="BF19" s="6"/>
      <c r="BG19" s="6"/>
      <c r="BH19" s="11"/>
      <c r="BI19" s="11"/>
      <c r="BJ19" s="11"/>
      <c r="BK19" s="11"/>
      <c r="BL19" s="11"/>
      <c r="BM19" s="11"/>
      <c r="BN19" s="6"/>
      <c r="BO19" s="6"/>
      <c r="BP19" s="11">
        <v>36</v>
      </c>
      <c r="BQ19" s="11">
        <v>80</v>
      </c>
      <c r="BR19" s="11">
        <v>75</v>
      </c>
      <c r="BS19" s="11"/>
      <c r="BT19" s="6"/>
      <c r="BU19" s="6"/>
      <c r="BV19" s="11">
        <f>SUM(BO19:BU19)</f>
        <v>191</v>
      </c>
      <c r="CA19" s="6"/>
      <c r="CB19" s="11"/>
      <c r="CC19" s="11"/>
      <c r="CD19" s="11"/>
      <c r="CE19" s="11"/>
      <c r="CF19" s="11"/>
      <c r="CG19" s="11"/>
      <c r="CH19" s="11"/>
      <c r="CI19" s="39"/>
      <c r="CJ19" s="6"/>
      <c r="CK19" s="6"/>
      <c r="CL19" s="11"/>
      <c r="CM19" s="11"/>
      <c r="CN19" s="11"/>
      <c r="CO19" s="11"/>
      <c r="CP19" s="11"/>
      <c r="CQ19" s="6">
        <f>SUM(CK19:CP19)</f>
        <v>0</v>
      </c>
      <c r="CR19" s="6">
        <f>(CQ19-CK19)/2</f>
        <v>0</v>
      </c>
      <c r="CS19" s="11"/>
      <c r="CT19" s="11"/>
      <c r="CU19" s="11"/>
      <c r="CV19" s="6">
        <f>SUM(CR19:CS19)</f>
        <v>0</v>
      </c>
    </row>
    <row r="20" spans="1:100" x14ac:dyDescent="0.25">
      <c r="A20">
        <v>10</v>
      </c>
      <c r="B20" s="11" t="s">
        <v>91</v>
      </c>
      <c r="C20" s="6"/>
      <c r="D20" s="6" t="s">
        <v>30</v>
      </c>
      <c r="E20" s="6" t="s">
        <v>207</v>
      </c>
      <c r="F20" s="11"/>
      <c r="G20" s="6"/>
      <c r="H20" s="6"/>
      <c r="I20" s="6"/>
      <c r="J20" s="6"/>
      <c r="K20" s="6"/>
      <c r="L20" s="6"/>
      <c r="M20" s="6"/>
      <c r="N20" s="6"/>
      <c r="O20" s="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2.4</v>
      </c>
      <c r="AS20" s="6"/>
      <c r="AT20" s="6"/>
      <c r="AU20" s="6">
        <v>56</v>
      </c>
      <c r="AV20" s="6">
        <v>64</v>
      </c>
      <c r="AW20" s="6"/>
      <c r="AX20" s="6"/>
      <c r="AY20" s="11">
        <v>54</v>
      </c>
      <c r="AZ20" s="11"/>
      <c r="BA20" s="11"/>
      <c r="BB20" s="11"/>
      <c r="BC20" s="11"/>
      <c r="BD20" s="11"/>
      <c r="BE20" s="11"/>
      <c r="BF20" s="11">
        <f>SUM(AO20:BE20)</f>
        <v>176.4</v>
      </c>
      <c r="BG20" s="11">
        <f>(BF20-AO20)/2</f>
        <v>88.2</v>
      </c>
      <c r="BH20" s="11">
        <v>36</v>
      </c>
      <c r="BI20" s="11">
        <v>64</v>
      </c>
      <c r="BJ20" s="11">
        <v>3.2</v>
      </c>
      <c r="BK20" s="11">
        <v>75</v>
      </c>
      <c r="BL20" s="11">
        <v>10</v>
      </c>
      <c r="BM20" s="11"/>
      <c r="BN20" s="11">
        <f>SUM(BG20:BM20)</f>
        <v>276.39999999999998</v>
      </c>
      <c r="BO20" s="11">
        <f>(BN20-BG20)/2</f>
        <v>94.1</v>
      </c>
      <c r="BP20" s="11">
        <v>36</v>
      </c>
      <c r="BQ20" s="11"/>
      <c r="BR20" s="11">
        <v>39</v>
      </c>
      <c r="BS20" s="11"/>
      <c r="BT20" s="11"/>
      <c r="BU20" s="11"/>
      <c r="BV20" s="11">
        <f>SUM(BO20:BU20)</f>
        <v>169.1</v>
      </c>
      <c r="CA20" s="11">
        <f>SUM(BX20:BY20)</f>
        <v>0</v>
      </c>
      <c r="CB20" s="11">
        <f>(CA20)/2</f>
        <v>0</v>
      </c>
      <c r="CC20" s="11">
        <f>BF20/4</f>
        <v>44.1</v>
      </c>
      <c r="CD20" s="11"/>
      <c r="CE20" s="11"/>
      <c r="CF20" s="11"/>
      <c r="CG20" s="11"/>
      <c r="CH20" s="11">
        <v>5</v>
      </c>
      <c r="CI20" s="39"/>
      <c r="CJ20" s="6">
        <f>SUM(CB20:CH20)</f>
        <v>49.1</v>
      </c>
      <c r="CK20" s="6">
        <f>(CJ20-CB20)/2</f>
        <v>24.55</v>
      </c>
      <c r="CL20" s="11">
        <v>18</v>
      </c>
      <c r="CM20" s="11"/>
      <c r="CN20" s="11"/>
      <c r="CO20" s="11"/>
      <c r="CP20" s="11"/>
      <c r="CQ20" s="6">
        <f>SUM(CK20:CM20)</f>
        <v>42.55</v>
      </c>
      <c r="CR20" s="6">
        <f>(CQ20-CK20)/2</f>
        <v>8.9999999999999982</v>
      </c>
      <c r="CS20" s="11"/>
      <c r="CT20" s="11"/>
      <c r="CU20" s="11"/>
      <c r="CV20" s="6">
        <f>SUM(CR20:CS20)</f>
        <v>8.9999999999999982</v>
      </c>
    </row>
    <row r="21" spans="1:100" x14ac:dyDescent="0.25">
      <c r="A21">
        <v>11</v>
      </c>
      <c r="B21" s="11" t="s">
        <v>557</v>
      </c>
      <c r="C21" s="6"/>
      <c r="D21" s="6" t="s">
        <v>560</v>
      </c>
      <c r="E21" s="6" t="s">
        <v>84</v>
      </c>
      <c r="F21" s="11"/>
      <c r="G21" s="6"/>
      <c r="H21" s="6"/>
      <c r="I21" s="6"/>
      <c r="J21" s="6"/>
      <c r="K21" s="6"/>
      <c r="L21" s="6"/>
      <c r="M21" s="6"/>
      <c r="N21" s="6"/>
      <c r="O21" s="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11"/>
      <c r="AZ21" s="11"/>
      <c r="BA21" s="11"/>
      <c r="BB21" s="11"/>
      <c r="BC21" s="11"/>
      <c r="BD21" s="11"/>
      <c r="BE21" s="11"/>
      <c r="BF21" s="6"/>
      <c r="BG21" s="6"/>
      <c r="BH21" s="11">
        <v>36</v>
      </c>
      <c r="BI21" s="11"/>
      <c r="BJ21" s="11">
        <v>7.5</v>
      </c>
      <c r="BK21" s="11">
        <v>105</v>
      </c>
      <c r="BL21" s="11"/>
      <c r="BM21" s="11"/>
      <c r="BN21" s="11">
        <f>SUM(BG21:BM21)</f>
        <v>148.5</v>
      </c>
      <c r="BO21" s="11">
        <f>(BN21-BG21)/2</f>
        <v>74.25</v>
      </c>
      <c r="BP21" s="11">
        <v>36</v>
      </c>
      <c r="BQ21" s="11">
        <v>32</v>
      </c>
      <c r="BR21" s="11"/>
      <c r="BS21" s="11"/>
      <c r="BT21" s="11"/>
      <c r="BU21" s="11"/>
      <c r="BV21" s="11">
        <f>SUM(BO21:BU21)</f>
        <v>142.25</v>
      </c>
      <c r="CJ21" s="6">
        <f>SUM(CB21:CD21)</f>
        <v>0</v>
      </c>
      <c r="CK21" s="6">
        <f>(CJ21-CB21)/2</f>
        <v>0</v>
      </c>
      <c r="CL21" s="11"/>
      <c r="CM21" s="11"/>
      <c r="CN21" s="11"/>
      <c r="CO21" s="11"/>
      <c r="CP21" s="11"/>
      <c r="CQ21" s="6">
        <f>SUM(CK21:CP21)</f>
        <v>0</v>
      </c>
      <c r="CR21" s="6">
        <f>(CQ21-CK21)/2</f>
        <v>0</v>
      </c>
      <c r="CS21" s="11"/>
      <c r="CT21" s="11"/>
      <c r="CU21" s="11"/>
      <c r="CV21" s="6">
        <f>SUM(CR21:CS21)</f>
        <v>0</v>
      </c>
    </row>
    <row r="22" spans="1:100" x14ac:dyDescent="0.25">
      <c r="A22">
        <v>12</v>
      </c>
      <c r="B22" s="11" t="s">
        <v>754</v>
      </c>
      <c r="C22" s="6"/>
      <c r="D22" s="6" t="s">
        <v>755</v>
      </c>
      <c r="E22" s="6" t="s">
        <v>29</v>
      </c>
      <c r="F22" s="11"/>
      <c r="G22" s="6"/>
      <c r="H22" s="6"/>
      <c r="I22" s="6"/>
      <c r="J22" s="6"/>
      <c r="K22" s="6"/>
      <c r="L22" s="6"/>
      <c r="M22" s="6"/>
      <c r="N22" s="6"/>
      <c r="O22" s="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11"/>
      <c r="AZ22" s="11"/>
      <c r="BA22" s="11"/>
      <c r="BB22" s="11"/>
      <c r="BC22" s="11"/>
      <c r="BD22" s="11"/>
      <c r="BE22" s="11"/>
      <c r="BF22" s="6"/>
      <c r="BG22" s="6"/>
      <c r="BH22" s="11"/>
      <c r="BI22" s="11"/>
      <c r="BJ22" s="11"/>
      <c r="BK22" s="11"/>
      <c r="BL22" s="11"/>
      <c r="BM22" s="11"/>
      <c r="BN22" s="6"/>
      <c r="BO22" s="6"/>
      <c r="BP22" s="11">
        <v>48</v>
      </c>
      <c r="BQ22" s="11"/>
      <c r="BR22" s="11">
        <v>50</v>
      </c>
      <c r="BS22" s="11"/>
      <c r="BT22" s="6"/>
      <c r="BU22" s="6"/>
      <c r="BV22" s="11">
        <f>SUM(BO22:BU22)</f>
        <v>98</v>
      </c>
      <c r="CJ22" s="6"/>
      <c r="CK22" s="6"/>
      <c r="CL22" s="11"/>
      <c r="CM22" s="11"/>
      <c r="CN22" s="11"/>
      <c r="CO22" s="11"/>
      <c r="CP22" s="11"/>
      <c r="CQ22" s="6">
        <f>SUM(CK22:CP22)</f>
        <v>0</v>
      </c>
      <c r="CR22" s="6">
        <f>(CQ22-CK22)/2</f>
        <v>0</v>
      </c>
      <c r="CS22" s="11"/>
      <c r="CT22" s="11"/>
      <c r="CU22" s="11"/>
      <c r="CV22" s="6">
        <f>SUM(CR22:CS22)</f>
        <v>0</v>
      </c>
    </row>
    <row r="23" spans="1:100" x14ac:dyDescent="0.25">
      <c r="A23">
        <v>13</v>
      </c>
      <c r="B23" s="11" t="s">
        <v>683</v>
      </c>
      <c r="C23" s="6"/>
      <c r="D23" s="6" t="s">
        <v>509</v>
      </c>
      <c r="E23" s="6" t="s">
        <v>596</v>
      </c>
      <c r="F23" s="11"/>
      <c r="G23" s="6"/>
      <c r="H23" s="6"/>
      <c r="I23" s="6"/>
      <c r="J23" s="6"/>
      <c r="K23" s="6"/>
      <c r="L23" s="6"/>
      <c r="M23" s="6"/>
      <c r="N23" s="6"/>
      <c r="O23" s="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11"/>
      <c r="AZ23" s="11"/>
      <c r="BA23" s="11"/>
      <c r="BB23" s="11"/>
      <c r="BC23" s="11"/>
      <c r="BD23" s="11"/>
      <c r="BE23" s="11"/>
      <c r="BF23" s="6"/>
      <c r="BG23" s="6"/>
      <c r="BH23" s="11"/>
      <c r="BI23" s="11"/>
      <c r="BJ23" s="11"/>
      <c r="BK23" s="11"/>
      <c r="BL23" s="11"/>
      <c r="BM23" s="11"/>
      <c r="BN23" s="6"/>
      <c r="BO23" s="6"/>
      <c r="BP23" s="11">
        <v>2.4</v>
      </c>
      <c r="BQ23" s="11"/>
      <c r="BR23" s="11">
        <v>54</v>
      </c>
      <c r="BS23" s="11">
        <v>33.6</v>
      </c>
      <c r="BT23" s="6"/>
      <c r="BU23" s="6"/>
      <c r="BV23" s="11">
        <f>SUM(BO23:BU23)</f>
        <v>90</v>
      </c>
      <c r="CJ23" s="6"/>
      <c r="CK23" s="6"/>
      <c r="CL23" s="11"/>
      <c r="CM23" s="11"/>
      <c r="CN23" s="11"/>
      <c r="CO23" s="11"/>
      <c r="CP23" s="11"/>
      <c r="CQ23" s="6">
        <f>SUM(CK23:CP23)</f>
        <v>0</v>
      </c>
      <c r="CR23" s="6">
        <f>(CQ23-CK23)/2</f>
        <v>0</v>
      </c>
      <c r="CS23" s="11"/>
      <c r="CT23" s="11"/>
      <c r="CU23" s="11"/>
      <c r="CV23" s="6">
        <f>SUM(CR23:CS23)</f>
        <v>0</v>
      </c>
    </row>
    <row r="24" spans="1:100" x14ac:dyDescent="0.25">
      <c r="A24">
        <v>14</v>
      </c>
      <c r="B24" s="11" t="s">
        <v>618</v>
      </c>
      <c r="C24" s="6"/>
      <c r="D24" s="6" t="s">
        <v>30</v>
      </c>
      <c r="E24" s="6" t="s">
        <v>549</v>
      </c>
      <c r="F24" s="11"/>
      <c r="G24" s="6"/>
      <c r="H24" s="6"/>
      <c r="I24" s="6"/>
      <c r="J24" s="6"/>
      <c r="K24" s="6"/>
      <c r="L24" s="6"/>
      <c r="M24" s="6"/>
      <c r="N24" s="6"/>
      <c r="O24" s="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11"/>
      <c r="AZ24" s="11"/>
      <c r="BA24" s="11"/>
      <c r="BB24" s="11"/>
      <c r="BC24" s="11"/>
      <c r="BD24" s="11"/>
      <c r="BE24" s="11"/>
      <c r="BF24" s="6"/>
      <c r="BG24" s="6"/>
      <c r="BH24" s="11"/>
      <c r="BI24" s="11"/>
      <c r="BJ24" s="11"/>
      <c r="BK24" s="11"/>
      <c r="BL24" s="11"/>
      <c r="BM24" s="11"/>
      <c r="BN24" s="6"/>
      <c r="BO24" s="6"/>
      <c r="BP24" s="11">
        <v>36</v>
      </c>
      <c r="BQ24" s="11">
        <v>4</v>
      </c>
      <c r="BR24" s="11">
        <v>7.5</v>
      </c>
      <c r="BS24" s="11">
        <v>5</v>
      </c>
      <c r="BT24" s="6">
        <v>36</v>
      </c>
      <c r="BU24" s="6"/>
      <c r="BV24" s="11">
        <f>SUM(BO24:BU24)</f>
        <v>88.5</v>
      </c>
      <c r="CJ24" s="6"/>
      <c r="CK24" s="6"/>
      <c r="CL24" s="11"/>
      <c r="CM24" s="11"/>
      <c r="CN24" s="11"/>
      <c r="CO24" s="11"/>
      <c r="CP24" s="11"/>
      <c r="CQ24" s="6">
        <f>SUM(CK24:CP24)</f>
        <v>0</v>
      </c>
      <c r="CR24" s="6">
        <f>(CQ24-CK24)/2</f>
        <v>0</v>
      </c>
      <c r="CS24" s="11"/>
      <c r="CT24" s="11"/>
      <c r="CU24" s="11"/>
      <c r="CV24" s="6">
        <f>SUM(CR24:CS24)</f>
        <v>0</v>
      </c>
    </row>
    <row r="25" spans="1:100" x14ac:dyDescent="0.25">
      <c r="A25">
        <v>15</v>
      </c>
      <c r="B25" s="11" t="s">
        <v>635</v>
      </c>
      <c r="C25" s="6"/>
      <c r="D25" s="6" t="s">
        <v>677</v>
      </c>
      <c r="E25" s="6" t="s">
        <v>104</v>
      </c>
      <c r="F25" s="11"/>
      <c r="G25" s="6"/>
      <c r="H25" s="6"/>
      <c r="I25" s="6"/>
      <c r="J25" s="6"/>
      <c r="K25" s="6"/>
      <c r="L25" s="6"/>
      <c r="M25" s="6"/>
      <c r="N25" s="6"/>
      <c r="O25" s="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11"/>
      <c r="AZ25" s="11"/>
      <c r="BA25" s="11"/>
      <c r="BB25" s="11"/>
      <c r="BC25" s="11"/>
      <c r="BD25" s="11"/>
      <c r="BE25" s="11"/>
      <c r="BF25" s="6"/>
      <c r="BG25" s="6"/>
      <c r="BH25" s="11"/>
      <c r="BI25" s="11"/>
      <c r="BJ25" s="11"/>
      <c r="BK25" s="11"/>
      <c r="BL25" s="11"/>
      <c r="BM25" s="11"/>
      <c r="BN25" s="6"/>
      <c r="BO25" s="6">
        <f>80.45/2</f>
        <v>40.225000000000001</v>
      </c>
      <c r="BP25" s="11">
        <v>2.4</v>
      </c>
      <c r="BQ25" s="11">
        <v>4</v>
      </c>
      <c r="BR25" s="11">
        <v>39</v>
      </c>
      <c r="BS25" s="11">
        <v>2.4</v>
      </c>
      <c r="BT25" s="6"/>
      <c r="BU25" s="6"/>
      <c r="BV25" s="11">
        <f>SUM(BO25:BU25)</f>
        <v>88.025000000000006</v>
      </c>
      <c r="CJ25" s="6"/>
      <c r="CK25" s="6"/>
      <c r="CL25" s="11"/>
      <c r="CM25" s="11"/>
      <c r="CN25" s="11"/>
      <c r="CO25" s="11"/>
      <c r="CP25" s="11"/>
      <c r="CQ25" s="6">
        <f>SUM(CK25:CP25)</f>
        <v>0</v>
      </c>
      <c r="CR25" s="6">
        <f>(CQ25-CK25)/2</f>
        <v>0</v>
      </c>
      <c r="CS25" s="11"/>
      <c r="CT25" s="11"/>
      <c r="CU25" s="11"/>
      <c r="CV25" s="6">
        <f>SUM(CR25:CS25)</f>
        <v>0</v>
      </c>
    </row>
    <row r="26" spans="1:100" x14ac:dyDescent="0.25">
      <c r="A26">
        <v>16</v>
      </c>
      <c r="B26" s="11" t="s">
        <v>112</v>
      </c>
      <c r="C26" s="6"/>
      <c r="D26" s="6" t="s">
        <v>708</v>
      </c>
      <c r="E26" s="6" t="s">
        <v>42</v>
      </c>
      <c r="F26" s="11"/>
      <c r="G26" s="6"/>
      <c r="H26" s="6"/>
      <c r="I26" s="6"/>
      <c r="J26" s="6"/>
      <c r="K26" s="6"/>
      <c r="L26" s="6"/>
      <c r="M26" s="6"/>
      <c r="N26" s="6"/>
      <c r="O26" s="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11"/>
      <c r="AZ26" s="11"/>
      <c r="BA26" s="11"/>
      <c r="BB26" s="11"/>
      <c r="BC26" s="11"/>
      <c r="BD26" s="11"/>
      <c r="BE26" s="11"/>
      <c r="BF26" s="6"/>
      <c r="BG26" s="6"/>
      <c r="BH26" s="11"/>
      <c r="BI26" s="11"/>
      <c r="BJ26" s="11"/>
      <c r="BK26" s="11"/>
      <c r="BL26" s="11"/>
      <c r="BM26" s="11"/>
      <c r="BN26" s="6"/>
      <c r="BO26" s="6"/>
      <c r="BP26" s="11">
        <v>36</v>
      </c>
      <c r="BQ26" s="11"/>
      <c r="BR26" s="11">
        <v>36</v>
      </c>
      <c r="BS26" s="11"/>
      <c r="BT26" s="6"/>
      <c r="BU26" s="6"/>
      <c r="BV26" s="11">
        <f>SUM(BO26:BU26)</f>
        <v>72</v>
      </c>
      <c r="CQ26" s="6">
        <f>SUM(CK26:CP26)</f>
        <v>0</v>
      </c>
      <c r="CR26" s="6">
        <f>(CQ26-CK26)/2</f>
        <v>0</v>
      </c>
      <c r="CS26" s="11"/>
      <c r="CT26" s="11"/>
      <c r="CU26" s="11"/>
      <c r="CV26" s="6">
        <f>SUM(CR26:CS26)</f>
        <v>0</v>
      </c>
    </row>
    <row r="27" spans="1:100" x14ac:dyDescent="0.25">
      <c r="A27">
        <v>17</v>
      </c>
      <c r="B27" s="23" t="s">
        <v>450</v>
      </c>
      <c r="C27" s="23"/>
      <c r="D27" s="23" t="s">
        <v>451</v>
      </c>
      <c r="E27" s="23" t="s">
        <v>42</v>
      </c>
      <c r="F27" s="11"/>
      <c r="G27" s="6"/>
      <c r="H27" s="6"/>
      <c r="I27" s="6"/>
      <c r="J27" s="6"/>
      <c r="K27" s="6"/>
      <c r="L27" s="6"/>
      <c r="M27" s="6"/>
      <c r="N27" s="6"/>
      <c r="O27" s="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11"/>
      <c r="AZ27" s="11"/>
      <c r="BA27" s="11"/>
      <c r="BB27" s="11"/>
      <c r="BC27" s="11"/>
      <c r="BD27" s="11"/>
      <c r="BE27" s="11"/>
      <c r="BF27" s="6"/>
      <c r="BG27" s="6"/>
      <c r="BH27" s="11"/>
      <c r="BI27" s="11"/>
      <c r="BJ27" s="11"/>
      <c r="BK27" s="11"/>
      <c r="BL27" s="11"/>
      <c r="BM27" s="11"/>
      <c r="BN27" s="11">
        <f>SUM(BG27:BM27)</f>
        <v>0</v>
      </c>
      <c r="BO27" s="11">
        <f>(BN27-BG27)/2</f>
        <v>0</v>
      </c>
      <c r="BP27" s="11"/>
      <c r="BQ27" s="11"/>
      <c r="BR27" s="11">
        <v>70</v>
      </c>
      <c r="BS27" s="11"/>
      <c r="BT27" s="11"/>
      <c r="BU27" s="11"/>
      <c r="BV27" s="11">
        <f>SUM(BO27:BU27)</f>
        <v>70</v>
      </c>
      <c r="CP27" s="8">
        <v>35</v>
      </c>
      <c r="CQ27" s="6">
        <f>SUM(CK27:CP27)</f>
        <v>35</v>
      </c>
      <c r="CR27" s="6">
        <f>(CQ27-CK27)/2</f>
        <v>17.5</v>
      </c>
      <c r="CS27" s="11"/>
      <c r="CT27" s="11"/>
      <c r="CU27" s="11"/>
      <c r="CV27" s="23">
        <f>SUM(CR27:CS27)</f>
        <v>17.5</v>
      </c>
    </row>
    <row r="28" spans="1:100" x14ac:dyDescent="0.25">
      <c r="A28">
        <v>18</v>
      </c>
      <c r="B28" s="11" t="s">
        <v>97</v>
      </c>
      <c r="C28" s="6"/>
      <c r="D28" s="6" t="s">
        <v>253</v>
      </c>
      <c r="E28" s="6" t="s">
        <v>53</v>
      </c>
      <c r="F28" s="11"/>
      <c r="G28" s="6"/>
      <c r="H28" s="6"/>
      <c r="I28" s="6"/>
      <c r="J28" s="6"/>
      <c r="K28" s="6"/>
      <c r="L28" s="6"/>
      <c r="M28" s="6"/>
      <c r="N28" s="6"/>
      <c r="O28" s="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6"/>
      <c r="AA28" s="6"/>
      <c r="AB28" s="6"/>
      <c r="AC28" s="6"/>
      <c r="AD28" s="6"/>
      <c r="AE28" s="6"/>
      <c r="AF28" s="6"/>
      <c r="AG28" s="6"/>
      <c r="AH28" s="6">
        <v>36</v>
      </c>
      <c r="AI28" s="6">
        <v>48</v>
      </c>
      <c r="AJ28" s="6"/>
      <c r="AK28" s="6">
        <v>50</v>
      </c>
      <c r="AL28" s="6"/>
      <c r="AM28" s="6">
        <v>7.5</v>
      </c>
      <c r="AN28" s="11">
        <f>AA28+SUM(AB28:AM28)</f>
        <v>141.5</v>
      </c>
      <c r="AO28" s="11">
        <f>(AN28-AA28)/2</f>
        <v>70.75</v>
      </c>
      <c r="AP28" s="11"/>
      <c r="AQ28" s="11"/>
      <c r="AR28" s="11"/>
      <c r="AS28" s="11">
        <v>33.6</v>
      </c>
      <c r="AT28" s="11">
        <v>105</v>
      </c>
      <c r="AU28" s="11"/>
      <c r="AV28" s="11"/>
      <c r="AW28" s="11"/>
      <c r="AX28" s="11">
        <v>56</v>
      </c>
      <c r="AY28" s="11"/>
      <c r="AZ28" s="11"/>
      <c r="BA28" s="11"/>
      <c r="BB28" s="11"/>
      <c r="BC28" s="11"/>
      <c r="BD28" s="11">
        <v>84</v>
      </c>
      <c r="BE28" s="11"/>
      <c r="BF28" s="11">
        <f>SUM(AO28:BE28)</f>
        <v>349.35</v>
      </c>
      <c r="BG28" s="11">
        <f>(BF28-AO28)/2</f>
        <v>139.30000000000001</v>
      </c>
      <c r="BH28" s="11">
        <v>2.4</v>
      </c>
      <c r="BI28" s="11"/>
      <c r="BJ28" s="11">
        <v>105</v>
      </c>
      <c r="BK28" s="11"/>
      <c r="BL28" s="11"/>
      <c r="BM28" s="11"/>
      <c r="BN28" s="11">
        <f>SUM(BG28:BM28)</f>
        <v>246.70000000000002</v>
      </c>
      <c r="BO28" s="11">
        <f>(BN28-BG28)/2</f>
        <v>53.7</v>
      </c>
      <c r="BP28" s="11"/>
      <c r="BQ28" s="11"/>
      <c r="BR28" s="11"/>
      <c r="BS28" s="11"/>
      <c r="BT28" s="11"/>
      <c r="BU28" s="11"/>
      <c r="BV28" s="11">
        <f>SUM(BO28:BU28)</f>
        <v>53.7</v>
      </c>
      <c r="BX28" s="8">
        <f>AN28/4</f>
        <v>35.375</v>
      </c>
      <c r="BY28" s="8"/>
      <c r="BZ28" s="8"/>
      <c r="CA28" s="8">
        <f>SUM(BX28:BY28)</f>
        <v>35.375</v>
      </c>
      <c r="CB28" s="8">
        <f>(CA28)/2</f>
        <v>17.6875</v>
      </c>
      <c r="CC28" s="8">
        <f>BF28/4</f>
        <v>87.337500000000006</v>
      </c>
      <c r="CD28" s="8">
        <v>14</v>
      </c>
      <c r="CJ28">
        <f>SUM(CB28:CD28)</f>
        <v>119.02500000000001</v>
      </c>
      <c r="CK28">
        <f>(CJ28-CB28)/2</f>
        <v>50.668750000000003</v>
      </c>
      <c r="CQ28" s="6">
        <f>SUM(CK28:CM28)</f>
        <v>50.668750000000003</v>
      </c>
      <c r="CR28" s="6">
        <f>(CQ28-CK28)/2</f>
        <v>0</v>
      </c>
      <c r="CS28" s="11"/>
      <c r="CT28" s="11"/>
      <c r="CU28" s="11"/>
      <c r="CV28" s="6">
        <f>SUM(CR28:CS28)</f>
        <v>0</v>
      </c>
    </row>
    <row r="29" spans="1:100" x14ac:dyDescent="0.25">
      <c r="A29">
        <v>19</v>
      </c>
      <c r="B29" s="11" t="s">
        <v>512</v>
      </c>
      <c r="C29" s="6"/>
      <c r="D29" s="6" t="s">
        <v>513</v>
      </c>
      <c r="E29" s="6" t="s">
        <v>42</v>
      </c>
      <c r="F29" s="11"/>
      <c r="G29" s="6"/>
      <c r="H29" s="6"/>
      <c r="I29" s="6"/>
      <c r="J29" s="6"/>
      <c r="K29" s="6"/>
      <c r="L29" s="6"/>
      <c r="M29" s="6"/>
      <c r="N29" s="6"/>
      <c r="O29" s="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11"/>
      <c r="AZ29" s="11"/>
      <c r="BA29" s="11"/>
      <c r="BB29" s="11"/>
      <c r="BC29" s="11"/>
      <c r="BD29" s="11"/>
      <c r="BE29" s="11"/>
      <c r="BF29" s="6"/>
      <c r="BG29" s="6">
        <f>163/2</f>
        <v>81.5</v>
      </c>
      <c r="BH29" s="11">
        <v>36</v>
      </c>
      <c r="BI29" s="11"/>
      <c r="BJ29" s="11">
        <v>56</v>
      </c>
      <c r="BK29" s="11"/>
      <c r="BL29" s="11"/>
      <c r="BM29" s="11"/>
      <c r="BN29" s="11">
        <f>SUM(BG29:BM29)</f>
        <v>173.5</v>
      </c>
      <c r="BO29" s="11">
        <f>(BN29-BG29)/2</f>
        <v>46</v>
      </c>
      <c r="BP29" s="11"/>
      <c r="BQ29" s="11"/>
      <c r="BR29" s="11"/>
      <c r="BS29" s="11"/>
      <c r="BT29" s="11"/>
      <c r="BU29" s="11"/>
      <c r="BV29" s="11">
        <f>SUM(BO29:BU29)</f>
        <v>46</v>
      </c>
      <c r="CJ29">
        <f>SUM(CB29:CD29)</f>
        <v>0</v>
      </c>
      <c r="CK29">
        <f>(CJ29-CB29)/2</f>
        <v>0</v>
      </c>
      <c r="CQ29" s="6">
        <f>SUM(CK29:CP29)</f>
        <v>0</v>
      </c>
      <c r="CR29" s="6">
        <f>(CQ29-CK29)/2</f>
        <v>0</v>
      </c>
      <c r="CS29" s="11"/>
      <c r="CT29" s="11"/>
      <c r="CU29" s="11"/>
      <c r="CV29" s="6">
        <f>SUM(CR29:CS29)</f>
        <v>0</v>
      </c>
    </row>
    <row r="30" spans="1:100" x14ac:dyDescent="0.25">
      <c r="A30">
        <v>20</v>
      </c>
      <c r="B30" s="11" t="s">
        <v>310</v>
      </c>
      <c r="C30" s="6"/>
      <c r="D30" s="6" t="s">
        <v>311</v>
      </c>
      <c r="E30" s="6" t="s">
        <v>21</v>
      </c>
      <c r="F30" s="11"/>
      <c r="G30" s="6"/>
      <c r="H30" s="6"/>
      <c r="I30" s="6"/>
      <c r="J30" s="6"/>
      <c r="K30" s="6"/>
      <c r="L30" s="6"/>
      <c r="M30" s="6"/>
      <c r="N30" s="6"/>
      <c r="O30" s="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11"/>
      <c r="AZ30" s="11"/>
      <c r="BA30" s="11"/>
      <c r="BB30" s="11"/>
      <c r="BC30" s="11"/>
      <c r="BD30" s="11"/>
      <c r="BE30" s="11"/>
      <c r="BF30" s="6"/>
      <c r="BG30" s="6"/>
      <c r="BH30" s="11">
        <v>36</v>
      </c>
      <c r="BI30" s="11"/>
      <c r="BJ30" s="11">
        <v>54</v>
      </c>
      <c r="BK30" s="11"/>
      <c r="BL30" s="11"/>
      <c r="BM30" s="11"/>
      <c r="BN30" s="11">
        <f>SUM(BG30:BM30)</f>
        <v>90</v>
      </c>
      <c r="BO30" s="11">
        <f>(BN30-BG30)/2</f>
        <v>45</v>
      </c>
      <c r="BP30" s="11"/>
      <c r="BQ30" s="11"/>
      <c r="BR30" s="11"/>
      <c r="BS30" s="11"/>
      <c r="BT30" s="11"/>
      <c r="BU30" s="11"/>
      <c r="BV30" s="11">
        <f>SUM(BO30:BU30)</f>
        <v>45</v>
      </c>
      <c r="CJ30">
        <f>SUM(CB30:CD30)</f>
        <v>0</v>
      </c>
      <c r="CK30">
        <f>(CJ30-CB30)/2</f>
        <v>0</v>
      </c>
      <c r="CQ30" s="6">
        <f>SUM(CK30:CP30)</f>
        <v>0</v>
      </c>
      <c r="CR30" s="6">
        <f>(CQ30-CK30)/2</f>
        <v>0</v>
      </c>
      <c r="CS30" s="11"/>
      <c r="CT30" s="11"/>
      <c r="CU30" s="11"/>
      <c r="CV30" s="6">
        <f>SUM(CR30:CS30)</f>
        <v>0</v>
      </c>
    </row>
    <row r="31" spans="1:100" x14ac:dyDescent="0.25">
      <c r="A31">
        <v>21</v>
      </c>
      <c r="B31" s="11" t="s">
        <v>587</v>
      </c>
      <c r="C31" s="6"/>
      <c r="D31" s="6" t="s">
        <v>588</v>
      </c>
      <c r="E31" s="6" t="s">
        <v>193</v>
      </c>
      <c r="F31" s="11"/>
      <c r="G31" s="6"/>
      <c r="H31" s="6"/>
      <c r="I31" s="6"/>
      <c r="J31" s="6"/>
      <c r="K31" s="6"/>
      <c r="L31" s="6"/>
      <c r="M31" s="6"/>
      <c r="N31" s="6"/>
      <c r="O31" s="6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11"/>
      <c r="AZ31" s="11"/>
      <c r="BA31" s="11"/>
      <c r="BB31" s="11"/>
      <c r="BC31" s="11"/>
      <c r="BD31" s="11"/>
      <c r="BE31" s="11"/>
      <c r="BF31" s="6"/>
      <c r="BG31" s="6"/>
      <c r="BH31" s="11"/>
      <c r="BI31" s="11"/>
      <c r="BJ31" s="11">
        <v>7.5</v>
      </c>
      <c r="BK31" s="11">
        <v>75</v>
      </c>
      <c r="BL31" s="11"/>
      <c r="BM31" s="11"/>
      <c r="BN31" s="11">
        <f>SUM(BG31:BM31)</f>
        <v>82.5</v>
      </c>
      <c r="BO31" s="11">
        <f>(BN31-BG31)/2</f>
        <v>41.25</v>
      </c>
      <c r="BP31" s="11"/>
      <c r="BQ31" s="11"/>
      <c r="BR31" s="11"/>
      <c r="BS31" s="11"/>
      <c r="BT31" s="11"/>
      <c r="BU31" s="11"/>
      <c r="BV31" s="11">
        <f>SUM(BO31:BU31)</f>
        <v>41.25</v>
      </c>
      <c r="CJ31">
        <f>SUM(CB31:CD31)</f>
        <v>0</v>
      </c>
      <c r="CK31">
        <f>(CJ31-CB31)/2</f>
        <v>0</v>
      </c>
      <c r="CQ31" s="6">
        <f>SUM(CK31:CP31)</f>
        <v>0</v>
      </c>
      <c r="CR31" s="6">
        <f>(CQ31-CK31)/2</f>
        <v>0</v>
      </c>
      <c r="CS31" s="11"/>
      <c r="CT31" s="11"/>
      <c r="CU31" s="11"/>
      <c r="CV31" s="6">
        <f>SUM(CR31:CS31)</f>
        <v>0</v>
      </c>
    </row>
    <row r="32" spans="1:100" x14ac:dyDescent="0.25">
      <c r="A32">
        <v>22</v>
      </c>
      <c r="B32" s="11" t="s">
        <v>241</v>
      </c>
      <c r="C32" s="6"/>
      <c r="D32" s="6" t="s">
        <v>30</v>
      </c>
      <c r="E32" s="6" t="s">
        <v>107</v>
      </c>
      <c r="F32" s="11"/>
      <c r="G32" s="6"/>
      <c r="H32" s="6"/>
      <c r="I32" s="6"/>
      <c r="J32" s="6"/>
      <c r="K32" s="6"/>
      <c r="L32" s="6"/>
      <c r="M32" s="6"/>
      <c r="N32" s="6"/>
      <c r="O32" s="6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>
        <v>2.4</v>
      </c>
      <c r="AQ32" s="6"/>
      <c r="AR32" s="6"/>
      <c r="AS32" s="6"/>
      <c r="AT32" s="6"/>
      <c r="AU32" s="6">
        <v>4</v>
      </c>
      <c r="AV32" s="6"/>
      <c r="AW32" s="6"/>
      <c r="AX32" s="6"/>
      <c r="AY32" s="11">
        <v>54</v>
      </c>
      <c r="AZ32" s="11">
        <v>36</v>
      </c>
      <c r="BA32" s="11"/>
      <c r="BB32" s="11"/>
      <c r="BC32" s="11"/>
      <c r="BD32" s="11"/>
      <c r="BE32" s="11"/>
      <c r="BF32" s="11">
        <f>SUM(AO32:BE32)</f>
        <v>96.4</v>
      </c>
      <c r="BG32" s="11">
        <f>(BF32-AO32)/2</f>
        <v>48.2</v>
      </c>
      <c r="BH32" s="11">
        <v>2.4</v>
      </c>
      <c r="BI32" s="11"/>
      <c r="BJ32" s="11">
        <v>7.5</v>
      </c>
      <c r="BK32" s="11">
        <v>54</v>
      </c>
      <c r="BL32" s="11">
        <v>2.4</v>
      </c>
      <c r="BM32" s="11"/>
      <c r="BN32" s="11">
        <f>SUM(BG32:BM32)</f>
        <v>114.5</v>
      </c>
      <c r="BO32" s="11">
        <f>(BN32-BG32)/2</f>
        <v>33.15</v>
      </c>
      <c r="BP32" s="11"/>
      <c r="BQ32" s="11"/>
      <c r="BR32" s="11"/>
      <c r="BS32" s="11"/>
      <c r="BT32" s="11"/>
      <c r="BU32" s="11"/>
      <c r="BV32" s="11">
        <f>SUM(BO32:BU32)</f>
        <v>33.15</v>
      </c>
      <c r="CA32" s="8">
        <f>SUM(BX32:BY32)</f>
        <v>0</v>
      </c>
      <c r="CB32" s="8">
        <f>(CA32)/2</f>
        <v>0</v>
      </c>
      <c r="CC32" s="8">
        <f>BF32/4</f>
        <v>24.1</v>
      </c>
      <c r="CJ32">
        <f>SUM(CB32:CD32)</f>
        <v>24.1</v>
      </c>
      <c r="CK32">
        <f>(CJ32-CB32)/2</f>
        <v>12.05</v>
      </c>
      <c r="CL32" s="8">
        <v>1.5</v>
      </c>
      <c r="CQ32" s="6">
        <f>SUM(CK32:CP32)</f>
        <v>13.55</v>
      </c>
      <c r="CR32" s="6">
        <f>(CQ32-CK32)/2</f>
        <v>0.75</v>
      </c>
      <c r="CS32" s="11"/>
      <c r="CT32" s="11"/>
      <c r="CU32" s="11"/>
      <c r="CV32" s="6">
        <f>SUM(CR32:CS32)</f>
        <v>0.75</v>
      </c>
    </row>
    <row r="33" spans="1:100" x14ac:dyDescent="0.25">
      <c r="A33">
        <v>23</v>
      </c>
      <c r="B33" s="11" t="s">
        <v>716</v>
      </c>
      <c r="C33" s="6"/>
      <c r="D33" s="6" t="s">
        <v>717</v>
      </c>
      <c r="E33" s="6" t="s">
        <v>27</v>
      </c>
      <c r="F33" s="11"/>
      <c r="G33" s="6"/>
      <c r="H33" s="6"/>
      <c r="I33" s="6"/>
      <c r="J33" s="6"/>
      <c r="K33" s="6"/>
      <c r="L33" s="6"/>
      <c r="M33" s="6"/>
      <c r="N33" s="6"/>
      <c r="O33" s="6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11"/>
      <c r="AZ33" s="11"/>
      <c r="BA33" s="11"/>
      <c r="BB33" s="11"/>
      <c r="BC33" s="11"/>
      <c r="BD33" s="11"/>
      <c r="BE33" s="11"/>
      <c r="BF33" s="6"/>
      <c r="BG33" s="6"/>
      <c r="BH33" s="11"/>
      <c r="BI33" s="11"/>
      <c r="BJ33" s="11"/>
      <c r="BK33" s="11"/>
      <c r="BL33" s="11"/>
      <c r="BM33" s="11"/>
      <c r="BN33" s="6"/>
      <c r="BO33" s="6"/>
      <c r="BP33" s="11">
        <v>2.4</v>
      </c>
      <c r="BQ33" s="11"/>
      <c r="BR33" s="11">
        <v>7.5</v>
      </c>
      <c r="BS33" s="11"/>
      <c r="BT33" s="6"/>
      <c r="BU33" s="6"/>
      <c r="BV33" s="11">
        <f>SUM(BO33:BU33)</f>
        <v>9.9</v>
      </c>
      <c r="CQ33" s="6">
        <f>SUM(CK33:CP33)</f>
        <v>0</v>
      </c>
      <c r="CR33" s="6">
        <f>(CQ33-CK33)/2</f>
        <v>0</v>
      </c>
      <c r="CS33" s="11"/>
      <c r="CT33" s="11"/>
      <c r="CU33" s="11"/>
      <c r="CV33" s="6">
        <f>SUM(CR33:CS33)</f>
        <v>0</v>
      </c>
    </row>
    <row r="34" spans="1:100" x14ac:dyDescent="0.25">
      <c r="A34">
        <v>24</v>
      </c>
      <c r="B34" s="6" t="s">
        <v>498</v>
      </c>
      <c r="C34" s="6"/>
      <c r="D34" s="6" t="s">
        <v>499</v>
      </c>
      <c r="E34" s="6" t="s">
        <v>27</v>
      </c>
      <c r="F34" s="11"/>
      <c r="G34" s="6"/>
      <c r="H34" s="6"/>
      <c r="I34" s="6"/>
      <c r="J34" s="6"/>
      <c r="K34" s="6"/>
      <c r="L34" s="6"/>
      <c r="M34" s="6"/>
      <c r="N34" s="6"/>
      <c r="O34" s="6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11"/>
      <c r="AZ34" s="11"/>
      <c r="BA34" s="11"/>
      <c r="BB34" s="11"/>
      <c r="BC34" s="11"/>
      <c r="BD34" s="11"/>
      <c r="BE34" s="11"/>
      <c r="BF34" s="6"/>
      <c r="BG34" s="6"/>
      <c r="BH34" s="11"/>
      <c r="BI34" s="11">
        <v>3.2</v>
      </c>
      <c r="BJ34" s="11">
        <v>3.2</v>
      </c>
      <c r="BK34" s="11"/>
      <c r="BL34" s="11"/>
      <c r="BM34" s="11"/>
      <c r="BN34" s="11">
        <f>SUM(BG34:BM34)</f>
        <v>6.4</v>
      </c>
      <c r="BO34" s="11">
        <f>(BN34-BG34)/2</f>
        <v>3.2</v>
      </c>
      <c r="BP34" s="11"/>
      <c r="BQ34" s="11">
        <v>4</v>
      </c>
      <c r="BR34" s="11"/>
      <c r="BS34" s="11"/>
      <c r="BT34" s="11"/>
      <c r="BU34" s="11"/>
      <c r="BV34" s="11">
        <f>SUM(BO34:BU34)</f>
        <v>7.2</v>
      </c>
      <c r="CJ34">
        <f>SUM(CB34:CD34)</f>
        <v>0</v>
      </c>
      <c r="CK34">
        <f>(CJ34-CB34)/2</f>
        <v>0</v>
      </c>
      <c r="CQ34" s="6">
        <f>SUM(CK34:CP34)</f>
        <v>0</v>
      </c>
      <c r="CR34" s="6">
        <f>(CQ34-CK34)/2</f>
        <v>0</v>
      </c>
      <c r="CS34" s="11"/>
      <c r="CT34" s="11"/>
      <c r="CU34" s="11"/>
      <c r="CV34" s="6">
        <f>SUM(CR34:CS34)</f>
        <v>0</v>
      </c>
    </row>
    <row r="35" spans="1:100" x14ac:dyDescent="0.25">
      <c r="A35">
        <v>25</v>
      </c>
      <c r="B35" s="11" t="s">
        <v>612</v>
      </c>
      <c r="C35" s="6"/>
      <c r="D35" s="6" t="s">
        <v>613</v>
      </c>
      <c r="E35" s="6" t="s">
        <v>269</v>
      </c>
      <c r="F35" s="11"/>
      <c r="G35" s="6"/>
      <c r="H35" s="6"/>
      <c r="I35" s="6"/>
      <c r="J35" s="6"/>
      <c r="K35" s="6"/>
      <c r="L35" s="6"/>
      <c r="M35" s="6"/>
      <c r="N35" s="6"/>
      <c r="O35" s="6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11"/>
      <c r="AZ35" s="11"/>
      <c r="BA35" s="11"/>
      <c r="BB35" s="11"/>
      <c r="BC35" s="11"/>
      <c r="BD35" s="11"/>
      <c r="BE35" s="11"/>
      <c r="BF35" s="6"/>
      <c r="BG35" s="6"/>
      <c r="BH35" s="11"/>
      <c r="BI35" s="11"/>
      <c r="BJ35" s="11"/>
      <c r="BK35" s="11"/>
      <c r="BL35" s="11"/>
      <c r="BM35" s="11"/>
      <c r="BN35" s="11">
        <f>SUM(BG35:BM35)</f>
        <v>0</v>
      </c>
      <c r="BO35" s="11">
        <f>(BN35-BG35)/2</f>
        <v>0</v>
      </c>
      <c r="BP35" s="11"/>
      <c r="BQ35" s="11"/>
      <c r="BR35" s="11"/>
      <c r="BS35" s="11"/>
      <c r="BT35" s="11"/>
      <c r="BU35" s="11"/>
      <c r="BV35" s="11">
        <f>SUM(BO35:BU35)</f>
        <v>0</v>
      </c>
      <c r="CP35" s="8">
        <v>2.5</v>
      </c>
      <c r="CQ35" s="6">
        <f>SUM(CK35:CP35)</f>
        <v>2.5</v>
      </c>
      <c r="CR35" s="6">
        <f>(CQ35-CK35)/2</f>
        <v>1.25</v>
      </c>
      <c r="CS35" s="11"/>
      <c r="CT35" s="11"/>
      <c r="CU35" s="11"/>
      <c r="CV35" s="6">
        <f>SUM(CR35:CS35)</f>
        <v>1.25</v>
      </c>
    </row>
  </sheetData>
  <sortState xmlns:xlrd2="http://schemas.microsoft.com/office/spreadsheetml/2017/richdata2" ref="B11:CV35">
    <sortCondition descending="1" ref="BV11:BV35"/>
  </sortState>
  <mergeCells count="6">
    <mergeCell ref="B1:CV1"/>
    <mergeCell ref="B8:C10"/>
    <mergeCell ref="BJ9:BM9"/>
    <mergeCell ref="BR9:BU9"/>
    <mergeCell ref="D4:BV5"/>
    <mergeCell ref="BX4:CV5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35"/>
  <sheetViews>
    <sheetView zoomScale="80" zoomScaleNormal="80" workbookViewId="0">
      <selection activeCell="CF16" sqref="CF16"/>
    </sheetView>
  </sheetViews>
  <sheetFormatPr baseColWidth="10" defaultRowHeight="15" x14ac:dyDescent="0.25"/>
  <cols>
    <col min="1" max="1" width="3.140625" bestFit="1" customWidth="1"/>
    <col min="2" max="2" width="13.42578125" bestFit="1" customWidth="1"/>
    <col min="3" max="3" width="13.28515625" bestFit="1" customWidth="1"/>
    <col min="4" max="4" width="12.85546875" bestFit="1" customWidth="1"/>
    <col min="5" max="5" width="18.5703125" bestFit="1" customWidth="1"/>
    <col min="6" max="6" width="6.7109375" hidden="1" customWidth="1"/>
    <col min="7" max="11" width="6.42578125" hidden="1" customWidth="1"/>
    <col min="12" max="13" width="7.28515625" hidden="1" customWidth="1"/>
    <col min="14" max="14" width="7.28515625" style="8" hidden="1" customWidth="1"/>
    <col min="15" max="19" width="6.28515625" style="8" hidden="1" customWidth="1"/>
    <col min="20" max="23" width="6.7109375" style="8" hidden="1" customWidth="1"/>
    <col min="24" max="26" width="7" style="8" hidden="1" customWidth="1"/>
    <col min="27" max="27" width="0" hidden="1" customWidth="1"/>
    <col min="28" max="28" width="6.85546875" hidden="1" customWidth="1"/>
    <col min="29" max="39" width="6" hidden="1" customWidth="1"/>
    <col min="40" max="40" width="10.5703125" hidden="1" customWidth="1"/>
    <col min="41" max="45" width="6" hidden="1" customWidth="1"/>
    <col min="46" max="46" width="6" style="8" hidden="1" customWidth="1"/>
    <col min="47" max="47" width="6.28515625" hidden="1" customWidth="1"/>
    <col min="48" max="48" width="6.85546875" style="8" hidden="1" customWidth="1"/>
    <col min="49" max="49" width="10.5703125" style="8" hidden="1" customWidth="1"/>
    <col min="50" max="52" width="6" style="8" hidden="1" customWidth="1"/>
    <col min="53" max="64" width="6.28515625" style="8" hidden="1" customWidth="1"/>
    <col min="65" max="65" width="10.85546875" style="8" hidden="1" customWidth="1"/>
    <col min="66" max="69" width="6" style="8" hidden="1" customWidth="1"/>
    <col min="70" max="70" width="6.85546875" style="8" hidden="1" customWidth="1"/>
    <col min="71" max="71" width="6.28515625" style="8" hidden="1" customWidth="1"/>
    <col min="72" max="72" width="7.7109375" style="8" hidden="1" customWidth="1"/>
    <col min="73" max="78" width="6.28515625" style="8" hidden="1" customWidth="1"/>
    <col min="79" max="79" width="6.28515625" style="8" customWidth="1"/>
    <col min="80" max="80" width="7.85546875" style="8" bestFit="1" customWidth="1"/>
    <col min="81" max="86" width="6.28515625" style="8" customWidth="1"/>
    <col min="87" max="87" width="7.42578125" style="8" bestFit="1" customWidth="1"/>
    <col min="89" max="89" width="0" style="15" hidden="1" customWidth="1"/>
    <col min="90" max="90" width="8.5703125" style="15" hidden="1" customWidth="1"/>
    <col min="91" max="92" width="7.140625" style="15" hidden="1" customWidth="1"/>
    <col min="93" max="93" width="9.28515625" style="15" hidden="1" customWidth="1"/>
    <col min="94" max="95" width="0" style="8" hidden="1" customWidth="1"/>
    <col min="96" max="100" width="6" style="8" hidden="1" customWidth="1"/>
    <col min="101" max="101" width="0" hidden="1" customWidth="1"/>
    <col min="102" max="102" width="8.85546875" hidden="1" customWidth="1"/>
    <col min="103" max="103" width="6.42578125" style="8" hidden="1" customWidth="1"/>
    <col min="104" max="106" width="6" style="8" hidden="1" customWidth="1"/>
    <col min="109" max="109" width="9.28515625" style="8" bestFit="1" customWidth="1"/>
    <col min="110" max="110" width="6" style="8" bestFit="1" customWidth="1"/>
    <col min="111" max="113" width="6" style="8" customWidth="1"/>
  </cols>
  <sheetData>
    <row r="1" spans="1:114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</row>
    <row r="2" spans="1:114" ht="15.75" thickBot="1" x14ac:dyDescent="0.3">
      <c r="C2" s="8"/>
      <c r="D2" s="8"/>
      <c r="E2" s="8"/>
      <c r="F2" s="8"/>
      <c r="G2" s="8"/>
    </row>
    <row r="3" spans="1:114" ht="15.75" thickTop="1" x14ac:dyDescent="0.25">
      <c r="B3" s="1" t="s">
        <v>0</v>
      </c>
      <c r="C3" s="4" t="s">
        <v>18</v>
      </c>
    </row>
    <row r="4" spans="1:114" ht="14.65" customHeight="1" x14ac:dyDescent="0.25">
      <c r="B4" s="2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K4" s="64" t="s">
        <v>617</v>
      </c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</row>
    <row r="5" spans="1:114" ht="15" customHeight="1" thickBot="1" x14ac:dyDescent="0.3">
      <c r="B5" s="3" t="s">
        <v>2</v>
      </c>
      <c r="C5" s="33">
        <v>-52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</row>
    <row r="6" spans="1:114" ht="15.75" thickTop="1" x14ac:dyDescent="0.25"/>
    <row r="7" spans="1:114" ht="15.75" thickBot="1" x14ac:dyDescent="0.3"/>
    <row r="8" spans="1:114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25</v>
      </c>
      <c r="J8" s="4" t="s">
        <v>15</v>
      </c>
      <c r="K8" s="4" t="s">
        <v>79</v>
      </c>
      <c r="L8" s="4" t="s">
        <v>100</v>
      </c>
      <c r="M8" s="4" t="s">
        <v>102</v>
      </c>
      <c r="N8" s="4" t="s">
        <v>15</v>
      </c>
      <c r="O8" s="4" t="s">
        <v>136</v>
      </c>
      <c r="P8" s="4" t="s">
        <v>139</v>
      </c>
      <c r="Q8" s="4" t="s">
        <v>142</v>
      </c>
      <c r="R8" s="4" t="s">
        <v>145</v>
      </c>
      <c r="S8" s="4" t="s">
        <v>15</v>
      </c>
      <c r="T8" s="4" t="s">
        <v>15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159</v>
      </c>
      <c r="Z8" s="4" t="s">
        <v>164</v>
      </c>
      <c r="AA8" s="1"/>
      <c r="AB8" s="12">
        <v>44927</v>
      </c>
      <c r="AC8" s="4" t="s">
        <v>15</v>
      </c>
      <c r="AD8" s="4" t="s">
        <v>15</v>
      </c>
      <c r="AE8" s="4" t="s">
        <v>184</v>
      </c>
      <c r="AF8" s="4" t="s">
        <v>15</v>
      </c>
      <c r="AG8" s="4" t="s">
        <v>224</v>
      </c>
      <c r="AH8" s="4" t="s">
        <v>224</v>
      </c>
      <c r="AI8" s="4" t="s">
        <v>224</v>
      </c>
      <c r="AJ8" s="4" t="s">
        <v>164</v>
      </c>
      <c r="AK8" s="4" t="s">
        <v>15</v>
      </c>
      <c r="AL8" s="4" t="s">
        <v>15</v>
      </c>
      <c r="AM8" s="4" t="s">
        <v>15</v>
      </c>
      <c r="AN8" s="4" t="s">
        <v>15</v>
      </c>
      <c r="AO8" s="4" t="s">
        <v>15</v>
      </c>
      <c r="AP8" s="4" t="s">
        <v>164</v>
      </c>
      <c r="AQ8" s="4" t="s">
        <v>15</v>
      </c>
      <c r="AR8" s="4" t="s">
        <v>15</v>
      </c>
      <c r="AS8" s="4" t="s">
        <v>15</v>
      </c>
      <c r="AT8" s="4" t="s">
        <v>165</v>
      </c>
      <c r="AU8" s="4" t="s">
        <v>6</v>
      </c>
      <c r="AV8" s="28">
        <v>45292</v>
      </c>
      <c r="AW8" s="28" t="s">
        <v>15</v>
      </c>
      <c r="AX8" s="28" t="s">
        <v>15</v>
      </c>
      <c r="AY8" s="28" t="s">
        <v>15</v>
      </c>
      <c r="AZ8" s="28" t="s">
        <v>15</v>
      </c>
      <c r="BA8" s="28" t="s">
        <v>15</v>
      </c>
      <c r="BB8" s="28" t="s">
        <v>15</v>
      </c>
      <c r="BC8" s="28" t="s">
        <v>15</v>
      </c>
      <c r="BD8" s="28" t="s">
        <v>15</v>
      </c>
      <c r="BE8" s="28" t="s">
        <v>164</v>
      </c>
      <c r="BF8" s="28" t="s">
        <v>164</v>
      </c>
      <c r="BG8" s="28" t="s">
        <v>224</v>
      </c>
      <c r="BH8" s="28" t="s">
        <v>224</v>
      </c>
      <c r="BI8" s="28" t="s">
        <v>224</v>
      </c>
      <c r="BJ8" s="28" t="s">
        <v>164</v>
      </c>
      <c r="BK8" s="28" t="s">
        <v>15</v>
      </c>
      <c r="BL8" s="28" t="s">
        <v>15</v>
      </c>
      <c r="BM8" s="28" t="s">
        <v>15</v>
      </c>
      <c r="BN8" s="28" t="s">
        <v>15</v>
      </c>
      <c r="BO8" s="28" t="s">
        <v>15</v>
      </c>
      <c r="BP8" s="28" t="s">
        <v>164</v>
      </c>
      <c r="BQ8" s="28" t="s">
        <v>422</v>
      </c>
      <c r="BR8" s="28" t="s">
        <v>165</v>
      </c>
      <c r="BS8" s="28" t="s">
        <v>6</v>
      </c>
      <c r="BT8" s="28">
        <v>45658</v>
      </c>
      <c r="BU8" s="28"/>
      <c r="BV8" s="28"/>
      <c r="BW8" s="29"/>
      <c r="BX8" s="30"/>
      <c r="BY8" s="30"/>
      <c r="BZ8" s="31"/>
      <c r="CA8" s="28" t="s">
        <v>6</v>
      </c>
      <c r="CB8" s="28">
        <v>46023</v>
      </c>
      <c r="CC8" s="28"/>
      <c r="CD8" s="28"/>
      <c r="CE8" s="35"/>
      <c r="CF8" s="36"/>
      <c r="CG8" s="36"/>
      <c r="CH8" s="37"/>
      <c r="CI8" s="28" t="s">
        <v>213</v>
      </c>
      <c r="CK8" s="13" t="s">
        <v>212</v>
      </c>
      <c r="CL8" s="13" t="s">
        <v>215</v>
      </c>
      <c r="CM8" s="13" t="s">
        <v>163</v>
      </c>
      <c r="CN8" s="13" t="s">
        <v>282</v>
      </c>
      <c r="CO8" s="13" t="s">
        <v>213</v>
      </c>
      <c r="CP8" s="28">
        <v>45292</v>
      </c>
      <c r="CQ8" s="4" t="s">
        <v>212</v>
      </c>
      <c r="CR8" s="4" t="s">
        <v>287</v>
      </c>
      <c r="CS8" s="4" t="s">
        <v>25</v>
      </c>
      <c r="CT8" s="4" t="s">
        <v>156</v>
      </c>
      <c r="CU8" s="4" t="s">
        <v>163</v>
      </c>
      <c r="CV8" s="4" t="s">
        <v>282</v>
      </c>
      <c r="CW8" s="1" t="s">
        <v>6</v>
      </c>
      <c r="CX8" s="28">
        <v>45658</v>
      </c>
      <c r="CY8" s="4" t="s">
        <v>287</v>
      </c>
      <c r="CZ8" s="4" t="s">
        <v>156</v>
      </c>
      <c r="DA8" s="4" t="s">
        <v>25</v>
      </c>
      <c r="DB8" s="4" t="s">
        <v>282</v>
      </c>
      <c r="DC8" s="1" t="s">
        <v>6</v>
      </c>
      <c r="DD8" s="28">
        <v>46023</v>
      </c>
      <c r="DE8" s="4" t="s">
        <v>740</v>
      </c>
      <c r="DF8" s="4" t="s">
        <v>25</v>
      </c>
      <c r="DG8" s="4" t="s">
        <v>770</v>
      </c>
      <c r="DH8" s="4" t="s">
        <v>163</v>
      </c>
      <c r="DI8" s="4" t="s">
        <v>397</v>
      </c>
      <c r="DJ8" s="1" t="s">
        <v>6</v>
      </c>
    </row>
    <row r="9" spans="1:114" x14ac:dyDescent="0.25">
      <c r="B9" s="58"/>
      <c r="C9" s="59"/>
      <c r="D9" s="2"/>
      <c r="E9" s="2"/>
      <c r="F9" s="5" t="s">
        <v>80</v>
      </c>
      <c r="G9" s="5" t="s">
        <v>40</v>
      </c>
      <c r="H9" s="9" t="s">
        <v>54</v>
      </c>
      <c r="I9" s="9" t="s">
        <v>26</v>
      </c>
      <c r="J9" s="9" t="s">
        <v>70</v>
      </c>
      <c r="K9" s="9" t="s">
        <v>80</v>
      </c>
      <c r="L9" s="9" t="s">
        <v>101</v>
      </c>
      <c r="M9" s="9" t="s">
        <v>103</v>
      </c>
      <c r="N9" s="9" t="s">
        <v>130</v>
      </c>
      <c r="O9" s="9" t="s">
        <v>138</v>
      </c>
      <c r="P9" s="9" t="s">
        <v>140</v>
      </c>
      <c r="Q9" s="9" t="s">
        <v>143</v>
      </c>
      <c r="R9" s="9" t="s">
        <v>80</v>
      </c>
      <c r="S9" s="9" t="s">
        <v>148</v>
      </c>
      <c r="T9" s="9" t="s">
        <v>54</v>
      </c>
      <c r="U9" s="9" t="s">
        <v>40</v>
      </c>
      <c r="V9" s="9" t="s">
        <v>153</v>
      </c>
      <c r="W9" s="9" t="s">
        <v>120</v>
      </c>
      <c r="X9" s="9" t="s">
        <v>148</v>
      </c>
      <c r="Y9" s="9" t="s">
        <v>160</v>
      </c>
      <c r="Z9" s="9" t="s">
        <v>165</v>
      </c>
      <c r="AA9" s="2" t="s">
        <v>6</v>
      </c>
      <c r="AB9" s="2"/>
      <c r="AC9" s="5" t="s">
        <v>16</v>
      </c>
      <c r="AD9" s="5" t="s">
        <v>40</v>
      </c>
      <c r="AE9" s="9" t="s">
        <v>136</v>
      </c>
      <c r="AF9" s="9" t="s">
        <v>70</v>
      </c>
      <c r="AG9" s="9" t="s">
        <v>139</v>
      </c>
      <c r="AH9" s="9" t="s">
        <v>142</v>
      </c>
      <c r="AI9" s="9" t="s">
        <v>136</v>
      </c>
      <c r="AJ9" s="9" t="s">
        <v>139</v>
      </c>
      <c r="AK9" s="9" t="s">
        <v>54</v>
      </c>
      <c r="AL9" s="9" t="s">
        <v>130</v>
      </c>
      <c r="AM9" s="9" t="s">
        <v>40</v>
      </c>
      <c r="AN9" s="9" t="s">
        <v>268</v>
      </c>
      <c r="AO9" s="9" t="s">
        <v>148</v>
      </c>
      <c r="AP9" s="9" t="s">
        <v>142</v>
      </c>
      <c r="AQ9" s="9" t="s">
        <v>120</v>
      </c>
      <c r="AR9" s="9" t="s">
        <v>70</v>
      </c>
      <c r="AS9" s="9" t="s">
        <v>16</v>
      </c>
      <c r="AT9" s="9"/>
      <c r="AU9" s="2"/>
      <c r="AV9" s="5"/>
      <c r="AW9" s="5" t="s">
        <v>268</v>
      </c>
      <c r="AX9" s="5" t="s">
        <v>16</v>
      </c>
      <c r="AY9" s="5" t="s">
        <v>148</v>
      </c>
      <c r="AZ9" s="5" t="s">
        <v>333</v>
      </c>
      <c r="BA9" s="5" t="s">
        <v>130</v>
      </c>
      <c r="BB9" s="5" t="s">
        <v>120</v>
      </c>
      <c r="BC9" s="5" t="s">
        <v>40</v>
      </c>
      <c r="BD9" s="5" t="s">
        <v>54</v>
      </c>
      <c r="BE9" s="5" t="s">
        <v>139</v>
      </c>
      <c r="BF9" s="5" t="s">
        <v>372</v>
      </c>
      <c r="BG9" s="5" t="s">
        <v>139</v>
      </c>
      <c r="BH9" s="5" t="s">
        <v>136</v>
      </c>
      <c r="BI9" s="5" t="s">
        <v>142</v>
      </c>
      <c r="BJ9" s="5" t="s">
        <v>136</v>
      </c>
      <c r="BK9" s="5" t="s">
        <v>333</v>
      </c>
      <c r="BL9" s="5" t="s">
        <v>40</v>
      </c>
      <c r="BM9" s="5" t="s">
        <v>268</v>
      </c>
      <c r="BN9" s="5" t="s">
        <v>16</v>
      </c>
      <c r="BO9" s="5" t="s">
        <v>120</v>
      </c>
      <c r="BP9" s="5" t="s">
        <v>142</v>
      </c>
      <c r="BQ9" s="5" t="s">
        <v>333</v>
      </c>
      <c r="BR9" s="5" t="s">
        <v>427</v>
      </c>
      <c r="BS9" s="5"/>
      <c r="BT9" s="5"/>
      <c r="BU9" s="9" t="s">
        <v>15</v>
      </c>
      <c r="BV9" s="9" t="s">
        <v>224</v>
      </c>
      <c r="BW9" s="60" t="s">
        <v>429</v>
      </c>
      <c r="BX9" s="61"/>
      <c r="BY9" s="61"/>
      <c r="BZ9" s="62"/>
      <c r="CA9" s="5"/>
      <c r="CB9" s="5"/>
      <c r="CC9" s="9" t="s">
        <v>15</v>
      </c>
      <c r="CD9" s="9" t="s">
        <v>224</v>
      </c>
      <c r="CE9" s="60" t="s">
        <v>429</v>
      </c>
      <c r="CF9" s="61"/>
      <c r="CG9" s="61"/>
      <c r="CH9" s="62"/>
      <c r="CI9" s="9"/>
      <c r="CK9" s="14" t="s">
        <v>214</v>
      </c>
      <c r="CL9" s="14"/>
      <c r="CM9" s="14" t="s">
        <v>260</v>
      </c>
      <c r="CN9" s="14" t="s">
        <v>283</v>
      </c>
      <c r="CO9" s="14"/>
      <c r="CQ9" s="5" t="s">
        <v>214</v>
      </c>
      <c r="CR9" s="5"/>
      <c r="CS9" s="5" t="s">
        <v>343</v>
      </c>
      <c r="CT9" s="5" t="s">
        <v>260</v>
      </c>
      <c r="CU9" s="5" t="s">
        <v>260</v>
      </c>
      <c r="CV9" s="5" t="s">
        <v>80</v>
      </c>
      <c r="CW9" s="2"/>
      <c r="CX9" s="5"/>
      <c r="CY9" s="5"/>
      <c r="CZ9" s="5" t="s">
        <v>103</v>
      </c>
      <c r="DA9" s="5" t="s">
        <v>28</v>
      </c>
      <c r="DB9" s="5" t="s">
        <v>80</v>
      </c>
      <c r="DC9" s="2"/>
      <c r="DD9" s="5"/>
      <c r="DE9" s="5" t="s">
        <v>741</v>
      </c>
      <c r="DF9" s="5" t="s">
        <v>744</v>
      </c>
      <c r="DG9" s="5" t="s">
        <v>28</v>
      </c>
      <c r="DH9" s="5" t="s">
        <v>28</v>
      </c>
      <c r="DI9" s="5" t="s">
        <v>744</v>
      </c>
      <c r="DJ9" s="2"/>
    </row>
    <row r="10" spans="1:114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44660</v>
      </c>
      <c r="H10" s="10">
        <v>44653</v>
      </c>
      <c r="I10" s="10">
        <v>44660</v>
      </c>
      <c r="J10" s="10">
        <v>44674</v>
      </c>
      <c r="K10" s="10">
        <v>44681</v>
      </c>
      <c r="L10" s="10">
        <v>44684</v>
      </c>
      <c r="M10" s="10">
        <v>44695</v>
      </c>
      <c r="N10" s="10">
        <v>44709</v>
      </c>
      <c r="O10" s="10">
        <v>44730</v>
      </c>
      <c r="P10" s="10">
        <v>44730</v>
      </c>
      <c r="Q10" s="10">
        <v>44737</v>
      </c>
      <c r="R10" s="10">
        <v>44759</v>
      </c>
      <c r="S10" s="10">
        <v>44765</v>
      </c>
      <c r="T10" s="10">
        <v>44779</v>
      </c>
      <c r="U10" s="10">
        <v>44793</v>
      </c>
      <c r="V10" s="10">
        <v>44800</v>
      </c>
      <c r="W10" s="10">
        <v>44814</v>
      </c>
      <c r="X10" s="10">
        <v>44814</v>
      </c>
      <c r="Y10" s="10">
        <v>44829</v>
      </c>
      <c r="Z10" s="10">
        <v>44906</v>
      </c>
      <c r="AA10" s="2">
        <v>2022</v>
      </c>
      <c r="AB10" s="2"/>
      <c r="AC10" s="5" t="s">
        <v>168</v>
      </c>
      <c r="AD10" s="5" t="s">
        <v>180</v>
      </c>
      <c r="AE10" s="2" t="s">
        <v>185</v>
      </c>
      <c r="AF10" s="2" t="s">
        <v>221</v>
      </c>
      <c r="AG10" s="2" t="s">
        <v>225</v>
      </c>
      <c r="AH10" s="2" t="s">
        <v>232</v>
      </c>
      <c r="AI10" s="5" t="s">
        <v>239</v>
      </c>
      <c r="AJ10" s="5" t="s">
        <v>250</v>
      </c>
      <c r="AK10" s="5" t="s">
        <v>258</v>
      </c>
      <c r="AL10" s="5" t="s">
        <v>261</v>
      </c>
      <c r="AM10" s="5" t="s">
        <v>262</v>
      </c>
      <c r="AN10" s="5" t="s">
        <v>267</v>
      </c>
      <c r="AO10" s="5" t="s">
        <v>267</v>
      </c>
      <c r="AP10" s="5" t="s">
        <v>270</v>
      </c>
      <c r="AQ10" s="5" t="s">
        <v>276</v>
      </c>
      <c r="AR10" s="5" t="s">
        <v>278</v>
      </c>
      <c r="AS10" s="5" t="s">
        <v>278</v>
      </c>
      <c r="AT10" s="5" t="s">
        <v>284</v>
      </c>
      <c r="AU10" s="2">
        <v>2023</v>
      </c>
      <c r="AV10" s="17"/>
      <c r="AW10" s="17" t="s">
        <v>319</v>
      </c>
      <c r="AX10" s="17" t="s">
        <v>319</v>
      </c>
      <c r="AY10" s="17" t="s">
        <v>319</v>
      </c>
      <c r="AZ10" s="17" t="s">
        <v>319</v>
      </c>
      <c r="BA10" s="17" t="s">
        <v>319</v>
      </c>
      <c r="BB10" s="17" t="s">
        <v>319</v>
      </c>
      <c r="BC10" s="17" t="s">
        <v>345</v>
      </c>
      <c r="BD10" s="17" t="s">
        <v>362</v>
      </c>
      <c r="BE10" s="17" t="s">
        <v>366</v>
      </c>
      <c r="BF10" s="17" t="s">
        <v>373</v>
      </c>
      <c r="BG10" s="17" t="s">
        <v>382</v>
      </c>
      <c r="BH10" s="17" t="s">
        <v>382</v>
      </c>
      <c r="BI10" s="17" t="s">
        <v>389</v>
      </c>
      <c r="BJ10" s="17" t="s">
        <v>391</v>
      </c>
      <c r="BK10" s="17" t="s">
        <v>402</v>
      </c>
      <c r="BL10" s="17" t="s">
        <v>402</v>
      </c>
      <c r="BM10" s="17" t="s">
        <v>403</v>
      </c>
      <c r="BN10" s="17" t="s">
        <v>413</v>
      </c>
      <c r="BO10" s="17" t="s">
        <v>416</v>
      </c>
      <c r="BP10" s="17" t="s">
        <v>420</v>
      </c>
      <c r="BQ10" s="17" t="s">
        <v>423</v>
      </c>
      <c r="BR10" s="17" t="s">
        <v>428</v>
      </c>
      <c r="BS10" s="17">
        <v>2024</v>
      </c>
      <c r="BT10" s="5"/>
      <c r="BU10" s="5"/>
      <c r="BV10" s="5"/>
      <c r="BW10" s="5">
        <v>1</v>
      </c>
      <c r="BX10" s="5">
        <v>2</v>
      </c>
      <c r="BY10" s="5">
        <v>3</v>
      </c>
      <c r="BZ10" s="5">
        <v>4</v>
      </c>
      <c r="CA10" s="5">
        <v>2025</v>
      </c>
      <c r="CB10" s="5"/>
      <c r="CC10" s="5"/>
      <c r="CD10" s="5"/>
      <c r="CE10" s="5">
        <v>1</v>
      </c>
      <c r="CF10" s="5">
        <v>2</v>
      </c>
      <c r="CG10" s="5">
        <v>3</v>
      </c>
      <c r="CH10" s="5">
        <v>4</v>
      </c>
      <c r="CI10" s="5">
        <v>2026</v>
      </c>
      <c r="CK10" s="24"/>
      <c r="CL10" s="25">
        <v>45077</v>
      </c>
      <c r="CM10" s="25">
        <v>45153</v>
      </c>
      <c r="CN10" s="25">
        <v>45255</v>
      </c>
      <c r="CO10" s="24">
        <v>2023</v>
      </c>
      <c r="CQ10" s="5"/>
      <c r="CR10" s="5" t="s">
        <v>288</v>
      </c>
      <c r="CS10" s="5" t="s">
        <v>344</v>
      </c>
      <c r="CT10" s="5" t="s">
        <v>414</v>
      </c>
      <c r="CU10" s="5" t="s">
        <v>415</v>
      </c>
      <c r="CV10" s="5" t="s">
        <v>425</v>
      </c>
      <c r="CW10" s="2">
        <v>2024</v>
      </c>
      <c r="CX10" s="5"/>
      <c r="CY10" s="5" t="s">
        <v>430</v>
      </c>
      <c r="CZ10" s="5" t="s">
        <v>508</v>
      </c>
      <c r="DA10" s="5" t="s">
        <v>518</v>
      </c>
      <c r="DB10" s="5" t="s">
        <v>425</v>
      </c>
      <c r="DC10" s="2">
        <v>2025</v>
      </c>
      <c r="DD10" s="5"/>
      <c r="DE10" s="5" t="s">
        <v>743</v>
      </c>
      <c r="DF10" s="5" t="s">
        <v>745</v>
      </c>
      <c r="DG10" s="5" t="s">
        <v>771</v>
      </c>
      <c r="DH10" s="5" t="s">
        <v>772</v>
      </c>
      <c r="DI10" s="5" t="s">
        <v>779</v>
      </c>
      <c r="DJ10" s="2">
        <v>2026</v>
      </c>
    </row>
    <row r="11" spans="1:114" x14ac:dyDescent="0.25">
      <c r="A11">
        <v>1</v>
      </c>
      <c r="B11" s="11" t="s">
        <v>113</v>
      </c>
      <c r="C11" s="6"/>
      <c r="D11" s="6" t="s">
        <v>517</v>
      </c>
      <c r="E11" s="6" t="s">
        <v>29</v>
      </c>
      <c r="F11" s="6"/>
      <c r="G11" s="6"/>
      <c r="H11" s="6"/>
      <c r="I11" s="6"/>
      <c r="J11" s="6"/>
      <c r="K11" s="6"/>
      <c r="L11" s="6"/>
      <c r="M11" s="6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1"/>
      <c r="AU11" s="6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>
        <f>366.5/2</f>
        <v>183.25</v>
      </c>
      <c r="CC11" s="11">
        <v>60</v>
      </c>
      <c r="CD11" s="11">
        <v>80</v>
      </c>
      <c r="CE11" s="11">
        <v>7.5</v>
      </c>
      <c r="CF11" s="11">
        <v>100</v>
      </c>
      <c r="CG11" s="11">
        <v>48</v>
      </c>
      <c r="CH11" s="11"/>
      <c r="CI11" s="11">
        <f t="shared" ref="CI11:CI35" si="0">SUM(CB11:CH11)</f>
        <v>478.75</v>
      </c>
      <c r="CK11" s="7"/>
      <c r="CL11" s="7"/>
      <c r="CM11" s="7"/>
      <c r="CN11" s="7"/>
      <c r="CO11" s="7"/>
      <c r="CP11" s="11"/>
      <c r="CQ11" s="11"/>
      <c r="CR11" s="11"/>
      <c r="CS11" s="11"/>
      <c r="CT11" s="11"/>
      <c r="CU11" s="11"/>
      <c r="CV11" s="11"/>
      <c r="CW11" s="6"/>
      <c r="CX11" s="6"/>
      <c r="CY11" s="11"/>
      <c r="CZ11" s="11"/>
      <c r="DA11" s="11"/>
      <c r="DB11" s="11"/>
      <c r="DC11" s="6">
        <f>SUM(CX11:DB11)</f>
        <v>0</v>
      </c>
      <c r="DD11" s="6">
        <f t="shared" ref="DD11:DD35" si="1">(DC11-CX11)/2</f>
        <v>0</v>
      </c>
      <c r="DE11" s="11"/>
      <c r="DF11" s="11"/>
      <c r="DG11" s="11"/>
      <c r="DH11" s="11"/>
      <c r="DI11" s="11"/>
      <c r="DJ11" s="6">
        <f>SUM(DD11:DE11)</f>
        <v>0</v>
      </c>
    </row>
    <row r="12" spans="1:114" x14ac:dyDescent="0.25">
      <c r="A12">
        <v>2</v>
      </c>
      <c r="B12" s="48" t="s">
        <v>307</v>
      </c>
      <c r="C12" s="49"/>
      <c r="D12" s="49" t="s">
        <v>308</v>
      </c>
      <c r="E12" s="49" t="s">
        <v>86</v>
      </c>
      <c r="F12" s="6"/>
      <c r="G12" s="6"/>
      <c r="H12" s="6"/>
      <c r="I12" s="6"/>
      <c r="J12" s="6"/>
      <c r="K12" s="6"/>
      <c r="L12" s="6"/>
      <c r="M12" s="6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1"/>
      <c r="AU12" s="6"/>
      <c r="AV12" s="11"/>
      <c r="AW12" s="11"/>
      <c r="AX12" s="11"/>
      <c r="AY12" s="11"/>
      <c r="AZ12" s="11">
        <v>48</v>
      </c>
      <c r="BA12" s="11"/>
      <c r="BB12" s="11"/>
      <c r="BC12" s="11"/>
      <c r="BD12" s="11"/>
      <c r="BE12" s="11">
        <v>105</v>
      </c>
      <c r="BF12" s="11">
        <v>50</v>
      </c>
      <c r="BG12" s="11"/>
      <c r="BH12" s="11">
        <v>48.8</v>
      </c>
      <c r="BI12" s="11"/>
      <c r="BJ12" s="11">
        <v>75</v>
      </c>
      <c r="BK12" s="11"/>
      <c r="BL12" s="11"/>
      <c r="BM12" s="11"/>
      <c r="BN12" s="11"/>
      <c r="BO12" s="11"/>
      <c r="BP12" s="11">
        <v>105</v>
      </c>
      <c r="BQ12" s="11">
        <v>80</v>
      </c>
      <c r="BR12" s="11">
        <v>140</v>
      </c>
      <c r="BS12" s="11">
        <f>SUM(AV12:BR12)</f>
        <v>651.79999999999995</v>
      </c>
      <c r="BT12" s="11">
        <f>(BS12-AV12)/2</f>
        <v>325.89999999999998</v>
      </c>
      <c r="BU12" s="11">
        <v>36</v>
      </c>
      <c r="BV12" s="11"/>
      <c r="BW12" s="11">
        <v>54</v>
      </c>
      <c r="BX12" s="11">
        <v>33.6</v>
      </c>
      <c r="BY12" s="11">
        <v>75</v>
      </c>
      <c r="BZ12" s="11">
        <v>100</v>
      </c>
      <c r="CA12" s="11">
        <f>SUM(BT12:BZ12)</f>
        <v>624.5</v>
      </c>
      <c r="CB12" s="11">
        <f>(CA12-BT12)/2</f>
        <v>149.30000000000001</v>
      </c>
      <c r="CC12" s="11">
        <v>42</v>
      </c>
      <c r="CD12" s="11">
        <v>56</v>
      </c>
      <c r="CE12" s="11">
        <v>75</v>
      </c>
      <c r="CF12" s="11">
        <v>70</v>
      </c>
      <c r="CG12" s="11">
        <v>33.6</v>
      </c>
      <c r="CH12" s="11"/>
      <c r="CI12" s="11">
        <f t="shared" si="0"/>
        <v>425.90000000000003</v>
      </c>
      <c r="CK12" s="7"/>
      <c r="CL12" s="7"/>
      <c r="CM12" s="7"/>
      <c r="CN12" s="7"/>
      <c r="CO12" s="7">
        <f>SUM(CK12:CL12)</f>
        <v>0</v>
      </c>
      <c r="CP12" s="11">
        <f>CO12/2</f>
        <v>0</v>
      </c>
      <c r="CQ12" s="11">
        <f>BS12/4</f>
        <v>162.94999999999999</v>
      </c>
      <c r="CR12" s="11">
        <v>18</v>
      </c>
      <c r="CS12" s="11"/>
      <c r="CT12" s="11">
        <v>105</v>
      </c>
      <c r="CU12" s="11">
        <v>50</v>
      </c>
      <c r="CV12" s="11">
        <v>50</v>
      </c>
      <c r="CW12" s="6">
        <f>SUM(CP12:CV12)</f>
        <v>385.95</v>
      </c>
      <c r="CX12" s="6">
        <f>(CW12-CP12)/2</f>
        <v>192.97499999999999</v>
      </c>
      <c r="CY12" s="11">
        <v>21</v>
      </c>
      <c r="CZ12" s="11"/>
      <c r="DA12" s="11">
        <v>15</v>
      </c>
      <c r="DB12" s="11"/>
      <c r="DC12" s="6">
        <f>SUM(CX12:DA12)</f>
        <v>228.97499999999999</v>
      </c>
      <c r="DD12" s="6">
        <f t="shared" si="1"/>
        <v>18</v>
      </c>
      <c r="DE12" s="11"/>
      <c r="DF12" s="11"/>
      <c r="DG12" s="11"/>
      <c r="DH12" s="11">
        <v>50</v>
      </c>
      <c r="DI12" s="11"/>
      <c r="DJ12" s="49">
        <f>SUM(DD12:DH12)</f>
        <v>68</v>
      </c>
    </row>
    <row r="13" spans="1:114" x14ac:dyDescent="0.25">
      <c r="A13">
        <v>3</v>
      </c>
      <c r="B13" s="11" t="s">
        <v>50</v>
      </c>
      <c r="C13" s="6"/>
      <c r="D13" s="6" t="s">
        <v>230</v>
      </c>
      <c r="E13" s="6" t="s">
        <v>231</v>
      </c>
      <c r="F13" s="6"/>
      <c r="G13" s="6"/>
      <c r="H13" s="6"/>
      <c r="I13" s="6"/>
      <c r="J13" s="6"/>
      <c r="K13" s="6"/>
      <c r="L13" s="6"/>
      <c r="M13" s="6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1"/>
      <c r="AU13" s="6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>
        <v>64</v>
      </c>
      <c r="BH13" s="11"/>
      <c r="BI13" s="11"/>
      <c r="BJ13" s="11"/>
      <c r="BK13" s="11"/>
      <c r="BL13" s="11"/>
      <c r="BM13" s="11">
        <v>36</v>
      </c>
      <c r="BN13" s="11"/>
      <c r="BO13" s="11"/>
      <c r="BP13" s="11"/>
      <c r="BQ13" s="11"/>
      <c r="BR13" s="11"/>
      <c r="BS13" s="11">
        <f>SUM(AV13:BR13)</f>
        <v>100</v>
      </c>
      <c r="BT13" s="11">
        <f>(BS13-AV13)/2</f>
        <v>50</v>
      </c>
      <c r="BU13" s="11">
        <v>48</v>
      </c>
      <c r="BV13" s="11">
        <v>64</v>
      </c>
      <c r="BW13" s="11">
        <v>105</v>
      </c>
      <c r="BX13" s="11">
        <v>150</v>
      </c>
      <c r="BY13" s="11">
        <v>64</v>
      </c>
      <c r="BZ13" s="11">
        <v>200</v>
      </c>
      <c r="CA13" s="11">
        <f>SUM(BT13:BZ13)</f>
        <v>681</v>
      </c>
      <c r="CB13" s="11">
        <f>(CA13-BT13)/2</f>
        <v>315.5</v>
      </c>
      <c r="CC13" s="11"/>
      <c r="CD13" s="11"/>
      <c r="CE13" s="11"/>
      <c r="CF13" s="11"/>
      <c r="CG13" s="11"/>
      <c r="CH13" s="11"/>
      <c r="CI13" s="11">
        <f t="shared" si="0"/>
        <v>315.5</v>
      </c>
      <c r="CK13" s="7"/>
      <c r="CL13" s="7"/>
      <c r="CM13" s="7"/>
      <c r="CN13" s="7"/>
      <c r="CO13" s="7">
        <f>SUM(CK13:CL13)</f>
        <v>0</v>
      </c>
      <c r="CP13" s="11">
        <f>CO13/2</f>
        <v>0</v>
      </c>
      <c r="CQ13" s="11">
        <f>BS13/4</f>
        <v>25</v>
      </c>
      <c r="CR13" s="11"/>
      <c r="CS13" s="11"/>
      <c r="CT13" s="11"/>
      <c r="CU13" s="11"/>
      <c r="CV13" s="11"/>
      <c r="CW13" s="6">
        <f>SUM(CP13:CV13)</f>
        <v>25</v>
      </c>
      <c r="CX13" s="6">
        <f>(CW13-CP13)/2</f>
        <v>12.5</v>
      </c>
      <c r="CY13" s="11">
        <v>26.25</v>
      </c>
      <c r="CZ13" s="11"/>
      <c r="DA13" s="11"/>
      <c r="DB13" s="11"/>
      <c r="DC13" s="6">
        <f>SUM(CX13:CZ13)</f>
        <v>38.75</v>
      </c>
      <c r="DD13" s="6">
        <f t="shared" si="1"/>
        <v>13.125</v>
      </c>
      <c r="DE13" s="11"/>
      <c r="DF13" s="11"/>
      <c r="DG13" s="11"/>
      <c r="DH13" s="11"/>
      <c r="DI13" s="11"/>
      <c r="DJ13" s="6">
        <f>SUM(DD13:DE13)</f>
        <v>13.125</v>
      </c>
    </row>
    <row r="14" spans="1:114" x14ac:dyDescent="0.25">
      <c r="A14">
        <v>4</v>
      </c>
      <c r="B14" s="11" t="s">
        <v>459</v>
      </c>
      <c r="C14" s="6"/>
      <c r="D14" s="6" t="s">
        <v>460</v>
      </c>
      <c r="E14" s="6" t="s">
        <v>111</v>
      </c>
      <c r="F14" s="6"/>
      <c r="G14" s="6"/>
      <c r="H14" s="6"/>
      <c r="I14" s="6"/>
      <c r="J14" s="6"/>
      <c r="K14" s="6"/>
      <c r="L14" s="6"/>
      <c r="M14" s="6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1"/>
      <c r="AU14" s="6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>
        <f>168.25/2</f>
        <v>84.125</v>
      </c>
      <c r="BU14" s="11">
        <v>36</v>
      </c>
      <c r="BV14" s="11">
        <v>64</v>
      </c>
      <c r="BW14" s="11">
        <v>75</v>
      </c>
      <c r="BX14" s="11">
        <v>100</v>
      </c>
      <c r="BY14" s="11">
        <v>75</v>
      </c>
      <c r="BZ14" s="11">
        <v>150</v>
      </c>
      <c r="CA14" s="11">
        <f>SUM(BT14:BZ14)</f>
        <v>584.125</v>
      </c>
      <c r="CB14" s="11">
        <f>(CA14-BT14)/2</f>
        <v>250</v>
      </c>
      <c r="CC14" s="11"/>
      <c r="CD14" s="11"/>
      <c r="CE14" s="11"/>
      <c r="CF14" s="11">
        <v>50</v>
      </c>
      <c r="CG14" s="11"/>
      <c r="CH14" s="11"/>
      <c r="CI14" s="11">
        <f t="shared" si="0"/>
        <v>300</v>
      </c>
      <c r="CK14" s="7"/>
      <c r="CL14" s="7"/>
      <c r="CM14" s="7"/>
      <c r="CN14" s="7"/>
      <c r="CO14" s="7"/>
      <c r="CP14" s="11"/>
      <c r="CQ14" s="11"/>
      <c r="CR14" s="11"/>
      <c r="CS14" s="11"/>
      <c r="CT14" s="11"/>
      <c r="CU14" s="11"/>
      <c r="CV14" s="11"/>
      <c r="CW14" s="6"/>
      <c r="CX14" s="6"/>
      <c r="CY14" s="11">
        <v>1.75</v>
      </c>
      <c r="CZ14" s="11"/>
      <c r="DA14" s="11"/>
      <c r="DB14" s="11">
        <v>40</v>
      </c>
      <c r="DC14" s="6">
        <f t="shared" ref="DC14:DC35" si="2">SUM(CX14:DB14)</f>
        <v>41.75</v>
      </c>
      <c r="DD14" s="6">
        <f t="shared" si="1"/>
        <v>20.875</v>
      </c>
      <c r="DE14" s="11"/>
      <c r="DF14" s="11"/>
      <c r="DG14" s="11"/>
      <c r="DH14" s="11"/>
      <c r="DI14" s="11"/>
      <c r="DJ14" s="6">
        <f>SUM(DD14:DE14)</f>
        <v>20.875</v>
      </c>
    </row>
    <row r="15" spans="1:114" x14ac:dyDescent="0.25">
      <c r="A15">
        <v>5</v>
      </c>
      <c r="B15" s="11" t="s">
        <v>347</v>
      </c>
      <c r="C15" s="6"/>
      <c r="D15" s="6" t="s">
        <v>348</v>
      </c>
      <c r="E15" s="6" t="s">
        <v>42</v>
      </c>
      <c r="F15" s="6"/>
      <c r="G15" s="6"/>
      <c r="H15" s="6"/>
      <c r="I15" s="6"/>
      <c r="J15" s="6"/>
      <c r="K15" s="6"/>
      <c r="L15" s="6"/>
      <c r="M15" s="6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1"/>
      <c r="AU15" s="6"/>
      <c r="AV15" s="11"/>
      <c r="AW15" s="11"/>
      <c r="AX15" s="11"/>
      <c r="AY15" s="11"/>
      <c r="AZ15" s="11"/>
      <c r="BA15" s="11"/>
      <c r="BB15" s="11"/>
      <c r="BC15" s="11">
        <v>2.4</v>
      </c>
      <c r="BD15" s="11"/>
      <c r="BE15" s="11">
        <v>7.5</v>
      </c>
      <c r="BF15" s="11"/>
      <c r="BG15" s="11"/>
      <c r="BH15" s="11"/>
      <c r="BI15" s="11">
        <v>40</v>
      </c>
      <c r="BJ15" s="11">
        <v>7.5</v>
      </c>
      <c r="BK15" s="11"/>
      <c r="BL15" s="11">
        <v>48</v>
      </c>
      <c r="BM15" s="11"/>
      <c r="BN15" s="11"/>
      <c r="BO15" s="11"/>
      <c r="BP15" s="11">
        <v>75</v>
      </c>
      <c r="BQ15" s="11"/>
      <c r="BR15" s="11"/>
      <c r="BS15" s="11">
        <f>SUM(AV15:BR15)</f>
        <v>180.4</v>
      </c>
      <c r="BT15" s="11">
        <f>(BS15-AV15)/2</f>
        <v>90.2</v>
      </c>
      <c r="BU15" s="11">
        <v>36</v>
      </c>
      <c r="BV15" s="11">
        <v>44.8</v>
      </c>
      <c r="BW15" s="11">
        <v>7.5</v>
      </c>
      <c r="BX15" s="11">
        <v>5</v>
      </c>
      <c r="BY15" s="11">
        <v>105</v>
      </c>
      <c r="BZ15" s="11">
        <v>105</v>
      </c>
      <c r="CA15" s="11">
        <f>SUM(BT15:BZ15)</f>
        <v>393.5</v>
      </c>
      <c r="CB15" s="11">
        <f>(CA15-BT15)/2</f>
        <v>151.65</v>
      </c>
      <c r="CC15" s="11">
        <v>36</v>
      </c>
      <c r="CD15" s="11"/>
      <c r="CE15" s="11">
        <v>75</v>
      </c>
      <c r="CF15" s="11">
        <v>36</v>
      </c>
      <c r="CG15" s="11"/>
      <c r="CH15" s="11"/>
      <c r="CI15" s="11">
        <f t="shared" si="0"/>
        <v>298.64999999999998</v>
      </c>
      <c r="CK15" s="7"/>
      <c r="CL15" s="7"/>
      <c r="CM15" s="7"/>
      <c r="CN15" s="7"/>
      <c r="CO15" s="7">
        <f>SUM(CK15:CL15)</f>
        <v>0</v>
      </c>
      <c r="CP15" s="11">
        <f>CO15/2</f>
        <v>0</v>
      </c>
      <c r="CQ15" s="11">
        <f>BS15/4</f>
        <v>45.1</v>
      </c>
      <c r="CR15" s="11"/>
      <c r="CS15" s="11"/>
      <c r="CT15" s="11"/>
      <c r="CU15" s="11"/>
      <c r="CV15" s="11"/>
      <c r="CW15" s="6">
        <f>SUM(CP15:CV15)</f>
        <v>45.1</v>
      </c>
      <c r="CX15" s="6">
        <f>(CW15-CP15)/2</f>
        <v>22.55</v>
      </c>
      <c r="CY15" s="11"/>
      <c r="CZ15" s="11"/>
      <c r="DA15" s="11"/>
      <c r="DB15" s="11"/>
      <c r="DC15" s="6">
        <f t="shared" si="2"/>
        <v>22.55</v>
      </c>
      <c r="DD15" s="6">
        <f t="shared" si="1"/>
        <v>0</v>
      </c>
      <c r="DE15" s="11"/>
      <c r="DF15" s="11"/>
      <c r="DG15" s="11"/>
      <c r="DH15" s="11">
        <v>5</v>
      </c>
      <c r="DI15" s="11"/>
      <c r="DJ15" s="6">
        <f>SUM(DD15:DH15)</f>
        <v>5</v>
      </c>
    </row>
    <row r="16" spans="1:114" x14ac:dyDescent="0.25">
      <c r="A16">
        <v>6</v>
      </c>
      <c r="B16" s="11" t="s">
        <v>169</v>
      </c>
      <c r="C16" s="6"/>
      <c r="D16" s="6" t="s">
        <v>255</v>
      </c>
      <c r="E16" s="6" t="s">
        <v>634</v>
      </c>
      <c r="F16" s="6"/>
      <c r="G16" s="6"/>
      <c r="H16" s="6"/>
      <c r="I16" s="6"/>
      <c r="J16" s="6"/>
      <c r="K16" s="6"/>
      <c r="L16" s="6"/>
      <c r="M16" s="6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1"/>
      <c r="AU16" s="6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>
        <v>36</v>
      </c>
      <c r="BV16" s="11">
        <v>44.8</v>
      </c>
      <c r="BW16" s="11">
        <v>54</v>
      </c>
      <c r="BX16" s="11">
        <v>39</v>
      </c>
      <c r="BY16" s="11">
        <v>7.5</v>
      </c>
      <c r="BZ16" s="11">
        <v>10</v>
      </c>
      <c r="CA16" s="11">
        <f>SUM(BT16:BZ16)</f>
        <v>191.3</v>
      </c>
      <c r="CB16" s="11">
        <f>(CA16-BT16)/2</f>
        <v>95.65</v>
      </c>
      <c r="CC16" s="11">
        <v>48</v>
      </c>
      <c r="CD16" s="11">
        <v>3.2</v>
      </c>
      <c r="CE16" s="11">
        <v>105</v>
      </c>
      <c r="CF16" s="11">
        <v>2.4</v>
      </c>
      <c r="CG16" s="11"/>
      <c r="CH16" s="11"/>
      <c r="CI16" s="11">
        <f t="shared" si="0"/>
        <v>254.25</v>
      </c>
      <c r="CK16" s="7"/>
      <c r="CL16" s="7"/>
      <c r="CM16" s="7"/>
      <c r="CN16" s="7"/>
      <c r="CO16" s="7"/>
      <c r="CP16" s="11"/>
      <c r="CQ16" s="11"/>
      <c r="CR16" s="11"/>
      <c r="CS16" s="11"/>
      <c r="CT16" s="11"/>
      <c r="CU16" s="11"/>
      <c r="CV16" s="11"/>
      <c r="CW16" s="6"/>
      <c r="CX16" s="6"/>
      <c r="CY16" s="11"/>
      <c r="CZ16" s="11"/>
      <c r="DA16" s="11"/>
      <c r="DB16" s="11"/>
      <c r="DC16" s="6">
        <f t="shared" si="2"/>
        <v>0</v>
      </c>
      <c r="DD16" s="6">
        <f t="shared" si="1"/>
        <v>0</v>
      </c>
      <c r="DE16" s="11"/>
      <c r="DF16" s="11"/>
      <c r="DG16" s="11"/>
      <c r="DH16" s="11"/>
      <c r="DI16" s="11"/>
      <c r="DJ16" s="6">
        <f>SUM(DD16:DE16)</f>
        <v>0</v>
      </c>
    </row>
    <row r="17" spans="1:114" x14ac:dyDescent="0.25">
      <c r="A17">
        <v>7</v>
      </c>
      <c r="B17" s="11" t="s">
        <v>169</v>
      </c>
      <c r="C17" s="6"/>
      <c r="D17" s="6" t="s">
        <v>561</v>
      </c>
      <c r="E17" s="6" t="s">
        <v>197</v>
      </c>
      <c r="F17" s="6"/>
      <c r="G17" s="6"/>
      <c r="H17" s="6"/>
      <c r="I17" s="6"/>
      <c r="J17" s="6"/>
      <c r="K17" s="6"/>
      <c r="L17" s="6"/>
      <c r="M17" s="6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U17" s="6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>
        <v>149</v>
      </c>
      <c r="CC17" s="11">
        <v>30</v>
      </c>
      <c r="CD17" s="11">
        <v>40</v>
      </c>
      <c r="CE17" s="11"/>
      <c r="CF17" s="11"/>
      <c r="CG17" s="11"/>
      <c r="CH17" s="11"/>
      <c r="CI17" s="11">
        <f t="shared" si="0"/>
        <v>219</v>
      </c>
      <c r="CK17" s="7"/>
      <c r="CL17" s="7"/>
      <c r="CM17" s="7"/>
      <c r="CN17" s="7"/>
      <c r="CO17" s="7"/>
      <c r="CP17" s="11"/>
      <c r="CQ17" s="11"/>
      <c r="CR17" s="11"/>
      <c r="CS17" s="11"/>
      <c r="CT17" s="11"/>
      <c r="CU17" s="11"/>
      <c r="CV17" s="11"/>
      <c r="CW17" s="6"/>
      <c r="CX17" s="6"/>
      <c r="CY17" s="11"/>
      <c r="CZ17" s="11"/>
      <c r="DA17" s="11"/>
      <c r="DB17" s="11"/>
      <c r="DC17" s="6">
        <f t="shared" si="2"/>
        <v>0</v>
      </c>
      <c r="DD17" s="6">
        <f t="shared" si="1"/>
        <v>0</v>
      </c>
      <c r="DE17" s="11"/>
      <c r="DF17" s="11"/>
      <c r="DG17" s="11"/>
      <c r="DH17" s="11">
        <v>5</v>
      </c>
      <c r="DI17" s="11"/>
      <c r="DJ17" s="6">
        <f>SUM(DD17:DH17)</f>
        <v>5</v>
      </c>
    </row>
    <row r="18" spans="1:114" x14ac:dyDescent="0.25">
      <c r="A18" s="52">
        <v>8</v>
      </c>
      <c r="B18" s="18" t="s">
        <v>304</v>
      </c>
      <c r="C18" s="19"/>
      <c r="D18" s="19" t="s">
        <v>305</v>
      </c>
      <c r="E18" s="19" t="s">
        <v>83</v>
      </c>
      <c r="F18" s="6"/>
      <c r="G18" s="6"/>
      <c r="H18" s="6"/>
      <c r="I18" s="6"/>
      <c r="J18" s="6"/>
      <c r="K18" s="6"/>
      <c r="L18" s="6"/>
      <c r="M18" s="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U18" s="6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>
        <v>64</v>
      </c>
      <c r="CE18" s="11">
        <v>150</v>
      </c>
      <c r="CF18" s="11"/>
      <c r="CG18" s="11"/>
      <c r="CH18" s="11"/>
      <c r="CI18" s="11">
        <f t="shared" si="0"/>
        <v>214</v>
      </c>
      <c r="CK18" s="7"/>
      <c r="CL18" s="7"/>
      <c r="CM18" s="7"/>
      <c r="CN18" s="7"/>
      <c r="CO18" s="7"/>
      <c r="CP18" s="11"/>
      <c r="CQ18" s="11"/>
      <c r="CR18" s="11"/>
      <c r="CS18" s="11"/>
      <c r="CT18" s="11"/>
      <c r="CU18" s="11"/>
      <c r="CV18" s="11"/>
      <c r="CW18" s="6"/>
      <c r="CX18" s="6"/>
      <c r="CY18" s="11"/>
      <c r="CZ18" s="11"/>
      <c r="DA18" s="11"/>
      <c r="DB18" s="11"/>
      <c r="DC18" s="6">
        <f t="shared" si="2"/>
        <v>0</v>
      </c>
      <c r="DD18" s="6">
        <f t="shared" si="1"/>
        <v>0</v>
      </c>
      <c r="DE18" s="11">
        <v>125</v>
      </c>
      <c r="DF18" s="11">
        <v>108</v>
      </c>
      <c r="DG18" s="11">
        <v>105</v>
      </c>
      <c r="DH18" s="11">
        <v>75</v>
      </c>
      <c r="DI18" s="11">
        <v>25</v>
      </c>
      <c r="DJ18" s="19">
        <f>SUM(DD18:DI18)</f>
        <v>438</v>
      </c>
    </row>
    <row r="19" spans="1:114" x14ac:dyDescent="0.25">
      <c r="A19">
        <v>9</v>
      </c>
      <c r="B19" s="11" t="s">
        <v>77</v>
      </c>
      <c r="C19" s="6"/>
      <c r="D19" s="6" t="s">
        <v>510</v>
      </c>
      <c r="E19" s="6" t="s">
        <v>511</v>
      </c>
      <c r="F19" s="6"/>
      <c r="G19" s="6"/>
      <c r="H19" s="6"/>
      <c r="I19" s="6"/>
      <c r="J19" s="6"/>
      <c r="K19" s="6"/>
      <c r="L19" s="6"/>
      <c r="M19" s="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U19" s="6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>
        <v>48</v>
      </c>
      <c r="BV19" s="11">
        <v>44.8</v>
      </c>
      <c r="BW19" s="11">
        <v>75</v>
      </c>
      <c r="BX19" s="11">
        <v>3.2</v>
      </c>
      <c r="BY19" s="11">
        <v>140</v>
      </c>
      <c r="BZ19" s="11"/>
      <c r="CA19" s="11">
        <f>SUM(BT19:BZ19)</f>
        <v>311</v>
      </c>
      <c r="CB19" s="11">
        <f>(CA19-BT19)/2</f>
        <v>155.5</v>
      </c>
      <c r="CC19" s="11">
        <v>48</v>
      </c>
      <c r="CD19" s="11"/>
      <c r="CE19" s="11">
        <v>7.5</v>
      </c>
      <c r="CF19" s="11"/>
      <c r="CG19" s="11"/>
      <c r="CH19" s="11"/>
      <c r="CI19" s="11">
        <f t="shared" si="0"/>
        <v>211</v>
      </c>
      <c r="CK19" s="7"/>
      <c r="CL19" s="7"/>
      <c r="CM19" s="7"/>
      <c r="CN19" s="7"/>
      <c r="CO19" s="7"/>
      <c r="CP19" s="11"/>
      <c r="CQ19" s="11"/>
      <c r="CR19" s="11"/>
      <c r="CS19" s="11"/>
      <c r="CT19" s="11"/>
      <c r="CU19" s="11"/>
      <c r="CV19" s="11"/>
      <c r="CW19" s="6"/>
      <c r="CX19" s="6"/>
      <c r="CY19" s="11"/>
      <c r="CZ19" s="11"/>
      <c r="DA19" s="11"/>
      <c r="DB19" s="11">
        <v>28</v>
      </c>
      <c r="DC19" s="6">
        <f t="shared" si="2"/>
        <v>28</v>
      </c>
      <c r="DD19" s="6">
        <f t="shared" si="1"/>
        <v>14</v>
      </c>
      <c r="DE19" s="11"/>
      <c r="DF19" s="11"/>
      <c r="DG19" s="11"/>
      <c r="DH19" s="11"/>
      <c r="DI19" s="11"/>
      <c r="DJ19" s="6">
        <f t="shared" ref="DJ19:DJ35" si="3">SUM(DD19:DE19)</f>
        <v>14</v>
      </c>
    </row>
    <row r="20" spans="1:114" x14ac:dyDescent="0.25">
      <c r="A20">
        <v>10</v>
      </c>
      <c r="B20" s="11" t="s">
        <v>85</v>
      </c>
      <c r="C20" s="6"/>
      <c r="D20" s="6" t="s">
        <v>457</v>
      </c>
      <c r="E20" s="6" t="s">
        <v>86</v>
      </c>
      <c r="F20" s="6"/>
      <c r="G20" s="6"/>
      <c r="H20" s="6"/>
      <c r="I20" s="6"/>
      <c r="J20" s="6"/>
      <c r="K20" s="6"/>
      <c r="L20" s="6"/>
      <c r="M20" s="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U20" s="6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>
        <v>48</v>
      </c>
      <c r="BV20" s="11">
        <v>48</v>
      </c>
      <c r="BW20" s="11">
        <v>150</v>
      </c>
      <c r="BX20" s="11">
        <v>100</v>
      </c>
      <c r="BY20" s="11">
        <v>75</v>
      </c>
      <c r="BZ20" s="11"/>
      <c r="CA20" s="11">
        <f>SUM(BT20:BZ20)</f>
        <v>421</v>
      </c>
      <c r="CB20" s="11">
        <f>(CA20-BT20)/2</f>
        <v>210.5</v>
      </c>
      <c r="CC20" s="11"/>
      <c r="CD20" s="11"/>
      <c r="CE20" s="11"/>
      <c r="CF20" s="11"/>
      <c r="CG20" s="11"/>
      <c r="CH20" s="11"/>
      <c r="CI20" s="11">
        <f t="shared" si="0"/>
        <v>210.5</v>
      </c>
      <c r="CO20" s="7"/>
      <c r="CP20" s="11"/>
      <c r="CQ20" s="11"/>
      <c r="CR20" s="11"/>
      <c r="CS20" s="11"/>
      <c r="CT20" s="11"/>
      <c r="CU20" s="11"/>
      <c r="CV20" s="11"/>
      <c r="CW20" s="6"/>
      <c r="CX20" s="6"/>
      <c r="CY20" s="11">
        <v>14</v>
      </c>
      <c r="CZ20" s="11"/>
      <c r="DA20" s="11"/>
      <c r="DB20" s="11"/>
      <c r="DC20" s="6">
        <f t="shared" si="2"/>
        <v>14</v>
      </c>
      <c r="DD20" s="6">
        <f t="shared" si="1"/>
        <v>7</v>
      </c>
      <c r="DE20" s="11"/>
      <c r="DF20" s="11"/>
      <c r="DG20" s="11"/>
      <c r="DH20" s="11"/>
      <c r="DI20" s="11"/>
      <c r="DJ20" s="6">
        <f t="shared" si="3"/>
        <v>7</v>
      </c>
    </row>
    <row r="21" spans="1:114" x14ac:dyDescent="0.25">
      <c r="A21">
        <v>11</v>
      </c>
      <c r="B21" s="11" t="s">
        <v>701</v>
      </c>
      <c r="C21" s="6"/>
      <c r="D21" s="6" t="s">
        <v>702</v>
      </c>
      <c r="E21" s="6" t="s">
        <v>525</v>
      </c>
      <c r="F21" s="6"/>
      <c r="G21" s="6"/>
      <c r="H21" s="6"/>
      <c r="I21" s="6"/>
      <c r="J21" s="6"/>
      <c r="K21" s="6"/>
      <c r="L21" s="6"/>
      <c r="M21" s="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U21" s="6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>
        <f>33.1/2</f>
        <v>16.55</v>
      </c>
      <c r="CC21" s="11">
        <v>36</v>
      </c>
      <c r="CD21" s="11"/>
      <c r="CE21" s="11">
        <v>54</v>
      </c>
      <c r="CF21" s="11"/>
      <c r="CG21" s="11"/>
      <c r="CH21" s="11"/>
      <c r="CI21" s="11">
        <f t="shared" si="0"/>
        <v>106.55</v>
      </c>
      <c r="CO21" s="7"/>
      <c r="CP21" s="11"/>
      <c r="CQ21" s="11"/>
      <c r="CR21" s="11"/>
      <c r="CS21" s="11"/>
      <c r="CT21" s="11"/>
      <c r="CU21" s="11"/>
      <c r="CV21" s="11"/>
      <c r="CW21" s="6"/>
      <c r="CX21" s="6"/>
      <c r="CY21" s="11"/>
      <c r="CZ21" s="11"/>
      <c r="DA21" s="11"/>
      <c r="DB21" s="11"/>
      <c r="DC21" s="6">
        <f t="shared" si="2"/>
        <v>0</v>
      </c>
      <c r="DD21" s="6">
        <f t="shared" si="1"/>
        <v>0</v>
      </c>
      <c r="DE21" s="11"/>
      <c r="DF21" s="11"/>
      <c r="DG21" s="11"/>
      <c r="DH21" s="11"/>
      <c r="DI21" s="11"/>
      <c r="DJ21" s="6">
        <f t="shared" si="3"/>
        <v>0</v>
      </c>
    </row>
    <row r="22" spans="1:114" x14ac:dyDescent="0.25">
      <c r="A22">
        <v>12</v>
      </c>
      <c r="B22" s="11" t="s">
        <v>614</v>
      </c>
      <c r="C22" s="6"/>
      <c r="D22" s="6" t="s">
        <v>147</v>
      </c>
      <c r="E22" s="6" t="s">
        <v>9</v>
      </c>
      <c r="F22" s="6"/>
      <c r="G22" s="6"/>
      <c r="H22" s="6"/>
      <c r="I22" s="6"/>
      <c r="J22" s="6"/>
      <c r="K22" s="6"/>
      <c r="L22" s="6"/>
      <c r="M22" s="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U22" s="6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>
        <f>SUM(BT22:BZ22)</f>
        <v>0</v>
      </c>
      <c r="CB22" s="11">
        <f>(CA22-BT22)/2</f>
        <v>0</v>
      </c>
      <c r="CC22" s="11">
        <v>3</v>
      </c>
      <c r="CD22" s="11">
        <v>40</v>
      </c>
      <c r="CE22" s="11">
        <v>54</v>
      </c>
      <c r="CF22" s="11">
        <v>5</v>
      </c>
      <c r="CG22" s="11">
        <v>2.4</v>
      </c>
      <c r="CH22" s="11"/>
      <c r="CI22" s="11">
        <f t="shared" si="0"/>
        <v>104.4</v>
      </c>
      <c r="CO22" s="7"/>
      <c r="CP22" s="11"/>
      <c r="CQ22" s="11"/>
      <c r="CR22" s="11"/>
      <c r="CS22" s="11"/>
      <c r="CT22" s="11"/>
      <c r="CU22" s="11"/>
      <c r="CV22" s="11"/>
      <c r="CW22" s="6"/>
      <c r="CX22" s="6"/>
      <c r="CY22" s="11"/>
      <c r="CZ22" s="11"/>
      <c r="DA22" s="11"/>
      <c r="DB22" s="11">
        <v>2</v>
      </c>
      <c r="DC22" s="6">
        <f t="shared" si="2"/>
        <v>2</v>
      </c>
      <c r="DD22" s="6">
        <f t="shared" si="1"/>
        <v>1</v>
      </c>
      <c r="DE22" s="11"/>
      <c r="DF22" s="11"/>
      <c r="DG22" s="11"/>
      <c r="DH22" s="11"/>
      <c r="DI22" s="11"/>
      <c r="DJ22" s="6">
        <f t="shared" si="3"/>
        <v>1</v>
      </c>
    </row>
    <row r="23" spans="1:114" x14ac:dyDescent="0.25">
      <c r="A23">
        <v>13</v>
      </c>
      <c r="B23" s="11" t="s">
        <v>632</v>
      </c>
      <c r="C23" s="6"/>
      <c r="D23" s="6" t="s">
        <v>633</v>
      </c>
      <c r="E23" s="6" t="s">
        <v>83</v>
      </c>
      <c r="F23" s="6"/>
      <c r="G23" s="6"/>
      <c r="H23" s="6"/>
      <c r="I23" s="6"/>
      <c r="J23" s="6"/>
      <c r="K23" s="6"/>
      <c r="L23" s="6"/>
      <c r="M23" s="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U23" s="6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>
        <v>33.6</v>
      </c>
      <c r="CD23" s="11">
        <v>44.8</v>
      </c>
      <c r="CE23" s="11">
        <v>7.5</v>
      </c>
      <c r="CF23" s="11">
        <v>2.4</v>
      </c>
      <c r="CG23" s="11"/>
      <c r="CH23" s="11"/>
      <c r="CI23" s="11">
        <f t="shared" si="0"/>
        <v>88.300000000000011</v>
      </c>
      <c r="CW23" s="6"/>
      <c r="CX23" s="6"/>
      <c r="CY23" s="11"/>
      <c r="CZ23" s="11"/>
      <c r="DA23" s="11"/>
      <c r="DB23" s="11"/>
      <c r="DC23" s="6">
        <f t="shared" si="2"/>
        <v>0</v>
      </c>
      <c r="DD23" s="6">
        <f t="shared" si="1"/>
        <v>0</v>
      </c>
      <c r="DE23" s="11"/>
      <c r="DF23" s="11"/>
      <c r="DG23" s="11"/>
      <c r="DH23" s="11"/>
      <c r="DI23" s="11"/>
      <c r="DJ23" s="6">
        <f t="shared" si="3"/>
        <v>0</v>
      </c>
    </row>
    <row r="24" spans="1:114" x14ac:dyDescent="0.25">
      <c r="A24">
        <v>14</v>
      </c>
      <c r="B24" s="11" t="s">
        <v>587</v>
      </c>
      <c r="C24" s="6"/>
      <c r="D24" s="6" t="s">
        <v>588</v>
      </c>
      <c r="E24" s="6" t="s">
        <v>193</v>
      </c>
      <c r="F24" s="6"/>
      <c r="G24" s="6"/>
      <c r="H24" s="6"/>
      <c r="I24" s="6"/>
      <c r="J24" s="6"/>
      <c r="K24" s="6"/>
      <c r="L24" s="6"/>
      <c r="M24" s="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U24" s="6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>
        <v>48</v>
      </c>
      <c r="CE24" s="11"/>
      <c r="CF24" s="11"/>
      <c r="CG24" s="11"/>
      <c r="CH24" s="11"/>
      <c r="CI24" s="11">
        <f t="shared" si="0"/>
        <v>48</v>
      </c>
      <c r="CW24" s="6"/>
      <c r="CX24" s="6"/>
      <c r="CY24" s="11"/>
      <c r="CZ24" s="11"/>
      <c r="DA24" s="11"/>
      <c r="DB24" s="11"/>
      <c r="DC24" s="6">
        <f t="shared" si="2"/>
        <v>0</v>
      </c>
      <c r="DD24" s="6">
        <f t="shared" si="1"/>
        <v>0</v>
      </c>
      <c r="DE24" s="11"/>
      <c r="DF24" s="11"/>
      <c r="DG24" s="11"/>
      <c r="DH24" s="11"/>
      <c r="DI24" s="11"/>
      <c r="DJ24" s="6">
        <f t="shared" si="3"/>
        <v>0</v>
      </c>
    </row>
    <row r="25" spans="1:114" x14ac:dyDescent="0.25">
      <c r="A25">
        <v>15</v>
      </c>
      <c r="B25" s="11" t="s">
        <v>453</v>
      </c>
      <c r="C25" s="6"/>
      <c r="D25" s="6" t="s">
        <v>454</v>
      </c>
      <c r="E25" s="6" t="s">
        <v>27</v>
      </c>
      <c r="F25" s="6"/>
      <c r="G25" s="6"/>
      <c r="H25" s="6"/>
      <c r="I25" s="6"/>
      <c r="J25" s="6"/>
      <c r="K25" s="6"/>
      <c r="L25" s="6"/>
      <c r="M25" s="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U25" s="6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>
        <v>96</v>
      </c>
      <c r="BU25" s="11">
        <v>36</v>
      </c>
      <c r="BV25" s="11"/>
      <c r="BW25" s="11">
        <v>7.5</v>
      </c>
      <c r="BX25" s="11">
        <v>50</v>
      </c>
      <c r="BY25" s="11"/>
      <c r="BZ25" s="11"/>
      <c r="CA25" s="11">
        <f>SUM(BT25:BZ25)</f>
        <v>189.5</v>
      </c>
      <c r="CB25" s="11">
        <f>(CA25-BT25)/2</f>
        <v>46.75</v>
      </c>
      <c r="CC25" s="11"/>
      <c r="CD25" s="11"/>
      <c r="CE25" s="11"/>
      <c r="CF25" s="11"/>
      <c r="CG25" s="11"/>
      <c r="CH25" s="11"/>
      <c r="CI25" s="11">
        <f t="shared" si="0"/>
        <v>46.75</v>
      </c>
      <c r="CY25" s="8">
        <v>21</v>
      </c>
      <c r="DC25" s="6">
        <f t="shared" si="2"/>
        <v>21</v>
      </c>
      <c r="DD25" s="6">
        <f t="shared" si="1"/>
        <v>10.5</v>
      </c>
      <c r="DE25" s="11"/>
      <c r="DF25" s="11"/>
      <c r="DG25" s="11"/>
      <c r="DH25" s="11"/>
      <c r="DI25" s="11"/>
      <c r="DJ25" s="6">
        <f t="shared" si="3"/>
        <v>10.5</v>
      </c>
    </row>
    <row r="26" spans="1:114" x14ac:dyDescent="0.25">
      <c r="A26">
        <v>16</v>
      </c>
      <c r="B26" s="11" t="s">
        <v>77</v>
      </c>
      <c r="C26" s="6"/>
      <c r="D26" s="6" t="s">
        <v>205</v>
      </c>
      <c r="E26" s="6" t="s">
        <v>187</v>
      </c>
      <c r="F26" s="6"/>
      <c r="G26" s="6"/>
      <c r="H26" s="6"/>
      <c r="I26" s="6"/>
      <c r="J26" s="6"/>
      <c r="K26" s="6"/>
      <c r="L26" s="6"/>
      <c r="M26" s="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U26" s="6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>
        <v>36</v>
      </c>
      <c r="CD26" s="11"/>
      <c r="CE26" s="11">
        <v>7.5</v>
      </c>
      <c r="CF26" s="11"/>
      <c r="CG26" s="11"/>
      <c r="CH26" s="11"/>
      <c r="CI26" s="11">
        <f t="shared" si="0"/>
        <v>43.5</v>
      </c>
      <c r="DC26" s="6">
        <f t="shared" si="2"/>
        <v>0</v>
      </c>
      <c r="DD26" s="6">
        <f t="shared" si="1"/>
        <v>0</v>
      </c>
      <c r="DE26" s="11"/>
      <c r="DF26" s="11"/>
      <c r="DG26" s="11"/>
      <c r="DH26" s="11"/>
      <c r="DI26" s="11"/>
      <c r="DJ26" s="6">
        <f t="shared" si="3"/>
        <v>0</v>
      </c>
    </row>
    <row r="27" spans="1:114" x14ac:dyDescent="0.25">
      <c r="A27">
        <v>17</v>
      </c>
      <c r="B27" s="11" t="s">
        <v>97</v>
      </c>
      <c r="C27" s="6"/>
      <c r="D27" s="6" t="s">
        <v>253</v>
      </c>
      <c r="E27" s="6" t="s">
        <v>53</v>
      </c>
      <c r="F27" s="6"/>
      <c r="G27" s="6"/>
      <c r="H27" s="6"/>
      <c r="I27" s="6"/>
      <c r="J27" s="6"/>
      <c r="K27" s="6"/>
      <c r="L27" s="6"/>
      <c r="M27" s="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U27" s="6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>
        <v>75</v>
      </c>
      <c r="BX27" s="11">
        <v>10</v>
      </c>
      <c r="BY27" s="11"/>
      <c r="BZ27" s="11"/>
      <c r="CA27" s="11">
        <f>SUM(BT27:BZ27)</f>
        <v>85</v>
      </c>
      <c r="CB27" s="11">
        <f>(CA27-BT27)/2</f>
        <v>42.5</v>
      </c>
      <c r="CC27" s="11"/>
      <c r="CD27" s="11"/>
      <c r="CE27" s="11"/>
      <c r="CF27" s="11"/>
      <c r="CG27" s="11"/>
      <c r="CH27" s="11"/>
      <c r="CI27" s="11">
        <f t="shared" si="0"/>
        <v>42.5</v>
      </c>
      <c r="DC27" s="6">
        <f t="shared" si="2"/>
        <v>0</v>
      </c>
      <c r="DD27" s="6">
        <f t="shared" si="1"/>
        <v>0</v>
      </c>
      <c r="DE27" s="11"/>
      <c r="DF27" s="11"/>
      <c r="DG27" s="11"/>
      <c r="DH27" s="11"/>
      <c r="DI27" s="11"/>
      <c r="DJ27" s="6">
        <f t="shared" si="3"/>
        <v>0</v>
      </c>
    </row>
    <row r="28" spans="1:114" x14ac:dyDescent="0.25">
      <c r="A28">
        <v>18</v>
      </c>
      <c r="B28" s="11" t="s">
        <v>77</v>
      </c>
      <c r="C28" s="6"/>
      <c r="D28" s="6" t="s">
        <v>678</v>
      </c>
      <c r="E28" s="6" t="s">
        <v>218</v>
      </c>
      <c r="F28" s="6"/>
      <c r="G28" s="6"/>
      <c r="H28" s="6"/>
      <c r="I28" s="6"/>
      <c r="J28" s="6"/>
      <c r="K28" s="6"/>
      <c r="L28" s="6"/>
      <c r="M28" s="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U28" s="6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>
        <v>36</v>
      </c>
      <c r="CD28" s="11"/>
      <c r="CE28" s="11"/>
      <c r="CF28" s="11"/>
      <c r="CG28" s="11"/>
      <c r="CH28" s="11"/>
      <c r="CI28" s="11">
        <f t="shared" si="0"/>
        <v>36</v>
      </c>
      <c r="DC28" s="6">
        <f t="shared" si="2"/>
        <v>0</v>
      </c>
      <c r="DD28" s="6">
        <f t="shared" si="1"/>
        <v>0</v>
      </c>
      <c r="DE28" s="11"/>
      <c r="DF28" s="11"/>
      <c r="DG28" s="11"/>
      <c r="DH28" s="11"/>
      <c r="DI28" s="11"/>
      <c r="DJ28" s="6">
        <f t="shared" si="3"/>
        <v>0</v>
      </c>
    </row>
    <row r="29" spans="1:114" x14ac:dyDescent="0.25">
      <c r="A29">
        <v>19</v>
      </c>
      <c r="B29" s="11" t="s">
        <v>322</v>
      </c>
      <c r="C29" s="6"/>
      <c r="D29" s="6" t="s">
        <v>394</v>
      </c>
      <c r="E29" s="6" t="s">
        <v>12</v>
      </c>
      <c r="F29" s="6"/>
      <c r="G29" s="6"/>
      <c r="H29" s="6"/>
      <c r="I29" s="6"/>
      <c r="J29" s="6"/>
      <c r="K29" s="6"/>
      <c r="L29" s="6"/>
      <c r="M29" s="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U29" s="6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>
        <v>105</v>
      </c>
      <c r="BK29" s="11"/>
      <c r="BL29" s="11"/>
      <c r="BM29" s="11"/>
      <c r="BN29" s="11"/>
      <c r="BO29" s="11"/>
      <c r="BP29" s="11">
        <v>7.5</v>
      </c>
      <c r="BQ29" s="11"/>
      <c r="BR29" s="11"/>
      <c r="BS29" s="11">
        <f>SUM(AV29:BR29)</f>
        <v>112.5</v>
      </c>
      <c r="BT29" s="11">
        <f>(BS29-AV29)/2</f>
        <v>56.25</v>
      </c>
      <c r="BU29" s="11">
        <v>36</v>
      </c>
      <c r="BV29" s="11">
        <v>3.2</v>
      </c>
      <c r="BW29" s="11">
        <v>7.5</v>
      </c>
      <c r="BX29" s="11">
        <v>7.5</v>
      </c>
      <c r="BY29" s="11">
        <v>3.2</v>
      </c>
      <c r="BZ29" s="11">
        <v>7.5</v>
      </c>
      <c r="CA29" s="11">
        <f>SUM(BT29:BZ29)</f>
        <v>121.15</v>
      </c>
      <c r="CB29" s="11">
        <f>(CA29-BT29)/2</f>
        <v>32.450000000000003</v>
      </c>
      <c r="CC29" s="11"/>
      <c r="CD29" s="11"/>
      <c r="CE29" s="11"/>
      <c r="CF29" s="11"/>
      <c r="CG29" s="11"/>
      <c r="CH29" s="11"/>
      <c r="CI29" s="11">
        <f t="shared" si="0"/>
        <v>32.450000000000003</v>
      </c>
      <c r="CO29" s="15">
        <f>SUM(CK29:CL29)</f>
        <v>0</v>
      </c>
      <c r="CP29" s="8">
        <f>CO29/2</f>
        <v>0</v>
      </c>
      <c r="CQ29" s="8">
        <f>BS29/4</f>
        <v>28.125</v>
      </c>
      <c r="CW29">
        <f>SUM(CP29:CV29)</f>
        <v>28.125</v>
      </c>
      <c r="CX29">
        <f>(CW29-CP29)/2</f>
        <v>14.0625</v>
      </c>
      <c r="DC29" s="6">
        <f t="shared" si="2"/>
        <v>14.0625</v>
      </c>
      <c r="DD29" s="6">
        <f t="shared" si="1"/>
        <v>0</v>
      </c>
      <c r="DE29" s="11"/>
      <c r="DF29" s="11"/>
      <c r="DG29" s="11"/>
      <c r="DH29" s="11"/>
      <c r="DI29" s="11"/>
      <c r="DJ29" s="6">
        <f t="shared" si="3"/>
        <v>0</v>
      </c>
    </row>
    <row r="30" spans="1:114" x14ac:dyDescent="0.25">
      <c r="A30">
        <v>20</v>
      </c>
      <c r="B30" s="11" t="s">
        <v>754</v>
      </c>
      <c r="C30" s="6"/>
      <c r="D30" s="6" t="s">
        <v>755</v>
      </c>
      <c r="E30" s="6" t="s">
        <v>29</v>
      </c>
      <c r="F30" s="6"/>
      <c r="G30" s="6"/>
      <c r="H30" s="6"/>
      <c r="I30" s="6"/>
      <c r="J30" s="6"/>
      <c r="K30" s="6"/>
      <c r="L30" s="6"/>
      <c r="M30" s="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U30" s="6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>
        <v>28.8</v>
      </c>
      <c r="CE30" s="11"/>
      <c r="CF30" s="11"/>
      <c r="CG30" s="11"/>
      <c r="CH30" s="11"/>
      <c r="CI30" s="11">
        <f t="shared" si="0"/>
        <v>28.8</v>
      </c>
      <c r="DC30" s="6">
        <f t="shared" si="2"/>
        <v>0</v>
      </c>
      <c r="DD30" s="6">
        <f t="shared" si="1"/>
        <v>0</v>
      </c>
      <c r="DE30" s="11"/>
      <c r="DF30" s="11"/>
      <c r="DG30" s="11"/>
      <c r="DH30" s="11"/>
      <c r="DI30" s="11"/>
      <c r="DJ30" s="6">
        <f t="shared" si="3"/>
        <v>0</v>
      </c>
    </row>
    <row r="31" spans="1:114" x14ac:dyDescent="0.25">
      <c r="A31">
        <v>21</v>
      </c>
      <c r="B31" s="11" t="s">
        <v>316</v>
      </c>
      <c r="C31" s="6"/>
      <c r="D31" s="6" t="s">
        <v>677</v>
      </c>
      <c r="E31" s="6" t="s">
        <v>482</v>
      </c>
      <c r="F31" s="6"/>
      <c r="G31" s="6"/>
      <c r="H31" s="6"/>
      <c r="I31" s="6"/>
      <c r="J31" s="6"/>
      <c r="K31" s="6"/>
      <c r="L31" s="6"/>
      <c r="M31" s="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U31" s="6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>
        <v>28.8</v>
      </c>
      <c r="CE31" s="11"/>
      <c r="CF31" s="11"/>
      <c r="CG31" s="11"/>
      <c r="CH31" s="11"/>
      <c r="CI31" s="11">
        <f t="shared" si="0"/>
        <v>28.8</v>
      </c>
      <c r="DC31" s="6">
        <f t="shared" si="2"/>
        <v>0</v>
      </c>
      <c r="DD31" s="6">
        <f t="shared" si="1"/>
        <v>0</v>
      </c>
      <c r="DE31" s="11"/>
      <c r="DF31" s="11"/>
      <c r="DG31" s="11"/>
      <c r="DH31" s="11"/>
      <c r="DI31" s="11"/>
      <c r="DJ31" s="6">
        <f t="shared" si="3"/>
        <v>0</v>
      </c>
    </row>
    <row r="32" spans="1:114" x14ac:dyDescent="0.25">
      <c r="A32">
        <v>22</v>
      </c>
      <c r="B32" s="11" t="s">
        <v>306</v>
      </c>
      <c r="C32" s="6"/>
      <c r="D32" s="6" t="s">
        <v>589</v>
      </c>
      <c r="E32" s="6" t="s">
        <v>13</v>
      </c>
      <c r="F32" s="6"/>
      <c r="G32" s="6"/>
      <c r="H32" s="6"/>
      <c r="I32" s="6"/>
      <c r="J32" s="6"/>
      <c r="K32" s="6"/>
      <c r="L32" s="6"/>
      <c r="M32" s="6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U32" s="6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>
        <v>39</v>
      </c>
      <c r="BX32" s="11"/>
      <c r="BY32" s="11"/>
      <c r="BZ32" s="11"/>
      <c r="CA32" s="11">
        <f>SUM(BT32:BZ32)</f>
        <v>39</v>
      </c>
      <c r="CB32" s="11">
        <f>(CA32-BT32)/2</f>
        <v>19.5</v>
      </c>
      <c r="CC32" s="11"/>
      <c r="CD32" s="11"/>
      <c r="CE32" s="11"/>
      <c r="CF32" s="11"/>
      <c r="CG32" s="11"/>
      <c r="CH32" s="11"/>
      <c r="CI32" s="11">
        <f t="shared" si="0"/>
        <v>19.5</v>
      </c>
      <c r="DC32" s="6">
        <f t="shared" si="2"/>
        <v>0</v>
      </c>
      <c r="DD32" s="6">
        <f t="shared" si="1"/>
        <v>0</v>
      </c>
      <c r="DE32" s="11"/>
      <c r="DF32" s="11"/>
      <c r="DG32" s="11"/>
      <c r="DH32" s="11"/>
      <c r="DI32" s="11"/>
      <c r="DJ32" s="6">
        <f t="shared" si="3"/>
        <v>0</v>
      </c>
    </row>
    <row r="33" spans="1:114" x14ac:dyDescent="0.25">
      <c r="A33">
        <v>23</v>
      </c>
      <c r="B33" s="11" t="s">
        <v>546</v>
      </c>
      <c r="C33" s="6"/>
      <c r="D33" s="6" t="s">
        <v>547</v>
      </c>
      <c r="E33" s="6" t="s">
        <v>242</v>
      </c>
      <c r="F33" s="6"/>
      <c r="G33" s="6"/>
      <c r="H33" s="6"/>
      <c r="I33" s="6"/>
      <c r="J33" s="6"/>
      <c r="K33" s="6"/>
      <c r="L33" s="6"/>
      <c r="M33" s="6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U33" s="6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>
        <v>36</v>
      </c>
      <c r="BV33" s="11"/>
      <c r="BW33" s="11"/>
      <c r="BX33" s="11"/>
      <c r="BY33" s="11"/>
      <c r="BZ33" s="11"/>
      <c r="CA33" s="11">
        <f>SUM(BT33:BZ33)</f>
        <v>36</v>
      </c>
      <c r="CB33" s="11">
        <f>(CA33-BT33)/2</f>
        <v>18</v>
      </c>
      <c r="CC33" s="11"/>
      <c r="CD33" s="11"/>
      <c r="CE33" s="11"/>
      <c r="CF33" s="11"/>
      <c r="CG33" s="11"/>
      <c r="CH33" s="11"/>
      <c r="CI33" s="11">
        <f t="shared" si="0"/>
        <v>18</v>
      </c>
      <c r="DC33" s="6">
        <f t="shared" si="2"/>
        <v>0</v>
      </c>
      <c r="DD33" s="6">
        <f t="shared" si="1"/>
        <v>0</v>
      </c>
      <c r="DE33" s="11"/>
      <c r="DF33" s="11"/>
      <c r="DG33" s="11"/>
      <c r="DH33" s="11"/>
      <c r="DI33" s="11"/>
      <c r="DJ33" s="6">
        <f t="shared" si="3"/>
        <v>0</v>
      </c>
    </row>
    <row r="34" spans="1:114" x14ac:dyDescent="0.25">
      <c r="A34">
        <v>24</v>
      </c>
      <c r="B34" s="11" t="s">
        <v>683</v>
      </c>
      <c r="C34" s="6"/>
      <c r="D34" s="6" t="s">
        <v>509</v>
      </c>
      <c r="E34" s="6" t="s">
        <v>596</v>
      </c>
      <c r="F34" s="6"/>
      <c r="G34" s="6"/>
      <c r="H34" s="6"/>
      <c r="I34" s="6"/>
      <c r="J34" s="6"/>
      <c r="K34" s="6"/>
      <c r="L34" s="6"/>
      <c r="M34" s="6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1"/>
      <c r="AU34" s="6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>
        <v>4</v>
      </c>
      <c r="CE34" s="11"/>
      <c r="CF34" s="11"/>
      <c r="CG34" s="11"/>
      <c r="CH34" s="11"/>
      <c r="CI34" s="11">
        <f t="shared" si="0"/>
        <v>4</v>
      </c>
      <c r="DC34" s="6">
        <f t="shared" si="2"/>
        <v>0</v>
      </c>
      <c r="DD34" s="6">
        <f t="shared" si="1"/>
        <v>0</v>
      </c>
      <c r="DE34" s="11"/>
      <c r="DF34" s="11"/>
      <c r="DG34" s="11"/>
      <c r="DH34" s="11"/>
      <c r="DI34" s="11"/>
      <c r="DJ34" s="6">
        <f t="shared" si="3"/>
        <v>0</v>
      </c>
    </row>
    <row r="35" spans="1:114" x14ac:dyDescent="0.25">
      <c r="A35">
        <v>25</v>
      </c>
      <c r="B35" s="11" t="s">
        <v>543</v>
      </c>
      <c r="C35" s="6"/>
      <c r="D35" s="6" t="s">
        <v>544</v>
      </c>
      <c r="E35" s="6" t="s">
        <v>196</v>
      </c>
      <c r="BU35" s="8">
        <v>2.4</v>
      </c>
      <c r="CA35" s="11">
        <f>SUM(BT35:BZ35)</f>
        <v>2.4</v>
      </c>
      <c r="CB35" s="11">
        <f>(CA35-BT35)/2</f>
        <v>1.2</v>
      </c>
      <c r="CC35" s="11"/>
      <c r="CD35" s="11"/>
      <c r="CE35" s="11"/>
      <c r="CF35" s="11"/>
      <c r="CG35" s="11"/>
      <c r="CH35" s="11"/>
      <c r="CI35" s="11">
        <f t="shared" si="0"/>
        <v>1.2</v>
      </c>
      <c r="DC35" s="6">
        <f t="shared" si="2"/>
        <v>0</v>
      </c>
      <c r="DD35" s="6">
        <f t="shared" si="1"/>
        <v>0</v>
      </c>
      <c r="DE35" s="11"/>
      <c r="DF35" s="11"/>
      <c r="DG35" s="11"/>
      <c r="DH35" s="11"/>
      <c r="DI35" s="11"/>
      <c r="DJ35" s="6">
        <f t="shared" si="3"/>
        <v>0</v>
      </c>
    </row>
  </sheetData>
  <sortState xmlns:xlrd2="http://schemas.microsoft.com/office/spreadsheetml/2017/richdata2" ref="B11:DJ35">
    <sortCondition descending="1" ref="CI11:CI35"/>
  </sortState>
  <mergeCells count="6">
    <mergeCell ref="B8:C10"/>
    <mergeCell ref="BW9:BZ9"/>
    <mergeCell ref="B1:DC1"/>
    <mergeCell ref="CE9:CH9"/>
    <mergeCell ref="D4:CI5"/>
    <mergeCell ref="CK4:DJ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55"/>
  <sheetViews>
    <sheetView topLeftCell="A9" zoomScale="80" zoomScaleNormal="80" workbookViewId="0">
      <selection activeCell="DS31" sqref="DS31"/>
    </sheetView>
  </sheetViews>
  <sheetFormatPr baseColWidth="10" defaultRowHeight="15" x14ac:dyDescent="0.25"/>
  <cols>
    <col min="1" max="1" width="3.140625" bestFit="1" customWidth="1"/>
    <col min="2" max="2" width="15.140625" bestFit="1" customWidth="1"/>
    <col min="3" max="3" width="12.7109375" bestFit="1" customWidth="1"/>
    <col min="4" max="4" width="12.85546875" bestFit="1" customWidth="1"/>
    <col min="5" max="5" width="18.140625" bestFit="1" customWidth="1"/>
    <col min="6" max="6" width="6.7109375" hidden="1" customWidth="1"/>
    <col min="7" max="12" width="6.42578125" hidden="1" customWidth="1"/>
    <col min="13" max="14" width="7.28515625" hidden="1" customWidth="1"/>
    <col min="15" max="17" width="6.28515625" hidden="1" customWidth="1"/>
    <col min="18" max="23" width="7.28515625" style="8" hidden="1" customWidth="1"/>
    <col min="24" max="25" width="7" style="8" hidden="1" customWidth="1"/>
    <col min="26" max="26" width="7.28515625" style="8" hidden="1" customWidth="1"/>
    <col min="27" max="28" width="6" style="8" hidden="1" customWidth="1"/>
    <col min="29" max="30" width="6.5703125" style="8" hidden="1" customWidth="1"/>
    <col min="31" max="31" width="0" hidden="1" customWidth="1"/>
    <col min="32" max="32" width="6.85546875" hidden="1" customWidth="1"/>
    <col min="33" max="44" width="6" style="8" hidden="1" customWidth="1"/>
    <col min="45" max="45" width="10.5703125" style="8" hidden="1" customWidth="1"/>
    <col min="46" max="52" width="6" style="8" hidden="1" customWidth="1"/>
    <col min="53" max="53" width="6.28515625" style="8" hidden="1" customWidth="1"/>
    <col min="54" max="56" width="6.85546875" style="8" hidden="1" customWidth="1"/>
    <col min="57" max="70" width="6.28515625" style="8" hidden="1" customWidth="1"/>
    <col min="71" max="71" width="10.85546875" style="8" hidden="1" customWidth="1"/>
    <col min="72" max="76" width="6.140625" style="8" hidden="1" customWidth="1"/>
    <col min="77" max="77" width="6.28515625" style="8" hidden="1" customWidth="1"/>
    <col min="78" max="78" width="7.85546875" style="8" hidden="1" customWidth="1"/>
    <col min="79" max="84" width="6.28515625" style="8" hidden="1" customWidth="1"/>
    <col min="85" max="85" width="6.28515625" style="8" customWidth="1"/>
    <col min="86" max="86" width="7.85546875" style="8" bestFit="1" customWidth="1"/>
    <col min="87" max="92" width="6.28515625" style="8" customWidth="1"/>
    <col min="93" max="93" width="7.42578125" style="8" bestFit="1" customWidth="1"/>
    <col min="95" max="95" width="0" hidden="1" customWidth="1"/>
    <col min="96" max="96" width="8.5703125" hidden="1" customWidth="1"/>
    <col min="97" max="97" width="7.140625" hidden="1" customWidth="1"/>
    <col min="98" max="99" width="7.5703125" hidden="1" customWidth="1"/>
    <col min="100" max="100" width="0" hidden="1" customWidth="1"/>
    <col min="101" max="102" width="0" style="8" hidden="1" customWidth="1"/>
    <col min="103" max="108" width="6" style="8" hidden="1" customWidth="1"/>
    <col min="109" max="110" width="0" hidden="1" customWidth="1"/>
    <col min="111" max="111" width="6.7109375" style="8" hidden="1" customWidth="1"/>
    <col min="112" max="114" width="6" style="8" hidden="1" customWidth="1"/>
    <col min="117" max="117" width="6" style="8" bestFit="1" customWidth="1"/>
    <col min="118" max="118" width="6" style="8" customWidth="1"/>
  </cols>
  <sheetData>
    <row r="1" spans="1:119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</row>
    <row r="2" spans="1:119" ht="15.75" thickBot="1" x14ac:dyDescent="0.3">
      <c r="C2" s="8"/>
      <c r="D2" s="8"/>
      <c r="E2" s="8"/>
      <c r="F2" s="8"/>
      <c r="CQ2" s="15"/>
      <c r="CR2" s="15"/>
      <c r="CS2" s="15"/>
      <c r="CT2" s="15"/>
      <c r="CU2" s="15"/>
      <c r="CV2" s="15"/>
    </row>
    <row r="3" spans="1:119" ht="15.75" thickTop="1" x14ac:dyDescent="0.25">
      <c r="B3" s="1" t="s">
        <v>0</v>
      </c>
      <c r="C3" s="4" t="s">
        <v>18</v>
      </c>
      <c r="CQ3" s="15"/>
      <c r="CR3" s="15"/>
      <c r="CS3" s="15"/>
      <c r="CT3" s="15"/>
      <c r="CU3" s="15"/>
      <c r="CV3" s="15"/>
    </row>
    <row r="4" spans="1:119" ht="14.65" customHeight="1" x14ac:dyDescent="0.25">
      <c r="B4" s="2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Q4" s="64" t="s">
        <v>617</v>
      </c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</row>
    <row r="5" spans="1:119" ht="15" customHeight="1" thickBot="1" x14ac:dyDescent="0.3">
      <c r="B5" s="3" t="s">
        <v>2</v>
      </c>
      <c r="C5" s="33">
        <v>-57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</row>
    <row r="6" spans="1:119" ht="15.75" thickTop="1" x14ac:dyDescent="0.25">
      <c r="CQ6" s="15"/>
      <c r="CR6" s="15"/>
      <c r="CS6" s="15"/>
      <c r="CT6" s="15"/>
      <c r="CU6" s="15"/>
      <c r="CV6" s="15"/>
    </row>
    <row r="7" spans="1:119" ht="15.75" thickBot="1" x14ac:dyDescent="0.3">
      <c r="CQ7" s="15"/>
      <c r="CR7" s="15"/>
      <c r="CS7" s="15"/>
      <c r="CT7" s="15"/>
      <c r="CU7" s="15"/>
      <c r="CV7" s="15"/>
    </row>
    <row r="8" spans="1:119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15</v>
      </c>
      <c r="J8" s="4" t="s">
        <v>25</v>
      </c>
      <c r="K8" s="4" t="s">
        <v>15</v>
      </c>
      <c r="L8" s="4" t="s">
        <v>79</v>
      </c>
      <c r="M8" s="4" t="s">
        <v>102</v>
      </c>
      <c r="N8" s="4" t="s">
        <v>15</v>
      </c>
      <c r="O8" s="4" t="s">
        <v>136</v>
      </c>
      <c r="P8" s="4" t="s">
        <v>139</v>
      </c>
      <c r="Q8" s="4" t="s">
        <v>142</v>
      </c>
      <c r="R8" s="4" t="s">
        <v>145</v>
      </c>
      <c r="S8" s="4" t="s">
        <v>15</v>
      </c>
      <c r="T8" s="4" t="s">
        <v>15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</v>
      </c>
      <c r="Z8" s="4" t="s">
        <v>159</v>
      </c>
      <c r="AA8" s="4" t="s">
        <v>15</v>
      </c>
      <c r="AB8" s="4" t="s">
        <v>15</v>
      </c>
      <c r="AC8" s="4" t="s">
        <v>163</v>
      </c>
      <c r="AD8" s="4" t="s">
        <v>164</v>
      </c>
      <c r="AE8" s="1"/>
      <c r="AF8" s="12">
        <v>44927</v>
      </c>
      <c r="AG8" s="4" t="s">
        <v>15</v>
      </c>
      <c r="AH8" s="4" t="s">
        <v>184</v>
      </c>
      <c r="AI8" s="4" t="s">
        <v>15</v>
      </c>
      <c r="AJ8" s="4" t="s">
        <v>15</v>
      </c>
      <c r="AK8" s="4" t="s">
        <v>224</v>
      </c>
      <c r="AL8" s="4" t="s">
        <v>224</v>
      </c>
      <c r="AM8" s="4" t="s">
        <v>224</v>
      </c>
      <c r="AN8" s="4" t="s">
        <v>15</v>
      </c>
      <c r="AO8" s="4" t="s">
        <v>164</v>
      </c>
      <c r="AP8" s="4" t="s">
        <v>15</v>
      </c>
      <c r="AQ8" s="4" t="s">
        <v>15</v>
      </c>
      <c r="AR8" s="4" t="s">
        <v>15</v>
      </c>
      <c r="AS8" s="4" t="s">
        <v>15</v>
      </c>
      <c r="AT8" s="4" t="s">
        <v>15</v>
      </c>
      <c r="AU8" s="4" t="s">
        <v>164</v>
      </c>
      <c r="AV8" s="4" t="s">
        <v>15</v>
      </c>
      <c r="AW8" s="4" t="s">
        <v>15</v>
      </c>
      <c r="AX8" s="4" t="s">
        <v>15</v>
      </c>
      <c r="AY8" s="4" t="s">
        <v>15</v>
      </c>
      <c r="AZ8" s="4" t="s">
        <v>165</v>
      </c>
      <c r="BA8" s="4" t="s">
        <v>6</v>
      </c>
      <c r="BB8" s="28">
        <v>45292</v>
      </c>
      <c r="BC8" s="28" t="s">
        <v>15</v>
      </c>
      <c r="BD8" s="28" t="s">
        <v>15</v>
      </c>
      <c r="BE8" s="28" t="s">
        <v>15</v>
      </c>
      <c r="BF8" s="28" t="s">
        <v>15</v>
      </c>
      <c r="BG8" s="28" t="s">
        <v>15</v>
      </c>
      <c r="BH8" s="28" t="s">
        <v>15</v>
      </c>
      <c r="BI8" s="28" t="s">
        <v>164</v>
      </c>
      <c r="BJ8" s="28" t="s">
        <v>15</v>
      </c>
      <c r="BK8" s="28" t="s">
        <v>164</v>
      </c>
      <c r="BL8" s="28" t="s">
        <v>224</v>
      </c>
      <c r="BM8" s="28" t="s">
        <v>224</v>
      </c>
      <c r="BN8" s="28" t="s">
        <v>224</v>
      </c>
      <c r="BO8" s="28" t="s">
        <v>164</v>
      </c>
      <c r="BP8" s="28" t="s">
        <v>15</v>
      </c>
      <c r="BQ8" s="28" t="s">
        <v>15</v>
      </c>
      <c r="BR8" s="28" t="s">
        <v>15</v>
      </c>
      <c r="BS8" s="28" t="s">
        <v>15</v>
      </c>
      <c r="BT8" s="28" t="s">
        <v>15</v>
      </c>
      <c r="BU8" s="28" t="s">
        <v>15</v>
      </c>
      <c r="BV8" s="28" t="s">
        <v>164</v>
      </c>
      <c r="BW8" s="28" t="s">
        <v>422</v>
      </c>
      <c r="BX8" s="28" t="s">
        <v>165</v>
      </c>
      <c r="BY8" s="28" t="s">
        <v>6</v>
      </c>
      <c r="BZ8" s="28">
        <v>45658</v>
      </c>
      <c r="CA8" s="28"/>
      <c r="CB8" s="28"/>
      <c r="CC8" s="29"/>
      <c r="CD8" s="30"/>
      <c r="CE8" s="30"/>
      <c r="CF8" s="31"/>
      <c r="CG8" s="28" t="s">
        <v>6</v>
      </c>
      <c r="CH8" s="28">
        <v>46023</v>
      </c>
      <c r="CI8" s="28"/>
      <c r="CJ8" s="28"/>
      <c r="CK8" s="35"/>
      <c r="CL8" s="36"/>
      <c r="CM8" s="36"/>
      <c r="CN8" s="37"/>
      <c r="CO8" s="28" t="s">
        <v>213</v>
      </c>
      <c r="CQ8" s="13" t="s">
        <v>212</v>
      </c>
      <c r="CR8" s="13" t="s">
        <v>215</v>
      </c>
      <c r="CS8" s="13" t="s">
        <v>163</v>
      </c>
      <c r="CT8" s="13" t="s">
        <v>265</v>
      </c>
      <c r="CU8" s="13" t="s">
        <v>282</v>
      </c>
      <c r="CV8" s="13" t="s">
        <v>213</v>
      </c>
      <c r="CW8" s="28">
        <v>45292</v>
      </c>
      <c r="CX8" s="4" t="s">
        <v>212</v>
      </c>
      <c r="CY8" s="4" t="s">
        <v>287</v>
      </c>
      <c r="CZ8" s="4" t="s">
        <v>156</v>
      </c>
      <c r="DA8" s="4" t="s">
        <v>397</v>
      </c>
      <c r="DB8" s="4" t="s">
        <v>156</v>
      </c>
      <c r="DC8" s="4" t="s">
        <v>163</v>
      </c>
      <c r="DD8" s="4" t="s">
        <v>282</v>
      </c>
      <c r="DE8" s="1" t="s">
        <v>6</v>
      </c>
      <c r="DF8" s="28">
        <v>45658</v>
      </c>
      <c r="DG8" s="4" t="s">
        <v>287</v>
      </c>
      <c r="DH8" s="4" t="s">
        <v>25</v>
      </c>
      <c r="DI8" s="4" t="s">
        <v>163</v>
      </c>
      <c r="DJ8" s="4" t="s">
        <v>282</v>
      </c>
      <c r="DK8" s="1" t="s">
        <v>6</v>
      </c>
      <c r="DL8" s="28">
        <v>46023</v>
      </c>
      <c r="DM8" s="4" t="s">
        <v>770</v>
      </c>
      <c r="DN8" s="4" t="s">
        <v>163</v>
      </c>
      <c r="DO8" s="1" t="s">
        <v>6</v>
      </c>
    </row>
    <row r="9" spans="1:119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9" t="s">
        <v>40</v>
      </c>
      <c r="J9" s="9" t="s">
        <v>26</v>
      </c>
      <c r="K9" s="9" t="s">
        <v>70</v>
      </c>
      <c r="L9" s="9" t="s">
        <v>80</v>
      </c>
      <c r="M9" s="9" t="s">
        <v>103</v>
      </c>
      <c r="N9" s="9" t="s">
        <v>120</v>
      </c>
      <c r="O9" s="9" t="s">
        <v>138</v>
      </c>
      <c r="P9" s="9" t="s">
        <v>140</v>
      </c>
      <c r="Q9" s="9" t="s">
        <v>143</v>
      </c>
      <c r="R9" s="9" t="s">
        <v>80</v>
      </c>
      <c r="S9" s="9" t="s">
        <v>54</v>
      </c>
      <c r="T9" s="9" t="s">
        <v>153</v>
      </c>
      <c r="U9" s="9" t="s">
        <v>130</v>
      </c>
      <c r="V9" s="9" t="s">
        <v>68</v>
      </c>
      <c r="W9" s="9" t="s">
        <v>120</v>
      </c>
      <c r="X9" s="9" t="s">
        <v>16</v>
      </c>
      <c r="Y9" s="9" t="s">
        <v>155</v>
      </c>
      <c r="Z9" s="9" t="s">
        <v>160</v>
      </c>
      <c r="AA9" s="9" t="s">
        <v>155</v>
      </c>
      <c r="AB9" s="9" t="s">
        <v>70</v>
      </c>
      <c r="AC9" s="9" t="s">
        <v>101</v>
      </c>
      <c r="AD9" s="9" t="s">
        <v>165</v>
      </c>
      <c r="AE9" s="2" t="s">
        <v>6</v>
      </c>
      <c r="AF9" s="2"/>
      <c r="AG9" s="9" t="s">
        <v>54</v>
      </c>
      <c r="AH9" s="9" t="s">
        <v>136</v>
      </c>
      <c r="AI9" s="9" t="s">
        <v>155</v>
      </c>
      <c r="AJ9" s="9" t="s">
        <v>70</v>
      </c>
      <c r="AK9" s="9" t="s">
        <v>139</v>
      </c>
      <c r="AL9" s="9" t="s">
        <v>142</v>
      </c>
      <c r="AM9" s="9" t="s">
        <v>136</v>
      </c>
      <c r="AN9" s="9" t="s">
        <v>120</v>
      </c>
      <c r="AO9" s="9" t="s">
        <v>139</v>
      </c>
      <c r="AP9" s="9" t="s">
        <v>256</v>
      </c>
      <c r="AQ9" s="9" t="s">
        <v>54</v>
      </c>
      <c r="AR9" s="9" t="s">
        <v>155</v>
      </c>
      <c r="AS9" s="9" t="s">
        <v>268</v>
      </c>
      <c r="AT9" s="9" t="s">
        <v>148</v>
      </c>
      <c r="AU9" s="9" t="s">
        <v>142</v>
      </c>
      <c r="AV9" s="9" t="s">
        <v>120</v>
      </c>
      <c r="AW9" s="9" t="s">
        <v>70</v>
      </c>
      <c r="AX9" s="9" t="s">
        <v>16</v>
      </c>
      <c r="AY9" s="9" t="s">
        <v>256</v>
      </c>
      <c r="AZ9" s="9"/>
      <c r="BA9" s="5"/>
      <c r="BB9" s="5"/>
      <c r="BC9" s="5" t="s">
        <v>148</v>
      </c>
      <c r="BD9" s="5" t="s">
        <v>333</v>
      </c>
      <c r="BE9" s="5" t="s">
        <v>130</v>
      </c>
      <c r="BF9" s="5" t="s">
        <v>153</v>
      </c>
      <c r="BG9" s="5" t="s">
        <v>40</v>
      </c>
      <c r="BH9" s="5" t="s">
        <v>54</v>
      </c>
      <c r="BI9" s="5" t="s">
        <v>139</v>
      </c>
      <c r="BJ9" s="5" t="s">
        <v>166</v>
      </c>
      <c r="BK9" s="5" t="s">
        <v>372</v>
      </c>
      <c r="BL9" s="5" t="s">
        <v>139</v>
      </c>
      <c r="BM9" s="5" t="s">
        <v>136</v>
      </c>
      <c r="BN9" s="5" t="s">
        <v>142</v>
      </c>
      <c r="BO9" s="5" t="s">
        <v>136</v>
      </c>
      <c r="BP9" s="5" t="s">
        <v>130</v>
      </c>
      <c r="BQ9" s="5" t="s">
        <v>333</v>
      </c>
      <c r="BR9" s="5" t="s">
        <v>256</v>
      </c>
      <c r="BS9" s="5" t="s">
        <v>268</v>
      </c>
      <c r="BT9" s="5" t="s">
        <v>153</v>
      </c>
      <c r="BU9" s="5" t="s">
        <v>54</v>
      </c>
      <c r="BV9" s="5" t="s">
        <v>142</v>
      </c>
      <c r="BW9" s="5" t="s">
        <v>333</v>
      </c>
      <c r="BX9" s="5" t="s">
        <v>427</v>
      </c>
      <c r="BY9" s="5"/>
      <c r="BZ9" s="5"/>
      <c r="CA9" s="9" t="s">
        <v>15</v>
      </c>
      <c r="CB9" s="9" t="s">
        <v>224</v>
      </c>
      <c r="CC9" s="60" t="s">
        <v>429</v>
      </c>
      <c r="CD9" s="61"/>
      <c r="CE9" s="61"/>
      <c r="CF9" s="62"/>
      <c r="CG9" s="5"/>
      <c r="CH9" s="5"/>
      <c r="CI9" s="9" t="s">
        <v>15</v>
      </c>
      <c r="CJ9" s="9" t="s">
        <v>224</v>
      </c>
      <c r="CK9" s="60" t="s">
        <v>429</v>
      </c>
      <c r="CL9" s="61"/>
      <c r="CM9" s="61"/>
      <c r="CN9" s="62"/>
      <c r="CO9" s="9"/>
      <c r="CQ9" s="14" t="s">
        <v>214</v>
      </c>
      <c r="CR9" s="14"/>
      <c r="CS9" s="14" t="s">
        <v>260</v>
      </c>
      <c r="CT9" s="14" t="s">
        <v>266</v>
      </c>
      <c r="CU9" s="14" t="s">
        <v>283</v>
      </c>
      <c r="CV9" s="14"/>
      <c r="CX9" s="5" t="s">
        <v>214</v>
      </c>
      <c r="CY9" s="5"/>
      <c r="CZ9" s="5" t="s">
        <v>28</v>
      </c>
      <c r="DA9" s="5" t="s">
        <v>28</v>
      </c>
      <c r="DB9" s="5" t="s">
        <v>260</v>
      </c>
      <c r="DC9" s="5" t="s">
        <v>260</v>
      </c>
      <c r="DD9" s="5" t="s">
        <v>80</v>
      </c>
      <c r="DE9" s="2"/>
      <c r="DF9" s="5"/>
      <c r="DG9" s="5"/>
      <c r="DH9" s="5" t="s">
        <v>28</v>
      </c>
      <c r="DI9" s="5" t="s">
        <v>260</v>
      </c>
      <c r="DJ9" s="5" t="s">
        <v>80</v>
      </c>
      <c r="DK9" s="2"/>
      <c r="DL9" s="5"/>
      <c r="DM9" s="5" t="s">
        <v>28</v>
      </c>
      <c r="DN9" s="5" t="s">
        <v>28</v>
      </c>
      <c r="DO9" s="2"/>
    </row>
    <row r="10" spans="1:119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44660</v>
      </c>
      <c r="K10" s="10">
        <v>44674</v>
      </c>
      <c r="L10" s="10">
        <v>44681</v>
      </c>
      <c r="M10" s="10">
        <v>44695</v>
      </c>
      <c r="N10" s="10">
        <v>44709</v>
      </c>
      <c r="O10" s="10">
        <v>44730</v>
      </c>
      <c r="P10" s="10">
        <v>44730</v>
      </c>
      <c r="Q10" s="10">
        <v>44737</v>
      </c>
      <c r="R10" s="10">
        <v>44759</v>
      </c>
      <c r="S10" s="10">
        <v>44779</v>
      </c>
      <c r="T10" s="10">
        <v>44800</v>
      </c>
      <c r="U10" s="10">
        <v>44800</v>
      </c>
      <c r="V10" s="10">
        <v>44807</v>
      </c>
      <c r="W10" s="10">
        <v>44814</v>
      </c>
      <c r="X10" s="10">
        <v>44814</v>
      </c>
      <c r="Y10" s="10">
        <v>44814</v>
      </c>
      <c r="Z10" s="10">
        <v>44829</v>
      </c>
      <c r="AA10" s="10">
        <v>44856</v>
      </c>
      <c r="AB10" s="10">
        <v>44863</v>
      </c>
      <c r="AC10" s="10">
        <v>44866</v>
      </c>
      <c r="AD10" s="10">
        <v>44906</v>
      </c>
      <c r="AE10" s="2">
        <v>2022</v>
      </c>
      <c r="AF10" s="2"/>
      <c r="AG10" s="5" t="s">
        <v>171</v>
      </c>
      <c r="AH10" s="2" t="s">
        <v>185</v>
      </c>
      <c r="AI10" s="2" t="s">
        <v>210</v>
      </c>
      <c r="AJ10" s="2" t="s">
        <v>221</v>
      </c>
      <c r="AK10" s="2" t="s">
        <v>225</v>
      </c>
      <c r="AL10" s="2" t="s">
        <v>232</v>
      </c>
      <c r="AM10" s="5" t="s">
        <v>239</v>
      </c>
      <c r="AN10" s="5" t="s">
        <v>247</v>
      </c>
      <c r="AO10" s="5" t="s">
        <v>250</v>
      </c>
      <c r="AP10" s="5" t="s">
        <v>257</v>
      </c>
      <c r="AQ10" s="5" t="s">
        <v>258</v>
      </c>
      <c r="AR10" s="5" t="s">
        <v>261</v>
      </c>
      <c r="AS10" s="5" t="s">
        <v>267</v>
      </c>
      <c r="AT10" s="5" t="s">
        <v>267</v>
      </c>
      <c r="AU10" s="5" t="s">
        <v>270</v>
      </c>
      <c r="AV10" s="5" t="s">
        <v>276</v>
      </c>
      <c r="AW10" s="5" t="s">
        <v>278</v>
      </c>
      <c r="AX10" s="5" t="s">
        <v>278</v>
      </c>
      <c r="AY10" s="5" t="s">
        <v>280</v>
      </c>
      <c r="AZ10" s="5" t="s">
        <v>284</v>
      </c>
      <c r="BA10" s="5">
        <v>2023</v>
      </c>
      <c r="BB10" s="17"/>
      <c r="BC10" s="17" t="s">
        <v>319</v>
      </c>
      <c r="BD10" s="17" t="s">
        <v>319</v>
      </c>
      <c r="BE10" s="17" t="s">
        <v>319</v>
      </c>
      <c r="BF10" s="17" t="s">
        <v>319</v>
      </c>
      <c r="BG10" s="17" t="s">
        <v>345</v>
      </c>
      <c r="BH10" s="17" t="s">
        <v>362</v>
      </c>
      <c r="BI10" s="17" t="s">
        <v>366</v>
      </c>
      <c r="BJ10" s="17" t="s">
        <v>373</v>
      </c>
      <c r="BK10" s="17" t="s">
        <v>373</v>
      </c>
      <c r="BL10" s="17" t="s">
        <v>382</v>
      </c>
      <c r="BM10" s="17" t="s">
        <v>382</v>
      </c>
      <c r="BN10" s="17" t="s">
        <v>389</v>
      </c>
      <c r="BO10" s="17" t="s">
        <v>391</v>
      </c>
      <c r="BP10" s="17" t="s">
        <v>395</v>
      </c>
      <c r="BQ10" s="17" t="s">
        <v>402</v>
      </c>
      <c r="BR10" s="17" t="s">
        <v>401</v>
      </c>
      <c r="BS10" s="17" t="s">
        <v>403</v>
      </c>
      <c r="BT10" s="17" t="s">
        <v>403</v>
      </c>
      <c r="BU10" s="17" t="s">
        <v>403</v>
      </c>
      <c r="BV10" s="17" t="s">
        <v>420</v>
      </c>
      <c r="BW10" s="17" t="s">
        <v>423</v>
      </c>
      <c r="BX10" s="17" t="s">
        <v>428</v>
      </c>
      <c r="BY10" s="17">
        <v>2024</v>
      </c>
      <c r="BZ10" s="5"/>
      <c r="CA10" s="5"/>
      <c r="CB10" s="5"/>
      <c r="CC10" s="5">
        <v>1</v>
      </c>
      <c r="CD10" s="5">
        <v>2</v>
      </c>
      <c r="CE10" s="5">
        <v>3</v>
      </c>
      <c r="CF10" s="5">
        <v>4</v>
      </c>
      <c r="CG10" s="5">
        <v>2025</v>
      </c>
      <c r="CH10" s="5"/>
      <c r="CI10" s="5"/>
      <c r="CJ10" s="5"/>
      <c r="CK10" s="5">
        <v>1</v>
      </c>
      <c r="CL10" s="5">
        <v>2</v>
      </c>
      <c r="CM10" s="5">
        <v>3</v>
      </c>
      <c r="CN10" s="5">
        <v>4</v>
      </c>
      <c r="CO10" s="5">
        <v>2026</v>
      </c>
      <c r="CQ10" s="24"/>
      <c r="CR10" s="25">
        <v>45077</v>
      </c>
      <c r="CS10" s="25">
        <v>45153</v>
      </c>
      <c r="CT10" s="25">
        <v>45177</v>
      </c>
      <c r="CU10" s="25">
        <v>45255</v>
      </c>
      <c r="CV10" s="24">
        <v>2023</v>
      </c>
      <c r="CX10" s="5"/>
      <c r="CY10" s="5" t="s">
        <v>288</v>
      </c>
      <c r="CZ10" s="5" t="s">
        <v>390</v>
      </c>
      <c r="DA10" s="5" t="s">
        <v>400</v>
      </c>
      <c r="DB10" s="5" t="s">
        <v>414</v>
      </c>
      <c r="DC10" s="5" t="s">
        <v>415</v>
      </c>
      <c r="DD10" s="5" t="s">
        <v>425</v>
      </c>
      <c r="DE10" s="2">
        <v>2024</v>
      </c>
      <c r="DF10" s="5"/>
      <c r="DG10" s="5" t="s">
        <v>430</v>
      </c>
      <c r="DH10" s="5" t="s">
        <v>518</v>
      </c>
      <c r="DI10" s="5" t="s">
        <v>607</v>
      </c>
      <c r="DJ10" s="5" t="s">
        <v>425</v>
      </c>
      <c r="DK10" s="2">
        <v>2025</v>
      </c>
      <c r="DL10" s="5"/>
      <c r="DM10" s="5" t="s">
        <v>771</v>
      </c>
      <c r="DN10" s="5" t="s">
        <v>772</v>
      </c>
      <c r="DO10" s="2">
        <v>2026</v>
      </c>
    </row>
    <row r="11" spans="1:119" x14ac:dyDescent="0.25">
      <c r="A11">
        <v>1</v>
      </c>
      <c r="B11" s="18" t="s">
        <v>461</v>
      </c>
      <c r="C11" s="19"/>
      <c r="D11" s="19" t="s">
        <v>462</v>
      </c>
      <c r="E11" s="19" t="s">
        <v>197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6"/>
      <c r="AF11" s="6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>
        <v>167.5</v>
      </c>
      <c r="CA11" s="11">
        <v>60</v>
      </c>
      <c r="CB11" s="11">
        <v>40</v>
      </c>
      <c r="CC11" s="11">
        <v>105</v>
      </c>
      <c r="CD11" s="11">
        <v>75</v>
      </c>
      <c r="CE11" s="11">
        <v>40</v>
      </c>
      <c r="CF11" s="11">
        <v>100</v>
      </c>
      <c r="CG11" s="11">
        <f>SUM(BZ11:CF11)</f>
        <v>587.5</v>
      </c>
      <c r="CH11" s="11">
        <f>(CG11-BZ11)/2</f>
        <v>210</v>
      </c>
      <c r="CI11" s="11">
        <v>60</v>
      </c>
      <c r="CJ11" s="11">
        <v>80</v>
      </c>
      <c r="CK11" s="11">
        <v>150</v>
      </c>
      <c r="CL11" s="11">
        <v>100</v>
      </c>
      <c r="CM11" s="11">
        <v>48</v>
      </c>
      <c r="CN11" s="11"/>
      <c r="CO11" s="11">
        <f t="shared" ref="CO11:CO55" si="0">SUM(CH11:CN11)</f>
        <v>648</v>
      </c>
      <c r="CQ11" s="6"/>
      <c r="CR11" s="6"/>
      <c r="CS11" s="6"/>
      <c r="CT11" s="6"/>
      <c r="CU11" s="6"/>
      <c r="CV11" s="6"/>
      <c r="CW11" s="11"/>
      <c r="CX11" s="11"/>
      <c r="CY11" s="11"/>
      <c r="CZ11" s="11"/>
      <c r="DA11" s="11"/>
      <c r="DB11" s="11"/>
      <c r="DC11" s="11"/>
      <c r="DD11" s="11"/>
      <c r="DE11" s="6"/>
      <c r="DF11" s="6"/>
      <c r="DG11" s="11">
        <v>26.25</v>
      </c>
      <c r="DH11" s="11"/>
      <c r="DI11" s="11"/>
      <c r="DJ11" s="11"/>
      <c r="DK11" s="6">
        <f>SUM(DF11:DH11)</f>
        <v>26.25</v>
      </c>
      <c r="DL11" s="6">
        <f t="shared" ref="DL11:DL55" si="1">(DK11-DF11)/2</f>
        <v>13.125</v>
      </c>
      <c r="DM11" s="11">
        <v>75</v>
      </c>
      <c r="DN11" s="11">
        <v>36</v>
      </c>
      <c r="DO11" s="19">
        <f>SUM(DL11:DN11)</f>
        <v>124.125</v>
      </c>
    </row>
    <row r="12" spans="1:119" x14ac:dyDescent="0.25">
      <c r="A12">
        <v>2</v>
      </c>
      <c r="B12" s="11" t="s">
        <v>455</v>
      </c>
      <c r="C12" s="6"/>
      <c r="D12" s="6" t="s">
        <v>456</v>
      </c>
      <c r="E12" s="6" t="s">
        <v>374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6"/>
      <c r="AF12" s="6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>
        <v>62</v>
      </c>
      <c r="CA12" s="11">
        <v>36</v>
      </c>
      <c r="CB12" s="11">
        <v>64</v>
      </c>
      <c r="CC12" s="11">
        <v>140</v>
      </c>
      <c r="CD12" s="11">
        <v>36</v>
      </c>
      <c r="CE12" s="11">
        <v>75</v>
      </c>
      <c r="CF12" s="11">
        <v>44.8</v>
      </c>
      <c r="CG12" s="11">
        <f>SUM(BZ12:CF12)</f>
        <v>457.8</v>
      </c>
      <c r="CH12" s="11">
        <f>(CG12-BZ12)/2</f>
        <v>197.9</v>
      </c>
      <c r="CI12" s="11">
        <v>48</v>
      </c>
      <c r="CJ12" s="11">
        <v>80</v>
      </c>
      <c r="CK12" s="11">
        <v>36</v>
      </c>
      <c r="CL12" s="11"/>
      <c r="CM12" s="11"/>
      <c r="CN12" s="11"/>
      <c r="CO12" s="11">
        <f t="shared" si="0"/>
        <v>361.9</v>
      </c>
      <c r="CQ12" s="6"/>
      <c r="CR12" s="6"/>
      <c r="CS12" s="6"/>
      <c r="CT12" s="6"/>
      <c r="CU12" s="6"/>
      <c r="CV12" s="6"/>
      <c r="CW12" s="11"/>
      <c r="CX12" s="11"/>
      <c r="CY12" s="11"/>
      <c r="CZ12" s="11"/>
      <c r="DA12" s="11"/>
      <c r="DB12" s="11"/>
      <c r="DC12" s="11"/>
      <c r="DD12" s="11"/>
      <c r="DE12" s="6">
        <f>SUM(CW12:DD12)</f>
        <v>0</v>
      </c>
      <c r="DF12" s="6">
        <f>(DE12-CW12)/2</f>
        <v>0</v>
      </c>
      <c r="DG12" s="11"/>
      <c r="DH12" s="11"/>
      <c r="DI12" s="11"/>
      <c r="DJ12" s="11">
        <v>25</v>
      </c>
      <c r="DK12" s="6">
        <f>SUM(DF12:DJ12)</f>
        <v>25</v>
      </c>
      <c r="DL12" s="6">
        <f t="shared" si="1"/>
        <v>12.5</v>
      </c>
      <c r="DM12" s="11"/>
      <c r="DN12" s="11"/>
      <c r="DO12" s="6">
        <f>SUM(DL12:DM12)</f>
        <v>12.5</v>
      </c>
    </row>
    <row r="13" spans="1:119" x14ac:dyDescent="0.25">
      <c r="A13">
        <v>3</v>
      </c>
      <c r="B13" s="11" t="s">
        <v>718</v>
      </c>
      <c r="C13" s="6"/>
      <c r="D13" s="6" t="s">
        <v>719</v>
      </c>
      <c r="E13" s="6" t="s">
        <v>27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6"/>
      <c r="AF13" s="6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>
        <f>256.5/2</f>
        <v>128.25</v>
      </c>
      <c r="CI13" s="11">
        <v>48</v>
      </c>
      <c r="CJ13" s="11">
        <v>40</v>
      </c>
      <c r="CK13" s="11">
        <v>54</v>
      </c>
      <c r="CL13" s="11"/>
      <c r="CM13" s="11"/>
      <c r="CN13" s="11"/>
      <c r="CO13" s="11">
        <f t="shared" si="0"/>
        <v>270.25</v>
      </c>
      <c r="CQ13" s="6"/>
      <c r="CR13" s="6"/>
      <c r="CS13" s="6"/>
      <c r="CT13" s="6"/>
      <c r="CU13" s="6"/>
      <c r="CV13" s="6"/>
      <c r="CW13" s="11"/>
      <c r="CX13" s="11"/>
      <c r="CY13" s="11"/>
      <c r="CZ13" s="11"/>
      <c r="DA13" s="11"/>
      <c r="DB13" s="11"/>
      <c r="DC13" s="11"/>
      <c r="DD13" s="11"/>
      <c r="DE13" s="6"/>
      <c r="DF13" s="6"/>
      <c r="DG13" s="11"/>
      <c r="DH13" s="11"/>
      <c r="DI13" s="11"/>
      <c r="DJ13" s="11"/>
      <c r="DK13" s="6">
        <f>SUM(DF13:DH13)</f>
        <v>0</v>
      </c>
      <c r="DL13" s="6">
        <f t="shared" si="1"/>
        <v>0</v>
      </c>
      <c r="DM13" s="11"/>
      <c r="DN13" s="11">
        <v>5</v>
      </c>
      <c r="DO13" s="6">
        <f>SUM(DL13:DN13)</f>
        <v>5</v>
      </c>
    </row>
    <row r="14" spans="1:119" x14ac:dyDescent="0.25">
      <c r="A14">
        <v>4</v>
      </c>
      <c r="B14" s="11" t="s">
        <v>709</v>
      </c>
      <c r="C14" s="6"/>
      <c r="D14" s="6" t="s">
        <v>682</v>
      </c>
      <c r="E14" s="6" t="s">
        <v>328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6"/>
      <c r="AF14" s="6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>
        <f>238/2</f>
        <v>119</v>
      </c>
      <c r="CI14" s="11">
        <v>33.6</v>
      </c>
      <c r="CJ14" s="11">
        <v>40</v>
      </c>
      <c r="CK14" s="11">
        <v>70</v>
      </c>
      <c r="CL14" s="11"/>
      <c r="CM14" s="11"/>
      <c r="CN14" s="11"/>
      <c r="CO14" s="11">
        <f t="shared" si="0"/>
        <v>262.60000000000002</v>
      </c>
      <c r="CQ14" s="6"/>
      <c r="CR14" s="6"/>
      <c r="CS14" s="6"/>
      <c r="CT14" s="6"/>
      <c r="CU14" s="6"/>
      <c r="CV14" s="6"/>
      <c r="CW14" s="11"/>
      <c r="CX14" s="11"/>
      <c r="CY14" s="11"/>
      <c r="CZ14" s="11"/>
      <c r="DA14" s="11"/>
      <c r="DB14" s="11"/>
      <c r="DC14" s="11"/>
      <c r="DD14" s="11"/>
      <c r="DE14" s="6"/>
      <c r="DF14" s="6"/>
      <c r="DG14" s="11"/>
      <c r="DH14" s="11"/>
      <c r="DI14" s="11"/>
      <c r="DJ14" s="11"/>
      <c r="DK14" s="6">
        <f>SUM(DF14:DH14)</f>
        <v>0</v>
      </c>
      <c r="DL14" s="6">
        <f t="shared" si="1"/>
        <v>0</v>
      </c>
      <c r="DM14" s="11"/>
      <c r="DN14" s="11"/>
      <c r="DO14" s="6">
        <f>SUM(DL14:DM14)</f>
        <v>0</v>
      </c>
    </row>
    <row r="15" spans="1:119" x14ac:dyDescent="0.25">
      <c r="A15">
        <v>5</v>
      </c>
      <c r="B15" s="48" t="s">
        <v>304</v>
      </c>
      <c r="C15" s="49"/>
      <c r="D15" s="49" t="s">
        <v>305</v>
      </c>
      <c r="E15" s="49" t="s">
        <v>83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6"/>
      <c r="AF15" s="6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>
        <v>64</v>
      </c>
      <c r="CC15" s="11">
        <v>150</v>
      </c>
      <c r="CD15" s="11">
        <v>100</v>
      </c>
      <c r="CE15" s="11">
        <v>105</v>
      </c>
      <c r="CF15" s="11">
        <v>105</v>
      </c>
      <c r="CG15" s="11">
        <f>SUM(BZ15:CF15)</f>
        <v>524</v>
      </c>
      <c r="CH15" s="11">
        <f>(CG15-BZ15)/2</f>
        <v>262</v>
      </c>
      <c r="CI15" s="11"/>
      <c r="CJ15" s="11"/>
      <c r="CK15" s="11"/>
      <c r="CL15" s="11"/>
      <c r="CM15" s="11"/>
      <c r="CN15" s="11"/>
      <c r="CO15" s="11">
        <f t="shared" si="0"/>
        <v>262</v>
      </c>
      <c r="CQ15" s="6"/>
      <c r="CR15" s="6"/>
      <c r="CS15" s="6"/>
      <c r="CT15" s="6"/>
      <c r="CU15" s="6"/>
      <c r="CV15" s="6"/>
      <c r="CW15" s="11"/>
      <c r="CX15" s="11"/>
      <c r="CY15" s="11"/>
      <c r="CZ15" s="11"/>
      <c r="DA15" s="11"/>
      <c r="DB15" s="11"/>
      <c r="DC15" s="11"/>
      <c r="DD15" s="11"/>
      <c r="DE15" s="6">
        <f>SUM(CW15:DD15)</f>
        <v>0</v>
      </c>
      <c r="DF15" s="6">
        <f>(DE15-CW15)/2</f>
        <v>0</v>
      </c>
      <c r="DG15" s="11"/>
      <c r="DH15" s="11"/>
      <c r="DI15" s="11">
        <v>100</v>
      </c>
      <c r="DJ15" s="11"/>
      <c r="DK15" s="6">
        <f>SUM(DF15:DI15)</f>
        <v>100</v>
      </c>
      <c r="DL15" s="6">
        <f t="shared" si="1"/>
        <v>50</v>
      </c>
      <c r="DM15" s="11"/>
      <c r="DN15" s="11"/>
      <c r="DO15" s="49">
        <f>SUM(DL15:DM15)</f>
        <v>50</v>
      </c>
    </row>
    <row r="16" spans="1:119" x14ac:dyDescent="0.25">
      <c r="A16">
        <v>6</v>
      </c>
      <c r="B16" s="11" t="s">
        <v>533</v>
      </c>
      <c r="C16" s="6"/>
      <c r="D16" s="6" t="s">
        <v>534</v>
      </c>
      <c r="E16" s="6" t="s">
        <v>218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6"/>
      <c r="AF16" s="6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>
        <v>48</v>
      </c>
      <c r="CB16" s="11">
        <v>40</v>
      </c>
      <c r="CC16" s="11">
        <v>54</v>
      </c>
      <c r="CD16" s="11">
        <v>2.4</v>
      </c>
      <c r="CE16" s="11">
        <v>6</v>
      </c>
      <c r="CF16" s="11">
        <v>10</v>
      </c>
      <c r="CG16" s="11">
        <f>SUM(BZ16:CF16)</f>
        <v>160.4</v>
      </c>
      <c r="CH16" s="11">
        <f>(CG16-BZ16)/2</f>
        <v>80.2</v>
      </c>
      <c r="CI16" s="11">
        <v>42</v>
      </c>
      <c r="CJ16" s="11">
        <v>80</v>
      </c>
      <c r="CK16" s="11">
        <v>36</v>
      </c>
      <c r="CL16" s="11"/>
      <c r="CM16" s="11"/>
      <c r="CN16" s="11"/>
      <c r="CO16" s="11">
        <f t="shared" si="0"/>
        <v>238.2</v>
      </c>
      <c r="CQ16" s="6"/>
      <c r="CR16" s="6"/>
      <c r="CS16" s="6"/>
      <c r="CT16" s="6"/>
      <c r="CU16" s="6"/>
      <c r="CV16" s="6"/>
      <c r="CW16" s="11"/>
      <c r="CX16" s="11"/>
      <c r="CY16" s="11"/>
      <c r="CZ16" s="11"/>
      <c r="DA16" s="11"/>
      <c r="DB16" s="11"/>
      <c r="DC16" s="11"/>
      <c r="DD16" s="11"/>
      <c r="DE16" s="6">
        <f>SUM(CW16:DD16)</f>
        <v>0</v>
      </c>
      <c r="DF16" s="6">
        <f>(DE16-CW16)/2</f>
        <v>0</v>
      </c>
      <c r="DG16" s="11"/>
      <c r="DH16" s="11"/>
      <c r="DI16" s="11"/>
      <c r="DJ16" s="11">
        <v>2.5</v>
      </c>
      <c r="DK16" s="6">
        <f>SUM(DF16:DJ16)</f>
        <v>2.5</v>
      </c>
      <c r="DL16" s="6">
        <f t="shared" si="1"/>
        <v>1.25</v>
      </c>
      <c r="DM16" s="11"/>
      <c r="DN16" s="11"/>
      <c r="DO16" s="6">
        <f>SUM(DL16:DM16)</f>
        <v>1.25</v>
      </c>
    </row>
    <row r="17" spans="1:119" x14ac:dyDescent="0.25">
      <c r="A17">
        <v>7</v>
      </c>
      <c r="B17" s="11" t="s">
        <v>711</v>
      </c>
      <c r="C17" s="6"/>
      <c r="D17" s="11" t="s">
        <v>678</v>
      </c>
      <c r="E17" s="6" t="s">
        <v>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6"/>
      <c r="AF17" s="6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>
        <f>139.5/2</f>
        <v>69.75</v>
      </c>
      <c r="CI17" s="11">
        <v>36</v>
      </c>
      <c r="CJ17" s="11">
        <v>56</v>
      </c>
      <c r="CK17" s="11">
        <v>7.5</v>
      </c>
      <c r="CL17" s="11">
        <v>36</v>
      </c>
      <c r="CM17" s="11"/>
      <c r="CN17" s="11"/>
      <c r="CO17" s="11">
        <f t="shared" si="0"/>
        <v>205.25</v>
      </c>
      <c r="CQ17" s="6"/>
      <c r="CR17" s="6"/>
      <c r="CS17" s="6"/>
      <c r="CT17" s="6"/>
      <c r="CU17" s="6"/>
      <c r="CV17" s="6"/>
      <c r="CW17" s="11"/>
      <c r="CX17" s="11"/>
      <c r="CY17" s="11"/>
      <c r="CZ17" s="11"/>
      <c r="DA17" s="11"/>
      <c r="DB17" s="11"/>
      <c r="DC17" s="11"/>
      <c r="DD17" s="11"/>
      <c r="DE17" s="6"/>
      <c r="DF17" s="6"/>
      <c r="DG17" s="11"/>
      <c r="DH17" s="11"/>
      <c r="DI17" s="11"/>
      <c r="DJ17" s="11"/>
      <c r="DK17" s="6">
        <f>SUM(DF17:DH17)</f>
        <v>0</v>
      </c>
      <c r="DL17" s="6">
        <f t="shared" si="1"/>
        <v>0</v>
      </c>
      <c r="DM17" s="11"/>
      <c r="DN17" s="11"/>
      <c r="DO17" s="6">
        <f>SUM(DL17:DM17)</f>
        <v>0</v>
      </c>
    </row>
    <row r="18" spans="1:119" x14ac:dyDescent="0.25">
      <c r="A18">
        <v>8</v>
      </c>
      <c r="B18" s="11" t="s">
        <v>668</v>
      </c>
      <c r="C18" s="6"/>
      <c r="D18" s="6" t="s">
        <v>669</v>
      </c>
      <c r="E18" s="6" t="s">
        <v>201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6"/>
      <c r="AF18" s="6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>
        <v>42</v>
      </c>
      <c r="CJ18" s="11">
        <v>56</v>
      </c>
      <c r="CK18" s="11">
        <v>105</v>
      </c>
      <c r="CL18" s="11"/>
      <c r="CM18" s="11"/>
      <c r="CN18" s="11"/>
      <c r="CO18" s="11">
        <f t="shared" si="0"/>
        <v>203</v>
      </c>
      <c r="CQ18" s="6"/>
      <c r="CR18" s="6"/>
      <c r="CS18" s="6"/>
      <c r="CT18" s="6"/>
      <c r="CU18" s="6"/>
      <c r="CV18" s="6"/>
      <c r="CW18" s="11"/>
      <c r="CX18" s="11"/>
      <c r="CY18" s="11"/>
      <c r="CZ18" s="11"/>
      <c r="DA18" s="11"/>
      <c r="DB18" s="11"/>
      <c r="DC18" s="11"/>
      <c r="DD18" s="11"/>
      <c r="DE18" s="6"/>
      <c r="DF18" s="6"/>
      <c r="DG18" s="11"/>
      <c r="DH18" s="11"/>
      <c r="DI18" s="11"/>
      <c r="DJ18" s="11"/>
      <c r="DK18" s="6">
        <f>SUM(DF18:DH18)</f>
        <v>0</v>
      </c>
      <c r="DL18" s="6">
        <f t="shared" si="1"/>
        <v>0</v>
      </c>
      <c r="DM18" s="11"/>
      <c r="DN18" s="11"/>
      <c r="DO18" s="6">
        <f>SUM(DL18:DM18)</f>
        <v>0</v>
      </c>
    </row>
    <row r="19" spans="1:119" x14ac:dyDescent="0.25">
      <c r="A19" s="52">
        <v>9</v>
      </c>
      <c r="B19" s="22" t="s">
        <v>314</v>
      </c>
      <c r="C19" s="23"/>
      <c r="D19" s="23" t="s">
        <v>147</v>
      </c>
      <c r="E19" s="23" t="s">
        <v>31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6"/>
      <c r="AF19" s="6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>
        <v>135.5</v>
      </c>
      <c r="BC19" s="11"/>
      <c r="BD19" s="11"/>
      <c r="BE19" s="11"/>
      <c r="BF19" s="11"/>
      <c r="BG19" s="11">
        <v>36</v>
      </c>
      <c r="BH19" s="11"/>
      <c r="BI19" s="11"/>
      <c r="BJ19" s="11"/>
      <c r="BK19" s="11"/>
      <c r="BL19" s="11"/>
      <c r="BM19" s="11"/>
      <c r="BN19" s="11" t="s">
        <v>54</v>
      </c>
      <c r="BO19" s="11">
        <v>150</v>
      </c>
      <c r="BP19" s="11"/>
      <c r="BQ19" s="11"/>
      <c r="BR19" s="11"/>
      <c r="BS19" s="11"/>
      <c r="BT19" s="11"/>
      <c r="BU19" s="11"/>
      <c r="BV19" s="11">
        <v>75</v>
      </c>
      <c r="BW19" s="11"/>
      <c r="BX19" s="11">
        <v>140</v>
      </c>
      <c r="BY19" s="11">
        <f>SUM(BB19:BX19)</f>
        <v>536.5</v>
      </c>
      <c r="BZ19" s="11">
        <f>(BY19-BB19)/2</f>
        <v>200.5</v>
      </c>
      <c r="CA19" s="11">
        <v>48</v>
      </c>
      <c r="CB19" s="11">
        <v>56</v>
      </c>
      <c r="CC19" s="11">
        <v>75</v>
      </c>
      <c r="CD19" s="11">
        <v>72</v>
      </c>
      <c r="CE19" s="11">
        <v>54</v>
      </c>
      <c r="CF19" s="11">
        <v>56</v>
      </c>
      <c r="CG19" s="11">
        <f>SUM(BZ19:CF19)</f>
        <v>561.5</v>
      </c>
      <c r="CH19" s="11">
        <f>(CG19-BZ19)/2</f>
        <v>180.5</v>
      </c>
      <c r="CI19" s="11"/>
      <c r="CJ19" s="11">
        <v>4</v>
      </c>
      <c r="CK19" s="11">
        <v>7.5</v>
      </c>
      <c r="CL19" s="11"/>
      <c r="CM19" s="11"/>
      <c r="CN19" s="11"/>
      <c r="CO19" s="11">
        <f t="shared" si="0"/>
        <v>192</v>
      </c>
      <c r="CQ19" s="6"/>
      <c r="CR19" s="6"/>
      <c r="CS19" s="6"/>
      <c r="CT19" s="6"/>
      <c r="CU19" s="6"/>
      <c r="CV19" s="7">
        <f>SUM(CQ19:CR19)</f>
        <v>0</v>
      </c>
      <c r="CW19" s="11">
        <f>CV19/2</f>
        <v>0</v>
      </c>
      <c r="CX19" s="11">
        <f>BY19/4</f>
        <v>134.125</v>
      </c>
      <c r="CY19" s="11">
        <v>22.5</v>
      </c>
      <c r="CZ19" s="11">
        <v>54</v>
      </c>
      <c r="DA19" s="11">
        <v>25</v>
      </c>
      <c r="DB19" s="11"/>
      <c r="DC19" s="11"/>
      <c r="DD19" s="11">
        <v>2.5</v>
      </c>
      <c r="DE19" s="6">
        <f>SUM(CW19:DD19)</f>
        <v>238.125</v>
      </c>
      <c r="DF19" s="6">
        <f>(DE19-CW19)/2</f>
        <v>119.0625</v>
      </c>
      <c r="DG19" s="11">
        <v>21</v>
      </c>
      <c r="DH19" s="11"/>
      <c r="DI19" s="11">
        <v>5</v>
      </c>
      <c r="DJ19" s="11"/>
      <c r="DK19" s="6">
        <f>SUM(DF19:DI19)</f>
        <v>145.0625</v>
      </c>
      <c r="DL19" s="6">
        <f t="shared" si="1"/>
        <v>13</v>
      </c>
      <c r="DM19" s="11"/>
      <c r="DN19" s="11">
        <v>26</v>
      </c>
      <c r="DO19" s="23">
        <f>SUM(DL19:DN19)</f>
        <v>39</v>
      </c>
    </row>
    <row r="20" spans="1:119" x14ac:dyDescent="0.25">
      <c r="A20">
        <v>10</v>
      </c>
      <c r="B20" s="11" t="s">
        <v>679</v>
      </c>
      <c r="C20" s="6"/>
      <c r="D20" s="6" t="s">
        <v>30</v>
      </c>
      <c r="E20" s="6" t="s">
        <v>132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6"/>
      <c r="AF20" s="6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>
        <f>196.8/2</f>
        <v>98.4</v>
      </c>
      <c r="CI20" s="11">
        <v>60</v>
      </c>
      <c r="CJ20" s="11"/>
      <c r="CK20" s="11">
        <v>7.5</v>
      </c>
      <c r="CL20" s="11"/>
      <c r="CM20" s="11"/>
      <c r="CN20" s="11"/>
      <c r="CO20" s="11">
        <f t="shared" si="0"/>
        <v>165.9</v>
      </c>
      <c r="CQ20" s="6"/>
      <c r="CR20" s="6"/>
      <c r="CS20" s="6"/>
      <c r="CT20" s="6"/>
      <c r="CU20" s="6"/>
      <c r="CV20" s="6"/>
      <c r="CW20" s="11"/>
      <c r="CX20" s="11"/>
      <c r="CY20" s="11"/>
      <c r="CZ20" s="11"/>
      <c r="DA20" s="11"/>
      <c r="DB20" s="11"/>
      <c r="DC20" s="11"/>
      <c r="DD20" s="11"/>
      <c r="DE20" s="6"/>
      <c r="DF20" s="6"/>
      <c r="DG20" s="11"/>
      <c r="DH20" s="11"/>
      <c r="DI20" s="11"/>
      <c r="DJ20" s="11"/>
      <c r="DK20" s="6">
        <f>SUM(DF20:DH20)</f>
        <v>0</v>
      </c>
      <c r="DL20" s="6">
        <f t="shared" si="1"/>
        <v>0</v>
      </c>
      <c r="DM20" s="11"/>
      <c r="DN20" s="11"/>
      <c r="DO20" s="6">
        <f t="shared" ref="DO20:DO27" si="2">SUM(DL20:DM20)</f>
        <v>0</v>
      </c>
    </row>
    <row r="21" spans="1:119" x14ac:dyDescent="0.25">
      <c r="A21">
        <v>11</v>
      </c>
      <c r="B21" s="11" t="s">
        <v>463</v>
      </c>
      <c r="C21" s="6"/>
      <c r="D21" s="6" t="s">
        <v>458</v>
      </c>
      <c r="E21" s="6" t="s">
        <v>383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6"/>
      <c r="AF21" s="6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>
        <v>33.6</v>
      </c>
      <c r="CB21" s="11">
        <v>4</v>
      </c>
      <c r="CC21" s="11">
        <v>39</v>
      </c>
      <c r="CD21" s="11">
        <v>5</v>
      </c>
      <c r="CE21" s="11">
        <v>7.5</v>
      </c>
      <c r="CF21" s="11">
        <v>4</v>
      </c>
      <c r="CG21" s="11">
        <f>SUM(BZ21:CF21)</f>
        <v>93.1</v>
      </c>
      <c r="CH21" s="11">
        <f>(CG21-BZ21)/2</f>
        <v>46.55</v>
      </c>
      <c r="CI21" s="11">
        <v>3</v>
      </c>
      <c r="CJ21" s="11">
        <v>40</v>
      </c>
      <c r="CK21" s="11">
        <v>75</v>
      </c>
      <c r="CL21" s="11"/>
      <c r="CM21" s="11"/>
      <c r="CN21" s="11"/>
      <c r="CO21" s="11">
        <f t="shared" si="0"/>
        <v>164.55</v>
      </c>
      <c r="CQ21" s="6"/>
      <c r="CR21" s="6"/>
      <c r="CS21" s="6"/>
      <c r="CT21" s="6"/>
      <c r="CU21" s="6"/>
      <c r="CV21" s="6"/>
      <c r="CW21" s="11"/>
      <c r="CX21" s="11"/>
      <c r="CY21" s="11"/>
      <c r="CZ21" s="11"/>
      <c r="DA21" s="11"/>
      <c r="DB21" s="11"/>
      <c r="DC21" s="11"/>
      <c r="DD21" s="11"/>
      <c r="DE21" s="6"/>
      <c r="DF21" s="6"/>
      <c r="DG21" s="11">
        <v>14</v>
      </c>
      <c r="DH21" s="11"/>
      <c r="DI21" s="11"/>
      <c r="DJ21" s="11">
        <v>50</v>
      </c>
      <c r="DK21" s="6">
        <f>SUM(DF21:DJ21)</f>
        <v>64</v>
      </c>
      <c r="DL21" s="6">
        <f t="shared" si="1"/>
        <v>32</v>
      </c>
      <c r="DM21" s="11"/>
      <c r="DN21" s="11"/>
      <c r="DO21" s="6">
        <f t="shared" si="2"/>
        <v>32</v>
      </c>
    </row>
    <row r="22" spans="1:119" x14ac:dyDescent="0.25">
      <c r="A22">
        <v>12</v>
      </c>
      <c r="B22" s="11" t="s">
        <v>483</v>
      </c>
      <c r="C22" s="6"/>
      <c r="D22" s="6" t="s">
        <v>484</v>
      </c>
      <c r="E22" s="6" t="s">
        <v>86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6"/>
      <c r="AF22" s="6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>
        <v>3</v>
      </c>
      <c r="CB22" s="11">
        <v>56</v>
      </c>
      <c r="CC22" s="11">
        <v>54</v>
      </c>
      <c r="CD22" s="11">
        <v>50</v>
      </c>
      <c r="CE22" s="11">
        <v>56</v>
      </c>
      <c r="CF22" s="11">
        <v>100</v>
      </c>
      <c r="CG22" s="11">
        <f>SUM(BZ22:CF22)</f>
        <v>319</v>
      </c>
      <c r="CH22" s="11">
        <f>(CG22-BZ22)/2</f>
        <v>159.5</v>
      </c>
      <c r="CI22" s="11"/>
      <c r="CJ22" s="11"/>
      <c r="CK22" s="11"/>
      <c r="CL22" s="11"/>
      <c r="CM22" s="11"/>
      <c r="CN22" s="11"/>
      <c r="CO22" s="11">
        <f t="shared" si="0"/>
        <v>159.5</v>
      </c>
      <c r="CQ22" s="6"/>
      <c r="CR22" s="6"/>
      <c r="CS22" s="6"/>
      <c r="CT22" s="6"/>
      <c r="CU22" s="6"/>
      <c r="CV22" s="6"/>
      <c r="CW22" s="11"/>
      <c r="CX22" s="11"/>
      <c r="CY22" s="11"/>
      <c r="CZ22" s="11"/>
      <c r="DA22" s="11"/>
      <c r="DB22" s="11"/>
      <c r="DC22" s="11"/>
      <c r="DD22" s="11"/>
      <c r="DE22" s="6"/>
      <c r="DF22" s="6"/>
      <c r="DG22" s="11"/>
      <c r="DH22" s="11"/>
      <c r="DI22" s="11"/>
      <c r="DJ22" s="11"/>
      <c r="DK22" s="6">
        <f>SUM(DF22:DH22)</f>
        <v>0</v>
      </c>
      <c r="DL22" s="6">
        <f t="shared" si="1"/>
        <v>0</v>
      </c>
      <c r="DM22" s="11"/>
      <c r="DN22" s="11"/>
      <c r="DO22" s="6">
        <f t="shared" si="2"/>
        <v>0</v>
      </c>
    </row>
    <row r="23" spans="1:119" x14ac:dyDescent="0.25">
      <c r="A23">
        <v>13</v>
      </c>
      <c r="B23" s="11" t="s">
        <v>453</v>
      </c>
      <c r="C23" s="6"/>
      <c r="D23" s="6" t="s">
        <v>454</v>
      </c>
      <c r="E23" s="6" t="s">
        <v>27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6"/>
      <c r="AF23" s="6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>
        <v>33.6</v>
      </c>
      <c r="CB23" s="11"/>
      <c r="CC23" s="11">
        <v>10</v>
      </c>
      <c r="CD23" s="11"/>
      <c r="CE23" s="11"/>
      <c r="CF23" s="11"/>
      <c r="CG23" s="11">
        <f>SUM(BZ23:CF23)</f>
        <v>43.6</v>
      </c>
      <c r="CH23" s="11">
        <f>(CG23-BZ23)/2</f>
        <v>21.8</v>
      </c>
      <c r="CI23" s="11">
        <v>33.6</v>
      </c>
      <c r="CJ23" s="11">
        <v>56</v>
      </c>
      <c r="CK23" s="11">
        <v>39</v>
      </c>
      <c r="CL23" s="11"/>
      <c r="CM23" s="11"/>
      <c r="CN23" s="11"/>
      <c r="CO23" s="11">
        <f t="shared" si="0"/>
        <v>150.4</v>
      </c>
      <c r="CQ23" s="6"/>
      <c r="CR23" s="6"/>
      <c r="CS23" s="6"/>
      <c r="CT23" s="6"/>
      <c r="CU23" s="6"/>
      <c r="CV23" s="6"/>
      <c r="CW23" s="11"/>
      <c r="CX23" s="11"/>
      <c r="CY23" s="11"/>
      <c r="CZ23" s="11"/>
      <c r="DA23" s="11"/>
      <c r="DB23" s="11"/>
      <c r="DC23" s="11"/>
      <c r="DD23" s="11"/>
      <c r="DE23" s="6">
        <f>SUM(CW23:DD23)</f>
        <v>0</v>
      </c>
      <c r="DF23" s="6">
        <f>(DE23-CW23)/2</f>
        <v>0</v>
      </c>
      <c r="DG23" s="11"/>
      <c r="DH23" s="11"/>
      <c r="DI23" s="11"/>
      <c r="DJ23" s="11">
        <v>35</v>
      </c>
      <c r="DK23" s="6">
        <f>SUM(DF23:DJ23)</f>
        <v>35</v>
      </c>
      <c r="DL23" s="6">
        <f t="shared" si="1"/>
        <v>17.5</v>
      </c>
      <c r="DM23" s="11"/>
      <c r="DN23" s="11"/>
      <c r="DO23" s="6">
        <f t="shared" si="2"/>
        <v>17.5</v>
      </c>
    </row>
    <row r="24" spans="1:119" x14ac:dyDescent="0.25">
      <c r="A24">
        <v>14</v>
      </c>
      <c r="B24" s="11" t="s">
        <v>181</v>
      </c>
      <c r="C24" s="6"/>
      <c r="D24" s="6" t="s">
        <v>321</v>
      </c>
      <c r="E24" s="6" t="s">
        <v>42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6"/>
      <c r="AF24" s="6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>
        <v>37</v>
      </c>
      <c r="CI24" s="11">
        <v>36</v>
      </c>
      <c r="CJ24" s="11"/>
      <c r="CK24" s="11">
        <v>75</v>
      </c>
      <c r="CL24" s="11"/>
      <c r="CM24" s="11"/>
      <c r="CN24" s="11"/>
      <c r="CO24" s="11">
        <f t="shared" si="0"/>
        <v>148</v>
      </c>
      <c r="CV24" s="6"/>
      <c r="CW24" s="11"/>
      <c r="CX24" s="11"/>
      <c r="CY24" s="11"/>
      <c r="CZ24" s="11"/>
      <c r="DA24" s="11"/>
      <c r="DB24" s="11"/>
      <c r="DC24" s="11"/>
      <c r="DD24" s="11"/>
      <c r="DE24" s="6"/>
      <c r="DF24" s="6"/>
      <c r="DG24" s="11"/>
      <c r="DH24" s="11"/>
      <c r="DI24" s="11"/>
      <c r="DJ24" s="11"/>
      <c r="DK24" s="6">
        <f t="shared" ref="DK24:DK55" si="3">SUM(DF24:DH24)</f>
        <v>0</v>
      </c>
      <c r="DL24" s="6">
        <f t="shared" si="1"/>
        <v>0</v>
      </c>
      <c r="DM24" s="11"/>
      <c r="DN24" s="11"/>
      <c r="DO24" s="6">
        <f t="shared" si="2"/>
        <v>0</v>
      </c>
    </row>
    <row r="25" spans="1:119" x14ac:dyDescent="0.25">
      <c r="A25">
        <v>15</v>
      </c>
      <c r="B25" s="11" t="s">
        <v>85</v>
      </c>
      <c r="C25" s="6"/>
      <c r="D25" s="6" t="s">
        <v>700</v>
      </c>
      <c r="E25" s="6" t="s">
        <v>695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6"/>
      <c r="AF25" s="6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>
        <v>36</v>
      </c>
      <c r="CJ25" s="11">
        <v>40</v>
      </c>
      <c r="CK25" s="11">
        <v>7.5</v>
      </c>
      <c r="CL25" s="11">
        <v>50</v>
      </c>
      <c r="CM25" s="11"/>
      <c r="CN25" s="11"/>
      <c r="CO25" s="11">
        <f t="shared" si="0"/>
        <v>133.5</v>
      </c>
      <c r="CV25" s="6"/>
      <c r="CW25" s="11"/>
      <c r="CX25" s="11"/>
      <c r="CY25" s="11"/>
      <c r="CZ25" s="11"/>
      <c r="DA25" s="11"/>
      <c r="DB25" s="11"/>
      <c r="DC25" s="11"/>
      <c r="DD25" s="11"/>
      <c r="DE25" s="6"/>
      <c r="DF25" s="6"/>
      <c r="DG25" s="11"/>
      <c r="DH25" s="11"/>
      <c r="DI25" s="11"/>
      <c r="DJ25" s="11"/>
      <c r="DK25" s="6">
        <f t="shared" si="3"/>
        <v>0</v>
      </c>
      <c r="DL25" s="6">
        <f t="shared" si="1"/>
        <v>0</v>
      </c>
      <c r="DM25" s="11"/>
      <c r="DN25" s="11"/>
      <c r="DO25" s="6">
        <f t="shared" si="2"/>
        <v>0</v>
      </c>
    </row>
    <row r="26" spans="1:119" x14ac:dyDescent="0.25">
      <c r="A26">
        <v>16</v>
      </c>
      <c r="B26" s="11" t="s">
        <v>194</v>
      </c>
      <c r="C26" s="6"/>
      <c r="D26" s="6" t="s">
        <v>458</v>
      </c>
      <c r="E26" s="6" t="s">
        <v>545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6"/>
      <c r="AF26" s="6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>
        <v>48</v>
      </c>
      <c r="CJ26" s="11">
        <v>4</v>
      </c>
      <c r="CK26" s="11">
        <v>54</v>
      </c>
      <c r="CL26" s="11"/>
      <c r="CM26" s="11"/>
      <c r="CN26" s="11"/>
      <c r="CO26" s="11">
        <f t="shared" si="0"/>
        <v>106</v>
      </c>
      <c r="CV26" s="6"/>
      <c r="CW26" s="11"/>
      <c r="CX26" s="11"/>
      <c r="CY26" s="11"/>
      <c r="CZ26" s="11"/>
      <c r="DA26" s="11"/>
      <c r="DB26" s="11"/>
      <c r="DC26" s="11"/>
      <c r="DD26" s="11"/>
      <c r="DE26" s="6"/>
      <c r="DF26" s="6"/>
      <c r="DG26" s="11"/>
      <c r="DH26" s="11"/>
      <c r="DI26" s="11"/>
      <c r="DJ26" s="11"/>
      <c r="DK26" s="6">
        <f t="shared" si="3"/>
        <v>0</v>
      </c>
      <c r="DL26" s="6">
        <f t="shared" si="1"/>
        <v>0</v>
      </c>
      <c r="DM26" s="11"/>
      <c r="DN26" s="11"/>
      <c r="DO26" s="6">
        <f t="shared" si="2"/>
        <v>0</v>
      </c>
    </row>
    <row r="27" spans="1:119" x14ac:dyDescent="0.25">
      <c r="A27">
        <v>17</v>
      </c>
      <c r="B27" s="11" t="s">
        <v>685</v>
      </c>
      <c r="C27" s="6"/>
      <c r="D27" s="6" t="s">
        <v>686</v>
      </c>
      <c r="E27" s="6" t="s">
        <v>111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6"/>
      <c r="AF27" s="6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>
        <v>36</v>
      </c>
      <c r="CJ27" s="11">
        <v>28.8</v>
      </c>
      <c r="CK27" s="11">
        <v>7.5</v>
      </c>
      <c r="CL27" s="11">
        <v>33.6</v>
      </c>
      <c r="CM27" s="11"/>
      <c r="CN27" s="11"/>
      <c r="CO27" s="11">
        <f t="shared" si="0"/>
        <v>105.9</v>
      </c>
      <c r="CV27" s="6"/>
      <c r="CW27" s="11"/>
      <c r="CX27" s="11"/>
      <c r="CY27" s="11"/>
      <c r="CZ27" s="11"/>
      <c r="DA27" s="11"/>
      <c r="DB27" s="11"/>
      <c r="DC27" s="11"/>
      <c r="DD27" s="11"/>
      <c r="DE27" s="6"/>
      <c r="DF27" s="6"/>
      <c r="DG27" s="11"/>
      <c r="DH27" s="11"/>
      <c r="DI27" s="11"/>
      <c r="DJ27" s="11"/>
      <c r="DK27" s="6">
        <f t="shared" si="3"/>
        <v>0</v>
      </c>
      <c r="DL27" s="6">
        <f t="shared" si="1"/>
        <v>0</v>
      </c>
      <c r="DM27" s="11"/>
      <c r="DN27" s="11"/>
      <c r="DO27" s="6">
        <f t="shared" si="2"/>
        <v>0</v>
      </c>
    </row>
    <row r="28" spans="1:119" x14ac:dyDescent="0.25">
      <c r="A28">
        <v>18</v>
      </c>
      <c r="B28" s="11" t="s">
        <v>459</v>
      </c>
      <c r="C28" s="6"/>
      <c r="D28" s="6" t="s">
        <v>460</v>
      </c>
      <c r="E28" s="6" t="s">
        <v>111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6"/>
      <c r="AF28" s="6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>
        <v>48</v>
      </c>
      <c r="CJ28" s="11">
        <v>40</v>
      </c>
      <c r="CK28" s="11">
        <v>7.5</v>
      </c>
      <c r="CL28" s="11"/>
      <c r="CM28" s="11"/>
      <c r="CN28" s="11"/>
      <c r="CO28" s="11">
        <f t="shared" si="0"/>
        <v>95.5</v>
      </c>
      <c r="CV28" s="6"/>
      <c r="CW28" s="11"/>
      <c r="CX28" s="11"/>
      <c r="CY28" s="11"/>
      <c r="CZ28" s="11"/>
      <c r="DA28" s="11"/>
      <c r="DB28" s="11"/>
      <c r="DC28" s="11"/>
      <c r="DD28" s="11"/>
      <c r="DE28" s="6"/>
      <c r="DF28" s="6"/>
      <c r="DG28" s="11"/>
      <c r="DH28" s="11"/>
      <c r="DI28" s="11"/>
      <c r="DJ28" s="11"/>
      <c r="DK28" s="6">
        <f t="shared" si="3"/>
        <v>0</v>
      </c>
      <c r="DL28" s="6">
        <f t="shared" si="1"/>
        <v>0</v>
      </c>
      <c r="DM28" s="11"/>
      <c r="DN28" s="11">
        <v>5</v>
      </c>
      <c r="DO28" s="6">
        <f>SUM(DL28:DN28)</f>
        <v>5</v>
      </c>
    </row>
    <row r="29" spans="1:119" x14ac:dyDescent="0.25">
      <c r="A29">
        <v>19</v>
      </c>
      <c r="B29" s="11" t="s">
        <v>58</v>
      </c>
      <c r="C29" s="6"/>
      <c r="D29" s="6" t="s">
        <v>396</v>
      </c>
      <c r="E29" s="6" t="s">
        <v>131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6"/>
      <c r="AF29" s="6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>
        <v>36</v>
      </c>
      <c r="BQ29" s="11"/>
      <c r="BR29" s="11"/>
      <c r="BS29" s="11"/>
      <c r="BT29" s="11"/>
      <c r="BU29" s="11"/>
      <c r="BV29" s="11">
        <v>7.5</v>
      </c>
      <c r="BW29" s="11"/>
      <c r="BX29" s="11"/>
      <c r="BY29" s="11">
        <f>SUM(BB29:BX29)</f>
        <v>43.5</v>
      </c>
      <c r="BZ29" s="11">
        <f>(BY29-BB29)/2</f>
        <v>21.75</v>
      </c>
      <c r="CA29" s="11">
        <v>48</v>
      </c>
      <c r="CB29" s="11">
        <v>4</v>
      </c>
      <c r="CC29" s="11">
        <v>7.5</v>
      </c>
      <c r="CD29" s="11">
        <v>7.5</v>
      </c>
      <c r="CE29" s="11">
        <v>33.6</v>
      </c>
      <c r="CF29" s="11">
        <v>4</v>
      </c>
      <c r="CG29" s="11">
        <f>SUM(BZ29:CF29)</f>
        <v>126.35</v>
      </c>
      <c r="CH29" s="11">
        <f>(CG29-BZ29)/2</f>
        <v>52.3</v>
      </c>
      <c r="CI29" s="11">
        <v>30</v>
      </c>
      <c r="CJ29" s="11"/>
      <c r="CK29" s="11"/>
      <c r="CL29" s="11"/>
      <c r="CM29" s="11"/>
      <c r="CN29" s="11"/>
      <c r="CO29" s="11">
        <f t="shared" si="0"/>
        <v>82.3</v>
      </c>
      <c r="CV29" s="15">
        <f>SUM(CQ29:CR29)</f>
        <v>0</v>
      </c>
      <c r="CW29" s="8">
        <f>CV29/2</f>
        <v>0</v>
      </c>
      <c r="CX29" s="8">
        <f>BY29/4</f>
        <v>10.875</v>
      </c>
      <c r="DE29" s="6">
        <f>SUM(CW29:DD29)</f>
        <v>10.875</v>
      </c>
      <c r="DF29" s="6">
        <f>(DE29-CW29)/2</f>
        <v>5.4375</v>
      </c>
      <c r="DG29" s="11"/>
      <c r="DH29" s="11"/>
      <c r="DI29" s="11"/>
      <c r="DJ29" s="11"/>
      <c r="DK29" s="6">
        <f t="shared" si="3"/>
        <v>5.4375</v>
      </c>
      <c r="DL29" s="6">
        <f t="shared" si="1"/>
        <v>0</v>
      </c>
      <c r="DM29" s="11"/>
      <c r="DN29" s="11"/>
      <c r="DO29" s="6">
        <f t="shared" ref="DO29:DO55" si="4">SUM(DL29:DM29)</f>
        <v>0</v>
      </c>
    </row>
    <row r="30" spans="1:119" x14ac:dyDescent="0.25">
      <c r="A30">
        <v>20</v>
      </c>
      <c r="B30" s="11" t="s">
        <v>77</v>
      </c>
      <c r="C30" s="6"/>
      <c r="D30" s="6" t="s">
        <v>510</v>
      </c>
      <c r="E30" s="6" t="s">
        <v>511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6"/>
      <c r="AF30" s="6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>
        <v>36</v>
      </c>
      <c r="CB30" s="11"/>
      <c r="CC30" s="11"/>
      <c r="CD30" s="11"/>
      <c r="CE30" s="11"/>
      <c r="CF30" s="11"/>
      <c r="CG30" s="11">
        <f>SUM(BZ30:CF30)</f>
        <v>36</v>
      </c>
      <c r="CH30" s="11">
        <f>(CG30-BZ30)/2</f>
        <v>18</v>
      </c>
      <c r="CI30" s="11">
        <v>48</v>
      </c>
      <c r="CJ30" s="11"/>
      <c r="CK30" s="11"/>
      <c r="CL30" s="11"/>
      <c r="CM30" s="11"/>
      <c r="CN30" s="11"/>
      <c r="CO30" s="11">
        <f t="shared" si="0"/>
        <v>66</v>
      </c>
      <c r="DE30" s="6">
        <f>SUM(CW30:DD30)</f>
        <v>0</v>
      </c>
      <c r="DF30" s="6">
        <f>(DE30-CW30)/2</f>
        <v>0</v>
      </c>
      <c r="DG30" s="11"/>
      <c r="DH30" s="11"/>
      <c r="DI30" s="11"/>
      <c r="DJ30" s="11"/>
      <c r="DK30" s="6">
        <f t="shared" si="3"/>
        <v>0</v>
      </c>
      <c r="DL30" s="6">
        <f t="shared" si="1"/>
        <v>0</v>
      </c>
      <c r="DM30" s="11"/>
      <c r="DN30" s="11"/>
      <c r="DO30" s="6">
        <f t="shared" si="4"/>
        <v>0</v>
      </c>
    </row>
    <row r="31" spans="1:119" x14ac:dyDescent="0.25">
      <c r="A31">
        <v>21</v>
      </c>
      <c r="B31" s="11" t="s">
        <v>347</v>
      </c>
      <c r="C31" s="6"/>
      <c r="D31" s="6" t="s">
        <v>348</v>
      </c>
      <c r="E31" s="6" t="s">
        <v>42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6"/>
      <c r="AF31" s="6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>
        <v>50</v>
      </c>
      <c r="CL31" s="11"/>
      <c r="CM31" s="11"/>
      <c r="CN31" s="11"/>
      <c r="CO31" s="11">
        <f t="shared" si="0"/>
        <v>50</v>
      </c>
      <c r="DE31" s="6"/>
      <c r="DF31" s="6"/>
      <c r="DG31" s="11"/>
      <c r="DH31" s="11"/>
      <c r="DI31" s="11"/>
      <c r="DJ31" s="11"/>
      <c r="DK31" s="6">
        <f t="shared" si="3"/>
        <v>0</v>
      </c>
      <c r="DL31" s="6">
        <f t="shared" si="1"/>
        <v>0</v>
      </c>
      <c r="DM31" s="11"/>
      <c r="DN31" s="11"/>
      <c r="DO31" s="6">
        <f t="shared" si="4"/>
        <v>0</v>
      </c>
    </row>
    <row r="32" spans="1:119" x14ac:dyDescent="0.25">
      <c r="A32">
        <v>22</v>
      </c>
      <c r="B32" s="11" t="s">
        <v>309</v>
      </c>
      <c r="C32" s="6"/>
      <c r="D32" s="6" t="s">
        <v>71</v>
      </c>
      <c r="E32" s="6" t="s">
        <v>573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6"/>
      <c r="AF32" s="6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>
        <v>42</v>
      </c>
      <c r="BE32" s="11"/>
      <c r="BF32" s="11"/>
      <c r="BG32" s="11"/>
      <c r="BH32" s="11"/>
      <c r="BI32" s="11">
        <v>75</v>
      </c>
      <c r="BJ32" s="11"/>
      <c r="BK32" s="11">
        <v>50</v>
      </c>
      <c r="BL32" s="11"/>
      <c r="BM32" s="11">
        <v>56</v>
      </c>
      <c r="BN32" s="11"/>
      <c r="BO32" s="11">
        <v>75</v>
      </c>
      <c r="BP32" s="11"/>
      <c r="BQ32" s="11">
        <v>30</v>
      </c>
      <c r="BR32" s="11"/>
      <c r="BS32" s="11"/>
      <c r="BT32" s="11"/>
      <c r="BU32" s="11"/>
      <c r="BV32" s="11">
        <v>7.5</v>
      </c>
      <c r="BW32" s="11"/>
      <c r="BX32" s="11">
        <v>100</v>
      </c>
      <c r="BY32" s="11">
        <f>SUM(BB32:BX32)</f>
        <v>435.5</v>
      </c>
      <c r="BZ32" s="11">
        <f>(BY32-BB32)/2</f>
        <v>217.75</v>
      </c>
      <c r="CA32" s="11"/>
      <c r="CB32" s="11"/>
      <c r="CC32" s="11">
        <v>39</v>
      </c>
      <c r="CD32" s="11">
        <v>36</v>
      </c>
      <c r="CE32" s="11">
        <v>7.5</v>
      </c>
      <c r="CF32" s="11">
        <v>10</v>
      </c>
      <c r="CG32" s="11">
        <f>SUM(BZ32:CF32)</f>
        <v>310.25</v>
      </c>
      <c r="CH32" s="11">
        <f>(CG32-BZ32)/2</f>
        <v>46.25</v>
      </c>
      <c r="CI32" s="11"/>
      <c r="CJ32" s="11"/>
      <c r="CK32" s="11"/>
      <c r="CL32" s="11"/>
      <c r="CM32" s="11"/>
      <c r="CN32" s="11"/>
      <c r="CO32" s="11">
        <f t="shared" si="0"/>
        <v>46.25</v>
      </c>
      <c r="CV32" s="15">
        <f>SUM(CQ32:CR32)</f>
        <v>0</v>
      </c>
      <c r="CW32" s="8">
        <f>CV32/2</f>
        <v>0</v>
      </c>
      <c r="CX32" s="8">
        <f>BY32/4</f>
        <v>108.875</v>
      </c>
      <c r="DB32" s="8">
        <v>7.5</v>
      </c>
      <c r="DC32" s="8">
        <v>5</v>
      </c>
      <c r="DE32" s="6">
        <f>SUM(CW32:DD32)</f>
        <v>121.375</v>
      </c>
      <c r="DF32" s="6">
        <f>(DE32-CW32)/2</f>
        <v>60.6875</v>
      </c>
      <c r="DG32" s="11">
        <v>1.75</v>
      </c>
      <c r="DH32" s="11"/>
      <c r="DI32" s="11"/>
      <c r="DJ32" s="11"/>
      <c r="DK32" s="6">
        <f t="shared" si="3"/>
        <v>62.4375</v>
      </c>
      <c r="DL32" s="6">
        <f t="shared" si="1"/>
        <v>0.875</v>
      </c>
      <c r="DM32" s="11"/>
      <c r="DN32" s="11"/>
      <c r="DO32" s="6">
        <f t="shared" si="4"/>
        <v>0.875</v>
      </c>
    </row>
    <row r="33" spans="1:119" x14ac:dyDescent="0.25">
      <c r="A33">
        <v>23</v>
      </c>
      <c r="B33" s="11" t="s">
        <v>793</v>
      </c>
      <c r="C33" s="6"/>
      <c r="D33" s="6" t="s">
        <v>308</v>
      </c>
      <c r="E33" s="6" t="s">
        <v>794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6"/>
      <c r="AF33" s="6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>
        <v>42</v>
      </c>
      <c r="CJ33" s="11"/>
      <c r="CK33" s="11"/>
      <c r="CL33" s="11"/>
      <c r="CM33" s="11"/>
      <c r="CN33" s="11"/>
      <c r="CO33" s="11">
        <f t="shared" si="0"/>
        <v>42</v>
      </c>
      <c r="DK33" s="6">
        <f t="shared" si="3"/>
        <v>0</v>
      </c>
      <c r="DL33" s="6">
        <f t="shared" si="1"/>
        <v>0</v>
      </c>
      <c r="DM33" s="11"/>
      <c r="DN33" s="11"/>
      <c r="DO33" s="6">
        <f t="shared" si="4"/>
        <v>0</v>
      </c>
    </row>
    <row r="34" spans="1:119" x14ac:dyDescent="0.25">
      <c r="A34">
        <v>24</v>
      </c>
      <c r="B34" s="11" t="s">
        <v>582</v>
      </c>
      <c r="C34" s="6"/>
      <c r="D34" s="6" t="s">
        <v>583</v>
      </c>
      <c r="E34" s="6" t="s">
        <v>584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6"/>
      <c r="AF34" s="6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>
        <v>36</v>
      </c>
      <c r="CB34" s="11">
        <v>3.2</v>
      </c>
      <c r="CC34" s="11">
        <v>39</v>
      </c>
      <c r="CD34" s="11">
        <v>3.2</v>
      </c>
      <c r="CE34" s="11"/>
      <c r="CF34" s="11"/>
      <c r="CG34" s="11">
        <f>SUM(BZ34:CF34)</f>
        <v>81.400000000000006</v>
      </c>
      <c r="CH34" s="11">
        <f>(CG34-BZ34)/2</f>
        <v>40.700000000000003</v>
      </c>
      <c r="CI34" s="11"/>
      <c r="CJ34" s="11"/>
      <c r="CK34" s="11"/>
      <c r="CL34" s="11"/>
      <c r="CM34" s="11"/>
      <c r="CN34" s="11"/>
      <c r="CO34" s="11">
        <f t="shared" si="0"/>
        <v>40.700000000000003</v>
      </c>
      <c r="DE34">
        <f>SUM(CW34:DD34)</f>
        <v>0</v>
      </c>
      <c r="DF34">
        <f>(DE34-CW34)/2</f>
        <v>0</v>
      </c>
      <c r="DK34" s="6">
        <f t="shared" si="3"/>
        <v>0</v>
      </c>
      <c r="DL34" s="6">
        <f t="shared" si="1"/>
        <v>0</v>
      </c>
      <c r="DM34" s="11"/>
      <c r="DN34" s="11"/>
      <c r="DO34" s="6">
        <f t="shared" si="4"/>
        <v>0</v>
      </c>
    </row>
    <row r="35" spans="1:119" x14ac:dyDescent="0.25">
      <c r="A35">
        <v>25</v>
      </c>
      <c r="B35" s="11" t="s">
        <v>387</v>
      </c>
      <c r="C35" s="6"/>
      <c r="D35" s="6" t="s">
        <v>388</v>
      </c>
      <c r="E35" s="6" t="s">
        <v>339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6"/>
      <c r="AF35" s="6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>
        <v>40</v>
      </c>
      <c r="BN35" s="11"/>
      <c r="BO35" s="11">
        <v>75</v>
      </c>
      <c r="BP35" s="11"/>
      <c r="BQ35" s="11">
        <v>3</v>
      </c>
      <c r="BR35" s="11"/>
      <c r="BS35" s="11"/>
      <c r="BT35" s="11"/>
      <c r="BU35" s="11"/>
      <c r="BV35" s="11">
        <v>54</v>
      </c>
      <c r="BW35" s="11"/>
      <c r="BX35" s="11"/>
      <c r="BY35" s="11">
        <f>SUM(BB35:BX35)</f>
        <v>172</v>
      </c>
      <c r="BZ35" s="11">
        <f>(BY35-BB35)/2</f>
        <v>86</v>
      </c>
      <c r="CA35" s="11">
        <v>30</v>
      </c>
      <c r="CB35" s="11"/>
      <c r="CC35" s="11">
        <v>39</v>
      </c>
      <c r="CD35" s="11"/>
      <c r="CE35" s="11"/>
      <c r="CF35" s="11"/>
      <c r="CG35" s="11">
        <f>SUM(BZ35:CF35)</f>
        <v>155</v>
      </c>
      <c r="CH35" s="11">
        <f>(CG35-BZ35)/2</f>
        <v>34.5</v>
      </c>
      <c r="CI35" s="11"/>
      <c r="CJ35" s="11"/>
      <c r="CK35" s="11"/>
      <c r="CL35" s="11"/>
      <c r="CM35" s="11"/>
      <c r="CN35" s="11"/>
      <c r="CO35" s="11">
        <f t="shared" si="0"/>
        <v>34.5</v>
      </c>
      <c r="CV35" s="15">
        <f>SUM(CQ35:CR35)</f>
        <v>0</v>
      </c>
      <c r="CW35" s="8">
        <f>CV35/2</f>
        <v>0</v>
      </c>
      <c r="CX35" s="8">
        <f>BY35/4</f>
        <v>43</v>
      </c>
      <c r="DE35">
        <f>SUM(CW35:DD35)</f>
        <v>43</v>
      </c>
      <c r="DF35">
        <f>(DE35-CW35)/2</f>
        <v>21.5</v>
      </c>
      <c r="DK35" s="6">
        <f t="shared" si="3"/>
        <v>21.5</v>
      </c>
      <c r="DL35" s="6">
        <f t="shared" si="1"/>
        <v>0</v>
      </c>
      <c r="DM35" s="11"/>
      <c r="DN35" s="11"/>
      <c r="DO35" s="6">
        <f t="shared" si="4"/>
        <v>0</v>
      </c>
    </row>
    <row r="36" spans="1:119" x14ac:dyDescent="0.25">
      <c r="A36">
        <v>26</v>
      </c>
      <c r="B36" s="11" t="s">
        <v>77</v>
      </c>
      <c r="C36" s="6"/>
      <c r="D36" s="6" t="s">
        <v>670</v>
      </c>
      <c r="E36" s="6" t="s">
        <v>657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6"/>
      <c r="AF36" s="6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>
        <v>30</v>
      </c>
      <c r="CJ36" s="11"/>
      <c r="CK36" s="11">
        <v>3</v>
      </c>
      <c r="CL36" s="11"/>
      <c r="CM36" s="11"/>
      <c r="CN36" s="11"/>
      <c r="CO36" s="11">
        <f t="shared" si="0"/>
        <v>33</v>
      </c>
      <c r="DK36" s="6">
        <f t="shared" si="3"/>
        <v>0</v>
      </c>
      <c r="DL36" s="6">
        <f t="shared" si="1"/>
        <v>0</v>
      </c>
      <c r="DM36" s="11"/>
      <c r="DN36" s="11"/>
      <c r="DO36" s="6">
        <f t="shared" si="4"/>
        <v>0</v>
      </c>
    </row>
    <row r="37" spans="1:119" x14ac:dyDescent="0.25">
      <c r="A37">
        <v>27</v>
      </c>
      <c r="B37" s="11" t="s">
        <v>169</v>
      </c>
      <c r="C37" s="6"/>
      <c r="D37" s="6" t="s">
        <v>561</v>
      </c>
      <c r="E37" s="6" t="s">
        <v>197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6"/>
      <c r="AF37" s="6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>
        <v>30</v>
      </c>
      <c r="CJ37" s="11"/>
      <c r="CK37" s="11"/>
      <c r="CL37" s="11"/>
      <c r="CM37" s="11"/>
      <c r="CN37" s="11"/>
      <c r="CO37" s="11">
        <f t="shared" si="0"/>
        <v>30</v>
      </c>
      <c r="DK37" s="6">
        <f t="shared" si="3"/>
        <v>0</v>
      </c>
      <c r="DL37" s="6">
        <f t="shared" si="1"/>
        <v>0</v>
      </c>
      <c r="DM37" s="11"/>
      <c r="DN37" s="11"/>
      <c r="DO37" s="6">
        <f t="shared" si="4"/>
        <v>0</v>
      </c>
    </row>
    <row r="38" spans="1:119" x14ac:dyDescent="0.25">
      <c r="A38">
        <v>28</v>
      </c>
      <c r="B38" s="11" t="s">
        <v>346</v>
      </c>
      <c r="C38" s="6"/>
      <c r="D38" s="6" t="s">
        <v>30</v>
      </c>
      <c r="E38" s="6" t="s">
        <v>31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6"/>
      <c r="AF38" s="6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>
        <v>2.4</v>
      </c>
      <c r="CB38" s="11">
        <v>40</v>
      </c>
      <c r="CC38" s="11"/>
      <c r="CD38" s="11"/>
      <c r="CE38" s="11"/>
      <c r="CF38" s="11"/>
      <c r="CG38" s="11">
        <f t="shared" ref="CG38:CG43" si="5">SUM(BZ38:CF38)</f>
        <v>42.4</v>
      </c>
      <c r="CH38" s="11">
        <f t="shared" ref="CH38:CH43" si="6">(CG38-BZ38)/2</f>
        <v>21.2</v>
      </c>
      <c r="CI38" s="11"/>
      <c r="CJ38" s="11">
        <v>4</v>
      </c>
      <c r="CK38" s="11"/>
      <c r="CL38" s="11"/>
      <c r="CM38" s="11"/>
      <c r="CN38" s="11"/>
      <c r="CO38" s="11">
        <f t="shared" si="0"/>
        <v>25.2</v>
      </c>
      <c r="DE38">
        <f t="shared" ref="DE38:DE43" si="7">SUM(CW38:DD38)</f>
        <v>0</v>
      </c>
      <c r="DF38">
        <f t="shared" ref="DF38:DF43" si="8">(DE38-CW38)/2</f>
        <v>0</v>
      </c>
      <c r="DK38" s="6">
        <f t="shared" si="3"/>
        <v>0</v>
      </c>
      <c r="DL38" s="6">
        <f t="shared" si="1"/>
        <v>0</v>
      </c>
      <c r="DM38" s="11"/>
      <c r="DN38" s="11"/>
      <c r="DO38" s="6">
        <f t="shared" si="4"/>
        <v>0</v>
      </c>
    </row>
    <row r="39" spans="1:119" x14ac:dyDescent="0.25">
      <c r="A39">
        <v>29</v>
      </c>
      <c r="B39" s="11" t="s">
        <v>578</v>
      </c>
      <c r="C39" s="6"/>
      <c r="D39" s="6" t="s">
        <v>315</v>
      </c>
      <c r="E39" s="6" t="s">
        <v>12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6"/>
      <c r="AF39" s="6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>
        <v>2.4</v>
      </c>
      <c r="CB39" s="11">
        <v>28.8</v>
      </c>
      <c r="CC39" s="11">
        <v>7.5</v>
      </c>
      <c r="CD39" s="11">
        <v>4</v>
      </c>
      <c r="CE39" s="11"/>
      <c r="CF39" s="11"/>
      <c r="CG39" s="11">
        <f t="shared" si="5"/>
        <v>42.7</v>
      </c>
      <c r="CH39" s="11">
        <f t="shared" si="6"/>
        <v>21.35</v>
      </c>
      <c r="CI39" s="11"/>
      <c r="CJ39" s="11"/>
      <c r="CK39" s="11"/>
      <c r="CL39" s="11"/>
      <c r="CM39" s="11"/>
      <c r="CN39" s="11"/>
      <c r="CO39" s="11">
        <f t="shared" si="0"/>
        <v>21.35</v>
      </c>
      <c r="DE39">
        <f t="shared" si="7"/>
        <v>0</v>
      </c>
      <c r="DF39">
        <f t="shared" si="8"/>
        <v>0</v>
      </c>
      <c r="DK39" s="6">
        <f t="shared" si="3"/>
        <v>0</v>
      </c>
      <c r="DL39" s="6">
        <f t="shared" si="1"/>
        <v>0</v>
      </c>
      <c r="DM39" s="11"/>
      <c r="DN39" s="11"/>
      <c r="DO39" s="6">
        <f t="shared" si="4"/>
        <v>0</v>
      </c>
    </row>
    <row r="40" spans="1:119" x14ac:dyDescent="0.25">
      <c r="A40">
        <v>30</v>
      </c>
      <c r="B40" s="11" t="s">
        <v>175</v>
      </c>
      <c r="C40" s="6"/>
      <c r="D40" s="6" t="s">
        <v>176</v>
      </c>
      <c r="E40" s="6" t="s">
        <v>57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6"/>
      <c r="AF40" s="6"/>
      <c r="AG40" s="11">
        <v>2.4</v>
      </c>
      <c r="AH40" s="11">
        <v>5</v>
      </c>
      <c r="AI40" s="11"/>
      <c r="AJ40" s="11"/>
      <c r="AK40" s="11"/>
      <c r="AL40" s="11">
        <v>3.2</v>
      </c>
      <c r="AM40" s="11"/>
      <c r="AN40" s="11"/>
      <c r="AO40" s="11">
        <v>36</v>
      </c>
      <c r="AP40" s="11"/>
      <c r="AQ40" s="11"/>
      <c r="AR40" s="11"/>
      <c r="AS40" s="11"/>
      <c r="AT40" s="11"/>
      <c r="AU40" s="11">
        <v>5</v>
      </c>
      <c r="AV40" s="11"/>
      <c r="AW40" s="11"/>
      <c r="AX40" s="11"/>
      <c r="AY40" s="11"/>
      <c r="AZ40" s="11"/>
      <c r="BA40" s="11">
        <f>SUM(AF40:AZ40)</f>
        <v>51.6</v>
      </c>
      <c r="BB40" s="11">
        <f>(BA40-AF40)/2</f>
        <v>25.8</v>
      </c>
      <c r="BC40" s="11"/>
      <c r="BD40" s="11"/>
      <c r="BE40" s="11"/>
      <c r="BF40" s="11"/>
      <c r="BG40" s="11"/>
      <c r="BH40" s="11">
        <v>33.6</v>
      </c>
      <c r="BI40" s="11">
        <v>54</v>
      </c>
      <c r="BJ40" s="11"/>
      <c r="BK40" s="11"/>
      <c r="BL40" s="11"/>
      <c r="BM40" s="11"/>
      <c r="BN40" s="11">
        <v>40</v>
      </c>
      <c r="BO40" s="11"/>
      <c r="BP40" s="11"/>
      <c r="BQ40" s="11"/>
      <c r="BR40" s="11"/>
      <c r="BS40" s="11"/>
      <c r="BT40" s="11"/>
      <c r="BU40" s="11"/>
      <c r="BV40" s="11">
        <v>54</v>
      </c>
      <c r="BW40" s="11"/>
      <c r="BX40" s="11">
        <v>10</v>
      </c>
      <c r="BY40" s="11">
        <f>SUM(BB40:BX40)</f>
        <v>217.4</v>
      </c>
      <c r="BZ40" s="11">
        <f>(BY40-BB40)/2</f>
        <v>95.8</v>
      </c>
      <c r="CA40" s="11"/>
      <c r="CB40" s="11">
        <v>40</v>
      </c>
      <c r="CC40" s="11"/>
      <c r="CD40" s="11"/>
      <c r="CE40" s="11"/>
      <c r="CF40" s="11"/>
      <c r="CG40" s="11">
        <f t="shared" si="5"/>
        <v>135.80000000000001</v>
      </c>
      <c r="CH40" s="11">
        <f t="shared" si="6"/>
        <v>20.000000000000007</v>
      </c>
      <c r="CI40" s="11"/>
      <c r="CJ40" s="11"/>
      <c r="CK40" s="11"/>
      <c r="CL40" s="11"/>
      <c r="CM40" s="11"/>
      <c r="CN40" s="11"/>
      <c r="CO40" s="11">
        <f t="shared" si="0"/>
        <v>20.000000000000007</v>
      </c>
      <c r="CQ40" s="15">
        <f>BA40/4</f>
        <v>12.9</v>
      </c>
      <c r="CR40" s="15"/>
      <c r="CS40" s="15"/>
      <c r="CT40" s="15"/>
      <c r="CU40" s="15"/>
      <c r="CV40" s="15">
        <f>SUM(CQ40:CR40)</f>
        <v>12.9</v>
      </c>
      <c r="CW40" s="8">
        <f>CV40/2</f>
        <v>6.45</v>
      </c>
      <c r="CX40" s="8">
        <f>BY40/4</f>
        <v>54.35</v>
      </c>
      <c r="DE40">
        <f t="shared" si="7"/>
        <v>60.800000000000004</v>
      </c>
      <c r="DF40">
        <f t="shared" si="8"/>
        <v>27.175000000000001</v>
      </c>
      <c r="DK40" s="6">
        <f t="shared" si="3"/>
        <v>27.175000000000001</v>
      </c>
      <c r="DL40" s="6">
        <f t="shared" si="1"/>
        <v>0</v>
      </c>
      <c r="DM40" s="11"/>
      <c r="DN40" s="11"/>
      <c r="DO40" s="6">
        <f t="shared" si="4"/>
        <v>0</v>
      </c>
    </row>
    <row r="41" spans="1:119" x14ac:dyDescent="0.25">
      <c r="A41">
        <v>31</v>
      </c>
      <c r="B41" s="11" t="s">
        <v>244</v>
      </c>
      <c r="C41" s="6"/>
      <c r="D41" s="6" t="s">
        <v>245</v>
      </c>
      <c r="E41" s="6" t="s">
        <v>242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6"/>
      <c r="AF41" s="6"/>
      <c r="AG41" s="11"/>
      <c r="AH41" s="11"/>
      <c r="AI41" s="11"/>
      <c r="AJ41" s="11"/>
      <c r="AK41" s="11"/>
      <c r="AL41" s="11"/>
      <c r="AM41" s="11"/>
      <c r="AN41" s="11"/>
      <c r="AO41" s="11"/>
      <c r="AP41" s="11">
        <v>36</v>
      </c>
      <c r="AQ41" s="11"/>
      <c r="AR41" s="11"/>
      <c r="AS41" s="11"/>
      <c r="AT41" s="11"/>
      <c r="AU41" s="11"/>
      <c r="AV41" s="11"/>
      <c r="AW41" s="11"/>
      <c r="AX41" s="11"/>
      <c r="AY41" s="11">
        <v>36</v>
      </c>
      <c r="AZ41" s="11"/>
      <c r="BA41" s="11">
        <f>SUM(AF41:AZ41)</f>
        <v>72</v>
      </c>
      <c r="BB41" s="11">
        <f>(BA41-AF41)/2</f>
        <v>36</v>
      </c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>
        <v>36</v>
      </c>
      <c r="BS41" s="11"/>
      <c r="BT41" s="11"/>
      <c r="BU41" s="11"/>
      <c r="BV41" s="11"/>
      <c r="BW41" s="11"/>
      <c r="BX41" s="11"/>
      <c r="BY41" s="11">
        <f>SUM(BB41:BX41)</f>
        <v>72</v>
      </c>
      <c r="BZ41" s="11">
        <f>(BY41-BB41)/2</f>
        <v>18</v>
      </c>
      <c r="CA41" s="11">
        <v>36</v>
      </c>
      <c r="CB41" s="11"/>
      <c r="CC41" s="11"/>
      <c r="CD41" s="11"/>
      <c r="CE41" s="11"/>
      <c r="CF41" s="11"/>
      <c r="CG41" s="11">
        <f t="shared" si="5"/>
        <v>54</v>
      </c>
      <c r="CH41" s="11">
        <f t="shared" si="6"/>
        <v>18</v>
      </c>
      <c r="CI41" s="11"/>
      <c r="CJ41" s="11"/>
      <c r="CK41" s="11"/>
      <c r="CL41" s="11"/>
      <c r="CM41" s="11"/>
      <c r="CN41" s="11"/>
      <c r="CO41" s="11">
        <f t="shared" si="0"/>
        <v>18</v>
      </c>
      <c r="CQ41" s="15">
        <f>BA41/4</f>
        <v>18</v>
      </c>
      <c r="CR41" s="15"/>
      <c r="CS41" s="15"/>
      <c r="CT41" s="15"/>
      <c r="CU41" s="15"/>
      <c r="CV41" s="15">
        <f>SUM(CQ41:CR41)</f>
        <v>18</v>
      </c>
      <c r="CW41" s="8">
        <f>CV41/2</f>
        <v>9</v>
      </c>
      <c r="CX41" s="8">
        <f>BY41/4</f>
        <v>18</v>
      </c>
      <c r="DE41">
        <f t="shared" si="7"/>
        <v>27</v>
      </c>
      <c r="DF41">
        <f t="shared" si="8"/>
        <v>9</v>
      </c>
      <c r="DK41" s="6">
        <f t="shared" si="3"/>
        <v>9</v>
      </c>
      <c r="DL41" s="6">
        <f t="shared" si="1"/>
        <v>0</v>
      </c>
      <c r="DM41" s="11"/>
      <c r="DN41" s="11"/>
      <c r="DO41" s="6">
        <f t="shared" si="4"/>
        <v>0</v>
      </c>
    </row>
    <row r="42" spans="1:119" x14ac:dyDescent="0.25">
      <c r="A42">
        <v>32</v>
      </c>
      <c r="B42" s="11" t="s">
        <v>181</v>
      </c>
      <c r="C42" s="6"/>
      <c r="D42" s="6" t="s">
        <v>458</v>
      </c>
      <c r="E42" s="6" t="s">
        <v>11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6"/>
      <c r="AF42" s="6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>
        <v>4</v>
      </c>
      <c r="CC42" s="11">
        <v>7.5</v>
      </c>
      <c r="CD42" s="11"/>
      <c r="CE42" s="11"/>
      <c r="CF42" s="11"/>
      <c r="CG42" s="11">
        <f t="shared" si="5"/>
        <v>11.5</v>
      </c>
      <c r="CH42" s="11">
        <f t="shared" si="6"/>
        <v>5.75</v>
      </c>
      <c r="CI42" s="11"/>
      <c r="CJ42" s="11">
        <v>4</v>
      </c>
      <c r="CK42" s="11">
        <v>5</v>
      </c>
      <c r="CL42" s="11"/>
      <c r="CM42" s="11"/>
      <c r="CN42" s="11"/>
      <c r="CO42" s="11">
        <f t="shared" si="0"/>
        <v>14.75</v>
      </c>
      <c r="DE42">
        <f t="shared" si="7"/>
        <v>0</v>
      </c>
      <c r="DF42">
        <f t="shared" si="8"/>
        <v>0</v>
      </c>
      <c r="DK42" s="6">
        <f t="shared" si="3"/>
        <v>0</v>
      </c>
      <c r="DL42" s="6">
        <f t="shared" si="1"/>
        <v>0</v>
      </c>
      <c r="DM42" s="11"/>
      <c r="DN42" s="11"/>
      <c r="DO42" s="6">
        <f t="shared" si="4"/>
        <v>0</v>
      </c>
    </row>
    <row r="43" spans="1:119" x14ac:dyDescent="0.25">
      <c r="A43">
        <v>33</v>
      </c>
      <c r="B43" s="11" t="s">
        <v>186</v>
      </c>
      <c r="C43" s="6"/>
      <c r="D43" s="6" t="s">
        <v>561</v>
      </c>
      <c r="E43" s="6" t="s">
        <v>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6"/>
      <c r="AF43" s="6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>
        <f>37.45/2</f>
        <v>18.725000000000001</v>
      </c>
      <c r="CA43" s="11"/>
      <c r="CB43" s="11"/>
      <c r="CC43" s="11">
        <v>7.5</v>
      </c>
      <c r="CD43" s="11">
        <v>7.5</v>
      </c>
      <c r="CE43" s="11">
        <v>5</v>
      </c>
      <c r="CF43" s="11"/>
      <c r="CG43" s="11">
        <f t="shared" si="5"/>
        <v>38.725000000000001</v>
      </c>
      <c r="CH43" s="11">
        <f t="shared" si="6"/>
        <v>10</v>
      </c>
      <c r="CI43" s="11"/>
      <c r="CJ43" s="11"/>
      <c r="CK43" s="11"/>
      <c r="CL43" s="11"/>
      <c r="CM43" s="11"/>
      <c r="CN43" s="11"/>
      <c r="CO43" s="11">
        <f t="shared" si="0"/>
        <v>10</v>
      </c>
      <c r="DE43">
        <f t="shared" si="7"/>
        <v>0</v>
      </c>
      <c r="DF43">
        <f t="shared" si="8"/>
        <v>0</v>
      </c>
      <c r="DK43" s="6">
        <f t="shared" si="3"/>
        <v>0</v>
      </c>
      <c r="DL43" s="6">
        <f t="shared" si="1"/>
        <v>0</v>
      </c>
      <c r="DM43" s="11"/>
      <c r="DN43" s="11"/>
      <c r="DO43" s="6">
        <f t="shared" si="4"/>
        <v>0</v>
      </c>
    </row>
    <row r="44" spans="1:119" x14ac:dyDescent="0.25">
      <c r="A44">
        <v>34</v>
      </c>
      <c r="B44" s="11" t="s">
        <v>115</v>
      </c>
      <c r="C44" s="6"/>
      <c r="D44" s="6" t="s">
        <v>263</v>
      </c>
      <c r="E44" s="6" t="s">
        <v>421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6"/>
      <c r="AF44" s="6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>
        <v>3</v>
      </c>
      <c r="CJ44" s="11"/>
      <c r="CK44" s="11">
        <v>5</v>
      </c>
      <c r="CL44" s="11"/>
      <c r="CM44" s="11"/>
      <c r="CN44" s="11"/>
      <c r="CO44" s="11">
        <f t="shared" si="0"/>
        <v>8</v>
      </c>
      <c r="DK44" s="6">
        <f t="shared" si="3"/>
        <v>0</v>
      </c>
      <c r="DL44" s="6">
        <f t="shared" si="1"/>
        <v>0</v>
      </c>
      <c r="DM44" s="11"/>
      <c r="DN44" s="11"/>
      <c r="DO44" s="6">
        <f t="shared" si="4"/>
        <v>0</v>
      </c>
    </row>
    <row r="45" spans="1:119" x14ac:dyDescent="0.25">
      <c r="A45">
        <v>35</v>
      </c>
      <c r="B45" s="11" t="s">
        <v>248</v>
      </c>
      <c r="C45" s="6"/>
      <c r="D45" s="6" t="s">
        <v>682</v>
      </c>
      <c r="E45" s="6" t="s">
        <v>111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6"/>
      <c r="AF45" s="6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>
        <v>5</v>
      </c>
      <c r="CL45" s="11"/>
      <c r="CM45" s="11"/>
      <c r="CN45" s="11"/>
      <c r="CO45" s="11">
        <f t="shared" si="0"/>
        <v>5</v>
      </c>
      <c r="DK45" s="6">
        <f t="shared" si="3"/>
        <v>0</v>
      </c>
      <c r="DL45" s="6">
        <f t="shared" si="1"/>
        <v>0</v>
      </c>
      <c r="DM45" s="11"/>
      <c r="DN45" s="11"/>
      <c r="DO45" s="6">
        <f t="shared" si="4"/>
        <v>0</v>
      </c>
    </row>
    <row r="46" spans="1:119" x14ac:dyDescent="0.25">
      <c r="A46">
        <v>36</v>
      </c>
      <c r="B46" s="11" t="s">
        <v>701</v>
      </c>
      <c r="C46" s="6"/>
      <c r="D46" s="6" t="s">
        <v>702</v>
      </c>
      <c r="E46" s="6" t="s">
        <v>525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6"/>
      <c r="AF46" s="6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>
        <v>4</v>
      </c>
      <c r="CK46" s="11"/>
      <c r="CL46" s="11"/>
      <c r="CM46" s="11"/>
      <c r="CN46" s="11"/>
      <c r="CO46" s="11">
        <f t="shared" si="0"/>
        <v>4</v>
      </c>
      <c r="DK46" s="6">
        <f t="shared" si="3"/>
        <v>0</v>
      </c>
      <c r="DL46" s="6">
        <f t="shared" si="1"/>
        <v>0</v>
      </c>
      <c r="DM46" s="11"/>
      <c r="DN46" s="11"/>
      <c r="DO46" s="6">
        <f t="shared" si="4"/>
        <v>0</v>
      </c>
    </row>
    <row r="47" spans="1:119" x14ac:dyDescent="0.25">
      <c r="A47">
        <v>37</v>
      </c>
      <c r="B47" s="11" t="s">
        <v>756</v>
      </c>
      <c r="C47" s="6"/>
      <c r="D47" s="6" t="s">
        <v>757</v>
      </c>
      <c r="E47" s="6" t="s">
        <v>758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6"/>
      <c r="AF47" s="6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>
        <v>4</v>
      </c>
      <c r="CK47" s="11"/>
      <c r="CL47" s="11"/>
      <c r="CM47" s="11"/>
      <c r="CN47" s="11"/>
      <c r="CO47" s="11">
        <f t="shared" si="0"/>
        <v>4</v>
      </c>
      <c r="DK47" s="6">
        <f t="shared" si="3"/>
        <v>0</v>
      </c>
      <c r="DL47" s="6">
        <f t="shared" si="1"/>
        <v>0</v>
      </c>
      <c r="DM47" s="11"/>
      <c r="DN47" s="11"/>
      <c r="DO47" s="6">
        <f t="shared" si="4"/>
        <v>0</v>
      </c>
    </row>
    <row r="48" spans="1:119" x14ac:dyDescent="0.25">
      <c r="A48">
        <v>38</v>
      </c>
      <c r="B48" s="11" t="s">
        <v>767</v>
      </c>
      <c r="C48" s="6"/>
      <c r="D48" s="6" t="s">
        <v>768</v>
      </c>
      <c r="E48" s="6" t="s">
        <v>193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6"/>
      <c r="AF48" s="6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>
        <v>4</v>
      </c>
      <c r="CK48" s="11"/>
      <c r="CL48" s="11"/>
      <c r="CM48" s="11"/>
      <c r="CN48" s="11"/>
      <c r="CO48" s="11">
        <f t="shared" si="0"/>
        <v>4</v>
      </c>
      <c r="DK48" s="6">
        <f t="shared" si="3"/>
        <v>0</v>
      </c>
      <c r="DL48" s="6">
        <f t="shared" si="1"/>
        <v>0</v>
      </c>
      <c r="DM48" s="11"/>
      <c r="DN48" s="11"/>
      <c r="DO48" s="6">
        <f t="shared" si="4"/>
        <v>0</v>
      </c>
    </row>
    <row r="49" spans="1:119" x14ac:dyDescent="0.25">
      <c r="A49">
        <v>39</v>
      </c>
      <c r="B49" s="11" t="s">
        <v>44</v>
      </c>
      <c r="C49" s="6"/>
      <c r="D49" s="6" t="s">
        <v>466</v>
      </c>
      <c r="E49" s="6" t="s">
        <v>49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6"/>
      <c r="AF49" s="6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>
        <v>7.5</v>
      </c>
      <c r="CD49" s="11"/>
      <c r="CE49" s="11"/>
      <c r="CF49" s="11"/>
      <c r="CG49" s="11">
        <f>SUM(BZ49:CF49)</f>
        <v>7.5</v>
      </c>
      <c r="CH49" s="11">
        <f>(CG49-BZ49)/2</f>
        <v>3.75</v>
      </c>
      <c r="CI49" s="11"/>
      <c r="CJ49" s="11"/>
      <c r="CK49" s="11"/>
      <c r="CL49" s="11"/>
      <c r="CM49" s="11"/>
      <c r="CN49" s="11"/>
      <c r="CO49" s="11">
        <f t="shared" si="0"/>
        <v>3.75</v>
      </c>
      <c r="DE49">
        <f>SUM(CW49:DD49)</f>
        <v>0</v>
      </c>
      <c r="DF49">
        <f>(DE49-CW49)/2</f>
        <v>0</v>
      </c>
      <c r="DK49" s="6">
        <f t="shared" si="3"/>
        <v>0</v>
      </c>
      <c r="DL49" s="6">
        <f t="shared" si="1"/>
        <v>0</v>
      </c>
      <c r="DM49" s="11"/>
      <c r="DN49" s="11"/>
      <c r="DO49" s="6">
        <f t="shared" si="4"/>
        <v>0</v>
      </c>
    </row>
    <row r="50" spans="1:119" x14ac:dyDescent="0.25">
      <c r="A50">
        <v>40</v>
      </c>
      <c r="B50" s="11" t="s">
        <v>56</v>
      </c>
      <c r="C50" s="6"/>
      <c r="D50" s="6" t="s">
        <v>677</v>
      </c>
      <c r="E50" s="6" t="s">
        <v>132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6"/>
      <c r="AF50" s="6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>
        <v>3</v>
      </c>
      <c r="CJ50" s="11"/>
      <c r="CK50" s="11"/>
      <c r="CL50" s="11"/>
      <c r="CM50" s="11"/>
      <c r="CN50" s="11"/>
      <c r="CO50" s="11">
        <f t="shared" si="0"/>
        <v>3</v>
      </c>
      <c r="DK50" s="6">
        <f t="shared" si="3"/>
        <v>0</v>
      </c>
      <c r="DL50" s="6">
        <f t="shared" si="1"/>
        <v>0</v>
      </c>
      <c r="DM50" s="11"/>
      <c r="DN50" s="11"/>
      <c r="DO50" s="6">
        <f t="shared" si="4"/>
        <v>0</v>
      </c>
    </row>
    <row r="51" spans="1:119" x14ac:dyDescent="0.25">
      <c r="A51">
        <v>41</v>
      </c>
      <c r="B51" s="11" t="s">
        <v>546</v>
      </c>
      <c r="C51" s="6"/>
      <c r="D51" s="6" t="s">
        <v>547</v>
      </c>
      <c r="E51" s="6" t="s">
        <v>242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6"/>
      <c r="AF51" s="6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>
        <v>5</v>
      </c>
      <c r="CD51" s="11"/>
      <c r="CE51" s="11"/>
      <c r="CF51" s="11"/>
      <c r="CG51" s="11">
        <f>SUM(BZ51:CF51)</f>
        <v>5</v>
      </c>
      <c r="CH51" s="11">
        <f>(CG51-BZ51)/2</f>
        <v>2.5</v>
      </c>
      <c r="CI51" s="11"/>
      <c r="CJ51" s="11"/>
      <c r="CK51" s="11"/>
      <c r="CL51" s="11"/>
      <c r="CM51" s="11"/>
      <c r="CN51" s="11"/>
      <c r="CO51" s="11">
        <f t="shared" si="0"/>
        <v>2.5</v>
      </c>
      <c r="DE51">
        <f>SUM(CW51:DD51)</f>
        <v>0</v>
      </c>
      <c r="DF51">
        <f>(DE51-CW51)/2</f>
        <v>0</v>
      </c>
      <c r="DK51" s="6">
        <f t="shared" si="3"/>
        <v>0</v>
      </c>
      <c r="DL51" s="6">
        <f t="shared" si="1"/>
        <v>0</v>
      </c>
      <c r="DM51" s="11"/>
      <c r="DN51" s="11"/>
      <c r="DO51" s="6">
        <f t="shared" si="4"/>
        <v>0</v>
      </c>
    </row>
    <row r="52" spans="1:119" x14ac:dyDescent="0.25">
      <c r="A52">
        <v>42</v>
      </c>
      <c r="B52" s="11" t="s">
        <v>619</v>
      </c>
      <c r="C52" s="6"/>
      <c r="D52" s="6" t="s">
        <v>95</v>
      </c>
      <c r="E52" s="6" t="s">
        <v>137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6"/>
      <c r="AF52" s="6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>
        <v>2.4</v>
      </c>
      <c r="CJ52" s="11"/>
      <c r="CK52" s="11"/>
      <c r="CL52" s="11"/>
      <c r="CM52" s="11"/>
      <c r="CN52" s="11"/>
      <c r="CO52" s="11">
        <f t="shared" si="0"/>
        <v>2.4</v>
      </c>
      <c r="DK52" s="6">
        <f t="shared" si="3"/>
        <v>0</v>
      </c>
      <c r="DL52" s="6">
        <f t="shared" si="1"/>
        <v>0</v>
      </c>
      <c r="DM52" s="11"/>
      <c r="DN52" s="11"/>
      <c r="DO52" s="6">
        <f t="shared" si="4"/>
        <v>0</v>
      </c>
    </row>
    <row r="53" spans="1:119" x14ac:dyDescent="0.25">
      <c r="A53">
        <v>43</v>
      </c>
      <c r="B53" s="11" t="s">
        <v>254</v>
      </c>
      <c r="C53" s="6"/>
      <c r="D53" s="6" t="s">
        <v>705</v>
      </c>
      <c r="E53" s="6" t="s">
        <v>525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6"/>
      <c r="AF53" s="6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>
        <v>2.4</v>
      </c>
      <c r="CJ53" s="11"/>
      <c r="CK53" s="11"/>
      <c r="CL53" s="11"/>
      <c r="CM53" s="11"/>
      <c r="CN53" s="11"/>
      <c r="CO53" s="11">
        <f t="shared" si="0"/>
        <v>2.4</v>
      </c>
      <c r="DK53" s="6">
        <f t="shared" si="3"/>
        <v>0</v>
      </c>
      <c r="DL53" s="6">
        <f t="shared" si="1"/>
        <v>0</v>
      </c>
      <c r="DM53" s="11"/>
      <c r="DN53" s="11"/>
      <c r="DO53" s="6">
        <f t="shared" si="4"/>
        <v>0</v>
      </c>
    </row>
    <row r="54" spans="1:119" x14ac:dyDescent="0.25">
      <c r="A54">
        <v>44</v>
      </c>
      <c r="B54" s="53" t="s">
        <v>77</v>
      </c>
      <c r="D54" s="54" t="s">
        <v>174</v>
      </c>
      <c r="E54" s="54" t="s">
        <v>12</v>
      </c>
      <c r="AG54" s="8">
        <v>48</v>
      </c>
      <c r="AH54" s="8">
        <v>70</v>
      </c>
      <c r="AL54" s="8">
        <v>64</v>
      </c>
      <c r="AO54" s="8">
        <v>50</v>
      </c>
      <c r="AQ54" s="8">
        <v>36</v>
      </c>
      <c r="AU54" s="8">
        <v>50</v>
      </c>
      <c r="AZ54" s="8">
        <v>105</v>
      </c>
      <c r="BA54" s="8">
        <f>SUM(AF54:AZ54)</f>
        <v>423</v>
      </c>
      <c r="BB54" s="8">
        <f>(BA54-AF54)/2</f>
        <v>211.5</v>
      </c>
      <c r="BH54" s="8">
        <v>48</v>
      </c>
      <c r="BI54" s="8">
        <v>105</v>
      </c>
      <c r="BK54" s="8">
        <v>70</v>
      </c>
      <c r="BN54" s="8">
        <v>80</v>
      </c>
      <c r="BO54" s="8">
        <v>54</v>
      </c>
      <c r="BU54" s="8">
        <v>33.6</v>
      </c>
      <c r="BV54" s="8">
        <v>105</v>
      </c>
      <c r="BY54" s="8">
        <f>SUM(BB54:BX54)</f>
        <v>707.1</v>
      </c>
      <c r="BZ54" s="8">
        <f>(BY54-BB54)/2</f>
        <v>247.8</v>
      </c>
      <c r="CA54" s="8">
        <v>2.4</v>
      </c>
      <c r="CG54" s="11">
        <f>SUM(BZ54:CF54)</f>
        <v>250.20000000000002</v>
      </c>
      <c r="CH54" s="11">
        <f>(CG54-BZ54)/2</f>
        <v>1.2000000000000028</v>
      </c>
      <c r="CI54" s="11"/>
      <c r="CJ54" s="11"/>
      <c r="CK54" s="11"/>
      <c r="CL54" s="11"/>
      <c r="CM54" s="11"/>
      <c r="CN54" s="11"/>
      <c r="CO54" s="11">
        <f t="shared" si="0"/>
        <v>1.2000000000000028</v>
      </c>
      <c r="CQ54" s="15">
        <f>BA54/4</f>
        <v>105.75</v>
      </c>
      <c r="CR54" s="15">
        <v>70</v>
      </c>
      <c r="CS54" s="15"/>
      <c r="CT54" s="15"/>
      <c r="CU54" s="15"/>
      <c r="CV54" s="15">
        <f>SUM(CQ54:CR54)</f>
        <v>175.75</v>
      </c>
      <c r="CW54" s="8">
        <f>CV54/2</f>
        <v>87.875</v>
      </c>
      <c r="CX54" s="8">
        <f>BY54/4</f>
        <v>176.77500000000001</v>
      </c>
      <c r="CY54" s="8">
        <v>18</v>
      </c>
      <c r="DD54" s="8">
        <v>25</v>
      </c>
      <c r="DE54" s="41">
        <f>SUM(CW54:DD54)</f>
        <v>307.64999999999998</v>
      </c>
      <c r="DF54">
        <f>(DE54-CW54)/2</f>
        <v>109.88749999999999</v>
      </c>
      <c r="DK54" s="6">
        <f t="shared" si="3"/>
        <v>109.88749999999999</v>
      </c>
      <c r="DL54" s="6">
        <f t="shared" si="1"/>
        <v>0</v>
      </c>
      <c r="DM54" s="11"/>
      <c r="DN54" s="11"/>
      <c r="DO54" s="6">
        <f t="shared" si="4"/>
        <v>0</v>
      </c>
    </row>
    <row r="55" spans="1:119" x14ac:dyDescent="0.25">
      <c r="A55">
        <v>45</v>
      </c>
      <c r="B55" s="11" t="s">
        <v>322</v>
      </c>
      <c r="C55" s="6"/>
      <c r="D55" s="6" t="s">
        <v>323</v>
      </c>
      <c r="E55" s="6" t="s">
        <v>158</v>
      </c>
      <c r="BL55" s="8">
        <v>48</v>
      </c>
      <c r="BO55" s="8">
        <v>7.5</v>
      </c>
      <c r="BS55" s="8">
        <v>36</v>
      </c>
      <c r="BY55" s="8">
        <f>SUM(BB55:BX55)</f>
        <v>91.5</v>
      </c>
      <c r="BZ55" s="8">
        <f>(BY55-BB55)/2</f>
        <v>45.75</v>
      </c>
      <c r="CG55" s="11">
        <f>SUM(BZ55:CF55)</f>
        <v>45.75</v>
      </c>
      <c r="CH55" s="11">
        <f>(CG55-BZ55)/2</f>
        <v>0</v>
      </c>
      <c r="CI55" s="11"/>
      <c r="CJ55" s="11"/>
      <c r="CK55" s="11"/>
      <c r="CL55" s="11"/>
      <c r="CM55" s="11"/>
      <c r="CN55" s="11"/>
      <c r="CO55" s="11">
        <f t="shared" si="0"/>
        <v>0</v>
      </c>
      <c r="CV55" s="15">
        <f>SUM(CQ55:CR55)</f>
        <v>0</v>
      </c>
      <c r="CW55" s="8">
        <f>CV55/2</f>
        <v>0</v>
      </c>
      <c r="CX55" s="8">
        <f>BY55/4</f>
        <v>22.875</v>
      </c>
      <c r="DD55" s="8">
        <v>2.5</v>
      </c>
      <c r="DE55">
        <f>SUM(CW55:DD55)</f>
        <v>25.375</v>
      </c>
      <c r="DF55">
        <f>(DE55-CW55)/2</f>
        <v>12.6875</v>
      </c>
      <c r="DK55" s="6">
        <f t="shared" si="3"/>
        <v>12.6875</v>
      </c>
      <c r="DL55" s="6">
        <f t="shared" si="1"/>
        <v>0</v>
      </c>
      <c r="DM55" s="11"/>
      <c r="DN55" s="11"/>
      <c r="DO55" s="6">
        <f t="shared" si="4"/>
        <v>0</v>
      </c>
    </row>
  </sheetData>
  <sortState xmlns:xlrd2="http://schemas.microsoft.com/office/spreadsheetml/2017/richdata2" ref="B11:DO55">
    <sortCondition descending="1" ref="CO11:CO55"/>
  </sortState>
  <mergeCells count="6">
    <mergeCell ref="B1:DO1"/>
    <mergeCell ref="B8:C10"/>
    <mergeCell ref="CC9:CF9"/>
    <mergeCell ref="CK9:CN9"/>
    <mergeCell ref="D4:CO5"/>
    <mergeCell ref="CQ4:DO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37"/>
  <sheetViews>
    <sheetView zoomScale="80" zoomScaleNormal="80" workbookViewId="0">
      <selection activeCell="DY21" sqref="DY21"/>
    </sheetView>
  </sheetViews>
  <sheetFormatPr baseColWidth="10" defaultRowHeight="15" x14ac:dyDescent="0.25"/>
  <cols>
    <col min="1" max="1" width="3.140625" bestFit="1" customWidth="1"/>
    <col min="2" max="2" width="15" bestFit="1" customWidth="1"/>
    <col min="4" max="4" width="11.7109375" bestFit="1" customWidth="1"/>
    <col min="5" max="5" width="21.140625" bestFit="1" customWidth="1"/>
    <col min="6" max="6" width="6.7109375" hidden="1" customWidth="1"/>
    <col min="7" max="12" width="6.42578125" hidden="1" customWidth="1"/>
    <col min="13" max="15" width="7.28515625" hidden="1" customWidth="1"/>
    <col min="16" max="16" width="7.28515625" style="8" hidden="1" customWidth="1"/>
    <col min="17" max="24" width="6.28515625" style="8" hidden="1" customWidth="1"/>
    <col min="25" max="25" width="7" style="8" hidden="1" customWidth="1"/>
    <col min="26" max="26" width="8.7109375" style="8" hidden="1" customWidth="1"/>
    <col min="27" max="29" width="7" style="8" hidden="1" customWidth="1"/>
    <col min="30" max="31" width="6" style="8" hidden="1" customWidth="1"/>
    <col min="32" max="33" width="6.5703125" style="8" hidden="1" customWidth="1"/>
    <col min="34" max="34" width="0" hidden="1" customWidth="1"/>
    <col min="35" max="35" width="7.7109375" hidden="1" customWidth="1"/>
    <col min="36" max="50" width="6" hidden="1" customWidth="1"/>
    <col min="51" max="51" width="10.5703125" hidden="1" customWidth="1"/>
    <col min="52" max="57" width="6" hidden="1" customWidth="1"/>
    <col min="58" max="58" width="6.28515625" hidden="1" customWidth="1"/>
    <col min="59" max="59" width="6.85546875" hidden="1" customWidth="1"/>
    <col min="60" max="60" width="10.5703125" hidden="1" customWidth="1"/>
    <col min="61" max="61" width="6" hidden="1" customWidth="1"/>
    <col min="62" max="64" width="6.28515625" hidden="1" customWidth="1"/>
    <col min="65" max="69" width="6" hidden="1" customWidth="1"/>
    <col min="70" max="75" width="6" style="8" hidden="1" customWidth="1"/>
    <col min="76" max="76" width="10.85546875" style="8" hidden="1" customWidth="1"/>
    <col min="77" max="82" width="6.140625" style="8" hidden="1" customWidth="1"/>
    <col min="83" max="83" width="6.28515625" hidden="1" customWidth="1"/>
    <col min="84" max="84" width="7.7109375" hidden="1" customWidth="1"/>
    <col min="85" max="90" width="6.28515625" style="8" hidden="1" customWidth="1"/>
    <col min="91" max="91" width="8" bestFit="1" customWidth="1"/>
    <col min="92" max="92" width="8" customWidth="1"/>
    <col min="93" max="98" width="8" style="8" customWidth="1"/>
    <col min="99" max="99" width="8" customWidth="1"/>
    <col min="101" max="101" width="0" hidden="1" customWidth="1"/>
    <col min="102" max="103" width="8.5703125" style="8" hidden="1" customWidth="1"/>
    <col min="104" max="106" width="7.140625" style="8" hidden="1" customWidth="1"/>
    <col min="107" max="107" width="0" hidden="1" customWidth="1"/>
    <col min="108" max="109" width="0" style="8" hidden="1" customWidth="1"/>
    <col min="110" max="116" width="6" style="8" hidden="1" customWidth="1"/>
    <col min="117" max="118" width="0" hidden="1" customWidth="1"/>
    <col min="119" max="119" width="5.5703125" style="8" hidden="1" customWidth="1"/>
    <col min="120" max="121" width="6" style="8" hidden="1" customWidth="1"/>
    <col min="124" max="124" width="9.28515625" style="8" bestFit="1" customWidth="1"/>
    <col min="125" max="125" width="6" style="8" bestFit="1" customWidth="1"/>
    <col min="126" max="126" width="6" style="8" customWidth="1"/>
  </cols>
  <sheetData>
    <row r="1" spans="1:127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</row>
    <row r="2" spans="1:127" ht="15.75" thickBot="1" x14ac:dyDescent="0.3">
      <c r="C2" s="8"/>
      <c r="D2" s="8"/>
      <c r="E2" s="8"/>
      <c r="F2" s="8"/>
      <c r="CW2" s="15"/>
      <c r="CX2" s="15"/>
      <c r="CY2" s="15"/>
      <c r="CZ2" s="15"/>
      <c r="DA2" s="15"/>
      <c r="DB2" s="15"/>
      <c r="DC2" s="15"/>
    </row>
    <row r="3" spans="1:127" ht="15.75" thickTop="1" x14ac:dyDescent="0.25">
      <c r="B3" s="1" t="s">
        <v>0</v>
      </c>
      <c r="C3" s="4" t="s">
        <v>18</v>
      </c>
      <c r="CW3" s="15"/>
      <c r="CX3" s="15"/>
      <c r="CY3" s="15"/>
      <c r="CZ3" s="15"/>
      <c r="DA3" s="15"/>
      <c r="DB3" s="15"/>
      <c r="DC3" s="15"/>
    </row>
    <row r="4" spans="1:127" ht="14.65" customHeight="1" x14ac:dyDescent="0.25">
      <c r="B4" s="2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W4" s="64" t="s">
        <v>617</v>
      </c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</row>
    <row r="5" spans="1:127" ht="15" customHeight="1" thickBot="1" x14ac:dyDescent="0.3">
      <c r="B5" s="3" t="s">
        <v>2</v>
      </c>
      <c r="C5" s="33">
        <v>-63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</row>
    <row r="6" spans="1:127" ht="15.75" thickTop="1" x14ac:dyDescent="0.25">
      <c r="CW6" s="15"/>
      <c r="CX6" s="15"/>
      <c r="CY6" s="15"/>
      <c r="CZ6" s="15"/>
      <c r="DA6" s="15"/>
      <c r="DB6" s="15"/>
      <c r="DC6" s="15"/>
    </row>
    <row r="7" spans="1:127" ht="15.75" thickBot="1" x14ac:dyDescent="0.3">
      <c r="CW7" s="15"/>
      <c r="CX7" s="15"/>
      <c r="CY7" s="15"/>
      <c r="CZ7" s="15"/>
      <c r="DA7" s="15"/>
      <c r="DB7" s="15"/>
      <c r="DC7" s="15"/>
    </row>
    <row r="8" spans="1:127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15</v>
      </c>
      <c r="J8" s="4" t="s">
        <v>25</v>
      </c>
      <c r="K8" s="4" t="s">
        <v>15</v>
      </c>
      <c r="L8" s="4" t="s">
        <v>79</v>
      </c>
      <c r="M8" s="4" t="s">
        <v>100</v>
      </c>
      <c r="N8" s="4" t="s">
        <v>102</v>
      </c>
      <c r="O8" s="4" t="s">
        <v>15</v>
      </c>
      <c r="P8" s="4" t="s">
        <v>15</v>
      </c>
      <c r="Q8" s="4" t="s">
        <v>136</v>
      </c>
      <c r="R8" s="4" t="s">
        <v>139</v>
      </c>
      <c r="S8" s="4" t="s">
        <v>142</v>
      </c>
      <c r="T8" s="4" t="s">
        <v>145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</v>
      </c>
      <c r="Z8" s="4" t="s">
        <v>156</v>
      </c>
      <c r="AA8" s="4" t="s">
        <v>15</v>
      </c>
      <c r="AB8" s="4" t="s">
        <v>15</v>
      </c>
      <c r="AC8" s="4" t="s">
        <v>159</v>
      </c>
      <c r="AD8" s="4" t="s">
        <v>15</v>
      </c>
      <c r="AE8" s="4" t="s">
        <v>15</v>
      </c>
      <c r="AF8" s="4" t="s">
        <v>163</v>
      </c>
      <c r="AG8" s="4" t="s">
        <v>164</v>
      </c>
      <c r="AH8" s="1"/>
      <c r="AI8" s="12">
        <v>44927</v>
      </c>
      <c r="AJ8" s="4" t="s">
        <v>15</v>
      </c>
      <c r="AK8" s="13" t="s">
        <v>15</v>
      </c>
      <c r="AL8" s="4" t="s">
        <v>15</v>
      </c>
      <c r="AM8" s="4" t="s">
        <v>184</v>
      </c>
      <c r="AN8" s="4" t="s">
        <v>15</v>
      </c>
      <c r="AO8" s="4" t="s">
        <v>15</v>
      </c>
      <c r="AP8" s="4" t="s">
        <v>15</v>
      </c>
      <c r="AQ8" s="4" t="s">
        <v>224</v>
      </c>
      <c r="AR8" s="4" t="s">
        <v>224</v>
      </c>
      <c r="AS8" s="4" t="s">
        <v>224</v>
      </c>
      <c r="AT8" s="4" t="s">
        <v>15</v>
      </c>
      <c r="AU8" s="4" t="s">
        <v>164</v>
      </c>
      <c r="AV8" s="4" t="s">
        <v>15</v>
      </c>
      <c r="AW8" s="4" t="s">
        <v>15</v>
      </c>
      <c r="AX8" s="4" t="s">
        <v>15</v>
      </c>
      <c r="AY8" s="4" t="s">
        <v>15</v>
      </c>
      <c r="AZ8" s="4" t="s">
        <v>15</v>
      </c>
      <c r="BA8" s="4" t="s">
        <v>164</v>
      </c>
      <c r="BB8" s="4" t="s">
        <v>15</v>
      </c>
      <c r="BC8" s="4" t="s">
        <v>15</v>
      </c>
      <c r="BD8" s="4" t="s">
        <v>15</v>
      </c>
      <c r="BE8" s="4" t="s">
        <v>165</v>
      </c>
      <c r="BF8" s="4" t="s">
        <v>6</v>
      </c>
      <c r="BG8" s="28">
        <v>45292</v>
      </c>
      <c r="BH8" s="28" t="s">
        <v>15</v>
      </c>
      <c r="BI8" s="28" t="s">
        <v>15</v>
      </c>
      <c r="BJ8" s="28" t="s">
        <v>15</v>
      </c>
      <c r="BK8" s="28" t="s">
        <v>15</v>
      </c>
      <c r="BL8" s="28" t="s">
        <v>15</v>
      </c>
      <c r="BM8" s="28" t="s">
        <v>15</v>
      </c>
      <c r="BN8" s="28" t="s">
        <v>15</v>
      </c>
      <c r="BO8" s="28" t="s">
        <v>164</v>
      </c>
      <c r="BP8" s="28" t="s">
        <v>164</v>
      </c>
      <c r="BQ8" s="28" t="s">
        <v>224</v>
      </c>
      <c r="BR8" s="28" t="s">
        <v>224</v>
      </c>
      <c r="BS8" s="28" t="s">
        <v>224</v>
      </c>
      <c r="BT8" s="28" t="s">
        <v>164</v>
      </c>
      <c r="BU8" s="28" t="s">
        <v>15</v>
      </c>
      <c r="BV8" s="28" t="s">
        <v>15</v>
      </c>
      <c r="BW8" s="28" t="s">
        <v>15</v>
      </c>
      <c r="BX8" s="28" t="s">
        <v>15</v>
      </c>
      <c r="BY8" s="28" t="s">
        <v>15</v>
      </c>
      <c r="BZ8" s="28" t="s">
        <v>15</v>
      </c>
      <c r="CA8" s="28" t="s">
        <v>15</v>
      </c>
      <c r="CB8" s="28" t="s">
        <v>164</v>
      </c>
      <c r="CC8" s="28" t="s">
        <v>422</v>
      </c>
      <c r="CD8" s="28" t="s">
        <v>165</v>
      </c>
      <c r="CE8" s="28" t="s">
        <v>6</v>
      </c>
      <c r="CF8" s="28">
        <v>45658</v>
      </c>
      <c r="CG8" s="28"/>
      <c r="CH8" s="28"/>
      <c r="CI8" s="35"/>
      <c r="CJ8" s="36"/>
      <c r="CK8" s="36"/>
      <c r="CL8" s="37"/>
      <c r="CM8" s="28" t="s">
        <v>6</v>
      </c>
      <c r="CN8" s="28">
        <v>46023</v>
      </c>
      <c r="CO8" s="28"/>
      <c r="CP8" s="28"/>
      <c r="CQ8" s="35"/>
      <c r="CR8" s="36"/>
      <c r="CS8" s="36"/>
      <c r="CT8" s="37"/>
      <c r="CU8" s="28" t="s">
        <v>213</v>
      </c>
      <c r="CW8" s="13" t="s">
        <v>212</v>
      </c>
      <c r="CX8" s="13" t="s">
        <v>215</v>
      </c>
      <c r="CY8" s="1" t="s">
        <v>246</v>
      </c>
      <c r="CZ8" s="13" t="s">
        <v>163</v>
      </c>
      <c r="DA8" s="13" t="s">
        <v>281</v>
      </c>
      <c r="DB8" s="13" t="s">
        <v>282</v>
      </c>
      <c r="DC8" s="13" t="s">
        <v>213</v>
      </c>
      <c r="DD8" s="28">
        <v>45292</v>
      </c>
      <c r="DE8" s="4" t="s">
        <v>212</v>
      </c>
      <c r="DF8" s="4" t="s">
        <v>287</v>
      </c>
      <c r="DG8" s="4" t="s">
        <v>25</v>
      </c>
      <c r="DH8" s="4" t="s">
        <v>156</v>
      </c>
      <c r="DI8" s="4" t="s">
        <v>397</v>
      </c>
      <c r="DJ8" s="4" t="s">
        <v>156</v>
      </c>
      <c r="DK8" s="4" t="s">
        <v>163</v>
      </c>
      <c r="DL8" s="4" t="s">
        <v>282</v>
      </c>
      <c r="DM8" s="1" t="s">
        <v>6</v>
      </c>
      <c r="DN8" s="28">
        <v>45658</v>
      </c>
      <c r="DO8" s="4" t="s">
        <v>287</v>
      </c>
      <c r="DP8" s="4" t="s">
        <v>163</v>
      </c>
      <c r="DQ8" s="4" t="s">
        <v>282</v>
      </c>
      <c r="DR8" s="1" t="s">
        <v>6</v>
      </c>
      <c r="DS8" s="28">
        <v>46023</v>
      </c>
      <c r="DT8" s="4" t="s">
        <v>740</v>
      </c>
      <c r="DU8" s="4" t="s">
        <v>770</v>
      </c>
      <c r="DV8" s="4" t="s">
        <v>163</v>
      </c>
      <c r="DW8" s="1" t="s">
        <v>6</v>
      </c>
    </row>
    <row r="9" spans="1:127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9" t="s">
        <v>40</v>
      </c>
      <c r="J9" s="9" t="s">
        <v>26</v>
      </c>
      <c r="K9" s="9" t="s">
        <v>70</v>
      </c>
      <c r="L9" s="9" t="s">
        <v>80</v>
      </c>
      <c r="M9" s="9" t="s">
        <v>101</v>
      </c>
      <c r="N9" s="9" t="s">
        <v>103</v>
      </c>
      <c r="O9" s="9" t="s">
        <v>130</v>
      </c>
      <c r="P9" s="9" t="s">
        <v>120</v>
      </c>
      <c r="Q9" s="9" t="s">
        <v>138</v>
      </c>
      <c r="R9" s="9" t="s">
        <v>140</v>
      </c>
      <c r="S9" s="9" t="s">
        <v>143</v>
      </c>
      <c r="T9" s="9" t="s">
        <v>80</v>
      </c>
      <c r="U9" s="9" t="s">
        <v>148</v>
      </c>
      <c r="V9" s="9" t="s">
        <v>54</v>
      </c>
      <c r="W9" s="9" t="s">
        <v>40</v>
      </c>
      <c r="X9" s="9" t="s">
        <v>153</v>
      </c>
      <c r="Y9" s="9" t="s">
        <v>68</v>
      </c>
      <c r="Z9" s="9" t="s">
        <v>154</v>
      </c>
      <c r="AA9" s="9" t="s">
        <v>148</v>
      </c>
      <c r="AB9" s="9" t="s">
        <v>155</v>
      </c>
      <c r="AC9" s="9" t="s">
        <v>160</v>
      </c>
      <c r="AD9" s="9" t="s">
        <v>155</v>
      </c>
      <c r="AE9" s="9" t="s">
        <v>70</v>
      </c>
      <c r="AF9" s="9" t="s">
        <v>101</v>
      </c>
      <c r="AG9" s="9" t="s">
        <v>165</v>
      </c>
      <c r="AH9" s="2" t="s">
        <v>6</v>
      </c>
      <c r="AI9" s="2"/>
      <c r="AJ9" s="9" t="s">
        <v>54</v>
      </c>
      <c r="AK9" s="14" t="s">
        <v>148</v>
      </c>
      <c r="AL9" s="5" t="s">
        <v>40</v>
      </c>
      <c r="AM9" s="9" t="s">
        <v>136</v>
      </c>
      <c r="AN9" s="9" t="s">
        <v>130</v>
      </c>
      <c r="AO9" s="9" t="s">
        <v>155</v>
      </c>
      <c r="AP9" s="9" t="s">
        <v>70</v>
      </c>
      <c r="AQ9" s="9" t="s">
        <v>139</v>
      </c>
      <c r="AR9" s="9" t="s">
        <v>142</v>
      </c>
      <c r="AS9" s="9" t="s">
        <v>136</v>
      </c>
      <c r="AT9" s="9" t="s">
        <v>120</v>
      </c>
      <c r="AU9" s="9" t="s">
        <v>139</v>
      </c>
      <c r="AV9" s="9" t="s">
        <v>256</v>
      </c>
      <c r="AW9" s="9" t="s">
        <v>54</v>
      </c>
      <c r="AX9" s="9" t="s">
        <v>155</v>
      </c>
      <c r="AY9" s="9" t="s">
        <v>268</v>
      </c>
      <c r="AZ9" s="9" t="s">
        <v>148</v>
      </c>
      <c r="BA9" s="9" t="s">
        <v>142</v>
      </c>
      <c r="BB9" s="9" t="s">
        <v>166</v>
      </c>
      <c r="BC9" s="9" t="s">
        <v>70</v>
      </c>
      <c r="BD9" s="9" t="s">
        <v>16</v>
      </c>
      <c r="BE9" s="9"/>
      <c r="BF9" s="5"/>
      <c r="BG9" s="5"/>
      <c r="BH9" s="5" t="s">
        <v>268</v>
      </c>
      <c r="BI9" s="5" t="s">
        <v>333</v>
      </c>
      <c r="BJ9" s="5" t="s">
        <v>256</v>
      </c>
      <c r="BK9" s="5" t="s">
        <v>120</v>
      </c>
      <c r="BL9" s="5" t="s">
        <v>153</v>
      </c>
      <c r="BM9" s="5" t="s">
        <v>40</v>
      </c>
      <c r="BN9" s="5" t="s">
        <v>54</v>
      </c>
      <c r="BO9" s="5" t="s">
        <v>139</v>
      </c>
      <c r="BP9" s="5" t="s">
        <v>372</v>
      </c>
      <c r="BQ9" s="5" t="s">
        <v>139</v>
      </c>
      <c r="BR9" s="5" t="s">
        <v>136</v>
      </c>
      <c r="BS9" s="5" t="s">
        <v>142</v>
      </c>
      <c r="BT9" s="5" t="s">
        <v>136</v>
      </c>
      <c r="BU9" s="5" t="s">
        <v>333</v>
      </c>
      <c r="BV9" s="5" t="s">
        <v>40</v>
      </c>
      <c r="BW9" s="5" t="s">
        <v>256</v>
      </c>
      <c r="BX9" s="5" t="s">
        <v>268</v>
      </c>
      <c r="BY9" s="5" t="s">
        <v>153</v>
      </c>
      <c r="BZ9" s="5" t="s">
        <v>54</v>
      </c>
      <c r="CA9" s="5" t="s">
        <v>120</v>
      </c>
      <c r="CB9" s="5" t="s">
        <v>142</v>
      </c>
      <c r="CC9" s="5" t="s">
        <v>333</v>
      </c>
      <c r="CD9" s="5" t="s">
        <v>427</v>
      </c>
      <c r="CE9" s="5"/>
      <c r="CF9" s="5"/>
      <c r="CG9" s="9" t="s">
        <v>15</v>
      </c>
      <c r="CH9" s="9" t="s">
        <v>224</v>
      </c>
      <c r="CI9" s="60" t="s">
        <v>429</v>
      </c>
      <c r="CJ9" s="61"/>
      <c r="CK9" s="61"/>
      <c r="CL9" s="62"/>
      <c r="CM9" s="5"/>
      <c r="CN9" s="5"/>
      <c r="CO9" s="9" t="s">
        <v>15</v>
      </c>
      <c r="CP9" s="9" t="s">
        <v>224</v>
      </c>
      <c r="CQ9" s="60" t="s">
        <v>429</v>
      </c>
      <c r="CR9" s="61"/>
      <c r="CS9" s="61"/>
      <c r="CT9" s="62"/>
      <c r="CU9" s="9"/>
      <c r="CW9" s="14" t="s">
        <v>214</v>
      </c>
      <c r="CX9" s="14"/>
      <c r="CY9" s="2"/>
      <c r="CZ9" s="14" t="s">
        <v>260</v>
      </c>
      <c r="DA9" s="14"/>
      <c r="DB9" s="14" t="s">
        <v>283</v>
      </c>
      <c r="DC9" s="14"/>
      <c r="DE9" s="5" t="s">
        <v>214</v>
      </c>
      <c r="DF9" s="5"/>
      <c r="DG9" s="5" t="s">
        <v>343</v>
      </c>
      <c r="DH9" s="5" t="s">
        <v>28</v>
      </c>
      <c r="DI9" s="5" t="s">
        <v>28</v>
      </c>
      <c r="DJ9" s="5" t="s">
        <v>260</v>
      </c>
      <c r="DK9" s="5" t="s">
        <v>260</v>
      </c>
      <c r="DL9" s="5" t="s">
        <v>80</v>
      </c>
      <c r="DM9" s="2"/>
      <c r="DN9" s="5"/>
      <c r="DO9" s="5"/>
      <c r="DP9" s="5" t="s">
        <v>260</v>
      </c>
      <c r="DQ9" s="5" t="s">
        <v>80</v>
      </c>
      <c r="DR9" s="2"/>
      <c r="DS9" s="5"/>
      <c r="DT9" s="5" t="s">
        <v>741</v>
      </c>
      <c r="DU9" s="5" t="s">
        <v>28</v>
      </c>
      <c r="DV9" s="5" t="s">
        <v>28</v>
      </c>
      <c r="DW9" s="2"/>
    </row>
    <row r="10" spans="1:127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44660</v>
      </c>
      <c r="K10" s="10">
        <v>44674</v>
      </c>
      <c r="L10" s="10">
        <v>44681</v>
      </c>
      <c r="M10" s="10">
        <v>44685</v>
      </c>
      <c r="N10" s="10">
        <v>44695</v>
      </c>
      <c r="O10" s="10">
        <v>44709</v>
      </c>
      <c r="P10" s="10">
        <v>44709</v>
      </c>
      <c r="Q10" s="10">
        <v>44730</v>
      </c>
      <c r="R10" s="10">
        <v>44730</v>
      </c>
      <c r="S10" s="10">
        <v>44737</v>
      </c>
      <c r="T10" s="10">
        <v>44759</v>
      </c>
      <c r="U10" s="10">
        <v>44765</v>
      </c>
      <c r="V10" s="10">
        <v>44779</v>
      </c>
      <c r="W10" s="10">
        <v>44793</v>
      </c>
      <c r="X10" s="10">
        <v>44800</v>
      </c>
      <c r="Y10" s="10">
        <v>44807</v>
      </c>
      <c r="Z10" s="10">
        <v>44813</v>
      </c>
      <c r="AA10" s="10">
        <v>44814</v>
      </c>
      <c r="AB10" s="10">
        <v>44814</v>
      </c>
      <c r="AC10" s="10">
        <v>44829</v>
      </c>
      <c r="AD10" s="10">
        <v>44856</v>
      </c>
      <c r="AE10" s="10">
        <v>44863</v>
      </c>
      <c r="AF10" s="10">
        <v>44866</v>
      </c>
      <c r="AG10" s="10">
        <v>44906</v>
      </c>
      <c r="AH10" s="2">
        <v>2022</v>
      </c>
      <c r="AI10" s="2"/>
      <c r="AJ10" s="5" t="s">
        <v>171</v>
      </c>
      <c r="AK10" s="14" t="s">
        <v>179</v>
      </c>
      <c r="AL10" s="5" t="s">
        <v>180</v>
      </c>
      <c r="AM10" s="2" t="s">
        <v>185</v>
      </c>
      <c r="AN10" s="2" t="s">
        <v>216</v>
      </c>
      <c r="AO10" s="2" t="s">
        <v>210</v>
      </c>
      <c r="AP10" s="2" t="s">
        <v>221</v>
      </c>
      <c r="AQ10" s="2" t="s">
        <v>225</v>
      </c>
      <c r="AR10" s="2" t="s">
        <v>232</v>
      </c>
      <c r="AS10" s="5" t="s">
        <v>239</v>
      </c>
      <c r="AT10" s="5" t="s">
        <v>247</v>
      </c>
      <c r="AU10" s="5" t="s">
        <v>250</v>
      </c>
      <c r="AV10" s="5" t="s">
        <v>257</v>
      </c>
      <c r="AW10" s="5" t="s">
        <v>258</v>
      </c>
      <c r="AX10" s="5" t="s">
        <v>261</v>
      </c>
      <c r="AY10" s="5" t="s">
        <v>267</v>
      </c>
      <c r="AZ10" s="5" t="s">
        <v>267</v>
      </c>
      <c r="BA10" s="5" t="s">
        <v>270</v>
      </c>
      <c r="BB10" s="5" t="s">
        <v>277</v>
      </c>
      <c r="BC10" s="5" t="s">
        <v>278</v>
      </c>
      <c r="BD10" s="5" t="s">
        <v>278</v>
      </c>
      <c r="BE10" s="5" t="s">
        <v>284</v>
      </c>
      <c r="BF10" s="5">
        <v>2023</v>
      </c>
      <c r="BG10" s="17"/>
      <c r="BH10" s="17" t="s">
        <v>319</v>
      </c>
      <c r="BI10" s="17" t="s">
        <v>319</v>
      </c>
      <c r="BJ10" s="17" t="s">
        <v>319</v>
      </c>
      <c r="BK10" s="17" t="s">
        <v>319</v>
      </c>
      <c r="BL10" s="17" t="s">
        <v>319</v>
      </c>
      <c r="BM10" s="17" t="s">
        <v>345</v>
      </c>
      <c r="BN10" s="17" t="s">
        <v>362</v>
      </c>
      <c r="BO10" s="17" t="s">
        <v>366</v>
      </c>
      <c r="BP10" s="17" t="s">
        <v>373</v>
      </c>
      <c r="BQ10" s="17" t="s">
        <v>382</v>
      </c>
      <c r="BR10" s="17" t="s">
        <v>382</v>
      </c>
      <c r="BS10" s="17" t="s">
        <v>389</v>
      </c>
      <c r="BT10" s="17" t="s">
        <v>391</v>
      </c>
      <c r="BU10" s="17" t="s">
        <v>402</v>
      </c>
      <c r="BV10" s="17" t="s">
        <v>402</v>
      </c>
      <c r="BW10" s="17" t="s">
        <v>401</v>
      </c>
      <c r="BX10" s="17" t="s">
        <v>403</v>
      </c>
      <c r="BY10" s="17" t="s">
        <v>403</v>
      </c>
      <c r="BZ10" s="17" t="s">
        <v>403</v>
      </c>
      <c r="CA10" s="17" t="s">
        <v>416</v>
      </c>
      <c r="CB10" s="17" t="s">
        <v>420</v>
      </c>
      <c r="CC10" s="17" t="s">
        <v>423</v>
      </c>
      <c r="CD10" s="17" t="s">
        <v>428</v>
      </c>
      <c r="CE10" s="17">
        <v>2024</v>
      </c>
      <c r="CF10" s="5"/>
      <c r="CG10" s="5"/>
      <c r="CH10" s="5"/>
      <c r="CI10" s="5">
        <v>1</v>
      </c>
      <c r="CJ10" s="5">
        <v>2</v>
      </c>
      <c r="CK10" s="5">
        <v>3</v>
      </c>
      <c r="CL10" s="5">
        <v>4</v>
      </c>
      <c r="CM10" s="5">
        <v>2025</v>
      </c>
      <c r="CN10" s="5"/>
      <c r="CO10" s="5"/>
      <c r="CP10" s="5"/>
      <c r="CQ10" s="5">
        <v>1</v>
      </c>
      <c r="CR10" s="5">
        <v>2</v>
      </c>
      <c r="CS10" s="5">
        <v>3</v>
      </c>
      <c r="CT10" s="5">
        <v>4</v>
      </c>
      <c r="CU10" s="5">
        <v>2026</v>
      </c>
      <c r="CW10" s="24"/>
      <c r="CX10" s="25">
        <v>45077</v>
      </c>
      <c r="CY10" s="16">
        <v>45126</v>
      </c>
      <c r="CZ10" s="25">
        <v>45153</v>
      </c>
      <c r="DA10" s="25">
        <v>45247</v>
      </c>
      <c r="DB10" s="25">
        <v>45255</v>
      </c>
      <c r="DC10" s="24">
        <v>2023</v>
      </c>
      <c r="DE10" s="5"/>
      <c r="DF10" s="5" t="s">
        <v>288</v>
      </c>
      <c r="DG10" s="5" t="s">
        <v>344</v>
      </c>
      <c r="DH10" s="5" t="s">
        <v>390</v>
      </c>
      <c r="DI10" s="5" t="s">
        <v>400</v>
      </c>
      <c r="DJ10" s="5" t="s">
        <v>414</v>
      </c>
      <c r="DK10" s="5" t="s">
        <v>415</v>
      </c>
      <c r="DL10" s="5" t="s">
        <v>425</v>
      </c>
      <c r="DM10" s="2">
        <v>2024</v>
      </c>
      <c r="DN10" s="5"/>
      <c r="DO10" s="5" t="s">
        <v>430</v>
      </c>
      <c r="DP10" s="5" t="s">
        <v>607</v>
      </c>
      <c r="DQ10" s="5" t="s">
        <v>425</v>
      </c>
      <c r="DR10" s="2">
        <v>2025</v>
      </c>
      <c r="DS10" s="5"/>
      <c r="DT10" s="5" t="s">
        <v>180</v>
      </c>
      <c r="DU10" s="5" t="s">
        <v>771</v>
      </c>
      <c r="DV10" s="5" t="s">
        <v>772</v>
      </c>
      <c r="DW10" s="2">
        <v>2026</v>
      </c>
    </row>
    <row r="11" spans="1:127" x14ac:dyDescent="0.25">
      <c r="A11">
        <v>1</v>
      </c>
      <c r="B11" s="18" t="s">
        <v>316</v>
      </c>
      <c r="C11" s="19"/>
      <c r="D11" s="19" t="s">
        <v>30</v>
      </c>
      <c r="E11" s="19" t="s">
        <v>49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>
        <v>191.5</v>
      </c>
      <c r="BH11" s="6"/>
      <c r="BI11" s="6"/>
      <c r="BJ11" s="6"/>
      <c r="BK11" s="6"/>
      <c r="BL11" s="6"/>
      <c r="BM11" s="6" t="s">
        <v>54</v>
      </c>
      <c r="BN11" s="6"/>
      <c r="BO11" s="6">
        <v>150</v>
      </c>
      <c r="BP11" s="6"/>
      <c r="BQ11" s="6"/>
      <c r="BR11" s="11"/>
      <c r="BS11" s="11" t="s">
        <v>54</v>
      </c>
      <c r="BT11" s="11">
        <v>75</v>
      </c>
      <c r="BU11" s="11"/>
      <c r="BV11" s="11"/>
      <c r="BW11" s="11"/>
      <c r="BX11" s="11"/>
      <c r="BY11" s="11"/>
      <c r="BZ11" s="11"/>
      <c r="CA11" s="11"/>
      <c r="CB11" s="11">
        <v>150</v>
      </c>
      <c r="CC11" s="11"/>
      <c r="CD11" s="11">
        <v>100</v>
      </c>
      <c r="CE11" s="6">
        <f>SUM(BG11:CD11)</f>
        <v>666.5</v>
      </c>
      <c r="CF11" s="6">
        <f>(CE11-BG11)/2</f>
        <v>237.5</v>
      </c>
      <c r="CG11" s="11">
        <v>33.6</v>
      </c>
      <c r="CH11" s="11">
        <v>80</v>
      </c>
      <c r="CI11" s="11">
        <v>140</v>
      </c>
      <c r="CJ11" s="11">
        <v>150</v>
      </c>
      <c r="CK11" s="11">
        <v>105</v>
      </c>
      <c r="CL11" s="11">
        <v>80</v>
      </c>
      <c r="CM11" s="6">
        <f>SUM(CF11:CL11)</f>
        <v>826.1</v>
      </c>
      <c r="CN11" s="6">
        <f>(CM11-CF11)/2</f>
        <v>294.3</v>
      </c>
      <c r="CO11" s="11">
        <v>48</v>
      </c>
      <c r="CP11" s="11">
        <v>80</v>
      </c>
      <c r="CQ11" s="11">
        <v>75</v>
      </c>
      <c r="CR11" s="11">
        <v>36</v>
      </c>
      <c r="CS11" s="11">
        <v>33.6</v>
      </c>
      <c r="CT11" s="11"/>
      <c r="CU11" s="6">
        <f t="shared" ref="CU11:CU37" si="0">SUM(CN11:CT11)</f>
        <v>566.9</v>
      </c>
      <c r="CW11" s="6"/>
      <c r="CX11" s="11"/>
      <c r="CY11" s="11"/>
      <c r="CZ11" s="11"/>
      <c r="DA11" s="11"/>
      <c r="DB11" s="11"/>
      <c r="DC11" s="6">
        <f>SUM(CW11:CX11)</f>
        <v>0</v>
      </c>
      <c r="DD11" s="11">
        <f>DC11/2</f>
        <v>0</v>
      </c>
      <c r="DE11" s="11">
        <f>CE11/4</f>
        <v>166.625</v>
      </c>
      <c r="DF11" s="11">
        <v>30</v>
      </c>
      <c r="DG11" s="11">
        <v>15</v>
      </c>
      <c r="DH11" s="11">
        <v>7.5</v>
      </c>
      <c r="DI11" s="11"/>
      <c r="DJ11" s="11"/>
      <c r="DK11" s="11"/>
      <c r="DL11" s="11">
        <v>2</v>
      </c>
      <c r="DM11" s="6">
        <f>SUM(DD11:DL11)</f>
        <v>221.125</v>
      </c>
      <c r="DN11" s="6">
        <f>(DM11-DD11)/2</f>
        <v>110.5625</v>
      </c>
      <c r="DO11" s="11">
        <v>18</v>
      </c>
      <c r="DP11" s="11">
        <v>26</v>
      </c>
      <c r="DQ11" s="11">
        <v>25</v>
      </c>
      <c r="DR11" s="6">
        <f t="shared" ref="DR11:DR37" si="1">SUM(DN11:DQ11)</f>
        <v>179.5625</v>
      </c>
      <c r="DS11" s="6">
        <f t="shared" ref="DS11:DS37" si="2">(DR11-DN11)/2</f>
        <v>34.5</v>
      </c>
      <c r="DT11" s="11">
        <v>90</v>
      </c>
      <c r="DU11" s="11">
        <v>75</v>
      </c>
      <c r="DV11" s="11">
        <v>50</v>
      </c>
      <c r="DW11" s="19">
        <f>SUM(DS11:DV11)</f>
        <v>249.5</v>
      </c>
    </row>
    <row r="12" spans="1:127" x14ac:dyDescent="0.25">
      <c r="A12">
        <v>2</v>
      </c>
      <c r="B12" s="22" t="s">
        <v>478</v>
      </c>
      <c r="C12" s="23" t="s">
        <v>479</v>
      </c>
      <c r="D12" s="23" t="s">
        <v>95</v>
      </c>
      <c r="E12" s="23" t="s">
        <v>208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6"/>
      <c r="CF12" s="6">
        <v>141.75</v>
      </c>
      <c r="CG12" s="11">
        <v>36</v>
      </c>
      <c r="CH12" s="11">
        <v>48</v>
      </c>
      <c r="CI12" s="11">
        <v>54</v>
      </c>
      <c r="CJ12" s="11">
        <v>75</v>
      </c>
      <c r="CK12" s="11">
        <v>75</v>
      </c>
      <c r="CL12" s="11">
        <v>36</v>
      </c>
      <c r="CM12" s="6">
        <f>SUM(CF12:CL12)</f>
        <v>465.75</v>
      </c>
      <c r="CN12" s="6">
        <f>(CM12-CF12)/2</f>
        <v>162</v>
      </c>
      <c r="CO12" s="11">
        <v>36</v>
      </c>
      <c r="CP12" s="11">
        <v>64</v>
      </c>
      <c r="CQ12" s="11">
        <v>105</v>
      </c>
      <c r="CR12" s="11">
        <v>40</v>
      </c>
      <c r="CS12" s="11">
        <v>33.6</v>
      </c>
      <c r="CT12" s="11"/>
      <c r="CU12" s="6">
        <f t="shared" si="0"/>
        <v>440.6</v>
      </c>
      <c r="CW12" s="6"/>
      <c r="CX12" s="11"/>
      <c r="CY12" s="11"/>
      <c r="CZ12" s="11"/>
      <c r="DA12" s="11"/>
      <c r="DB12" s="11"/>
      <c r="DC12" s="6"/>
      <c r="DD12" s="11"/>
      <c r="DE12" s="11"/>
      <c r="DF12" s="11"/>
      <c r="DG12" s="11"/>
      <c r="DH12" s="11"/>
      <c r="DI12" s="11"/>
      <c r="DJ12" s="11"/>
      <c r="DK12" s="11"/>
      <c r="DL12" s="11"/>
      <c r="DM12" s="6"/>
      <c r="DN12" s="6"/>
      <c r="DO12" s="11"/>
      <c r="DP12" s="11">
        <v>5</v>
      </c>
      <c r="DQ12" s="11"/>
      <c r="DR12" s="6">
        <f t="shared" si="1"/>
        <v>5</v>
      </c>
      <c r="DS12" s="6">
        <f t="shared" si="2"/>
        <v>2.5</v>
      </c>
      <c r="DT12" s="11"/>
      <c r="DU12" s="11">
        <v>54</v>
      </c>
      <c r="DV12" s="11">
        <v>36</v>
      </c>
      <c r="DW12" s="23">
        <f>SUM(DS12:DV12)</f>
        <v>92.5</v>
      </c>
    </row>
    <row r="13" spans="1:127" x14ac:dyDescent="0.25">
      <c r="A13">
        <v>3</v>
      </c>
      <c r="B13" s="20" t="s">
        <v>467</v>
      </c>
      <c r="C13" s="21"/>
      <c r="D13" s="21" t="s">
        <v>468</v>
      </c>
      <c r="E13" s="21" t="s">
        <v>132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6"/>
      <c r="CF13" s="6"/>
      <c r="CG13" s="11">
        <v>36</v>
      </c>
      <c r="CH13" s="11">
        <v>56</v>
      </c>
      <c r="CI13" s="11">
        <v>54</v>
      </c>
      <c r="CJ13" s="11">
        <v>36</v>
      </c>
      <c r="CK13" s="11">
        <v>56</v>
      </c>
      <c r="CL13" s="11">
        <v>200</v>
      </c>
      <c r="CM13" s="6">
        <f>SUM(CF13:CL13)</f>
        <v>438</v>
      </c>
      <c r="CN13" s="6">
        <f>(CM13-CF13)/2</f>
        <v>219</v>
      </c>
      <c r="CO13" s="11">
        <v>36</v>
      </c>
      <c r="CP13" s="11">
        <v>56</v>
      </c>
      <c r="CQ13" s="11">
        <v>54</v>
      </c>
      <c r="CR13" s="11"/>
      <c r="CS13" s="11"/>
      <c r="CT13" s="11"/>
      <c r="CU13" s="6">
        <f t="shared" si="0"/>
        <v>365</v>
      </c>
      <c r="CW13" s="6"/>
      <c r="CX13" s="11"/>
      <c r="CY13" s="11"/>
      <c r="CZ13" s="11"/>
      <c r="DA13" s="11"/>
      <c r="DB13" s="11"/>
      <c r="DC13" s="6"/>
      <c r="DD13" s="11"/>
      <c r="DE13" s="11"/>
      <c r="DF13" s="11"/>
      <c r="DG13" s="11"/>
      <c r="DH13" s="11"/>
      <c r="DI13" s="11"/>
      <c r="DJ13" s="11"/>
      <c r="DK13" s="11"/>
      <c r="DL13" s="11"/>
      <c r="DM13" s="6"/>
      <c r="DN13" s="6"/>
      <c r="DO13" s="11">
        <v>1.5</v>
      </c>
      <c r="DP13" s="11"/>
      <c r="DQ13" s="11">
        <v>35</v>
      </c>
      <c r="DR13" s="6">
        <f t="shared" si="1"/>
        <v>36.5</v>
      </c>
      <c r="DS13" s="6">
        <f t="shared" si="2"/>
        <v>18.25</v>
      </c>
      <c r="DT13" s="11"/>
      <c r="DU13" s="11">
        <v>75</v>
      </c>
      <c r="DV13" s="11"/>
      <c r="DW13" s="21">
        <f>SUM(DS13:DU13)</f>
        <v>93.25</v>
      </c>
    </row>
    <row r="14" spans="1:127" x14ac:dyDescent="0.25">
      <c r="A14">
        <v>4</v>
      </c>
      <c r="B14" s="11" t="s">
        <v>671</v>
      </c>
      <c r="C14" s="6"/>
      <c r="D14" s="6" t="s">
        <v>672</v>
      </c>
      <c r="E14" s="6" t="s">
        <v>197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6"/>
      <c r="CF14" s="6"/>
      <c r="CG14" s="11"/>
      <c r="CH14" s="11"/>
      <c r="CI14" s="11"/>
      <c r="CJ14" s="11"/>
      <c r="CK14" s="11"/>
      <c r="CL14" s="11"/>
      <c r="CM14" s="6"/>
      <c r="CN14" s="6">
        <v>71</v>
      </c>
      <c r="CO14" s="11">
        <v>48</v>
      </c>
      <c r="CP14" s="11">
        <v>44.8</v>
      </c>
      <c r="CQ14" s="11">
        <v>54</v>
      </c>
      <c r="CR14" s="11">
        <v>100</v>
      </c>
      <c r="CS14" s="11">
        <v>36</v>
      </c>
      <c r="CT14" s="11"/>
      <c r="CU14" s="6">
        <f t="shared" si="0"/>
        <v>353.8</v>
      </c>
      <c r="CW14" s="6"/>
      <c r="CX14" s="11"/>
      <c r="CY14" s="11"/>
      <c r="CZ14" s="11"/>
      <c r="DA14" s="11"/>
      <c r="DB14" s="11"/>
      <c r="DC14" s="6"/>
      <c r="DD14" s="11"/>
      <c r="DE14" s="11"/>
      <c r="DF14" s="11"/>
      <c r="DG14" s="11"/>
      <c r="DH14" s="11"/>
      <c r="DI14" s="11"/>
      <c r="DJ14" s="11"/>
      <c r="DK14" s="11"/>
      <c r="DL14" s="11"/>
      <c r="DM14" s="6"/>
      <c r="DN14" s="6"/>
      <c r="DO14" s="11"/>
      <c r="DP14" s="11"/>
      <c r="DQ14" s="11"/>
      <c r="DR14" s="6">
        <f t="shared" si="1"/>
        <v>0</v>
      </c>
      <c r="DS14" s="6">
        <f t="shared" si="2"/>
        <v>0</v>
      </c>
      <c r="DT14" s="11"/>
      <c r="DU14" s="11"/>
      <c r="DV14" s="11"/>
      <c r="DW14" s="6">
        <f>SUM(DS14:DT14)</f>
        <v>0</v>
      </c>
    </row>
    <row r="15" spans="1:127" x14ac:dyDescent="0.25">
      <c r="A15">
        <v>5</v>
      </c>
      <c r="B15" s="11" t="s">
        <v>44</v>
      </c>
      <c r="C15" s="6"/>
      <c r="D15" s="6" t="s">
        <v>466</v>
      </c>
      <c r="E15" s="6" t="s">
        <v>49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6"/>
      <c r="CF15" s="6">
        <v>55</v>
      </c>
      <c r="CG15" s="11">
        <v>48</v>
      </c>
      <c r="CH15" s="11">
        <v>80</v>
      </c>
      <c r="CI15" s="11">
        <v>75</v>
      </c>
      <c r="CJ15" s="11">
        <v>72</v>
      </c>
      <c r="CK15" s="11">
        <v>40</v>
      </c>
      <c r="CL15" s="11">
        <v>7.5</v>
      </c>
      <c r="CM15" s="6">
        <f>SUM(CF15:CL15)</f>
        <v>377.5</v>
      </c>
      <c r="CN15" s="6">
        <f>(CM15-CF15)/2</f>
        <v>161.25</v>
      </c>
      <c r="CO15" s="11">
        <v>24</v>
      </c>
      <c r="CP15" s="11">
        <v>40</v>
      </c>
      <c r="CQ15" s="11">
        <v>75</v>
      </c>
      <c r="CR15" s="11">
        <v>2.4</v>
      </c>
      <c r="CS15" s="11"/>
      <c r="CT15" s="11"/>
      <c r="CU15" s="6">
        <f t="shared" si="0"/>
        <v>302.64999999999998</v>
      </c>
      <c r="CW15" s="6"/>
      <c r="CX15" s="11"/>
      <c r="CY15" s="11"/>
      <c r="CZ15" s="11"/>
      <c r="DA15" s="11"/>
      <c r="DB15" s="11"/>
      <c r="DC15" s="6"/>
      <c r="DD15" s="11"/>
      <c r="DE15" s="11"/>
      <c r="DF15" s="11"/>
      <c r="DG15" s="11"/>
      <c r="DH15" s="11"/>
      <c r="DI15" s="11"/>
      <c r="DJ15" s="11"/>
      <c r="DK15" s="11"/>
      <c r="DL15" s="11"/>
      <c r="DM15" s="6"/>
      <c r="DN15" s="6"/>
      <c r="DO15" s="11">
        <v>12</v>
      </c>
      <c r="DP15" s="11">
        <v>5</v>
      </c>
      <c r="DQ15" s="11">
        <v>50</v>
      </c>
      <c r="DR15" s="6">
        <f t="shared" si="1"/>
        <v>67</v>
      </c>
      <c r="DS15" s="6">
        <f t="shared" si="2"/>
        <v>33.5</v>
      </c>
      <c r="DT15" s="11"/>
      <c r="DU15" s="11"/>
      <c r="DV15" s="11">
        <v>26</v>
      </c>
      <c r="DW15" s="6">
        <f>SUM(DS15:DV15)</f>
        <v>59.5</v>
      </c>
    </row>
    <row r="16" spans="1:127" x14ac:dyDescent="0.25">
      <c r="A16">
        <v>6</v>
      </c>
      <c r="B16" s="11" t="s">
        <v>464</v>
      </c>
      <c r="C16" s="6"/>
      <c r="D16" s="6" t="s">
        <v>465</v>
      </c>
      <c r="E16" s="6" t="s">
        <v>374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6"/>
      <c r="CF16" s="6">
        <v>105.9</v>
      </c>
      <c r="CG16" s="11">
        <v>36</v>
      </c>
      <c r="CH16" s="11">
        <v>64</v>
      </c>
      <c r="CI16" s="11">
        <v>105</v>
      </c>
      <c r="CJ16" s="11">
        <v>64</v>
      </c>
      <c r="CK16" s="11">
        <v>36</v>
      </c>
      <c r="CL16" s="11">
        <v>100</v>
      </c>
      <c r="CM16" s="6">
        <f>SUM(CF16:CL16)</f>
        <v>510.9</v>
      </c>
      <c r="CN16" s="6">
        <f>(CM16-CF16)/2</f>
        <v>202.5</v>
      </c>
      <c r="CO16" s="11">
        <v>36</v>
      </c>
      <c r="CP16" s="11"/>
      <c r="CQ16" s="11">
        <v>36</v>
      </c>
      <c r="CR16" s="11"/>
      <c r="CS16" s="11"/>
      <c r="CT16" s="11"/>
      <c r="CU16" s="6">
        <f t="shared" si="0"/>
        <v>274.5</v>
      </c>
      <c r="CW16" s="6"/>
      <c r="CX16" s="11"/>
      <c r="CY16" s="11"/>
      <c r="CZ16" s="11"/>
      <c r="DA16" s="11"/>
      <c r="DB16" s="11"/>
      <c r="DC16" s="6"/>
      <c r="DD16" s="11"/>
      <c r="DE16" s="11"/>
      <c r="DF16" s="11"/>
      <c r="DG16" s="11"/>
      <c r="DH16" s="11"/>
      <c r="DI16" s="11"/>
      <c r="DJ16" s="11"/>
      <c r="DK16" s="11"/>
      <c r="DL16" s="11"/>
      <c r="DM16" s="6"/>
      <c r="DN16" s="6"/>
      <c r="DO16" s="11">
        <v>22.5</v>
      </c>
      <c r="DP16" s="11"/>
      <c r="DQ16" s="11">
        <v>18</v>
      </c>
      <c r="DR16" s="6">
        <f t="shared" si="1"/>
        <v>40.5</v>
      </c>
      <c r="DS16" s="6">
        <f t="shared" si="2"/>
        <v>20.25</v>
      </c>
      <c r="DT16" s="11"/>
      <c r="DU16" s="11"/>
      <c r="DV16" s="11"/>
      <c r="DW16" s="6">
        <f t="shared" ref="DW16:DW37" si="3">SUM(DS16:DT16)</f>
        <v>20.25</v>
      </c>
    </row>
    <row r="17" spans="1:127" x14ac:dyDescent="0.25">
      <c r="A17">
        <v>7</v>
      </c>
      <c r="B17" s="6" t="s">
        <v>629</v>
      </c>
      <c r="C17" s="6"/>
      <c r="D17" s="6" t="s">
        <v>630</v>
      </c>
      <c r="E17" s="6" t="s">
        <v>269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6"/>
      <c r="CF17" s="6"/>
      <c r="CG17" s="11"/>
      <c r="CH17" s="11"/>
      <c r="CI17" s="11"/>
      <c r="CJ17" s="11"/>
      <c r="CK17" s="11"/>
      <c r="CL17" s="11"/>
      <c r="CM17" s="6"/>
      <c r="CN17" s="6">
        <f>122.5/2</f>
        <v>61.25</v>
      </c>
      <c r="CO17" s="11">
        <v>48</v>
      </c>
      <c r="CP17" s="11">
        <v>64</v>
      </c>
      <c r="CQ17" s="11">
        <v>39</v>
      </c>
      <c r="CR17" s="11"/>
      <c r="CS17" s="11"/>
      <c r="CT17" s="11"/>
      <c r="CU17" s="6">
        <f t="shared" si="0"/>
        <v>212.25</v>
      </c>
      <c r="CW17" s="6"/>
      <c r="CX17" s="11"/>
      <c r="CY17" s="11"/>
      <c r="CZ17" s="11"/>
      <c r="DA17" s="11"/>
      <c r="DB17" s="11"/>
      <c r="DC17" s="6"/>
      <c r="DD17" s="11"/>
      <c r="DE17" s="11"/>
      <c r="DF17" s="11"/>
      <c r="DG17" s="11"/>
      <c r="DH17" s="11"/>
      <c r="DI17" s="11"/>
      <c r="DJ17" s="11"/>
      <c r="DK17" s="11"/>
      <c r="DL17" s="11"/>
      <c r="DM17" s="6"/>
      <c r="DN17" s="6"/>
      <c r="DO17" s="11"/>
      <c r="DP17" s="11"/>
      <c r="DQ17" s="11"/>
      <c r="DR17" s="6">
        <f t="shared" si="1"/>
        <v>0</v>
      </c>
      <c r="DS17" s="6">
        <f t="shared" si="2"/>
        <v>0</v>
      </c>
      <c r="DT17" s="11"/>
      <c r="DU17" s="11"/>
      <c r="DV17" s="11"/>
      <c r="DW17" s="6">
        <f t="shared" si="3"/>
        <v>0</v>
      </c>
    </row>
    <row r="18" spans="1:127" x14ac:dyDescent="0.25">
      <c r="A18" s="52">
        <v>8</v>
      </c>
      <c r="B18" s="11" t="s">
        <v>375</v>
      </c>
      <c r="C18" s="6"/>
      <c r="D18" s="6" t="s">
        <v>360</v>
      </c>
      <c r="E18" s="6" t="s">
        <v>31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6"/>
      <c r="CF18" s="6"/>
      <c r="CG18" s="11"/>
      <c r="CH18" s="11"/>
      <c r="CI18" s="11"/>
      <c r="CJ18" s="11"/>
      <c r="CK18" s="11"/>
      <c r="CL18" s="11"/>
      <c r="CM18" s="6"/>
      <c r="CN18" s="6"/>
      <c r="CO18" s="11">
        <v>48</v>
      </c>
      <c r="CP18" s="11"/>
      <c r="CQ18" s="11">
        <v>150</v>
      </c>
      <c r="CR18" s="11"/>
      <c r="CS18" s="11"/>
      <c r="CT18" s="11"/>
      <c r="CU18" s="6">
        <f t="shared" si="0"/>
        <v>198</v>
      </c>
      <c r="CW18" s="6"/>
      <c r="CX18" s="11"/>
      <c r="CY18" s="11"/>
      <c r="CZ18" s="11"/>
      <c r="DA18" s="11"/>
      <c r="DB18" s="11"/>
      <c r="DC18" s="6"/>
      <c r="DD18" s="11"/>
      <c r="DE18" s="11"/>
      <c r="DF18" s="11"/>
      <c r="DG18" s="11"/>
      <c r="DH18" s="11"/>
      <c r="DI18" s="11"/>
      <c r="DJ18" s="11"/>
      <c r="DK18" s="11"/>
      <c r="DL18" s="11"/>
      <c r="DM18" s="6"/>
      <c r="DN18" s="6"/>
      <c r="DO18" s="11"/>
      <c r="DP18" s="11"/>
      <c r="DQ18" s="11"/>
      <c r="DR18" s="6">
        <f t="shared" si="1"/>
        <v>0</v>
      </c>
      <c r="DS18" s="6">
        <f t="shared" si="2"/>
        <v>0</v>
      </c>
      <c r="DT18" s="11"/>
      <c r="DU18" s="11"/>
      <c r="DV18" s="11"/>
      <c r="DW18" s="6">
        <f t="shared" si="3"/>
        <v>0</v>
      </c>
    </row>
    <row r="19" spans="1:127" x14ac:dyDescent="0.25">
      <c r="A19">
        <v>9</v>
      </c>
      <c r="B19" s="11" t="s">
        <v>77</v>
      </c>
      <c r="C19" s="6"/>
      <c r="D19" s="6" t="s">
        <v>205</v>
      </c>
      <c r="E19" s="6" t="s">
        <v>29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6"/>
      <c r="AI19" s="6"/>
      <c r="AJ19" s="6"/>
      <c r="AK19" s="6"/>
      <c r="AL19" s="6"/>
      <c r="AM19" s="6">
        <v>36</v>
      </c>
      <c r="AN19" s="6"/>
      <c r="AO19" s="6"/>
      <c r="AP19" s="6"/>
      <c r="AQ19" s="6"/>
      <c r="AR19" s="6"/>
      <c r="AS19" s="6"/>
      <c r="AT19" s="6"/>
      <c r="AU19" s="6">
        <v>5</v>
      </c>
      <c r="AV19" s="6"/>
      <c r="AW19" s="6"/>
      <c r="AX19" s="6">
        <v>33.6</v>
      </c>
      <c r="AY19" s="6"/>
      <c r="AZ19" s="6"/>
      <c r="BA19" s="6">
        <v>36</v>
      </c>
      <c r="BB19" s="6"/>
      <c r="BC19" s="6"/>
      <c r="BD19" s="6"/>
      <c r="BE19" s="6">
        <v>60</v>
      </c>
      <c r="BF19" s="6">
        <f>SUM(AI19:BE19)</f>
        <v>170.6</v>
      </c>
      <c r="BG19" s="6">
        <f>(BF19-AI19)/2</f>
        <v>85.3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11"/>
      <c r="BS19" s="11"/>
      <c r="BT19" s="11">
        <v>39</v>
      </c>
      <c r="BU19" s="11">
        <v>33.6</v>
      </c>
      <c r="BV19" s="11"/>
      <c r="BW19" s="11"/>
      <c r="BX19" s="11"/>
      <c r="BY19" s="11"/>
      <c r="BZ19" s="11"/>
      <c r="CA19" s="11"/>
      <c r="CB19" s="11"/>
      <c r="CC19" s="11"/>
      <c r="CD19" s="11"/>
      <c r="CE19" s="6">
        <f>SUM(BG19:CD19)</f>
        <v>157.9</v>
      </c>
      <c r="CF19" s="6">
        <f>(CE19-BG19)/2</f>
        <v>36.300000000000004</v>
      </c>
      <c r="CG19" s="11">
        <v>48</v>
      </c>
      <c r="CH19" s="11"/>
      <c r="CI19" s="11">
        <v>39</v>
      </c>
      <c r="CJ19" s="11">
        <v>50</v>
      </c>
      <c r="CK19" s="11">
        <v>105</v>
      </c>
      <c r="CL19" s="11">
        <v>100</v>
      </c>
      <c r="CM19" s="6">
        <f>SUM(CF19:CL19)</f>
        <v>378.3</v>
      </c>
      <c r="CN19" s="6">
        <f>(CM19-CF19)/2</f>
        <v>171</v>
      </c>
      <c r="CO19" s="11"/>
      <c r="CP19" s="11"/>
      <c r="CQ19" s="11"/>
      <c r="CR19" s="11"/>
      <c r="CS19" s="11"/>
      <c r="CT19" s="11"/>
      <c r="CU19" s="6">
        <f t="shared" si="0"/>
        <v>171</v>
      </c>
      <c r="CW19" s="6">
        <f>BF19/4</f>
        <v>42.65</v>
      </c>
      <c r="CX19" s="11"/>
      <c r="CY19" s="11"/>
      <c r="CZ19" s="11"/>
      <c r="DA19" s="11"/>
      <c r="DB19" s="11"/>
      <c r="DC19" s="6">
        <f>SUM(CW19:CX19)</f>
        <v>42.65</v>
      </c>
      <c r="DD19" s="11">
        <f>DC19/2</f>
        <v>21.324999999999999</v>
      </c>
      <c r="DE19" s="11">
        <f>CE19/4</f>
        <v>39.475000000000001</v>
      </c>
      <c r="DF19" s="11">
        <v>14</v>
      </c>
      <c r="DG19" s="11"/>
      <c r="DH19" s="11"/>
      <c r="DI19" s="11"/>
      <c r="DJ19" s="11"/>
      <c r="DK19" s="11"/>
      <c r="DL19" s="11"/>
      <c r="DM19" s="6">
        <f>SUM(DD19:DJ19)</f>
        <v>74.8</v>
      </c>
      <c r="DN19" s="6">
        <f>(DM19-DD19)/2</f>
        <v>26.737499999999997</v>
      </c>
      <c r="DO19" s="11">
        <v>12</v>
      </c>
      <c r="DP19" s="11"/>
      <c r="DQ19" s="11">
        <v>18</v>
      </c>
      <c r="DR19" s="6">
        <f t="shared" si="1"/>
        <v>56.737499999999997</v>
      </c>
      <c r="DS19" s="6">
        <f t="shared" si="2"/>
        <v>15</v>
      </c>
      <c r="DT19" s="11"/>
      <c r="DU19" s="11"/>
      <c r="DV19" s="11"/>
      <c r="DW19" s="6">
        <f t="shared" si="3"/>
        <v>15</v>
      </c>
    </row>
    <row r="20" spans="1:127" x14ac:dyDescent="0.25">
      <c r="A20">
        <v>10</v>
      </c>
      <c r="B20" s="11" t="s">
        <v>645</v>
      </c>
      <c r="C20" s="6"/>
      <c r="D20" s="6" t="s">
        <v>738</v>
      </c>
      <c r="E20" s="6" t="s">
        <v>21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6"/>
      <c r="CF20" s="6"/>
      <c r="CG20" s="11"/>
      <c r="CH20" s="11"/>
      <c r="CI20" s="11"/>
      <c r="CJ20" s="11"/>
      <c r="CK20" s="11"/>
      <c r="CL20" s="11"/>
      <c r="CM20" s="6"/>
      <c r="CN20" s="6">
        <f>233/2</f>
        <v>116.5</v>
      </c>
      <c r="CO20" s="11">
        <v>36</v>
      </c>
      <c r="CP20" s="11"/>
      <c r="CQ20" s="11">
        <v>7.5</v>
      </c>
      <c r="CR20" s="11"/>
      <c r="CS20" s="11"/>
      <c r="CT20" s="11"/>
      <c r="CU20" s="6">
        <f t="shared" si="0"/>
        <v>160</v>
      </c>
      <c r="CW20" s="6"/>
      <c r="CX20" s="11"/>
      <c r="CY20" s="11"/>
      <c r="CZ20" s="11"/>
      <c r="DA20" s="11"/>
      <c r="DB20" s="11"/>
      <c r="DC20" s="6"/>
      <c r="DD20" s="11"/>
      <c r="DE20" s="11"/>
      <c r="DF20" s="11"/>
      <c r="DG20" s="11"/>
      <c r="DH20" s="11"/>
      <c r="DI20" s="11"/>
      <c r="DJ20" s="11"/>
      <c r="DK20" s="11"/>
      <c r="DL20" s="11"/>
      <c r="DM20" s="6"/>
      <c r="DN20" s="6"/>
      <c r="DO20" s="11"/>
      <c r="DP20" s="11"/>
      <c r="DQ20" s="11"/>
      <c r="DR20" s="6">
        <f t="shared" si="1"/>
        <v>0</v>
      </c>
      <c r="DS20" s="6">
        <f t="shared" si="2"/>
        <v>0</v>
      </c>
      <c r="DT20" s="11"/>
      <c r="DU20" s="11"/>
      <c r="DV20" s="11"/>
      <c r="DW20" s="6">
        <f t="shared" si="3"/>
        <v>0</v>
      </c>
    </row>
    <row r="21" spans="1:127" x14ac:dyDescent="0.25">
      <c r="A21">
        <v>11</v>
      </c>
      <c r="B21" s="11" t="s">
        <v>181</v>
      </c>
      <c r="C21" s="6"/>
      <c r="D21" s="6" t="s">
        <v>517</v>
      </c>
      <c r="E21" s="6" t="s">
        <v>42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6"/>
      <c r="CF21" s="6">
        <f>465.5/2</f>
        <v>232.75</v>
      </c>
      <c r="CG21" s="11">
        <v>48</v>
      </c>
      <c r="CH21" s="11"/>
      <c r="CI21" s="11">
        <v>150</v>
      </c>
      <c r="CJ21" s="11">
        <v>100</v>
      </c>
      <c r="CK21" s="11"/>
      <c r="CL21" s="11"/>
      <c r="CM21" s="6">
        <f>SUM(CF21:CL21)</f>
        <v>530.75</v>
      </c>
      <c r="CN21" s="6">
        <f>(CM21-CF21)/2</f>
        <v>149</v>
      </c>
      <c r="CO21" s="11"/>
      <c r="CP21" s="11"/>
      <c r="CQ21" s="11"/>
      <c r="CR21" s="11"/>
      <c r="CS21" s="11"/>
      <c r="CT21" s="11"/>
      <c r="CU21" s="6">
        <f t="shared" si="0"/>
        <v>149</v>
      </c>
      <c r="CW21" s="6"/>
      <c r="CX21" s="11"/>
      <c r="CY21" s="11"/>
      <c r="CZ21" s="11"/>
      <c r="DA21" s="11"/>
      <c r="DB21" s="11"/>
      <c r="DC21" s="6"/>
      <c r="DD21" s="11"/>
      <c r="DE21" s="11"/>
      <c r="DF21" s="11"/>
      <c r="DG21" s="11"/>
      <c r="DH21" s="11"/>
      <c r="DI21" s="11"/>
      <c r="DJ21" s="11"/>
      <c r="DK21" s="11"/>
      <c r="DL21" s="11"/>
      <c r="DM21" s="6"/>
      <c r="DN21" s="6"/>
      <c r="DO21" s="11"/>
      <c r="DP21" s="11"/>
      <c r="DQ21" s="11"/>
      <c r="DR21" s="6">
        <f t="shared" si="1"/>
        <v>0</v>
      </c>
      <c r="DS21" s="6">
        <f t="shared" si="2"/>
        <v>0</v>
      </c>
      <c r="DT21" s="11"/>
      <c r="DU21" s="11"/>
      <c r="DV21" s="11"/>
      <c r="DW21" s="6">
        <f t="shared" si="3"/>
        <v>0</v>
      </c>
    </row>
    <row r="22" spans="1:127" x14ac:dyDescent="0.25">
      <c r="A22">
        <v>12</v>
      </c>
      <c r="B22" s="11" t="s">
        <v>194</v>
      </c>
      <c r="C22" s="6"/>
      <c r="D22" s="6" t="s">
        <v>458</v>
      </c>
      <c r="E22" s="6" t="s">
        <v>545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6"/>
      <c r="CF22" s="6"/>
      <c r="CG22" s="11"/>
      <c r="CH22" s="11"/>
      <c r="CI22" s="11"/>
      <c r="CJ22" s="11"/>
      <c r="CK22" s="11"/>
      <c r="CL22" s="11"/>
      <c r="CM22" s="6"/>
      <c r="CN22" s="6"/>
      <c r="CO22" s="11">
        <v>48</v>
      </c>
      <c r="CP22" s="11"/>
      <c r="CQ22" s="11">
        <v>70</v>
      </c>
      <c r="CR22" s="11"/>
      <c r="CS22" s="11"/>
      <c r="CT22" s="11"/>
      <c r="CU22" s="6">
        <f t="shared" si="0"/>
        <v>118</v>
      </c>
      <c r="DC22" s="6"/>
      <c r="DD22" s="11"/>
      <c r="DE22" s="11"/>
      <c r="DF22" s="11"/>
      <c r="DG22" s="11"/>
      <c r="DH22" s="11"/>
      <c r="DI22" s="11"/>
      <c r="DJ22" s="11"/>
      <c r="DK22" s="11"/>
      <c r="DL22" s="11"/>
      <c r="DM22" s="6"/>
      <c r="DN22" s="6"/>
      <c r="DO22" s="11"/>
      <c r="DP22" s="11"/>
      <c r="DQ22" s="11"/>
      <c r="DR22" s="6">
        <f t="shared" si="1"/>
        <v>0</v>
      </c>
      <c r="DS22" s="6">
        <f t="shared" si="2"/>
        <v>0</v>
      </c>
      <c r="DT22" s="11"/>
      <c r="DU22" s="11"/>
      <c r="DV22" s="11"/>
      <c r="DW22" s="6">
        <f t="shared" si="3"/>
        <v>0</v>
      </c>
    </row>
    <row r="23" spans="1:127" x14ac:dyDescent="0.25">
      <c r="A23">
        <v>13</v>
      </c>
      <c r="B23" s="11" t="s">
        <v>248</v>
      </c>
      <c r="C23" s="6"/>
      <c r="D23" s="6" t="s">
        <v>682</v>
      </c>
      <c r="E23" s="6" t="s">
        <v>111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6"/>
      <c r="CF23" s="6"/>
      <c r="CG23" s="11"/>
      <c r="CH23" s="11"/>
      <c r="CI23" s="11"/>
      <c r="CJ23" s="11"/>
      <c r="CK23" s="11"/>
      <c r="CL23" s="11"/>
      <c r="CM23" s="6"/>
      <c r="CN23" s="6"/>
      <c r="CO23" s="11">
        <v>48</v>
      </c>
      <c r="CP23" s="11">
        <v>4</v>
      </c>
      <c r="CQ23" s="11">
        <v>7.5</v>
      </c>
      <c r="CR23" s="11">
        <v>48</v>
      </c>
      <c r="CS23" s="11"/>
      <c r="CT23" s="11"/>
      <c r="CU23" s="6">
        <f t="shared" si="0"/>
        <v>107.5</v>
      </c>
      <c r="DC23" s="6"/>
      <c r="DD23" s="11"/>
      <c r="DE23" s="11"/>
      <c r="DF23" s="11"/>
      <c r="DG23" s="11"/>
      <c r="DH23" s="11"/>
      <c r="DI23" s="11"/>
      <c r="DJ23" s="11"/>
      <c r="DK23" s="11"/>
      <c r="DL23" s="11"/>
      <c r="DM23" s="6"/>
      <c r="DN23" s="6"/>
      <c r="DO23" s="11"/>
      <c r="DP23" s="11"/>
      <c r="DQ23" s="11"/>
      <c r="DR23" s="6">
        <f t="shared" si="1"/>
        <v>0</v>
      </c>
      <c r="DS23" s="6">
        <f t="shared" si="2"/>
        <v>0</v>
      </c>
      <c r="DT23" s="11"/>
      <c r="DU23" s="11"/>
      <c r="DV23" s="11"/>
      <c r="DW23" s="6">
        <f t="shared" si="3"/>
        <v>0</v>
      </c>
    </row>
    <row r="24" spans="1:127" x14ac:dyDescent="0.25">
      <c r="A24">
        <v>14</v>
      </c>
      <c r="B24" s="11" t="s">
        <v>97</v>
      </c>
      <c r="C24" s="6"/>
      <c r="D24" s="6" t="s">
        <v>562</v>
      </c>
      <c r="E24" s="6" t="s">
        <v>42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6"/>
      <c r="CF24" s="6">
        <f>153.1/2</f>
        <v>76.55</v>
      </c>
      <c r="CG24" s="11">
        <v>2.4</v>
      </c>
      <c r="CH24" s="11">
        <v>4</v>
      </c>
      <c r="CI24" s="11">
        <v>75</v>
      </c>
      <c r="CJ24" s="11">
        <v>50</v>
      </c>
      <c r="CK24" s="11">
        <v>54</v>
      </c>
      <c r="CL24" s="11">
        <v>10</v>
      </c>
      <c r="CM24" s="6">
        <f>SUM(CF24:CL24)</f>
        <v>271.95</v>
      </c>
      <c r="CN24" s="6">
        <f>(CM24-CF24)/2</f>
        <v>97.699999999999989</v>
      </c>
      <c r="CO24" s="11"/>
      <c r="CP24" s="11"/>
      <c r="CQ24" s="11"/>
      <c r="CR24" s="11"/>
      <c r="CS24" s="11"/>
      <c r="CT24" s="11"/>
      <c r="CU24" s="6">
        <f t="shared" si="0"/>
        <v>97.699999999999989</v>
      </c>
      <c r="DM24" s="6">
        <f>SUM(DD24:DF24)</f>
        <v>0</v>
      </c>
      <c r="DN24" s="6">
        <f>(DM24-DD24)/2</f>
        <v>0</v>
      </c>
      <c r="DO24" s="11"/>
      <c r="DP24" s="11">
        <v>5</v>
      </c>
      <c r="DQ24" s="11">
        <v>25</v>
      </c>
      <c r="DR24" s="6">
        <f t="shared" si="1"/>
        <v>30</v>
      </c>
      <c r="DS24" s="6">
        <f t="shared" si="2"/>
        <v>15</v>
      </c>
      <c r="DT24" s="11"/>
      <c r="DU24" s="11"/>
      <c r="DV24" s="11"/>
      <c r="DW24" s="6">
        <f t="shared" si="3"/>
        <v>15</v>
      </c>
    </row>
    <row r="25" spans="1:127" x14ac:dyDescent="0.25">
      <c r="A25">
        <v>15</v>
      </c>
      <c r="B25" s="11" t="s">
        <v>109</v>
      </c>
      <c r="C25" s="6"/>
      <c r="D25" s="6" t="s">
        <v>315</v>
      </c>
      <c r="E25" s="6" t="s">
        <v>197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6"/>
      <c r="CF25" s="6"/>
      <c r="CG25" s="11">
        <v>33.6</v>
      </c>
      <c r="CH25" s="11">
        <v>64</v>
      </c>
      <c r="CI25" s="11">
        <v>54</v>
      </c>
      <c r="CJ25" s="11">
        <v>7.5</v>
      </c>
      <c r="CK25" s="11">
        <v>2.4</v>
      </c>
      <c r="CL25" s="11"/>
      <c r="CM25" s="6">
        <f>SUM(CF25:CL25)</f>
        <v>161.5</v>
      </c>
      <c r="CN25" s="6">
        <f>(CM25-CF25)/2</f>
        <v>80.75</v>
      </c>
      <c r="CO25" s="11"/>
      <c r="CP25" s="11"/>
      <c r="CQ25" s="11"/>
      <c r="CR25" s="11"/>
      <c r="CS25" s="11"/>
      <c r="CT25" s="11"/>
      <c r="CU25" s="6">
        <f t="shared" si="0"/>
        <v>80.75</v>
      </c>
      <c r="DM25" s="6"/>
      <c r="DN25" s="6"/>
      <c r="DO25" s="11"/>
      <c r="DP25" s="11"/>
      <c r="DQ25" s="11"/>
      <c r="DR25" s="6">
        <f t="shared" si="1"/>
        <v>0</v>
      </c>
      <c r="DS25" s="6">
        <f t="shared" si="2"/>
        <v>0</v>
      </c>
      <c r="DT25" s="11"/>
      <c r="DU25" s="11"/>
      <c r="DV25" s="11"/>
      <c r="DW25" s="6">
        <f t="shared" si="3"/>
        <v>0</v>
      </c>
    </row>
    <row r="26" spans="1:127" x14ac:dyDescent="0.25">
      <c r="A26">
        <v>16</v>
      </c>
      <c r="B26" s="11" t="s">
        <v>485</v>
      </c>
      <c r="C26" s="6"/>
      <c r="D26" s="6" t="s">
        <v>486</v>
      </c>
      <c r="E26" s="6" t="s">
        <v>29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6"/>
      <c r="CF26" s="6"/>
      <c r="CG26" s="11"/>
      <c r="CH26" s="11"/>
      <c r="CI26" s="11"/>
      <c r="CJ26" s="11"/>
      <c r="CK26" s="11"/>
      <c r="CL26" s="11"/>
      <c r="CM26" s="6"/>
      <c r="CN26" s="6"/>
      <c r="CO26" s="11">
        <v>33.6</v>
      </c>
      <c r="CP26" s="11">
        <v>3.2</v>
      </c>
      <c r="CQ26" s="11">
        <v>39</v>
      </c>
      <c r="CR26" s="11"/>
      <c r="CS26" s="11"/>
      <c r="CT26" s="11"/>
      <c r="CU26" s="6">
        <f t="shared" si="0"/>
        <v>75.800000000000011</v>
      </c>
      <c r="DR26" s="6">
        <f t="shared" si="1"/>
        <v>0</v>
      </c>
      <c r="DS26" s="6">
        <f t="shared" si="2"/>
        <v>0</v>
      </c>
      <c r="DT26" s="11"/>
      <c r="DU26" s="11"/>
      <c r="DV26" s="11"/>
      <c r="DW26" s="6">
        <f t="shared" si="3"/>
        <v>0</v>
      </c>
    </row>
    <row r="27" spans="1:127" x14ac:dyDescent="0.25">
      <c r="A27">
        <v>17</v>
      </c>
      <c r="B27" s="11" t="s">
        <v>312</v>
      </c>
      <c r="C27" s="6"/>
      <c r="D27" s="6" t="s">
        <v>313</v>
      </c>
      <c r="E27" s="6" t="s">
        <v>303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11"/>
      <c r="BS27" s="11"/>
      <c r="BT27" s="11">
        <v>150</v>
      </c>
      <c r="BU27" s="11"/>
      <c r="BV27" s="11"/>
      <c r="BW27" s="11"/>
      <c r="BX27" s="11"/>
      <c r="BY27" s="11"/>
      <c r="BZ27" s="11"/>
      <c r="CA27" s="11">
        <v>48</v>
      </c>
      <c r="CB27" s="11">
        <v>105</v>
      </c>
      <c r="CC27" s="11"/>
      <c r="CD27" s="11">
        <v>140</v>
      </c>
      <c r="CE27" s="6">
        <f>SUM(BG27:CD27)</f>
        <v>443</v>
      </c>
      <c r="CF27" s="6">
        <f>(CE27-BG27)/2</f>
        <v>221.5</v>
      </c>
      <c r="CG27" s="11"/>
      <c r="CH27" s="11"/>
      <c r="CI27" s="11">
        <v>150</v>
      </c>
      <c r="CJ27" s="11"/>
      <c r="CK27" s="11"/>
      <c r="CL27" s="11"/>
      <c r="CM27" s="6">
        <f>SUM(CF27:CL27)</f>
        <v>371.5</v>
      </c>
      <c r="CN27" s="6">
        <f>(CM27-CF27)/2</f>
        <v>75</v>
      </c>
      <c r="CO27" s="11"/>
      <c r="CP27" s="11"/>
      <c r="CQ27" s="11"/>
      <c r="CR27" s="11"/>
      <c r="CS27" s="11"/>
      <c r="CT27" s="11"/>
      <c r="CU27" s="6">
        <f t="shared" si="0"/>
        <v>75</v>
      </c>
      <c r="DC27">
        <f>SUM(CW27:CX27)</f>
        <v>0</v>
      </c>
      <c r="DD27" s="8">
        <f>DC27/2</f>
        <v>0</v>
      </c>
      <c r="DE27" s="8">
        <f>CE27/4</f>
        <v>110.75</v>
      </c>
      <c r="DI27" s="8">
        <v>80</v>
      </c>
      <c r="DM27">
        <f>SUM(DD27:DJ27)</f>
        <v>190.75</v>
      </c>
      <c r="DN27">
        <f>(DM27-DD27)/2</f>
        <v>95.375</v>
      </c>
      <c r="DO27" s="8">
        <v>30</v>
      </c>
      <c r="DP27" s="8">
        <v>50</v>
      </c>
      <c r="DR27" s="6">
        <f t="shared" si="1"/>
        <v>175.375</v>
      </c>
      <c r="DS27" s="6">
        <f t="shared" si="2"/>
        <v>40</v>
      </c>
      <c r="DT27" s="11"/>
      <c r="DU27" s="11"/>
      <c r="DV27" s="11"/>
      <c r="DW27" s="6">
        <f t="shared" si="3"/>
        <v>40</v>
      </c>
    </row>
    <row r="28" spans="1:127" x14ac:dyDescent="0.25">
      <c r="A28">
        <v>18</v>
      </c>
      <c r="B28" s="11" t="s">
        <v>91</v>
      </c>
      <c r="C28" s="6"/>
      <c r="D28" s="6" t="s">
        <v>321</v>
      </c>
      <c r="E28" s="6" t="s">
        <v>269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6"/>
      <c r="CF28" s="6"/>
      <c r="CG28" s="11">
        <v>36</v>
      </c>
      <c r="CH28" s="11">
        <v>3.2</v>
      </c>
      <c r="CI28" s="11">
        <v>7.5</v>
      </c>
      <c r="CJ28" s="11">
        <v>36</v>
      </c>
      <c r="CK28" s="11">
        <v>7.5</v>
      </c>
      <c r="CL28" s="11">
        <v>36</v>
      </c>
      <c r="CM28" s="6">
        <f>SUM(CF28:CL28)</f>
        <v>126.2</v>
      </c>
      <c r="CN28" s="6">
        <f>(CM28-CF28)/2</f>
        <v>63.1</v>
      </c>
      <c r="CO28" s="11">
        <v>2.4</v>
      </c>
      <c r="CP28" s="11"/>
      <c r="CQ28" s="11"/>
      <c r="CR28" s="11"/>
      <c r="CS28" s="11"/>
      <c r="CT28" s="11"/>
      <c r="CU28" s="6">
        <f t="shared" si="0"/>
        <v>65.5</v>
      </c>
      <c r="DR28" s="6">
        <f t="shared" si="1"/>
        <v>0</v>
      </c>
      <c r="DS28" s="6">
        <f t="shared" si="2"/>
        <v>0</v>
      </c>
      <c r="DT28" s="11"/>
      <c r="DU28" s="11"/>
      <c r="DV28" s="11"/>
      <c r="DW28" s="6">
        <f t="shared" si="3"/>
        <v>0</v>
      </c>
    </row>
    <row r="29" spans="1:127" x14ac:dyDescent="0.25">
      <c r="A29">
        <v>19</v>
      </c>
      <c r="B29" s="11" t="s">
        <v>248</v>
      </c>
      <c r="C29" s="6"/>
      <c r="D29" s="6" t="s">
        <v>358</v>
      </c>
      <c r="E29" s="6" t="s">
        <v>111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6"/>
      <c r="CF29" s="6"/>
      <c r="CG29" s="11">
        <v>36</v>
      </c>
      <c r="CH29" s="11">
        <v>4</v>
      </c>
      <c r="CI29" s="11">
        <v>7.5</v>
      </c>
      <c r="CJ29" s="11">
        <v>5</v>
      </c>
      <c r="CK29" s="11"/>
      <c r="CL29" s="11"/>
      <c r="CM29" s="6">
        <f>SUM(CF29:CL29)</f>
        <v>52.5</v>
      </c>
      <c r="CN29" s="6">
        <f>(CM29-CF29)/2</f>
        <v>26.25</v>
      </c>
      <c r="CO29" s="11">
        <v>2.4</v>
      </c>
      <c r="CP29" s="11"/>
      <c r="CQ29" s="11">
        <v>33.6</v>
      </c>
      <c r="CR29" s="11"/>
      <c r="CS29" s="11"/>
      <c r="CT29" s="11"/>
      <c r="CU29" s="6">
        <f t="shared" si="0"/>
        <v>62.25</v>
      </c>
      <c r="DM29">
        <f>SUM(DD29:DF29)</f>
        <v>0</v>
      </c>
      <c r="DN29">
        <f>(DM29-DD29)/2</f>
        <v>0</v>
      </c>
      <c r="DQ29" s="8">
        <v>2.5</v>
      </c>
      <c r="DR29" s="6">
        <f t="shared" si="1"/>
        <v>2.5</v>
      </c>
      <c r="DS29" s="6">
        <f t="shared" si="2"/>
        <v>1.25</v>
      </c>
      <c r="DT29" s="11"/>
      <c r="DU29" s="11"/>
      <c r="DV29" s="11"/>
      <c r="DW29" s="6">
        <f t="shared" si="3"/>
        <v>1.25</v>
      </c>
    </row>
    <row r="30" spans="1:127" x14ac:dyDescent="0.25">
      <c r="A30">
        <v>20</v>
      </c>
      <c r="B30" s="11" t="s">
        <v>615</v>
      </c>
      <c r="C30" s="6"/>
      <c r="D30" s="6" t="s">
        <v>206</v>
      </c>
      <c r="E30" s="6" t="s">
        <v>573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6"/>
      <c r="CF30" s="6"/>
      <c r="CG30" s="11"/>
      <c r="CH30" s="11"/>
      <c r="CI30" s="11"/>
      <c r="CJ30" s="11"/>
      <c r="CK30" s="11"/>
      <c r="CL30" s="11"/>
      <c r="CM30" s="6">
        <f>SUM(CF30:CL30)</f>
        <v>0</v>
      </c>
      <c r="CN30" s="6">
        <f>(CM30-CF30)/2</f>
        <v>0</v>
      </c>
      <c r="CO30" s="11"/>
      <c r="CP30" s="11"/>
      <c r="CQ30" s="11">
        <v>50</v>
      </c>
      <c r="CR30" s="11"/>
      <c r="CS30" s="11"/>
      <c r="CT30" s="11"/>
      <c r="CU30" s="6">
        <f t="shared" si="0"/>
        <v>50</v>
      </c>
      <c r="DQ30" s="8">
        <v>2.5</v>
      </c>
      <c r="DR30" s="6">
        <f t="shared" si="1"/>
        <v>2.5</v>
      </c>
      <c r="DS30" s="6">
        <f t="shared" si="2"/>
        <v>1.25</v>
      </c>
      <c r="DT30" s="11"/>
      <c r="DU30" s="11"/>
      <c r="DV30" s="11"/>
      <c r="DW30" s="6">
        <f t="shared" si="3"/>
        <v>1.25</v>
      </c>
    </row>
    <row r="31" spans="1:127" x14ac:dyDescent="0.25">
      <c r="A31">
        <v>21</v>
      </c>
      <c r="B31" s="11" t="s">
        <v>689</v>
      </c>
      <c r="C31" s="6"/>
      <c r="D31" s="6" t="s">
        <v>690</v>
      </c>
      <c r="E31" s="6" t="s">
        <v>540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6"/>
      <c r="CF31" s="6"/>
      <c r="CG31" s="11"/>
      <c r="CH31" s="11"/>
      <c r="CI31" s="11"/>
      <c r="CJ31" s="11"/>
      <c r="CK31" s="11"/>
      <c r="CL31" s="11"/>
      <c r="CM31" s="6"/>
      <c r="CN31" s="6"/>
      <c r="CO31" s="11">
        <v>36</v>
      </c>
      <c r="CP31" s="11"/>
      <c r="CQ31" s="11">
        <v>7.5</v>
      </c>
      <c r="CR31" s="11"/>
      <c r="CS31" s="11"/>
      <c r="CT31" s="11"/>
      <c r="CU31" s="6">
        <f t="shared" si="0"/>
        <v>43.5</v>
      </c>
      <c r="DR31" s="6">
        <f t="shared" si="1"/>
        <v>0</v>
      </c>
      <c r="DS31" s="6">
        <f t="shared" si="2"/>
        <v>0</v>
      </c>
      <c r="DT31" s="11"/>
      <c r="DU31" s="11"/>
      <c r="DV31" s="11"/>
      <c r="DW31" s="6">
        <f t="shared" si="3"/>
        <v>0</v>
      </c>
    </row>
    <row r="32" spans="1:127" x14ac:dyDescent="0.25">
      <c r="A32">
        <v>22</v>
      </c>
      <c r="B32" s="11" t="s">
        <v>645</v>
      </c>
      <c r="C32" s="6"/>
      <c r="D32" s="6" t="s">
        <v>644</v>
      </c>
      <c r="E32" s="6" t="s">
        <v>636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6"/>
      <c r="CF32" s="6"/>
      <c r="CG32" s="11"/>
      <c r="CH32" s="11"/>
      <c r="CI32" s="11"/>
      <c r="CJ32" s="11"/>
      <c r="CK32" s="11"/>
      <c r="CL32" s="11"/>
      <c r="CM32" s="6"/>
      <c r="CN32" s="6"/>
      <c r="CO32" s="11">
        <v>36</v>
      </c>
      <c r="CP32" s="11">
        <v>3.2</v>
      </c>
      <c r="CQ32" s="11"/>
      <c r="CR32" s="11"/>
      <c r="CS32" s="11"/>
      <c r="CT32" s="11"/>
      <c r="CU32" s="6">
        <f t="shared" si="0"/>
        <v>39.200000000000003</v>
      </c>
      <c r="DR32" s="6">
        <f t="shared" si="1"/>
        <v>0</v>
      </c>
      <c r="DS32" s="6">
        <f t="shared" si="2"/>
        <v>0</v>
      </c>
      <c r="DT32" s="11"/>
      <c r="DU32" s="11"/>
      <c r="DV32" s="11"/>
      <c r="DW32" s="6">
        <f t="shared" si="3"/>
        <v>0</v>
      </c>
    </row>
    <row r="33" spans="1:127" x14ac:dyDescent="0.25">
      <c r="A33">
        <v>23</v>
      </c>
      <c r="B33" s="11" t="s">
        <v>64</v>
      </c>
      <c r="C33" s="6"/>
      <c r="D33" s="6" t="s">
        <v>680</v>
      </c>
      <c r="E33" s="6" t="s">
        <v>218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6"/>
      <c r="CF33" s="6"/>
      <c r="CG33" s="11"/>
      <c r="CH33" s="11"/>
      <c r="CI33" s="11"/>
      <c r="CJ33" s="11"/>
      <c r="CK33" s="11"/>
      <c r="CL33" s="11"/>
      <c r="CM33" s="6"/>
      <c r="CN33" s="6"/>
      <c r="CO33" s="11">
        <v>36</v>
      </c>
      <c r="CP33" s="11"/>
      <c r="CQ33" s="11"/>
      <c r="CR33" s="11"/>
      <c r="CS33" s="11"/>
      <c r="CT33" s="11"/>
      <c r="CU33" s="6">
        <f t="shared" si="0"/>
        <v>36</v>
      </c>
      <c r="DR33" s="6">
        <f t="shared" si="1"/>
        <v>0</v>
      </c>
      <c r="DS33" s="6">
        <f t="shared" si="2"/>
        <v>0</v>
      </c>
      <c r="DT33" s="11"/>
      <c r="DU33" s="11"/>
      <c r="DV33" s="11"/>
      <c r="DW33" s="6">
        <f t="shared" si="3"/>
        <v>0</v>
      </c>
    </row>
    <row r="34" spans="1:127" x14ac:dyDescent="0.25">
      <c r="A34">
        <v>24</v>
      </c>
      <c r="B34" s="11" t="s">
        <v>317</v>
      </c>
      <c r="C34" s="6"/>
      <c r="D34" s="6" t="s">
        <v>255</v>
      </c>
      <c r="E34" s="6" t="s">
        <v>197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>
        <v>87</v>
      </c>
      <c r="BH34" s="6"/>
      <c r="BI34" s="6">
        <v>2.4</v>
      </c>
      <c r="BJ34" s="6"/>
      <c r="BK34" s="6"/>
      <c r="BL34" s="6"/>
      <c r="BM34" s="6"/>
      <c r="BN34" s="6"/>
      <c r="BO34" s="6">
        <v>75</v>
      </c>
      <c r="BP34" s="6">
        <v>70</v>
      </c>
      <c r="BQ34" s="6"/>
      <c r="BR34" s="11">
        <v>80</v>
      </c>
      <c r="BS34" s="11"/>
      <c r="BT34" s="11"/>
      <c r="BU34" s="11"/>
      <c r="BV34" s="11"/>
      <c r="BW34" s="11"/>
      <c r="BX34" s="11"/>
      <c r="BY34" s="11"/>
      <c r="BZ34" s="11"/>
      <c r="CA34" s="11"/>
      <c r="CB34" s="11">
        <v>75</v>
      </c>
      <c r="CC34" s="11">
        <v>50</v>
      </c>
      <c r="CD34" s="11"/>
      <c r="CE34" s="6">
        <f>SUM(BG34:CD34)</f>
        <v>439.4</v>
      </c>
      <c r="CF34" s="6">
        <f>(CE34-BG34)/2</f>
        <v>176.2</v>
      </c>
      <c r="CG34" s="11">
        <v>48</v>
      </c>
      <c r="CH34" s="11"/>
      <c r="CI34" s="11"/>
      <c r="CJ34" s="11"/>
      <c r="CK34" s="11"/>
      <c r="CL34" s="11"/>
      <c r="CM34" s="6">
        <f>SUM(CF34:CL34)</f>
        <v>224.2</v>
      </c>
      <c r="CN34" s="6">
        <f>(CM34-CF34)/2</f>
        <v>24</v>
      </c>
      <c r="CO34" s="11"/>
      <c r="CP34" s="11"/>
      <c r="CQ34" s="11"/>
      <c r="CR34" s="11"/>
      <c r="CS34" s="11"/>
      <c r="CT34" s="11"/>
      <c r="CU34" s="6">
        <f t="shared" si="0"/>
        <v>24</v>
      </c>
      <c r="DC34">
        <f>SUM(CW34:CX34)</f>
        <v>0</v>
      </c>
      <c r="DD34" s="8">
        <f>DC34/2</f>
        <v>0</v>
      </c>
      <c r="DE34" s="8">
        <f>CE34/4</f>
        <v>109.85</v>
      </c>
      <c r="DF34" s="8">
        <v>14</v>
      </c>
      <c r="DM34">
        <f>SUM(DD34:DJ34)</f>
        <v>123.85</v>
      </c>
      <c r="DN34">
        <f>(DM34-DD34)/2</f>
        <v>61.924999999999997</v>
      </c>
      <c r="DO34" s="8">
        <v>18</v>
      </c>
      <c r="DR34" s="6">
        <f t="shared" si="1"/>
        <v>79.924999999999997</v>
      </c>
      <c r="DS34" s="6">
        <f t="shared" si="2"/>
        <v>9</v>
      </c>
      <c r="DT34" s="11"/>
      <c r="DU34" s="11"/>
      <c r="DV34" s="11"/>
      <c r="DW34" s="6">
        <f t="shared" si="3"/>
        <v>9</v>
      </c>
    </row>
    <row r="35" spans="1:127" x14ac:dyDescent="0.25">
      <c r="A35">
        <v>25</v>
      </c>
      <c r="B35" s="11" t="s">
        <v>64</v>
      </c>
      <c r="C35" s="6"/>
      <c r="D35" s="6" t="s">
        <v>209</v>
      </c>
      <c r="E35" s="6" t="s">
        <v>208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48</v>
      </c>
      <c r="AW35" s="6"/>
      <c r="AX35" s="6"/>
      <c r="AY35" s="6"/>
      <c r="AZ35" s="6"/>
      <c r="BA35" s="6"/>
      <c r="BB35" s="6"/>
      <c r="BC35" s="6"/>
      <c r="BD35" s="6"/>
      <c r="BE35" s="6"/>
      <c r="BF35" s="6">
        <f>SUM(AI35:BE35)</f>
        <v>48</v>
      </c>
      <c r="BG35" s="6">
        <f>(BF35-AI35)/2</f>
        <v>24</v>
      </c>
      <c r="BH35" s="6"/>
      <c r="BI35" s="6"/>
      <c r="BJ35" s="6"/>
      <c r="BK35" s="6"/>
      <c r="BL35" s="6"/>
      <c r="BM35" s="6"/>
      <c r="BN35" s="6"/>
      <c r="BO35" s="6">
        <v>54</v>
      </c>
      <c r="BP35" s="6"/>
      <c r="BQ35" s="6"/>
      <c r="BR35" s="11"/>
      <c r="BS35" s="11"/>
      <c r="BT35" s="11">
        <v>7.5</v>
      </c>
      <c r="BU35" s="11"/>
      <c r="BV35" s="11"/>
      <c r="BW35" s="11">
        <v>36</v>
      </c>
      <c r="BX35" s="11"/>
      <c r="BY35" s="11"/>
      <c r="BZ35" s="11"/>
      <c r="CA35" s="11"/>
      <c r="CB35" s="11">
        <v>54</v>
      </c>
      <c r="CC35" s="11">
        <v>5</v>
      </c>
      <c r="CD35" s="11"/>
      <c r="CE35" s="6">
        <f>SUM(BG35:CD35)</f>
        <v>180.5</v>
      </c>
      <c r="CF35" s="6">
        <f>(CE35-BG35)/2</f>
        <v>78.25</v>
      </c>
      <c r="CG35" s="11"/>
      <c r="CH35" s="11"/>
      <c r="CI35" s="11">
        <v>7.5</v>
      </c>
      <c r="CJ35" s="11">
        <v>7.5</v>
      </c>
      <c r="CK35" s="11"/>
      <c r="CL35" s="11"/>
      <c r="CM35" s="6">
        <f>SUM(CF35:CL35)</f>
        <v>93.25</v>
      </c>
      <c r="CN35" s="6">
        <f>(CM35-CF35)/2</f>
        <v>7.5</v>
      </c>
      <c r="CO35" s="11"/>
      <c r="CP35" s="11"/>
      <c r="CQ35" s="11"/>
      <c r="CR35" s="11"/>
      <c r="CS35" s="11"/>
      <c r="CT35" s="11"/>
      <c r="CU35" s="6">
        <f t="shared" si="0"/>
        <v>7.5</v>
      </c>
      <c r="CW35">
        <f>BF35/4</f>
        <v>12</v>
      </c>
      <c r="DC35">
        <f>SUM(CW35:CX35)</f>
        <v>12</v>
      </c>
      <c r="DD35" s="8">
        <f>DC35/2</f>
        <v>6</v>
      </c>
      <c r="DE35" s="8">
        <f>CE35/4</f>
        <v>45.125</v>
      </c>
      <c r="DM35">
        <f>SUM(DD35:DJ35)</f>
        <v>51.125</v>
      </c>
      <c r="DN35">
        <f>(DM35-DD35)/2</f>
        <v>22.5625</v>
      </c>
      <c r="DR35" s="6">
        <f t="shared" si="1"/>
        <v>22.5625</v>
      </c>
      <c r="DS35" s="6">
        <f t="shared" si="2"/>
        <v>0</v>
      </c>
      <c r="DT35" s="11"/>
      <c r="DU35" s="11"/>
      <c r="DV35" s="11"/>
      <c r="DW35" s="6">
        <f t="shared" si="3"/>
        <v>0</v>
      </c>
    </row>
    <row r="36" spans="1:127" x14ac:dyDescent="0.25">
      <c r="A36">
        <v>26</v>
      </c>
      <c r="B36" s="11" t="s">
        <v>769</v>
      </c>
      <c r="C36" s="6"/>
      <c r="D36" s="6" t="s">
        <v>255</v>
      </c>
      <c r="E36" s="6" t="s">
        <v>193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6"/>
      <c r="CF36" s="6"/>
      <c r="CG36" s="11"/>
      <c r="CH36" s="11"/>
      <c r="CI36" s="11"/>
      <c r="CJ36" s="11"/>
      <c r="CK36" s="11"/>
      <c r="CL36" s="11"/>
      <c r="CM36" s="6"/>
      <c r="CN36" s="6"/>
      <c r="CO36" s="11"/>
      <c r="CP36" s="11">
        <v>4</v>
      </c>
      <c r="CQ36" s="11"/>
      <c r="CR36" s="11"/>
      <c r="CS36" s="11"/>
      <c r="CT36" s="11"/>
      <c r="CU36" s="6">
        <f t="shared" si="0"/>
        <v>4</v>
      </c>
      <c r="DR36" s="6">
        <f t="shared" si="1"/>
        <v>0</v>
      </c>
      <c r="DS36" s="6">
        <f t="shared" si="2"/>
        <v>0</v>
      </c>
      <c r="DT36" s="11"/>
      <c r="DU36" s="11"/>
      <c r="DV36" s="11"/>
      <c r="DW36" s="6">
        <f t="shared" si="3"/>
        <v>0</v>
      </c>
    </row>
    <row r="37" spans="1:127" x14ac:dyDescent="0.25">
      <c r="A37">
        <v>27</v>
      </c>
      <c r="B37" s="11" t="s">
        <v>619</v>
      </c>
      <c r="C37" s="6"/>
      <c r="D37" s="6" t="s">
        <v>95</v>
      </c>
      <c r="E37" s="6" t="s">
        <v>137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6"/>
      <c r="CF37" s="6"/>
      <c r="CG37" s="11"/>
      <c r="CH37" s="11"/>
      <c r="CI37" s="11"/>
      <c r="CJ37" s="11"/>
      <c r="CK37" s="11"/>
      <c r="CL37" s="11"/>
      <c r="CM37" s="6"/>
      <c r="CN37" s="6"/>
      <c r="CO37" s="11">
        <v>2.4</v>
      </c>
      <c r="CP37" s="11"/>
      <c r="CQ37" s="11"/>
      <c r="CR37" s="11"/>
      <c r="CS37" s="11"/>
      <c r="CT37" s="11"/>
      <c r="CU37" s="6">
        <f t="shared" si="0"/>
        <v>2.4</v>
      </c>
      <c r="DR37" s="6">
        <f t="shared" si="1"/>
        <v>0</v>
      </c>
      <c r="DS37" s="6">
        <f t="shared" si="2"/>
        <v>0</v>
      </c>
      <c r="DT37" s="11"/>
      <c r="DU37" s="11"/>
      <c r="DV37" s="11"/>
      <c r="DW37" s="6">
        <f t="shared" si="3"/>
        <v>0</v>
      </c>
    </row>
  </sheetData>
  <sortState xmlns:xlrd2="http://schemas.microsoft.com/office/spreadsheetml/2017/richdata2" ref="B11:DW37">
    <sortCondition descending="1" ref="CU11:CU37"/>
  </sortState>
  <mergeCells count="6">
    <mergeCell ref="B1:DW1"/>
    <mergeCell ref="B8:C10"/>
    <mergeCell ref="CI9:CL9"/>
    <mergeCell ref="CQ9:CT9"/>
    <mergeCell ref="D4:CU5"/>
    <mergeCell ref="CW4:DW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28"/>
  <sheetViews>
    <sheetView zoomScale="80" zoomScaleNormal="80" workbookViewId="0">
      <selection activeCell="BY35" sqref="BY35"/>
    </sheetView>
  </sheetViews>
  <sheetFormatPr baseColWidth="10" defaultRowHeight="15" x14ac:dyDescent="0.25"/>
  <cols>
    <col min="1" max="1" width="3.140625" bestFit="1" customWidth="1"/>
    <col min="2" max="2" width="14.5703125" style="42" bestFit="1" customWidth="1"/>
    <col min="4" max="4" width="12.28515625" bestFit="1" customWidth="1"/>
    <col min="5" max="5" width="18.5703125" bestFit="1" customWidth="1"/>
    <col min="6" max="6" width="6.7109375" hidden="1" customWidth="1"/>
    <col min="7" max="10" width="6.42578125" hidden="1" customWidth="1"/>
    <col min="11" max="11" width="7.28515625" hidden="1" customWidth="1"/>
    <col min="12" max="12" width="7.28515625" style="8" hidden="1" customWidth="1"/>
    <col min="13" max="17" width="6.28515625" style="8" hidden="1" customWidth="1"/>
    <col min="18" max="18" width="6.7109375" style="8" hidden="1" customWidth="1"/>
    <col min="19" max="23" width="7.28515625" style="8" hidden="1" customWidth="1"/>
    <col min="24" max="25" width="6.42578125" style="8" hidden="1" customWidth="1"/>
    <col min="26" max="26" width="0" hidden="1" customWidth="1"/>
    <col min="27" max="27" width="7.140625" hidden="1" customWidth="1"/>
    <col min="28" max="43" width="5.5703125" hidden="1" customWidth="1"/>
    <col min="44" max="44" width="6.28515625" hidden="1" customWidth="1"/>
    <col min="45" max="45" width="6.85546875" hidden="1" customWidth="1"/>
    <col min="46" max="60" width="5.5703125" hidden="1" customWidth="1"/>
    <col min="61" max="61" width="6.85546875" hidden="1" customWidth="1"/>
    <col min="62" max="62" width="6.28515625" hidden="1" customWidth="1"/>
    <col min="63" max="63" width="7.85546875" hidden="1" customWidth="1"/>
    <col min="64" max="69" width="6.28515625" style="8" hidden="1" customWidth="1"/>
    <col min="70" max="70" width="8" bestFit="1" customWidth="1"/>
    <col min="71" max="71" width="8" customWidth="1"/>
    <col min="72" max="77" width="8" style="8" customWidth="1"/>
    <col min="78" max="78" width="8" customWidth="1"/>
    <col min="80" max="80" width="0" hidden="1" customWidth="1"/>
    <col min="81" max="81" width="8.28515625" hidden="1" customWidth="1"/>
    <col min="82" max="83" width="6.7109375" hidden="1" customWidth="1"/>
    <col min="84" max="84" width="9.5703125" hidden="1" customWidth="1"/>
    <col min="85" max="86" width="0" style="8" hidden="1" customWidth="1"/>
    <col min="87" max="91" width="5.5703125" style="8" hidden="1" customWidth="1"/>
    <col min="92" max="92" width="0" hidden="1" customWidth="1"/>
    <col min="93" max="93" width="10" hidden="1" customWidth="1"/>
    <col min="94" max="94" width="5.5703125" style="8" hidden="1" customWidth="1"/>
    <col min="95" max="97" width="6" style="8" hidden="1" customWidth="1"/>
    <col min="100" max="100" width="6" style="8" bestFit="1" customWidth="1"/>
    <col min="101" max="101" width="6" style="8" customWidth="1"/>
  </cols>
  <sheetData>
    <row r="1" spans="1:102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</row>
    <row r="2" spans="1:102" ht="15.75" thickBot="1" x14ac:dyDescent="0.3">
      <c r="C2" s="8"/>
      <c r="D2" s="8"/>
      <c r="E2" s="8"/>
      <c r="F2" s="8"/>
      <c r="CB2" s="15"/>
      <c r="CC2" s="15"/>
      <c r="CD2" s="15"/>
      <c r="CE2" s="15"/>
      <c r="CF2" s="15"/>
    </row>
    <row r="3" spans="1:102" ht="15.75" thickTop="1" x14ac:dyDescent="0.25">
      <c r="B3" s="43" t="s">
        <v>0</v>
      </c>
      <c r="C3" s="4" t="s">
        <v>18</v>
      </c>
      <c r="CB3" s="15"/>
      <c r="CC3" s="15"/>
      <c r="CD3" s="15"/>
      <c r="CE3" s="15"/>
      <c r="CF3" s="15"/>
    </row>
    <row r="4" spans="1:102" ht="14.65" customHeight="1" x14ac:dyDescent="0.25">
      <c r="B4" s="44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B4" s="64" t="s">
        <v>617</v>
      </c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</row>
    <row r="5" spans="1:102" ht="15" customHeight="1" thickBot="1" x14ac:dyDescent="0.3">
      <c r="B5" s="45" t="s">
        <v>2</v>
      </c>
      <c r="C5" s="33">
        <v>-70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</row>
    <row r="6" spans="1:102" ht="15.75" thickTop="1" x14ac:dyDescent="0.25">
      <c r="CB6" s="15"/>
      <c r="CC6" s="15"/>
      <c r="CD6" s="15"/>
      <c r="CE6" s="15"/>
      <c r="CF6" s="15"/>
    </row>
    <row r="7" spans="1:102" ht="15.75" thickBot="1" x14ac:dyDescent="0.3">
      <c r="CB7" s="15"/>
      <c r="CC7" s="15"/>
      <c r="CD7" s="15"/>
      <c r="CE7" s="15"/>
      <c r="CF7" s="15"/>
    </row>
    <row r="8" spans="1:102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25</v>
      </c>
      <c r="I8" s="4" t="s">
        <v>15</v>
      </c>
      <c r="J8" s="4" t="s">
        <v>79</v>
      </c>
      <c r="K8" s="4" t="s">
        <v>102</v>
      </c>
      <c r="L8" s="4" t="s">
        <v>15</v>
      </c>
      <c r="M8" s="4" t="s">
        <v>136</v>
      </c>
      <c r="N8" s="4" t="s">
        <v>139</v>
      </c>
      <c r="O8" s="4" t="s">
        <v>142</v>
      </c>
      <c r="P8" s="4" t="s">
        <v>145</v>
      </c>
      <c r="Q8" s="4" t="s">
        <v>15</v>
      </c>
      <c r="R8" s="4" t="s">
        <v>15</v>
      </c>
      <c r="S8" s="4" t="s">
        <v>15</v>
      </c>
      <c r="T8" s="4" t="s">
        <v>15</v>
      </c>
      <c r="U8" s="4" t="s">
        <v>15</v>
      </c>
      <c r="V8" s="4" t="s">
        <v>15</v>
      </c>
      <c r="W8" s="4" t="s">
        <v>159</v>
      </c>
      <c r="X8" s="4" t="s">
        <v>15</v>
      </c>
      <c r="Y8" s="4" t="s">
        <v>164</v>
      </c>
      <c r="Z8" s="1"/>
      <c r="AA8" s="12">
        <v>44927</v>
      </c>
      <c r="AB8" s="4" t="s">
        <v>15</v>
      </c>
      <c r="AC8" s="4" t="s">
        <v>184</v>
      </c>
      <c r="AD8" s="4" t="s">
        <v>15</v>
      </c>
      <c r="AE8" s="4" t="s">
        <v>224</v>
      </c>
      <c r="AF8" s="4" t="s">
        <v>224</v>
      </c>
      <c r="AG8" s="4" t="s">
        <v>15</v>
      </c>
      <c r="AH8" s="4" t="s">
        <v>164</v>
      </c>
      <c r="AI8" s="4" t="s">
        <v>15</v>
      </c>
      <c r="AJ8" s="4" t="s">
        <v>15</v>
      </c>
      <c r="AK8" s="4" t="s">
        <v>15</v>
      </c>
      <c r="AL8" s="4" t="s">
        <v>15</v>
      </c>
      <c r="AM8" s="4" t="s">
        <v>15</v>
      </c>
      <c r="AN8" s="4" t="s">
        <v>164</v>
      </c>
      <c r="AO8" s="4" t="s">
        <v>15</v>
      </c>
      <c r="AP8" s="4" t="s">
        <v>15</v>
      </c>
      <c r="AQ8" s="4" t="s">
        <v>165</v>
      </c>
      <c r="AR8" s="4" t="s">
        <v>6</v>
      </c>
      <c r="AS8" s="28">
        <v>45292</v>
      </c>
      <c r="AT8" s="28" t="s">
        <v>15</v>
      </c>
      <c r="AU8" s="28" t="s">
        <v>15</v>
      </c>
      <c r="AV8" s="28" t="s">
        <v>15</v>
      </c>
      <c r="AW8" s="28" t="s">
        <v>15</v>
      </c>
      <c r="AX8" s="28" t="s">
        <v>15</v>
      </c>
      <c r="AY8" s="28" t="s">
        <v>15</v>
      </c>
      <c r="AZ8" s="28" t="s">
        <v>164</v>
      </c>
      <c r="BA8" s="28" t="s">
        <v>164</v>
      </c>
      <c r="BB8" s="28" t="s">
        <v>224</v>
      </c>
      <c r="BC8" s="28" t="s">
        <v>164</v>
      </c>
      <c r="BD8" s="28" t="s">
        <v>15</v>
      </c>
      <c r="BE8" s="28" t="s">
        <v>15</v>
      </c>
      <c r="BF8" s="28" t="s">
        <v>15</v>
      </c>
      <c r="BG8" s="28" t="s">
        <v>164</v>
      </c>
      <c r="BH8" s="28" t="s">
        <v>422</v>
      </c>
      <c r="BI8" s="28" t="s">
        <v>165</v>
      </c>
      <c r="BJ8" s="28" t="s">
        <v>6</v>
      </c>
      <c r="BK8" s="28">
        <v>45658</v>
      </c>
      <c r="BL8" s="28"/>
      <c r="BM8" s="28"/>
      <c r="BN8" s="35"/>
      <c r="BO8" s="36"/>
      <c r="BP8" s="36"/>
      <c r="BQ8" s="37"/>
      <c r="BR8" s="28" t="s">
        <v>6</v>
      </c>
      <c r="BS8" s="28">
        <v>46023</v>
      </c>
      <c r="BT8" s="28"/>
      <c r="BU8" s="28"/>
      <c r="BV8" s="35"/>
      <c r="BW8" s="36"/>
      <c r="BX8" s="36"/>
      <c r="BY8" s="37"/>
      <c r="BZ8" s="28" t="s">
        <v>213</v>
      </c>
      <c r="CB8" s="13" t="s">
        <v>212</v>
      </c>
      <c r="CC8" s="13" t="s">
        <v>215</v>
      </c>
      <c r="CD8" s="13" t="s">
        <v>163</v>
      </c>
      <c r="CE8" s="13" t="s">
        <v>282</v>
      </c>
      <c r="CF8" s="13" t="s">
        <v>213</v>
      </c>
      <c r="CG8" s="28">
        <v>45292</v>
      </c>
      <c r="CH8" s="4" t="s">
        <v>212</v>
      </c>
      <c r="CI8" s="4" t="s">
        <v>287</v>
      </c>
      <c r="CJ8" s="4" t="s">
        <v>25</v>
      </c>
      <c r="CK8" s="4" t="s">
        <v>156</v>
      </c>
      <c r="CL8" s="4" t="s">
        <v>163</v>
      </c>
      <c r="CM8" s="4" t="s">
        <v>282</v>
      </c>
      <c r="CN8" s="1" t="s">
        <v>6</v>
      </c>
      <c r="CO8" s="28">
        <v>45658</v>
      </c>
      <c r="CP8" s="4" t="s">
        <v>287</v>
      </c>
      <c r="CQ8" s="4" t="s">
        <v>25</v>
      </c>
      <c r="CR8" s="4" t="s">
        <v>163</v>
      </c>
      <c r="CS8" s="4" t="s">
        <v>282</v>
      </c>
      <c r="CT8" s="1" t="s">
        <v>6</v>
      </c>
      <c r="CU8" s="28">
        <v>46023</v>
      </c>
      <c r="CV8" s="4" t="s">
        <v>770</v>
      </c>
      <c r="CW8" s="4" t="s">
        <v>163</v>
      </c>
      <c r="CX8" s="1" t="s">
        <v>6</v>
      </c>
    </row>
    <row r="9" spans="1:102" x14ac:dyDescent="0.25">
      <c r="B9" s="58"/>
      <c r="C9" s="59"/>
      <c r="D9" s="2"/>
      <c r="E9" s="2"/>
      <c r="F9" s="5" t="s">
        <v>80</v>
      </c>
      <c r="G9" s="9" t="s">
        <v>54</v>
      </c>
      <c r="H9" s="9" t="s">
        <v>26</v>
      </c>
      <c r="I9" s="9" t="s">
        <v>70</v>
      </c>
      <c r="J9" s="9" t="s">
        <v>80</v>
      </c>
      <c r="K9" s="9" t="s">
        <v>103</v>
      </c>
      <c r="L9" s="9" t="s">
        <v>120</v>
      </c>
      <c r="M9" s="9" t="s">
        <v>138</v>
      </c>
      <c r="N9" s="9" t="s">
        <v>140</v>
      </c>
      <c r="O9" s="9" t="s">
        <v>143</v>
      </c>
      <c r="P9" s="9" t="s">
        <v>80</v>
      </c>
      <c r="Q9" s="9" t="s">
        <v>148</v>
      </c>
      <c r="R9" s="9" t="s">
        <v>54</v>
      </c>
      <c r="S9" s="9" t="s">
        <v>148</v>
      </c>
      <c r="T9" s="9" t="s">
        <v>120</v>
      </c>
      <c r="U9" s="9" t="s">
        <v>16</v>
      </c>
      <c r="V9" s="9" t="s">
        <v>155</v>
      </c>
      <c r="W9" s="9" t="s">
        <v>160</v>
      </c>
      <c r="X9" s="9" t="s">
        <v>155</v>
      </c>
      <c r="Y9" s="9" t="s">
        <v>165</v>
      </c>
      <c r="Z9" s="2" t="s">
        <v>6</v>
      </c>
      <c r="AA9" s="2"/>
      <c r="AB9" s="9" t="s">
        <v>54</v>
      </c>
      <c r="AC9" s="9" t="s">
        <v>136</v>
      </c>
      <c r="AD9" s="9" t="s">
        <v>155</v>
      </c>
      <c r="AE9" s="9" t="s">
        <v>142</v>
      </c>
      <c r="AF9" s="9" t="s">
        <v>136</v>
      </c>
      <c r="AG9" s="9" t="s">
        <v>120</v>
      </c>
      <c r="AH9" s="9" t="s">
        <v>139</v>
      </c>
      <c r="AI9" s="9" t="s">
        <v>256</v>
      </c>
      <c r="AJ9" s="9" t="s">
        <v>54</v>
      </c>
      <c r="AK9" s="9" t="s">
        <v>155</v>
      </c>
      <c r="AL9" s="9" t="s">
        <v>40</v>
      </c>
      <c r="AM9" s="9" t="s">
        <v>148</v>
      </c>
      <c r="AN9" s="9" t="s">
        <v>142</v>
      </c>
      <c r="AO9" s="9" t="s">
        <v>120</v>
      </c>
      <c r="AP9" s="9" t="s">
        <v>256</v>
      </c>
      <c r="AQ9" s="9"/>
      <c r="AR9" s="2"/>
      <c r="AS9" s="5"/>
      <c r="AT9" s="5" t="s">
        <v>148</v>
      </c>
      <c r="AU9" s="5" t="s">
        <v>256</v>
      </c>
      <c r="AV9" s="5" t="s">
        <v>120</v>
      </c>
      <c r="AW9" s="5" t="s">
        <v>333</v>
      </c>
      <c r="AX9" s="5" t="s">
        <v>40</v>
      </c>
      <c r="AY9" s="5" t="s">
        <v>54</v>
      </c>
      <c r="AZ9" s="5" t="s">
        <v>139</v>
      </c>
      <c r="BA9" s="5" t="s">
        <v>372</v>
      </c>
      <c r="BB9" s="5" t="s">
        <v>142</v>
      </c>
      <c r="BC9" s="5" t="s">
        <v>136</v>
      </c>
      <c r="BD9" s="5" t="s">
        <v>333</v>
      </c>
      <c r="BE9" s="5" t="s">
        <v>256</v>
      </c>
      <c r="BF9" s="5" t="s">
        <v>120</v>
      </c>
      <c r="BG9" s="5" t="s">
        <v>142</v>
      </c>
      <c r="BH9" s="5" t="s">
        <v>333</v>
      </c>
      <c r="BI9" s="5" t="s">
        <v>427</v>
      </c>
      <c r="BJ9" s="5"/>
      <c r="BK9" s="5"/>
      <c r="BL9" s="9" t="s">
        <v>15</v>
      </c>
      <c r="BM9" s="9" t="s">
        <v>224</v>
      </c>
      <c r="BN9" s="60" t="s">
        <v>429</v>
      </c>
      <c r="BO9" s="61"/>
      <c r="BP9" s="61"/>
      <c r="BQ9" s="62"/>
      <c r="BR9" s="5"/>
      <c r="BS9" s="5"/>
      <c r="BT9" s="9" t="s">
        <v>15</v>
      </c>
      <c r="BU9" s="9" t="s">
        <v>224</v>
      </c>
      <c r="BV9" s="60" t="s">
        <v>429</v>
      </c>
      <c r="BW9" s="61"/>
      <c r="BX9" s="61"/>
      <c r="BY9" s="62"/>
      <c r="BZ9" s="9"/>
      <c r="CB9" s="14" t="s">
        <v>214</v>
      </c>
      <c r="CC9" s="14"/>
      <c r="CD9" s="14" t="s">
        <v>260</v>
      </c>
      <c r="CE9" s="14" t="s">
        <v>283</v>
      </c>
      <c r="CF9" s="14"/>
      <c r="CH9" s="5" t="s">
        <v>214</v>
      </c>
      <c r="CI9" s="5"/>
      <c r="CJ9" s="5" t="s">
        <v>343</v>
      </c>
      <c r="CK9" s="5" t="s">
        <v>28</v>
      </c>
      <c r="CL9" s="5" t="s">
        <v>260</v>
      </c>
      <c r="CM9" s="5" t="s">
        <v>80</v>
      </c>
      <c r="CN9" s="2"/>
      <c r="CO9" s="5"/>
      <c r="CP9" s="5"/>
      <c r="CQ9" s="5" t="s">
        <v>28</v>
      </c>
      <c r="CR9" s="5" t="s">
        <v>260</v>
      </c>
      <c r="CS9" s="5" t="s">
        <v>80</v>
      </c>
      <c r="CT9" s="2"/>
      <c r="CU9" s="5"/>
      <c r="CV9" s="5" t="s">
        <v>28</v>
      </c>
      <c r="CW9" s="5" t="s">
        <v>28</v>
      </c>
      <c r="CX9" s="2"/>
    </row>
    <row r="10" spans="1:102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44660</v>
      </c>
      <c r="I10" s="10">
        <v>44674</v>
      </c>
      <c r="J10" s="10">
        <v>44681</v>
      </c>
      <c r="K10" s="10">
        <v>44695</v>
      </c>
      <c r="L10" s="10">
        <v>44709</v>
      </c>
      <c r="M10" s="10">
        <v>44730</v>
      </c>
      <c r="N10" s="10">
        <v>44730</v>
      </c>
      <c r="O10" s="10">
        <v>44737</v>
      </c>
      <c r="P10" s="10">
        <v>44759</v>
      </c>
      <c r="Q10" s="10">
        <v>44765</v>
      </c>
      <c r="R10" s="10">
        <v>44779</v>
      </c>
      <c r="S10" s="10">
        <v>44814</v>
      </c>
      <c r="T10" s="10">
        <v>44814</v>
      </c>
      <c r="U10" s="10">
        <v>44814</v>
      </c>
      <c r="V10" s="10">
        <v>44814</v>
      </c>
      <c r="W10" s="10">
        <v>44829</v>
      </c>
      <c r="X10" s="10">
        <v>44856</v>
      </c>
      <c r="Y10" s="10">
        <v>44906</v>
      </c>
      <c r="Z10" s="2">
        <v>2022</v>
      </c>
      <c r="AA10" s="2"/>
      <c r="AB10" s="2" t="s">
        <v>171</v>
      </c>
      <c r="AC10" s="2" t="s">
        <v>185</v>
      </c>
      <c r="AD10" s="2" t="s">
        <v>210</v>
      </c>
      <c r="AE10" s="2" t="s">
        <v>232</v>
      </c>
      <c r="AF10" s="5" t="s">
        <v>239</v>
      </c>
      <c r="AG10" s="5" t="s">
        <v>247</v>
      </c>
      <c r="AH10" s="5" t="s">
        <v>250</v>
      </c>
      <c r="AI10" s="5" t="s">
        <v>257</v>
      </c>
      <c r="AJ10" s="5" t="s">
        <v>258</v>
      </c>
      <c r="AK10" s="5" t="s">
        <v>261</v>
      </c>
      <c r="AL10" s="5" t="s">
        <v>262</v>
      </c>
      <c r="AM10" s="5" t="s">
        <v>267</v>
      </c>
      <c r="AN10" s="5" t="s">
        <v>270</v>
      </c>
      <c r="AO10" s="5" t="s">
        <v>276</v>
      </c>
      <c r="AP10" s="5" t="s">
        <v>280</v>
      </c>
      <c r="AQ10" s="5" t="s">
        <v>284</v>
      </c>
      <c r="AR10" s="2">
        <v>2023</v>
      </c>
      <c r="AS10" s="17"/>
      <c r="AT10" s="17" t="s">
        <v>319</v>
      </c>
      <c r="AU10" s="17" t="s">
        <v>319</v>
      </c>
      <c r="AV10" s="17" t="s">
        <v>319</v>
      </c>
      <c r="AW10" s="17" t="s">
        <v>319</v>
      </c>
      <c r="AX10" s="17" t="s">
        <v>345</v>
      </c>
      <c r="AY10" s="17" t="s">
        <v>362</v>
      </c>
      <c r="AZ10" s="17" t="s">
        <v>366</v>
      </c>
      <c r="BA10" s="17" t="s">
        <v>373</v>
      </c>
      <c r="BB10" s="17" t="s">
        <v>389</v>
      </c>
      <c r="BC10" s="17" t="s">
        <v>391</v>
      </c>
      <c r="BD10" s="17" t="s">
        <v>402</v>
      </c>
      <c r="BE10" s="17" t="s">
        <v>401</v>
      </c>
      <c r="BF10" s="17" t="s">
        <v>416</v>
      </c>
      <c r="BG10" s="17" t="s">
        <v>420</v>
      </c>
      <c r="BH10" s="17" t="s">
        <v>423</v>
      </c>
      <c r="BI10" s="17" t="s">
        <v>428</v>
      </c>
      <c r="BJ10" s="17">
        <v>2024</v>
      </c>
      <c r="BK10" s="5"/>
      <c r="BL10" s="5"/>
      <c r="BM10" s="5"/>
      <c r="BN10" s="5">
        <v>1</v>
      </c>
      <c r="BO10" s="5">
        <v>2</v>
      </c>
      <c r="BP10" s="5">
        <v>3</v>
      </c>
      <c r="BQ10" s="5">
        <v>4</v>
      </c>
      <c r="BR10" s="5">
        <v>2025</v>
      </c>
      <c r="BS10" s="5"/>
      <c r="BT10" s="5"/>
      <c r="BU10" s="5"/>
      <c r="BV10" s="5">
        <v>1</v>
      </c>
      <c r="BW10" s="5">
        <v>2</v>
      </c>
      <c r="BX10" s="5">
        <v>3</v>
      </c>
      <c r="BY10" s="5">
        <v>4</v>
      </c>
      <c r="BZ10" s="5">
        <v>2026</v>
      </c>
      <c r="CB10" s="24"/>
      <c r="CC10" s="25">
        <v>45077</v>
      </c>
      <c r="CD10" s="25">
        <v>45153</v>
      </c>
      <c r="CE10" s="25">
        <v>45255</v>
      </c>
      <c r="CF10" s="24">
        <v>2023</v>
      </c>
      <c r="CH10" s="5"/>
      <c r="CI10" s="5" t="s">
        <v>288</v>
      </c>
      <c r="CJ10" s="5" t="s">
        <v>344</v>
      </c>
      <c r="CK10" s="5" t="s">
        <v>390</v>
      </c>
      <c r="CL10" s="5" t="s">
        <v>415</v>
      </c>
      <c r="CM10" s="5" t="s">
        <v>425</v>
      </c>
      <c r="CN10" s="2">
        <v>2024</v>
      </c>
      <c r="CO10" s="5"/>
      <c r="CP10" s="5" t="s">
        <v>430</v>
      </c>
      <c r="CQ10" s="5" t="s">
        <v>518</v>
      </c>
      <c r="CR10" s="5" t="s">
        <v>607</v>
      </c>
      <c r="CS10" s="5" t="s">
        <v>425</v>
      </c>
      <c r="CT10" s="2">
        <v>2025</v>
      </c>
      <c r="CU10" s="5"/>
      <c r="CV10" s="5" t="s">
        <v>771</v>
      </c>
      <c r="CW10" s="5" t="s">
        <v>772</v>
      </c>
      <c r="CX10" s="2">
        <v>2026</v>
      </c>
    </row>
    <row r="11" spans="1:102" x14ac:dyDescent="0.25">
      <c r="A11">
        <v>1</v>
      </c>
      <c r="B11" s="46" t="s">
        <v>317</v>
      </c>
      <c r="C11" s="6"/>
      <c r="D11" s="6" t="s">
        <v>255</v>
      </c>
      <c r="E11" s="6" t="s">
        <v>197</v>
      </c>
      <c r="F11" s="6"/>
      <c r="G11" s="6"/>
      <c r="H11" s="6"/>
      <c r="I11" s="6"/>
      <c r="J11" s="6"/>
      <c r="K11" s="6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11">
        <v>48</v>
      </c>
      <c r="BM11" s="11">
        <v>64</v>
      </c>
      <c r="BN11" s="11">
        <v>100</v>
      </c>
      <c r="BO11" s="11">
        <v>54</v>
      </c>
      <c r="BP11" s="11">
        <v>80</v>
      </c>
      <c r="BQ11" s="11">
        <v>150</v>
      </c>
      <c r="BR11" s="6">
        <f t="shared" ref="BR11:BR16" si="0">SUM(BK11:BQ11)</f>
        <v>496</v>
      </c>
      <c r="BS11" s="6">
        <f t="shared" ref="BS11:BS16" si="1">(BR11-BK11)/2</f>
        <v>248</v>
      </c>
      <c r="BT11" s="11">
        <v>48</v>
      </c>
      <c r="BU11" s="11">
        <v>64</v>
      </c>
      <c r="BV11" s="11">
        <v>105</v>
      </c>
      <c r="BW11" s="11">
        <v>80</v>
      </c>
      <c r="BX11" s="11">
        <v>48</v>
      </c>
      <c r="BY11" s="11"/>
      <c r="BZ11" s="6">
        <f t="shared" ref="BZ11:BZ28" si="2">SUM(BS11:BY11)</f>
        <v>593</v>
      </c>
      <c r="CB11" s="6"/>
      <c r="CC11" s="6"/>
      <c r="CD11" s="6"/>
      <c r="CE11" s="6"/>
      <c r="CF11" s="6"/>
      <c r="CG11" s="11"/>
      <c r="CH11" s="11"/>
      <c r="CI11" s="11"/>
      <c r="CJ11" s="11"/>
      <c r="CK11" s="11"/>
      <c r="CL11" s="11"/>
      <c r="CM11" s="11"/>
      <c r="CN11" s="6"/>
      <c r="CO11" s="6"/>
      <c r="CP11" s="11"/>
      <c r="CQ11" s="11"/>
      <c r="CR11" s="11"/>
      <c r="CS11" s="11"/>
      <c r="CT11" s="6">
        <f>SUM(CO11:CQ11)</f>
        <v>0</v>
      </c>
      <c r="CU11" s="6">
        <f t="shared" ref="CU11:CU28" si="3">(CT11-CO11)/2</f>
        <v>0</v>
      </c>
      <c r="CV11" s="11"/>
      <c r="CW11" s="11"/>
      <c r="CX11" s="6">
        <f>SUM(CU11:CV11)</f>
        <v>0</v>
      </c>
    </row>
    <row r="12" spans="1:102" x14ac:dyDescent="0.25">
      <c r="A12">
        <v>2</v>
      </c>
      <c r="B12" s="47" t="s">
        <v>312</v>
      </c>
      <c r="C12" s="19"/>
      <c r="D12" s="19" t="s">
        <v>313</v>
      </c>
      <c r="E12" s="19" t="s">
        <v>303</v>
      </c>
      <c r="F12" s="6"/>
      <c r="G12" s="6"/>
      <c r="H12" s="6"/>
      <c r="I12" s="6"/>
      <c r="J12" s="6"/>
      <c r="K12" s="6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11">
        <v>36</v>
      </c>
      <c r="BM12" s="11">
        <v>64</v>
      </c>
      <c r="BN12" s="11">
        <v>150</v>
      </c>
      <c r="BO12" s="11">
        <v>36</v>
      </c>
      <c r="BP12" s="11">
        <v>200</v>
      </c>
      <c r="BQ12" s="11"/>
      <c r="BR12" s="6">
        <f t="shared" si="0"/>
        <v>486</v>
      </c>
      <c r="BS12" s="6">
        <f t="shared" si="1"/>
        <v>243</v>
      </c>
      <c r="BT12" s="11">
        <v>36</v>
      </c>
      <c r="BU12" s="11">
        <v>44.8</v>
      </c>
      <c r="BV12" s="11">
        <v>150</v>
      </c>
      <c r="BW12" s="11"/>
      <c r="BX12" s="11"/>
      <c r="BY12" s="11"/>
      <c r="BZ12" s="6">
        <f t="shared" si="2"/>
        <v>473.8</v>
      </c>
      <c r="CB12" s="6"/>
      <c r="CC12" s="6"/>
      <c r="CD12" s="6"/>
      <c r="CE12" s="6"/>
      <c r="CF12" s="6"/>
      <c r="CG12" s="11"/>
      <c r="CH12" s="11"/>
      <c r="CI12" s="11"/>
      <c r="CJ12" s="11"/>
      <c r="CK12" s="11"/>
      <c r="CL12" s="11"/>
      <c r="CM12" s="11"/>
      <c r="CN12" s="6"/>
      <c r="CO12" s="6"/>
      <c r="CP12" s="11"/>
      <c r="CQ12" s="11"/>
      <c r="CR12" s="11"/>
      <c r="CS12" s="11"/>
      <c r="CT12" s="6">
        <f>SUM(CO12:CS12)</f>
        <v>0</v>
      </c>
      <c r="CU12" s="6">
        <f t="shared" si="3"/>
        <v>0</v>
      </c>
      <c r="CV12" s="11">
        <v>150</v>
      </c>
      <c r="CW12" s="11">
        <v>50</v>
      </c>
      <c r="CX12" s="19">
        <f>SUM(CU12:CW12)</f>
        <v>200</v>
      </c>
    </row>
    <row r="13" spans="1:102" x14ac:dyDescent="0.25">
      <c r="A13">
        <v>3</v>
      </c>
      <c r="B13" s="46" t="s">
        <v>66</v>
      </c>
      <c r="C13" s="6"/>
      <c r="D13" s="6" t="s">
        <v>477</v>
      </c>
      <c r="E13" s="6" t="s">
        <v>57</v>
      </c>
      <c r="F13" s="6"/>
      <c r="G13" s="6"/>
      <c r="H13" s="6"/>
      <c r="I13" s="6"/>
      <c r="J13" s="6"/>
      <c r="K13" s="6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92.25</v>
      </c>
      <c r="BL13" s="11">
        <v>33.6</v>
      </c>
      <c r="BM13" s="11">
        <v>64</v>
      </c>
      <c r="BN13" s="11">
        <v>75</v>
      </c>
      <c r="BO13" s="11">
        <v>140</v>
      </c>
      <c r="BP13" s="11">
        <v>3.2</v>
      </c>
      <c r="BQ13" s="11">
        <v>75</v>
      </c>
      <c r="BR13" s="6">
        <f t="shared" si="0"/>
        <v>483.05</v>
      </c>
      <c r="BS13" s="6">
        <f t="shared" si="1"/>
        <v>195.4</v>
      </c>
      <c r="BT13" s="11">
        <v>48</v>
      </c>
      <c r="BU13" s="11">
        <v>48</v>
      </c>
      <c r="BV13" s="11"/>
      <c r="BW13" s="11"/>
      <c r="BX13" s="11"/>
      <c r="BY13" s="11"/>
      <c r="BZ13" s="6">
        <f t="shared" si="2"/>
        <v>291.39999999999998</v>
      </c>
      <c r="CB13" s="6"/>
      <c r="CC13" s="6"/>
      <c r="CD13" s="6"/>
      <c r="CE13" s="6"/>
      <c r="CF13" s="6"/>
      <c r="CG13" s="11"/>
      <c r="CH13" s="11"/>
      <c r="CI13" s="11"/>
      <c r="CJ13" s="11"/>
      <c r="CK13" s="11"/>
      <c r="CL13" s="11"/>
      <c r="CM13" s="11"/>
      <c r="CN13" s="6"/>
      <c r="CO13" s="6"/>
      <c r="CP13" s="11"/>
      <c r="CQ13" s="11"/>
      <c r="CR13" s="11"/>
      <c r="CS13" s="11">
        <v>40</v>
      </c>
      <c r="CT13" s="6">
        <f>SUM(CO13:CS13)</f>
        <v>40</v>
      </c>
      <c r="CU13" s="6">
        <f t="shared" si="3"/>
        <v>20</v>
      </c>
      <c r="CV13" s="11"/>
      <c r="CW13" s="11"/>
      <c r="CX13" s="6">
        <f t="shared" ref="CX13:CX28" si="4">SUM(CU13:CV13)</f>
        <v>20</v>
      </c>
    </row>
    <row r="14" spans="1:102" x14ac:dyDescent="0.25">
      <c r="A14" s="52">
        <v>4</v>
      </c>
      <c r="B14" s="46" t="s">
        <v>471</v>
      </c>
      <c r="C14" s="6"/>
      <c r="D14" s="6" t="s">
        <v>472</v>
      </c>
      <c r="E14" s="6" t="s">
        <v>563</v>
      </c>
      <c r="F14" s="6"/>
      <c r="G14" s="6"/>
      <c r="H14" s="6"/>
      <c r="I14" s="6"/>
      <c r="J14" s="6"/>
      <c r="K14" s="6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11">
        <v>48</v>
      </c>
      <c r="BM14" s="11">
        <v>3.2</v>
      </c>
      <c r="BN14" s="11">
        <v>105</v>
      </c>
      <c r="BO14" s="11">
        <v>70</v>
      </c>
      <c r="BP14" s="11">
        <v>100</v>
      </c>
      <c r="BQ14" s="11">
        <v>105</v>
      </c>
      <c r="BR14" s="6">
        <f t="shared" si="0"/>
        <v>431.2</v>
      </c>
      <c r="BS14" s="6">
        <f t="shared" si="1"/>
        <v>215.6</v>
      </c>
      <c r="BT14" s="11">
        <v>2.4</v>
      </c>
      <c r="BU14" s="11">
        <v>3.2</v>
      </c>
      <c r="BV14" s="11">
        <v>60</v>
      </c>
      <c r="BW14" s="11">
        <v>4</v>
      </c>
      <c r="BX14" s="11">
        <v>2.4</v>
      </c>
      <c r="BY14" s="11"/>
      <c r="BZ14" s="6">
        <f t="shared" si="2"/>
        <v>287.59999999999997</v>
      </c>
      <c r="CB14" s="6"/>
      <c r="CC14" s="6"/>
      <c r="CD14" s="6"/>
      <c r="CE14" s="6"/>
      <c r="CF14" s="6"/>
      <c r="CG14" s="11"/>
      <c r="CH14" s="11"/>
      <c r="CI14" s="11"/>
      <c r="CJ14" s="11"/>
      <c r="CK14" s="11"/>
      <c r="CL14" s="11"/>
      <c r="CM14" s="11"/>
      <c r="CN14" s="6"/>
      <c r="CO14" s="6"/>
      <c r="CP14" s="11">
        <v>18</v>
      </c>
      <c r="CQ14" s="11"/>
      <c r="CR14" s="11"/>
      <c r="CS14" s="11">
        <v>20</v>
      </c>
      <c r="CT14" s="6">
        <f>SUM(CO14:CS14)</f>
        <v>38</v>
      </c>
      <c r="CU14" s="6">
        <f t="shared" si="3"/>
        <v>19</v>
      </c>
      <c r="CV14" s="11"/>
      <c r="CW14" s="11"/>
      <c r="CX14" s="6">
        <f t="shared" si="4"/>
        <v>19</v>
      </c>
    </row>
    <row r="15" spans="1:102" x14ac:dyDescent="0.25">
      <c r="A15">
        <v>5</v>
      </c>
      <c r="B15" s="46" t="s">
        <v>67</v>
      </c>
      <c r="C15" s="6"/>
      <c r="D15" s="6" t="s">
        <v>206</v>
      </c>
      <c r="E15" s="6" t="s">
        <v>374</v>
      </c>
      <c r="F15" s="6"/>
      <c r="G15" s="6"/>
      <c r="H15" s="6"/>
      <c r="I15" s="6"/>
      <c r="J15" s="6"/>
      <c r="K15" s="6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>
        <v>73.5</v>
      </c>
      <c r="BL15" s="11">
        <v>36</v>
      </c>
      <c r="BM15" s="11">
        <v>64</v>
      </c>
      <c r="BN15" s="11">
        <v>7.5</v>
      </c>
      <c r="BO15" s="11">
        <v>10</v>
      </c>
      <c r="BP15" s="11">
        <v>48</v>
      </c>
      <c r="BQ15" s="11">
        <v>36</v>
      </c>
      <c r="BR15" s="6">
        <f t="shared" si="0"/>
        <v>275</v>
      </c>
      <c r="BS15" s="6">
        <f t="shared" si="1"/>
        <v>100.75</v>
      </c>
      <c r="BT15" s="11">
        <v>36</v>
      </c>
      <c r="BU15" s="11">
        <v>64</v>
      </c>
      <c r="BV15" s="11">
        <v>36</v>
      </c>
      <c r="BW15" s="11"/>
      <c r="BX15" s="11"/>
      <c r="BY15" s="11"/>
      <c r="BZ15" s="6">
        <f t="shared" si="2"/>
        <v>236.75</v>
      </c>
      <c r="CB15" s="6"/>
      <c r="CC15" s="6"/>
      <c r="CD15" s="6"/>
      <c r="CE15" s="6"/>
      <c r="CF15" s="6"/>
      <c r="CG15" s="11"/>
      <c r="CH15" s="11"/>
      <c r="CI15" s="11"/>
      <c r="CJ15" s="11"/>
      <c r="CK15" s="11"/>
      <c r="CL15" s="11"/>
      <c r="CM15" s="11"/>
      <c r="CN15" s="6"/>
      <c r="CO15" s="6"/>
      <c r="CP15" s="11">
        <v>1.5</v>
      </c>
      <c r="CQ15" s="11"/>
      <c r="CR15" s="11"/>
      <c r="CS15" s="11">
        <v>28</v>
      </c>
      <c r="CT15" s="6">
        <f>SUM(CO15:CS15)</f>
        <v>29.5</v>
      </c>
      <c r="CU15" s="6">
        <f t="shared" si="3"/>
        <v>14.75</v>
      </c>
      <c r="CV15" s="11"/>
      <c r="CW15" s="11"/>
      <c r="CX15" s="6">
        <f t="shared" si="4"/>
        <v>14.75</v>
      </c>
    </row>
    <row r="16" spans="1:102" x14ac:dyDescent="0.25">
      <c r="A16">
        <v>6</v>
      </c>
      <c r="B16" s="46" t="s">
        <v>469</v>
      </c>
      <c r="C16" s="6"/>
      <c r="D16" s="6" t="s">
        <v>470</v>
      </c>
      <c r="E16" s="6" t="s">
        <v>86</v>
      </c>
      <c r="F16" s="6"/>
      <c r="G16" s="6"/>
      <c r="H16" s="6"/>
      <c r="I16" s="6"/>
      <c r="J16" s="6"/>
      <c r="K16" s="6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11">
        <v>33.6</v>
      </c>
      <c r="BM16" s="11"/>
      <c r="BN16" s="11">
        <v>54</v>
      </c>
      <c r="BO16" s="11">
        <v>50</v>
      </c>
      <c r="BP16" s="11">
        <v>150</v>
      </c>
      <c r="BQ16" s="11">
        <v>33.6</v>
      </c>
      <c r="BR16" s="6">
        <f t="shared" si="0"/>
        <v>321.20000000000005</v>
      </c>
      <c r="BS16" s="6">
        <f t="shared" si="1"/>
        <v>160.60000000000002</v>
      </c>
      <c r="BT16" s="11"/>
      <c r="BU16" s="11"/>
      <c r="BV16" s="11"/>
      <c r="BW16" s="11"/>
      <c r="BX16" s="11"/>
      <c r="BY16" s="11"/>
      <c r="BZ16" s="6">
        <f t="shared" si="2"/>
        <v>160.60000000000002</v>
      </c>
      <c r="CB16" s="6"/>
      <c r="CC16" s="6"/>
      <c r="CD16" s="6"/>
      <c r="CE16" s="6"/>
      <c r="CF16" s="6"/>
      <c r="CG16" s="11"/>
      <c r="CH16" s="11"/>
      <c r="CI16" s="11"/>
      <c r="CJ16" s="11"/>
      <c r="CK16" s="11"/>
      <c r="CL16" s="11"/>
      <c r="CM16" s="11"/>
      <c r="CN16" s="6"/>
      <c r="CO16" s="6"/>
      <c r="CP16" s="11">
        <v>22.5</v>
      </c>
      <c r="CQ16" s="11"/>
      <c r="CR16" s="11">
        <v>50</v>
      </c>
      <c r="CS16" s="11"/>
      <c r="CT16" s="6">
        <f>SUM(CO16:CR16)</f>
        <v>72.5</v>
      </c>
      <c r="CU16" s="6">
        <f t="shared" si="3"/>
        <v>36.25</v>
      </c>
      <c r="CV16" s="11"/>
      <c r="CW16" s="11"/>
      <c r="CX16" s="6">
        <f t="shared" si="4"/>
        <v>36.25</v>
      </c>
    </row>
    <row r="17" spans="1:102" x14ac:dyDescent="0.25">
      <c r="A17">
        <v>7</v>
      </c>
      <c r="B17" s="46" t="s">
        <v>646</v>
      </c>
      <c r="C17" s="6"/>
      <c r="D17" s="6" t="s">
        <v>30</v>
      </c>
      <c r="E17" s="6" t="s">
        <v>104</v>
      </c>
      <c r="F17" s="6"/>
      <c r="G17" s="6"/>
      <c r="H17" s="6"/>
      <c r="I17" s="6"/>
      <c r="J17" s="6"/>
      <c r="K17" s="6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11"/>
      <c r="BM17" s="11"/>
      <c r="BN17" s="11"/>
      <c r="BO17" s="11"/>
      <c r="BP17" s="11"/>
      <c r="BQ17" s="11"/>
      <c r="BR17" s="6"/>
      <c r="BS17" s="6">
        <f>30.6/2</f>
        <v>15.3</v>
      </c>
      <c r="BT17" s="11">
        <v>36</v>
      </c>
      <c r="BU17" s="11">
        <v>44.8</v>
      </c>
      <c r="BV17" s="11">
        <v>36</v>
      </c>
      <c r="BW17" s="11"/>
      <c r="BX17" s="11"/>
      <c r="BY17" s="11"/>
      <c r="BZ17" s="6">
        <f t="shared" si="2"/>
        <v>132.1</v>
      </c>
      <c r="CB17" s="6"/>
      <c r="CC17" s="6"/>
      <c r="CD17" s="6"/>
      <c r="CE17" s="6"/>
      <c r="CF17" s="6"/>
      <c r="CG17" s="11"/>
      <c r="CH17" s="11"/>
      <c r="CI17" s="11"/>
      <c r="CJ17" s="11"/>
      <c r="CK17" s="11"/>
      <c r="CL17" s="11"/>
      <c r="CM17" s="11"/>
      <c r="CN17" s="6"/>
      <c r="CO17" s="6"/>
      <c r="CP17" s="11"/>
      <c r="CQ17" s="11"/>
      <c r="CR17" s="11"/>
      <c r="CS17" s="11"/>
      <c r="CT17" s="6">
        <f t="shared" ref="CT17:CT28" si="5">SUM(CO17:CQ17)</f>
        <v>0</v>
      </c>
      <c r="CU17" s="6">
        <f t="shared" si="3"/>
        <v>0</v>
      </c>
      <c r="CV17" s="11"/>
      <c r="CW17" s="11"/>
      <c r="CX17" s="6">
        <f t="shared" si="4"/>
        <v>0</v>
      </c>
    </row>
    <row r="18" spans="1:102" x14ac:dyDescent="0.25">
      <c r="A18">
        <v>8</v>
      </c>
      <c r="B18" s="46" t="s">
        <v>248</v>
      </c>
      <c r="C18" s="6"/>
      <c r="D18" s="6" t="s">
        <v>204</v>
      </c>
      <c r="E18" s="6" t="s">
        <v>111</v>
      </c>
      <c r="F18" s="6"/>
      <c r="G18" s="6"/>
      <c r="H18" s="6"/>
      <c r="I18" s="6"/>
      <c r="J18" s="6"/>
      <c r="K18" s="6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f>SUM(AA18:AQ18)</f>
        <v>0</v>
      </c>
      <c r="AS18" s="6">
        <f>(AR18-AA18)/2</f>
        <v>0</v>
      </c>
      <c r="AT18" s="6"/>
      <c r="AU18" s="6"/>
      <c r="AV18" s="6"/>
      <c r="AW18" s="6"/>
      <c r="AX18" s="6"/>
      <c r="AY18" s="6"/>
      <c r="AZ18" s="6"/>
      <c r="BA18" s="6"/>
      <c r="BB18" s="6">
        <v>56</v>
      </c>
      <c r="BC18" s="6">
        <v>75</v>
      </c>
      <c r="BD18" s="6"/>
      <c r="BE18" s="6"/>
      <c r="BF18" s="6">
        <v>48</v>
      </c>
      <c r="BG18" s="6"/>
      <c r="BH18" s="6"/>
      <c r="BI18" s="6"/>
      <c r="BJ18" s="6">
        <f>SUM(AS18:BI18)</f>
        <v>179</v>
      </c>
      <c r="BK18" s="6">
        <f>(BJ18-AS18)/2</f>
        <v>89.5</v>
      </c>
      <c r="BL18" s="11"/>
      <c r="BM18" s="11"/>
      <c r="BN18" s="11">
        <v>75</v>
      </c>
      <c r="BO18" s="11">
        <v>105</v>
      </c>
      <c r="BP18" s="11">
        <v>56</v>
      </c>
      <c r="BQ18" s="11"/>
      <c r="BR18" s="6">
        <f>SUM(BK18:BQ18)</f>
        <v>325.5</v>
      </c>
      <c r="BS18" s="6">
        <f>(BR18-BK18)/2</f>
        <v>118</v>
      </c>
      <c r="BT18" s="11"/>
      <c r="BU18" s="11"/>
      <c r="BV18" s="11"/>
      <c r="BW18" s="11"/>
      <c r="BX18" s="11"/>
      <c r="BY18" s="11"/>
      <c r="BZ18" s="6">
        <f t="shared" si="2"/>
        <v>118</v>
      </c>
      <c r="CF18">
        <f>SUM(CB18:CE18)</f>
        <v>0</v>
      </c>
      <c r="CG18" s="8">
        <f>CF18/2</f>
        <v>0</v>
      </c>
      <c r="CH18" s="8">
        <f>BJ18/4</f>
        <v>44.75</v>
      </c>
      <c r="CI18" s="8">
        <v>18</v>
      </c>
      <c r="CN18" s="6">
        <f>SUM(CG18:CI18)</f>
        <v>62.75</v>
      </c>
      <c r="CO18" s="6">
        <f>(CN18-CG18)/2</f>
        <v>31.375</v>
      </c>
      <c r="CP18" s="11">
        <v>30</v>
      </c>
      <c r="CQ18" s="11">
        <v>78</v>
      </c>
      <c r="CR18" s="11"/>
      <c r="CS18" s="11"/>
      <c r="CT18" s="6">
        <f t="shared" si="5"/>
        <v>139.375</v>
      </c>
      <c r="CU18" s="6">
        <f t="shared" si="3"/>
        <v>54</v>
      </c>
      <c r="CV18" s="11"/>
      <c r="CW18" s="11"/>
      <c r="CX18" s="6">
        <f t="shared" si="4"/>
        <v>54</v>
      </c>
    </row>
    <row r="19" spans="1:102" x14ac:dyDescent="0.25">
      <c r="A19">
        <v>9</v>
      </c>
      <c r="B19" s="46" t="s">
        <v>590</v>
      </c>
      <c r="C19" s="6"/>
      <c r="D19" s="6" t="s">
        <v>591</v>
      </c>
      <c r="E19" s="6" t="s">
        <v>129</v>
      </c>
      <c r="F19" s="6"/>
      <c r="G19" s="6"/>
      <c r="H19" s="6"/>
      <c r="I19" s="6"/>
      <c r="J19" s="6"/>
      <c r="K19" s="6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11">
        <v>36</v>
      </c>
      <c r="BM19" s="11">
        <v>3.2</v>
      </c>
      <c r="BN19" s="11">
        <v>54</v>
      </c>
      <c r="BO19" s="11">
        <v>75</v>
      </c>
      <c r="BP19" s="11">
        <v>10</v>
      </c>
      <c r="BQ19" s="11"/>
      <c r="BR19" s="6">
        <f>SUM(BK19:BQ19)</f>
        <v>178.2</v>
      </c>
      <c r="BS19" s="6">
        <f>(BR19-BK19)/2</f>
        <v>89.1</v>
      </c>
      <c r="BT19" s="11"/>
      <c r="BU19" s="11"/>
      <c r="BV19" s="11"/>
      <c r="BW19" s="11"/>
      <c r="BX19" s="11"/>
      <c r="BY19" s="11"/>
      <c r="BZ19" s="6">
        <f t="shared" si="2"/>
        <v>89.1</v>
      </c>
      <c r="CN19" s="6"/>
      <c r="CO19" s="6"/>
      <c r="CP19" s="11"/>
      <c r="CQ19" s="11"/>
      <c r="CR19" s="11"/>
      <c r="CS19" s="11"/>
      <c r="CT19" s="6">
        <f t="shared" si="5"/>
        <v>0</v>
      </c>
      <c r="CU19" s="6">
        <f t="shared" si="3"/>
        <v>0</v>
      </c>
      <c r="CV19" s="11"/>
      <c r="CW19" s="11"/>
      <c r="CX19" s="6">
        <f t="shared" si="4"/>
        <v>0</v>
      </c>
    </row>
    <row r="20" spans="1:102" x14ac:dyDescent="0.25">
      <c r="A20">
        <v>10</v>
      </c>
      <c r="B20" s="46" t="s">
        <v>181</v>
      </c>
      <c r="C20" s="6"/>
      <c r="D20" s="6" t="s">
        <v>517</v>
      </c>
      <c r="E20" s="6" t="s">
        <v>42</v>
      </c>
      <c r="F20" s="6"/>
      <c r="G20" s="6"/>
      <c r="H20" s="6"/>
      <c r="I20" s="6"/>
      <c r="J20" s="6"/>
      <c r="K20" s="6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11"/>
      <c r="BM20" s="11"/>
      <c r="BN20" s="11"/>
      <c r="BO20" s="11"/>
      <c r="BP20" s="11"/>
      <c r="BQ20" s="11"/>
      <c r="BR20" s="6"/>
      <c r="BS20" s="6"/>
      <c r="BT20" s="11"/>
      <c r="BU20" s="11"/>
      <c r="BV20" s="11">
        <v>75</v>
      </c>
      <c r="BW20" s="11"/>
      <c r="BX20" s="11"/>
      <c r="BY20" s="11"/>
      <c r="BZ20" s="6">
        <f t="shared" si="2"/>
        <v>75</v>
      </c>
      <c r="CN20" s="6"/>
      <c r="CO20" s="6"/>
      <c r="CP20" s="11"/>
      <c r="CQ20" s="11"/>
      <c r="CR20" s="11"/>
      <c r="CS20" s="11"/>
      <c r="CT20" s="6">
        <f t="shared" si="5"/>
        <v>0</v>
      </c>
      <c r="CU20" s="6">
        <f t="shared" si="3"/>
        <v>0</v>
      </c>
      <c r="CV20" s="11"/>
      <c r="CW20" s="11"/>
      <c r="CX20" s="6">
        <f t="shared" si="4"/>
        <v>0</v>
      </c>
    </row>
    <row r="21" spans="1:102" x14ac:dyDescent="0.25">
      <c r="A21">
        <v>11</v>
      </c>
      <c r="B21" s="46" t="s">
        <v>87</v>
      </c>
      <c r="C21" s="6"/>
      <c r="D21" s="6" t="s">
        <v>71</v>
      </c>
      <c r="E21" s="6" t="s">
        <v>208</v>
      </c>
      <c r="F21" s="6"/>
      <c r="G21" s="6"/>
      <c r="H21" s="6"/>
      <c r="I21" s="6"/>
      <c r="J21" s="6"/>
      <c r="K21" s="6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6"/>
      <c r="AA21" s="6"/>
      <c r="AB21" s="6"/>
      <c r="AC21" s="6">
        <v>40</v>
      </c>
      <c r="AD21" s="6"/>
      <c r="AE21" s="6"/>
      <c r="AF21" s="6">
        <v>56</v>
      </c>
      <c r="AG21" s="6"/>
      <c r="AH21" s="6">
        <v>50</v>
      </c>
      <c r="AI21" s="6">
        <v>48</v>
      </c>
      <c r="AJ21" s="6"/>
      <c r="AK21" s="6"/>
      <c r="AL21" s="6"/>
      <c r="AM21" s="6"/>
      <c r="AN21" s="6">
        <v>26</v>
      </c>
      <c r="AO21" s="6"/>
      <c r="AP21" s="6"/>
      <c r="AQ21" s="6">
        <v>54</v>
      </c>
      <c r="AR21" s="6">
        <f>SUM(AA21:AQ21)</f>
        <v>274</v>
      </c>
      <c r="AS21" s="6">
        <f>(AR21-AA21)/2</f>
        <v>137</v>
      </c>
      <c r="AT21" s="6"/>
      <c r="AU21" s="6"/>
      <c r="AV21" s="6"/>
      <c r="AW21" s="6"/>
      <c r="AX21" s="6"/>
      <c r="AY21" s="6"/>
      <c r="AZ21" s="6">
        <v>75</v>
      </c>
      <c r="BA21" s="6"/>
      <c r="BB21" s="6"/>
      <c r="BC21" s="6"/>
      <c r="BD21" s="6"/>
      <c r="BE21" s="6"/>
      <c r="BF21" s="6"/>
      <c r="BG21" s="6"/>
      <c r="BH21" s="6"/>
      <c r="BI21" s="6"/>
      <c r="BJ21" s="6">
        <f>SUM(AS21:BI21)</f>
        <v>212</v>
      </c>
      <c r="BK21" s="6">
        <f>(BJ21-AS21)/2</f>
        <v>37.5</v>
      </c>
      <c r="BL21" s="11">
        <v>36</v>
      </c>
      <c r="BM21" s="11"/>
      <c r="BN21" s="11">
        <v>7.5</v>
      </c>
      <c r="BO21" s="11">
        <v>50</v>
      </c>
      <c r="BP21" s="11">
        <v>7.5</v>
      </c>
      <c r="BQ21" s="11"/>
      <c r="BR21" s="6">
        <f>SUM(BK21:BQ21)</f>
        <v>138.5</v>
      </c>
      <c r="BS21" s="6">
        <f>(BR21-BK21)/2</f>
        <v>50.5</v>
      </c>
      <c r="BT21" s="11"/>
      <c r="BU21" s="11"/>
      <c r="BV21" s="11"/>
      <c r="BW21" s="11"/>
      <c r="BX21" s="11"/>
      <c r="BY21" s="11"/>
      <c r="BZ21" s="6">
        <f t="shared" si="2"/>
        <v>50.5</v>
      </c>
      <c r="CB21">
        <f>AR21/4</f>
        <v>68.5</v>
      </c>
      <c r="CC21" s="8"/>
      <c r="CD21" s="8"/>
      <c r="CE21" s="8">
        <v>5</v>
      </c>
      <c r="CF21">
        <f>SUM(CB21:CE21)</f>
        <v>73.5</v>
      </c>
      <c r="CG21" s="8">
        <f>CF21/2</f>
        <v>36.75</v>
      </c>
      <c r="CH21" s="8">
        <f>BJ21/4</f>
        <v>53</v>
      </c>
      <c r="CI21" s="8">
        <v>22.5</v>
      </c>
      <c r="CN21" s="6">
        <f>SUM(CG21:CI21)</f>
        <v>112.25</v>
      </c>
      <c r="CO21" s="6">
        <f>(CN21-CG21)/2</f>
        <v>37.75</v>
      </c>
      <c r="CP21" s="11"/>
      <c r="CQ21" s="11"/>
      <c r="CR21" s="11"/>
      <c r="CS21" s="11"/>
      <c r="CT21" s="6">
        <f t="shared" si="5"/>
        <v>37.75</v>
      </c>
      <c r="CU21" s="6">
        <f t="shared" si="3"/>
        <v>0</v>
      </c>
      <c r="CV21" s="11"/>
      <c r="CW21" s="11"/>
      <c r="CX21" s="6">
        <f t="shared" si="4"/>
        <v>0</v>
      </c>
    </row>
    <row r="22" spans="1:102" x14ac:dyDescent="0.25">
      <c r="A22">
        <v>12</v>
      </c>
      <c r="B22" s="46" t="s">
        <v>487</v>
      </c>
      <c r="C22" s="6"/>
      <c r="D22" s="6" t="s">
        <v>488</v>
      </c>
      <c r="E22" s="6" t="s">
        <v>538</v>
      </c>
      <c r="F22" s="6"/>
      <c r="G22" s="6"/>
      <c r="H22" s="6"/>
      <c r="I22" s="6"/>
      <c r="J22" s="6"/>
      <c r="K22" s="6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11"/>
      <c r="BM22" s="11">
        <v>3.2</v>
      </c>
      <c r="BN22" s="11">
        <v>7.5</v>
      </c>
      <c r="BO22" s="11"/>
      <c r="BP22" s="11"/>
      <c r="BQ22" s="11"/>
      <c r="BR22" s="6">
        <f>SUM(BK22:BQ22)</f>
        <v>10.7</v>
      </c>
      <c r="BS22" s="6">
        <f>(BR22-BK22)/2</f>
        <v>5.35</v>
      </c>
      <c r="BT22" s="11">
        <v>36</v>
      </c>
      <c r="BU22" s="11">
        <v>3.2</v>
      </c>
      <c r="BV22" s="11"/>
      <c r="BW22" s="11"/>
      <c r="BX22" s="11"/>
      <c r="BY22" s="11"/>
      <c r="BZ22" s="6">
        <f t="shared" si="2"/>
        <v>44.550000000000004</v>
      </c>
      <c r="CN22" s="6"/>
      <c r="CO22" s="6"/>
      <c r="CP22" s="11"/>
      <c r="CQ22" s="11"/>
      <c r="CR22" s="11"/>
      <c r="CS22" s="11"/>
      <c r="CT22" s="6">
        <f t="shared" si="5"/>
        <v>0</v>
      </c>
      <c r="CU22" s="6">
        <f t="shared" si="3"/>
        <v>0</v>
      </c>
      <c r="CV22" s="11"/>
      <c r="CW22" s="11"/>
      <c r="CX22" s="6">
        <f t="shared" si="4"/>
        <v>0</v>
      </c>
    </row>
    <row r="23" spans="1:102" x14ac:dyDescent="0.25">
      <c r="A23">
        <v>13</v>
      </c>
      <c r="B23" s="46" t="s">
        <v>91</v>
      </c>
      <c r="C23" s="6"/>
      <c r="D23" s="6" t="s">
        <v>620</v>
      </c>
      <c r="E23" s="6" t="s">
        <v>242</v>
      </c>
      <c r="F23" s="6"/>
      <c r="G23" s="6"/>
      <c r="H23" s="6"/>
      <c r="I23" s="6"/>
      <c r="J23" s="6"/>
      <c r="K23" s="6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11"/>
      <c r="BM23" s="11"/>
      <c r="BN23" s="11"/>
      <c r="BO23" s="11"/>
      <c r="BP23" s="11"/>
      <c r="BQ23" s="11"/>
      <c r="BR23" s="6"/>
      <c r="BS23" s="6"/>
      <c r="BT23" s="11">
        <v>36</v>
      </c>
      <c r="BU23" s="11"/>
      <c r="BV23" s="11">
        <v>7.5</v>
      </c>
      <c r="BW23" s="11"/>
      <c r="BX23" s="11"/>
      <c r="BY23" s="11"/>
      <c r="BZ23" s="6">
        <f t="shared" si="2"/>
        <v>43.5</v>
      </c>
      <c r="CN23" s="6"/>
      <c r="CO23" s="6"/>
      <c r="CP23" s="11"/>
      <c r="CQ23" s="11"/>
      <c r="CR23" s="11"/>
      <c r="CS23" s="11"/>
      <c r="CT23" s="6">
        <f t="shared" si="5"/>
        <v>0</v>
      </c>
      <c r="CU23" s="6">
        <f t="shared" si="3"/>
        <v>0</v>
      </c>
      <c r="CV23" s="11"/>
      <c r="CW23" s="11"/>
      <c r="CX23" s="6">
        <f t="shared" si="4"/>
        <v>0</v>
      </c>
    </row>
    <row r="24" spans="1:102" x14ac:dyDescent="0.25">
      <c r="A24">
        <v>14</v>
      </c>
      <c r="B24" s="46" t="s">
        <v>592</v>
      </c>
      <c r="C24" s="6"/>
      <c r="D24" s="6" t="s">
        <v>468</v>
      </c>
      <c r="E24" s="6" t="s">
        <v>132</v>
      </c>
      <c r="F24" s="6"/>
      <c r="G24" s="6"/>
      <c r="H24" s="6"/>
      <c r="I24" s="6"/>
      <c r="J24" s="6"/>
      <c r="K24" s="6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11"/>
      <c r="BM24" s="11"/>
      <c r="BN24" s="11"/>
      <c r="BO24" s="11"/>
      <c r="BP24" s="11"/>
      <c r="BQ24" s="11"/>
      <c r="BR24" s="6"/>
      <c r="BS24" s="6"/>
      <c r="BT24" s="11">
        <v>36</v>
      </c>
      <c r="BU24" s="11"/>
      <c r="BV24" s="11"/>
      <c r="BW24" s="11"/>
      <c r="BX24" s="11"/>
      <c r="BY24" s="11"/>
      <c r="BZ24" s="6">
        <f t="shared" si="2"/>
        <v>36</v>
      </c>
      <c r="CT24" s="6">
        <f t="shared" si="5"/>
        <v>0</v>
      </c>
      <c r="CU24" s="6">
        <f t="shared" si="3"/>
        <v>0</v>
      </c>
      <c r="CV24" s="11"/>
      <c r="CW24" s="11"/>
      <c r="CX24" s="6">
        <f t="shared" si="4"/>
        <v>0</v>
      </c>
    </row>
    <row r="25" spans="1:102" x14ac:dyDescent="0.25">
      <c r="A25">
        <v>15</v>
      </c>
      <c r="B25" s="46" t="s">
        <v>570</v>
      </c>
      <c r="C25" s="6"/>
      <c r="D25" s="6" t="s">
        <v>571</v>
      </c>
      <c r="E25" s="6" t="s">
        <v>111</v>
      </c>
      <c r="F25" s="6"/>
      <c r="G25" s="6"/>
      <c r="H25" s="6"/>
      <c r="I25" s="6"/>
      <c r="J25" s="6"/>
      <c r="K25" s="6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11"/>
      <c r="BM25" s="11">
        <v>44.8</v>
      </c>
      <c r="BN25" s="11">
        <v>5</v>
      </c>
      <c r="BO25" s="11">
        <v>7.5</v>
      </c>
      <c r="BP25" s="11"/>
      <c r="BQ25" s="11"/>
      <c r="BR25" s="6">
        <f>SUM(BK25:BQ25)</f>
        <v>57.3</v>
      </c>
      <c r="BS25" s="6">
        <f>(BR25-BK25)/2</f>
        <v>28.65</v>
      </c>
      <c r="BT25" s="11"/>
      <c r="BU25" s="11"/>
      <c r="BV25" s="11"/>
      <c r="BW25" s="11"/>
      <c r="BX25" s="11"/>
      <c r="BY25" s="11"/>
      <c r="BZ25" s="6">
        <f t="shared" si="2"/>
        <v>28.65</v>
      </c>
      <c r="CT25" s="6">
        <f t="shared" si="5"/>
        <v>0</v>
      </c>
      <c r="CU25" s="6">
        <f t="shared" si="3"/>
        <v>0</v>
      </c>
      <c r="CV25" s="11"/>
      <c r="CW25" s="11"/>
      <c r="CX25" s="6">
        <f t="shared" si="4"/>
        <v>0</v>
      </c>
    </row>
    <row r="26" spans="1:102" x14ac:dyDescent="0.25">
      <c r="A26">
        <v>16</v>
      </c>
      <c r="B26" s="46" t="s">
        <v>370</v>
      </c>
      <c r="C26" s="6"/>
      <c r="D26" s="6" t="s">
        <v>371</v>
      </c>
      <c r="E26" s="6" t="s">
        <v>84</v>
      </c>
      <c r="F26" s="6"/>
      <c r="G26" s="6"/>
      <c r="H26" s="6"/>
      <c r="I26" s="6"/>
      <c r="J26" s="6"/>
      <c r="K26" s="6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11">
        <v>36</v>
      </c>
      <c r="BM26" s="11"/>
      <c r="BN26" s="11">
        <v>7.5</v>
      </c>
      <c r="BO26" s="11"/>
      <c r="BP26" s="11"/>
      <c r="BQ26" s="11"/>
      <c r="BR26" s="6">
        <f>SUM(BK26:BQ26)</f>
        <v>43.5</v>
      </c>
      <c r="BS26" s="6">
        <f>(BR26-BK26)/2</f>
        <v>21.75</v>
      </c>
      <c r="BT26" s="11"/>
      <c r="BU26" s="11"/>
      <c r="BV26" s="11"/>
      <c r="BW26" s="11"/>
      <c r="BX26" s="11"/>
      <c r="BY26" s="11"/>
      <c r="BZ26" s="6">
        <f t="shared" si="2"/>
        <v>21.75</v>
      </c>
      <c r="CT26" s="6">
        <f t="shared" si="5"/>
        <v>0</v>
      </c>
      <c r="CU26" s="6">
        <f t="shared" si="3"/>
        <v>0</v>
      </c>
      <c r="CV26" s="11"/>
      <c r="CW26" s="11"/>
      <c r="CX26" s="6">
        <f t="shared" si="4"/>
        <v>0</v>
      </c>
    </row>
    <row r="27" spans="1:102" x14ac:dyDescent="0.25">
      <c r="A27">
        <v>17</v>
      </c>
      <c r="B27" s="46" t="s">
        <v>720</v>
      </c>
      <c r="C27" s="6"/>
      <c r="D27" s="6" t="s">
        <v>721</v>
      </c>
      <c r="E27" s="6" t="s">
        <v>27</v>
      </c>
      <c r="F27" s="6"/>
      <c r="G27" s="6"/>
      <c r="H27" s="6"/>
      <c r="I27" s="6"/>
      <c r="J27" s="6"/>
      <c r="K27" s="6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11"/>
      <c r="BM27" s="11"/>
      <c r="BN27" s="11"/>
      <c r="BO27" s="11"/>
      <c r="BP27" s="11"/>
      <c r="BQ27" s="11"/>
      <c r="BR27" s="6"/>
      <c r="BS27" s="6"/>
      <c r="BT27" s="11">
        <v>2.4</v>
      </c>
      <c r="BU27" s="11"/>
      <c r="BV27" s="11"/>
      <c r="BW27" s="11"/>
      <c r="BX27" s="11"/>
      <c r="BY27" s="11"/>
      <c r="BZ27" s="6">
        <f t="shared" si="2"/>
        <v>2.4</v>
      </c>
      <c r="CT27" s="6">
        <f t="shared" si="5"/>
        <v>0</v>
      </c>
      <c r="CU27" s="6">
        <f t="shared" si="3"/>
        <v>0</v>
      </c>
      <c r="CV27" s="11"/>
      <c r="CW27" s="11"/>
      <c r="CX27" s="6">
        <f t="shared" si="4"/>
        <v>0</v>
      </c>
    </row>
    <row r="28" spans="1:102" x14ac:dyDescent="0.25">
      <c r="A28">
        <v>18</v>
      </c>
      <c r="B28" s="46" t="s">
        <v>485</v>
      </c>
      <c r="C28" s="6"/>
      <c r="D28" s="6" t="s">
        <v>486</v>
      </c>
      <c r="E28" s="6" t="s">
        <v>29</v>
      </c>
      <c r="F28" s="6"/>
      <c r="G28" s="6"/>
      <c r="H28" s="6"/>
      <c r="I28" s="6"/>
      <c r="J28" s="6"/>
      <c r="K28" s="6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11">
        <v>2.4</v>
      </c>
      <c r="BM28" s="11"/>
      <c r="BN28" s="11"/>
      <c r="BO28" s="11"/>
      <c r="BP28" s="11"/>
      <c r="BQ28" s="11"/>
      <c r="BR28" s="6">
        <f>SUM(BK28:BQ28)</f>
        <v>2.4</v>
      </c>
      <c r="BS28" s="6">
        <f>(BR28-BK28)/2</f>
        <v>1.2</v>
      </c>
      <c r="BT28" s="11"/>
      <c r="BU28" s="11"/>
      <c r="BV28" s="11"/>
      <c r="BW28" s="11"/>
      <c r="BX28" s="11"/>
      <c r="BY28" s="11"/>
      <c r="BZ28" s="6">
        <f t="shared" si="2"/>
        <v>1.2</v>
      </c>
      <c r="CT28" s="6">
        <f t="shared" si="5"/>
        <v>0</v>
      </c>
      <c r="CU28" s="6">
        <f t="shared" si="3"/>
        <v>0</v>
      </c>
      <c r="CV28" s="11"/>
      <c r="CW28" s="11"/>
      <c r="CX28" s="6">
        <f t="shared" si="4"/>
        <v>0</v>
      </c>
    </row>
  </sheetData>
  <sortState xmlns:xlrd2="http://schemas.microsoft.com/office/spreadsheetml/2017/richdata2" ref="B11:CX28">
    <sortCondition descending="1" ref="BZ11:BZ28"/>
  </sortState>
  <mergeCells count="6">
    <mergeCell ref="B1:CX1"/>
    <mergeCell ref="B8:C10"/>
    <mergeCell ref="BN9:BQ9"/>
    <mergeCell ref="BV9:BY9"/>
    <mergeCell ref="D4:BZ5"/>
    <mergeCell ref="CB4:CX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27"/>
  <sheetViews>
    <sheetView zoomScale="80" zoomScaleNormal="80" workbookViewId="0">
      <selection activeCell="CE38" sqref="CE38"/>
    </sheetView>
  </sheetViews>
  <sheetFormatPr baseColWidth="10" defaultRowHeight="15" x14ac:dyDescent="0.25"/>
  <cols>
    <col min="1" max="1" width="3.42578125" bestFit="1" customWidth="1"/>
    <col min="2" max="2" width="13.5703125" bestFit="1" customWidth="1"/>
    <col min="3" max="3" width="13.140625" bestFit="1" customWidth="1"/>
    <col min="4" max="4" width="12.7109375" bestFit="1" customWidth="1"/>
    <col min="5" max="5" width="16" bestFit="1" customWidth="1"/>
    <col min="6" max="6" width="6.7109375" hidden="1" customWidth="1"/>
    <col min="7" max="9" width="6.42578125" hidden="1" customWidth="1"/>
    <col min="10" max="12" width="7.28515625" hidden="1" customWidth="1"/>
    <col min="13" max="15" width="6.28515625" style="8" hidden="1" customWidth="1"/>
    <col min="16" max="17" width="6.7109375" style="8" hidden="1" customWidth="1"/>
    <col min="18" max="24" width="7.28515625" style="8" hidden="1" customWidth="1"/>
    <col min="25" max="25" width="0" hidden="1" customWidth="1"/>
    <col min="26" max="26" width="8.28515625" hidden="1" customWidth="1"/>
    <col min="27" max="46" width="5.5703125" hidden="1" customWidth="1"/>
    <col min="47" max="47" width="6.28515625" hidden="1" customWidth="1"/>
    <col min="48" max="48" width="6.85546875" hidden="1" customWidth="1"/>
    <col min="49" max="49" width="6.28515625" hidden="1" customWidth="1"/>
    <col min="50" max="66" width="5.5703125" hidden="1" customWidth="1"/>
    <col min="67" max="67" width="6.85546875" hidden="1" customWidth="1"/>
    <col min="68" max="68" width="6.28515625" hidden="1" customWidth="1"/>
    <col min="69" max="69" width="7.7109375" hidden="1" customWidth="1"/>
    <col min="70" max="75" width="6.28515625" style="8" hidden="1" customWidth="1"/>
    <col min="76" max="76" width="6.28515625" customWidth="1"/>
    <col min="77" max="77" width="7.85546875" bestFit="1" customWidth="1"/>
    <col min="78" max="78" width="6.28515625" customWidth="1"/>
    <col min="79" max="80" width="6.28515625" style="8" customWidth="1"/>
    <col min="81" max="83" width="6.28515625" customWidth="1"/>
    <col min="84" max="84" width="7.42578125" bestFit="1" customWidth="1"/>
    <col min="86" max="86" width="0" hidden="1" customWidth="1"/>
    <col min="87" max="87" width="8.28515625" hidden="1" customWidth="1"/>
    <col min="88" max="89" width="6.7109375" hidden="1" customWidth="1"/>
    <col min="90" max="90" width="0" hidden="1" customWidth="1"/>
    <col min="91" max="91" width="6.85546875" hidden="1" customWidth="1"/>
    <col min="92" max="92" width="11" style="8" hidden="1" customWidth="1"/>
    <col min="93" max="97" width="5.5703125" style="8" hidden="1" customWidth="1"/>
    <col min="98" max="98" width="8.28515625" hidden="1" customWidth="1"/>
    <col min="99" max="99" width="0" hidden="1" customWidth="1"/>
    <col min="100" max="100" width="6.7109375" style="8" hidden="1" customWidth="1"/>
    <col min="101" max="103" width="6" style="8" hidden="1" customWidth="1"/>
    <col min="106" max="106" width="6" bestFit="1" customWidth="1"/>
  </cols>
  <sheetData>
    <row r="1" spans="1:107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</row>
    <row r="2" spans="1:107" ht="15.75" thickBot="1" x14ac:dyDescent="0.3">
      <c r="C2" s="8"/>
      <c r="D2" s="8"/>
      <c r="E2" s="8"/>
      <c r="F2" s="8"/>
      <c r="CH2" s="15"/>
      <c r="CI2" s="15"/>
      <c r="CJ2" s="15"/>
      <c r="CK2" s="15"/>
      <c r="CL2" s="15"/>
    </row>
    <row r="3" spans="1:107" ht="15.75" thickTop="1" x14ac:dyDescent="0.25">
      <c r="B3" s="1" t="s">
        <v>0</v>
      </c>
      <c r="C3" s="4" t="s">
        <v>18</v>
      </c>
      <c r="CH3" s="15"/>
      <c r="CI3" s="15"/>
      <c r="CJ3" s="15"/>
      <c r="CK3" s="15"/>
      <c r="CL3" s="15"/>
    </row>
    <row r="4" spans="1:107" ht="14.65" customHeight="1" x14ac:dyDescent="0.25">
      <c r="B4" s="2" t="s">
        <v>1</v>
      </c>
      <c r="C4" s="5" t="s">
        <v>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H4" s="64" t="s">
        <v>617</v>
      </c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</row>
    <row r="5" spans="1:107" ht="15" customHeight="1" thickBot="1" x14ac:dyDescent="0.3">
      <c r="B5" s="3" t="s">
        <v>2</v>
      </c>
      <c r="C5" s="33" t="s">
        <v>19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</row>
    <row r="6" spans="1:107" ht="15.75" thickTop="1" x14ac:dyDescent="0.25">
      <c r="CH6" s="15"/>
      <c r="CI6" s="15"/>
      <c r="CJ6" s="15"/>
      <c r="CK6" s="15"/>
      <c r="CL6" s="15"/>
    </row>
    <row r="7" spans="1:107" ht="15.75" thickBot="1" x14ac:dyDescent="0.3">
      <c r="CH7" s="15"/>
      <c r="CI7" s="15"/>
      <c r="CJ7" s="15"/>
      <c r="CK7" s="15"/>
      <c r="CL7" s="15"/>
    </row>
    <row r="8" spans="1:107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25</v>
      </c>
      <c r="J8" s="4" t="s">
        <v>100</v>
      </c>
      <c r="K8" s="4" t="s">
        <v>102</v>
      </c>
      <c r="L8" s="4" t="s">
        <v>15</v>
      </c>
      <c r="M8" s="4" t="s">
        <v>136</v>
      </c>
      <c r="N8" s="4" t="s">
        <v>142</v>
      </c>
      <c r="O8" s="4" t="s">
        <v>145</v>
      </c>
      <c r="P8" s="4" t="s">
        <v>15</v>
      </c>
      <c r="Q8" s="4" t="s">
        <v>15</v>
      </c>
      <c r="R8" s="4" t="s">
        <v>15</v>
      </c>
      <c r="S8" s="4" t="s">
        <v>15</v>
      </c>
      <c r="T8" s="4" t="s">
        <v>15</v>
      </c>
      <c r="U8" s="4" t="s">
        <v>159</v>
      </c>
      <c r="V8" s="4" t="s">
        <v>15</v>
      </c>
      <c r="W8" s="4" t="s">
        <v>163</v>
      </c>
      <c r="X8" s="4" t="s">
        <v>164</v>
      </c>
      <c r="Y8" s="1"/>
      <c r="Z8" s="12">
        <v>44927</v>
      </c>
      <c r="AA8" s="4" t="s">
        <v>15</v>
      </c>
      <c r="AB8" s="4" t="s">
        <v>15</v>
      </c>
      <c r="AC8" s="4" t="s">
        <v>184</v>
      </c>
      <c r="AD8" s="4" t="s">
        <v>15</v>
      </c>
      <c r="AE8" s="4" t="s">
        <v>15</v>
      </c>
      <c r="AF8" s="4" t="s">
        <v>224</v>
      </c>
      <c r="AG8" s="4" t="s">
        <v>224</v>
      </c>
      <c r="AH8" s="4" t="s">
        <v>224</v>
      </c>
      <c r="AI8" s="4" t="s">
        <v>15</v>
      </c>
      <c r="AJ8" s="4" t="s">
        <v>164</v>
      </c>
      <c r="AK8" s="4" t="s">
        <v>15</v>
      </c>
      <c r="AL8" s="4" t="s">
        <v>15</v>
      </c>
      <c r="AM8" s="4" t="s">
        <v>15</v>
      </c>
      <c r="AN8" s="4" t="s">
        <v>15</v>
      </c>
      <c r="AO8" s="4" t="s">
        <v>15</v>
      </c>
      <c r="AP8" s="4" t="s">
        <v>164</v>
      </c>
      <c r="AQ8" s="4" t="s">
        <v>15</v>
      </c>
      <c r="AR8" s="4" t="s">
        <v>15</v>
      </c>
      <c r="AS8" s="4" t="s">
        <v>15</v>
      </c>
      <c r="AT8" s="4" t="s">
        <v>165</v>
      </c>
      <c r="AU8" s="4" t="s">
        <v>6</v>
      </c>
      <c r="AV8" s="28">
        <v>45292</v>
      </c>
      <c r="AW8" s="28" t="s">
        <v>15</v>
      </c>
      <c r="AX8" s="28" t="s">
        <v>15</v>
      </c>
      <c r="AY8" s="28" t="s">
        <v>15</v>
      </c>
      <c r="AZ8" s="28" t="s">
        <v>15</v>
      </c>
      <c r="BA8" s="28" t="s">
        <v>15</v>
      </c>
      <c r="BB8" s="28" t="s">
        <v>164</v>
      </c>
      <c r="BC8" s="28" t="s">
        <v>164</v>
      </c>
      <c r="BD8" s="28" t="s">
        <v>224</v>
      </c>
      <c r="BE8" s="28" t="s">
        <v>224</v>
      </c>
      <c r="BF8" s="28" t="s">
        <v>224</v>
      </c>
      <c r="BG8" s="28" t="s">
        <v>164</v>
      </c>
      <c r="BH8" s="28" t="s">
        <v>15</v>
      </c>
      <c r="BI8" s="28" t="s">
        <v>15</v>
      </c>
      <c r="BJ8" s="28" t="s">
        <v>15</v>
      </c>
      <c r="BK8" s="28" t="s">
        <v>15</v>
      </c>
      <c r="BL8" s="28" t="s">
        <v>15</v>
      </c>
      <c r="BM8" s="28" t="s">
        <v>164</v>
      </c>
      <c r="BN8" s="28" t="s">
        <v>422</v>
      </c>
      <c r="BO8" s="28" t="s">
        <v>165</v>
      </c>
      <c r="BP8" s="28" t="s">
        <v>6</v>
      </c>
      <c r="BQ8" s="28">
        <v>45658</v>
      </c>
      <c r="BR8" s="28"/>
      <c r="BS8" s="28"/>
      <c r="BT8" s="35"/>
      <c r="BU8" s="36"/>
      <c r="BV8" s="36"/>
      <c r="BW8" s="37"/>
      <c r="BX8" s="28" t="s">
        <v>6</v>
      </c>
      <c r="BY8" s="28">
        <v>46023</v>
      </c>
      <c r="BZ8" s="28"/>
      <c r="CA8" s="28"/>
      <c r="CB8" s="35"/>
      <c r="CC8" s="36"/>
      <c r="CD8" s="36"/>
      <c r="CE8" s="37"/>
      <c r="CF8" s="28" t="s">
        <v>213</v>
      </c>
      <c r="CH8" s="13" t="s">
        <v>212</v>
      </c>
      <c r="CI8" s="13" t="s">
        <v>215</v>
      </c>
      <c r="CJ8" s="13" t="s">
        <v>163</v>
      </c>
      <c r="CK8" s="13" t="s">
        <v>282</v>
      </c>
      <c r="CL8" s="13" t="s">
        <v>213</v>
      </c>
      <c r="CM8" s="28">
        <v>45292</v>
      </c>
      <c r="CN8" s="4" t="s">
        <v>212</v>
      </c>
      <c r="CO8" s="4" t="s">
        <v>287</v>
      </c>
      <c r="CP8" s="4" t="s">
        <v>25</v>
      </c>
      <c r="CQ8" s="4" t="s">
        <v>397</v>
      </c>
      <c r="CR8" s="4" t="s">
        <v>163</v>
      </c>
      <c r="CS8" s="4" t="s">
        <v>282</v>
      </c>
      <c r="CT8" s="1" t="s">
        <v>6</v>
      </c>
      <c r="CU8" s="28">
        <v>45658</v>
      </c>
      <c r="CV8" s="4" t="s">
        <v>287</v>
      </c>
      <c r="CW8" s="4" t="s">
        <v>25</v>
      </c>
      <c r="CX8" s="4" t="s">
        <v>163</v>
      </c>
      <c r="CY8" s="4" t="s">
        <v>282</v>
      </c>
      <c r="CZ8" s="1" t="s">
        <v>6</v>
      </c>
      <c r="DA8" s="28">
        <v>46023</v>
      </c>
      <c r="DB8" s="4" t="s">
        <v>163</v>
      </c>
      <c r="DC8" s="1" t="s">
        <v>6</v>
      </c>
    </row>
    <row r="9" spans="1:107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9" t="s">
        <v>26</v>
      </c>
      <c r="J9" s="9" t="s">
        <v>101</v>
      </c>
      <c r="K9" s="9" t="s">
        <v>103</v>
      </c>
      <c r="L9" s="9" t="s">
        <v>120</v>
      </c>
      <c r="M9" s="9" t="s">
        <v>119</v>
      </c>
      <c r="N9" s="9" t="s">
        <v>143</v>
      </c>
      <c r="O9" s="9" t="s">
        <v>80</v>
      </c>
      <c r="P9" s="9" t="s">
        <v>54</v>
      </c>
      <c r="Q9" s="9" t="s">
        <v>151</v>
      </c>
      <c r="R9" s="9" t="s">
        <v>120</v>
      </c>
      <c r="S9" s="9" t="s">
        <v>16</v>
      </c>
      <c r="T9" s="9" t="s">
        <v>155</v>
      </c>
      <c r="U9" s="9" t="s">
        <v>160</v>
      </c>
      <c r="V9" s="9" t="s">
        <v>155</v>
      </c>
      <c r="W9" s="9" t="s">
        <v>101</v>
      </c>
      <c r="X9" s="9" t="s">
        <v>165</v>
      </c>
      <c r="Y9" s="2" t="s">
        <v>6</v>
      </c>
      <c r="Z9" s="2"/>
      <c r="AA9" s="9" t="s">
        <v>54</v>
      </c>
      <c r="AB9" s="5" t="s">
        <v>40</v>
      </c>
      <c r="AC9" s="9" t="s">
        <v>136</v>
      </c>
      <c r="AD9" s="9" t="s">
        <v>130</v>
      </c>
      <c r="AE9" s="9" t="s">
        <v>155</v>
      </c>
      <c r="AF9" s="9" t="s">
        <v>139</v>
      </c>
      <c r="AG9" s="9" t="s">
        <v>142</v>
      </c>
      <c r="AH9" s="9" t="s">
        <v>136</v>
      </c>
      <c r="AI9" s="9" t="s">
        <v>120</v>
      </c>
      <c r="AJ9" s="9" t="s">
        <v>139</v>
      </c>
      <c r="AK9" s="9" t="s">
        <v>256</v>
      </c>
      <c r="AL9" s="9" t="s">
        <v>54</v>
      </c>
      <c r="AM9" s="9" t="s">
        <v>155</v>
      </c>
      <c r="AN9" s="9" t="s">
        <v>130</v>
      </c>
      <c r="AO9" s="9" t="s">
        <v>40</v>
      </c>
      <c r="AP9" s="9" t="s">
        <v>142</v>
      </c>
      <c r="AQ9" s="9" t="s">
        <v>120</v>
      </c>
      <c r="AR9" s="9" t="s">
        <v>70</v>
      </c>
      <c r="AS9" s="9" t="s">
        <v>256</v>
      </c>
      <c r="AT9" s="9"/>
      <c r="AU9" s="2"/>
      <c r="AV9" s="5"/>
      <c r="AW9" s="5" t="s">
        <v>256</v>
      </c>
      <c r="AX9" s="5" t="s">
        <v>120</v>
      </c>
      <c r="AY9" s="5" t="s">
        <v>40</v>
      </c>
      <c r="AZ9" s="5" t="s">
        <v>54</v>
      </c>
      <c r="BA9" s="5" t="s">
        <v>70</v>
      </c>
      <c r="BB9" s="5" t="s">
        <v>139</v>
      </c>
      <c r="BC9" s="5" t="s">
        <v>372</v>
      </c>
      <c r="BD9" s="5" t="s">
        <v>139</v>
      </c>
      <c r="BE9" s="5" t="s">
        <v>136</v>
      </c>
      <c r="BF9" s="5" t="s">
        <v>142</v>
      </c>
      <c r="BG9" s="5" t="s">
        <v>136</v>
      </c>
      <c r="BH9" s="5" t="s">
        <v>130</v>
      </c>
      <c r="BI9" s="5" t="s">
        <v>40</v>
      </c>
      <c r="BJ9" s="5" t="s">
        <v>256</v>
      </c>
      <c r="BK9" s="5" t="s">
        <v>54</v>
      </c>
      <c r="BL9" s="5" t="s">
        <v>120</v>
      </c>
      <c r="BM9" s="5" t="s">
        <v>142</v>
      </c>
      <c r="BN9" s="5" t="s">
        <v>333</v>
      </c>
      <c r="BO9" s="5" t="s">
        <v>427</v>
      </c>
      <c r="BP9" s="5"/>
      <c r="BQ9" s="5"/>
      <c r="BR9" s="9" t="s">
        <v>15</v>
      </c>
      <c r="BS9" s="9" t="s">
        <v>224</v>
      </c>
      <c r="BT9" s="60" t="s">
        <v>429</v>
      </c>
      <c r="BU9" s="61"/>
      <c r="BV9" s="61"/>
      <c r="BW9" s="62"/>
      <c r="BX9" s="5"/>
      <c r="BY9" s="5"/>
      <c r="BZ9" s="9" t="s">
        <v>15</v>
      </c>
      <c r="CA9" s="9" t="s">
        <v>224</v>
      </c>
      <c r="CB9" s="60" t="s">
        <v>429</v>
      </c>
      <c r="CC9" s="61"/>
      <c r="CD9" s="61"/>
      <c r="CE9" s="62"/>
      <c r="CF9" s="9"/>
      <c r="CH9" s="14" t="s">
        <v>214</v>
      </c>
      <c r="CI9" s="14"/>
      <c r="CJ9" s="14" t="s">
        <v>260</v>
      </c>
      <c r="CK9" s="14" t="s">
        <v>283</v>
      </c>
      <c r="CL9" s="14"/>
      <c r="CM9" s="8"/>
      <c r="CN9" s="5" t="s">
        <v>214</v>
      </c>
      <c r="CO9" s="5"/>
      <c r="CP9" s="5" t="s">
        <v>343</v>
      </c>
      <c r="CQ9" s="5" t="s">
        <v>28</v>
      </c>
      <c r="CR9" s="5" t="s">
        <v>260</v>
      </c>
      <c r="CS9" s="5" t="s">
        <v>80</v>
      </c>
      <c r="CT9" s="2"/>
      <c r="CU9" s="5"/>
      <c r="CV9" s="5"/>
      <c r="CW9" s="5" t="s">
        <v>28</v>
      </c>
      <c r="CX9" s="5" t="s">
        <v>260</v>
      </c>
      <c r="CY9" s="5" t="s">
        <v>80</v>
      </c>
      <c r="CZ9" s="2"/>
      <c r="DA9" s="5"/>
      <c r="DB9" s="5" t="s">
        <v>28</v>
      </c>
      <c r="DC9" s="2"/>
    </row>
    <row r="10" spans="1:107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44685</v>
      </c>
      <c r="K10" s="10">
        <v>44695</v>
      </c>
      <c r="L10" s="10">
        <v>44709</v>
      </c>
      <c r="M10" s="10">
        <v>44730</v>
      </c>
      <c r="N10" s="10">
        <v>44737</v>
      </c>
      <c r="O10" s="10">
        <v>44759</v>
      </c>
      <c r="P10" s="10">
        <v>44779</v>
      </c>
      <c r="Q10" s="10">
        <v>44793</v>
      </c>
      <c r="R10" s="10">
        <v>44814</v>
      </c>
      <c r="S10" s="10">
        <v>44814</v>
      </c>
      <c r="T10" s="10">
        <v>44814</v>
      </c>
      <c r="U10" s="10">
        <v>44829</v>
      </c>
      <c r="V10" s="10">
        <v>44856</v>
      </c>
      <c r="W10" s="10">
        <v>44866</v>
      </c>
      <c r="X10" s="10">
        <v>44906</v>
      </c>
      <c r="Y10" s="2">
        <v>2022</v>
      </c>
      <c r="Z10" s="2"/>
      <c r="AA10" s="2" t="s">
        <v>171</v>
      </c>
      <c r="AB10" s="5" t="s">
        <v>180</v>
      </c>
      <c r="AC10" s="2" t="s">
        <v>185</v>
      </c>
      <c r="AD10" s="2" t="s">
        <v>216</v>
      </c>
      <c r="AE10" s="2" t="s">
        <v>210</v>
      </c>
      <c r="AF10" s="2" t="s">
        <v>225</v>
      </c>
      <c r="AG10" s="2" t="s">
        <v>232</v>
      </c>
      <c r="AH10" s="5" t="s">
        <v>239</v>
      </c>
      <c r="AI10" s="5" t="s">
        <v>247</v>
      </c>
      <c r="AJ10" s="5" t="s">
        <v>250</v>
      </c>
      <c r="AK10" s="5" t="s">
        <v>257</v>
      </c>
      <c r="AL10" s="5" t="s">
        <v>258</v>
      </c>
      <c r="AM10" s="5" t="s">
        <v>261</v>
      </c>
      <c r="AN10" s="5" t="s">
        <v>261</v>
      </c>
      <c r="AO10" s="5" t="s">
        <v>262</v>
      </c>
      <c r="AP10" s="5" t="s">
        <v>270</v>
      </c>
      <c r="AQ10" s="5" t="s">
        <v>276</v>
      </c>
      <c r="AR10" s="5" t="s">
        <v>278</v>
      </c>
      <c r="AS10" s="5" t="s">
        <v>280</v>
      </c>
      <c r="AT10" s="5" t="s">
        <v>284</v>
      </c>
      <c r="AU10" s="2">
        <v>2023</v>
      </c>
      <c r="AV10" s="17"/>
      <c r="AW10" s="17" t="s">
        <v>319</v>
      </c>
      <c r="AX10" s="17" t="s">
        <v>319</v>
      </c>
      <c r="AY10" s="17" t="s">
        <v>345</v>
      </c>
      <c r="AZ10" s="17" t="s">
        <v>362</v>
      </c>
      <c r="BA10" s="17" t="s">
        <v>362</v>
      </c>
      <c r="BB10" s="17" t="s">
        <v>366</v>
      </c>
      <c r="BC10" s="17" t="s">
        <v>373</v>
      </c>
      <c r="BD10" s="17" t="s">
        <v>382</v>
      </c>
      <c r="BE10" s="17" t="s">
        <v>382</v>
      </c>
      <c r="BF10" s="17" t="s">
        <v>389</v>
      </c>
      <c r="BG10" s="17" t="s">
        <v>391</v>
      </c>
      <c r="BH10" s="17" t="s">
        <v>395</v>
      </c>
      <c r="BI10" s="17" t="s">
        <v>402</v>
      </c>
      <c r="BJ10" s="17" t="s">
        <v>401</v>
      </c>
      <c r="BK10" s="17" t="s">
        <v>403</v>
      </c>
      <c r="BL10" s="17" t="s">
        <v>416</v>
      </c>
      <c r="BM10" s="17" t="s">
        <v>420</v>
      </c>
      <c r="BN10" s="17" t="s">
        <v>423</v>
      </c>
      <c r="BO10" s="17" t="s">
        <v>428</v>
      </c>
      <c r="BP10" s="17">
        <v>2024</v>
      </c>
      <c r="BQ10" s="5"/>
      <c r="BR10" s="5"/>
      <c r="BS10" s="5"/>
      <c r="BT10" s="5">
        <v>1</v>
      </c>
      <c r="BU10" s="5">
        <v>2</v>
      </c>
      <c r="BV10" s="5">
        <v>3</v>
      </c>
      <c r="BW10" s="5">
        <v>4</v>
      </c>
      <c r="BX10" s="5">
        <v>2025</v>
      </c>
      <c r="BY10" s="5"/>
      <c r="BZ10" s="5"/>
      <c r="CA10" s="5"/>
      <c r="CB10" s="5">
        <v>1</v>
      </c>
      <c r="CC10" s="5">
        <v>2</v>
      </c>
      <c r="CD10" s="5">
        <v>3</v>
      </c>
      <c r="CE10" s="5">
        <v>4</v>
      </c>
      <c r="CF10" s="5">
        <v>2026</v>
      </c>
      <c r="CH10" s="24"/>
      <c r="CI10" s="25">
        <v>45077</v>
      </c>
      <c r="CJ10" s="25">
        <v>45153</v>
      </c>
      <c r="CK10" s="25">
        <v>45255</v>
      </c>
      <c r="CL10" s="24">
        <v>2023</v>
      </c>
      <c r="CM10" s="8"/>
      <c r="CN10" s="5"/>
      <c r="CO10" s="5" t="s">
        <v>288</v>
      </c>
      <c r="CP10" s="5" t="s">
        <v>344</v>
      </c>
      <c r="CQ10" s="5" t="s">
        <v>401</v>
      </c>
      <c r="CR10" s="5" t="s">
        <v>415</v>
      </c>
      <c r="CS10" s="5" t="s">
        <v>425</v>
      </c>
      <c r="CT10" s="2">
        <v>2024</v>
      </c>
      <c r="CU10" s="5"/>
      <c r="CV10" s="5" t="s">
        <v>430</v>
      </c>
      <c r="CW10" s="5" t="s">
        <v>518</v>
      </c>
      <c r="CX10" s="5" t="s">
        <v>607</v>
      </c>
      <c r="CY10" s="5" t="s">
        <v>425</v>
      </c>
      <c r="CZ10" s="2">
        <v>2025</v>
      </c>
      <c r="DA10" s="5"/>
      <c r="DB10" s="5" t="s">
        <v>772</v>
      </c>
      <c r="DC10" s="2">
        <v>2026</v>
      </c>
    </row>
    <row r="11" spans="1:107" x14ac:dyDescent="0.25">
      <c r="A11">
        <v>1</v>
      </c>
      <c r="B11" s="18" t="s">
        <v>579</v>
      </c>
      <c r="C11" s="19"/>
      <c r="D11" s="19" t="s">
        <v>580</v>
      </c>
      <c r="E11" s="19" t="s">
        <v>12</v>
      </c>
      <c r="F11" s="6"/>
      <c r="G11" s="6"/>
      <c r="H11" s="6"/>
      <c r="I11" s="6"/>
      <c r="J11" s="6"/>
      <c r="K11" s="6"/>
      <c r="L11" s="6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>
        <f>225.5/2</f>
        <v>112.75</v>
      </c>
      <c r="BR11" s="11">
        <v>48</v>
      </c>
      <c r="BS11" s="11">
        <v>80</v>
      </c>
      <c r="BT11" s="11">
        <v>105</v>
      </c>
      <c r="BU11" s="11">
        <v>3.2</v>
      </c>
      <c r="BV11" s="11">
        <v>120</v>
      </c>
      <c r="BW11" s="11">
        <v>200</v>
      </c>
      <c r="BX11" s="11">
        <f>SUM(BQ11:BW11)</f>
        <v>668.95</v>
      </c>
      <c r="BY11" s="11">
        <f>(BX11-BQ11)/2</f>
        <v>278.10000000000002</v>
      </c>
      <c r="BZ11" s="11">
        <v>36</v>
      </c>
      <c r="CA11" s="11">
        <v>48</v>
      </c>
      <c r="CB11" s="11">
        <v>120</v>
      </c>
      <c r="CC11" s="11"/>
      <c r="CD11" s="11"/>
      <c r="CE11" s="11"/>
      <c r="CF11" s="11">
        <f t="shared" ref="CF11:CF27" si="0">SUM(BY11:CE11)</f>
        <v>482.1</v>
      </c>
      <c r="CH11" s="6"/>
      <c r="CI11" s="6"/>
      <c r="CJ11" s="6"/>
      <c r="CK11" s="6"/>
      <c r="CL11" s="6"/>
      <c r="CM11" s="6"/>
      <c r="CN11" s="11"/>
      <c r="CO11" s="11"/>
      <c r="CP11" s="11"/>
      <c r="CQ11" s="11"/>
      <c r="CR11" s="11"/>
      <c r="CS11" s="11"/>
      <c r="CT11" s="6">
        <f>SUM(CM11:CO11)</f>
        <v>0</v>
      </c>
      <c r="CU11" s="6">
        <f>(CT11-CM11)/2</f>
        <v>0</v>
      </c>
      <c r="CV11" s="11"/>
      <c r="CW11" s="11"/>
      <c r="CX11" s="11">
        <v>5</v>
      </c>
      <c r="CY11" s="11">
        <v>50</v>
      </c>
      <c r="CZ11" s="6">
        <f t="shared" ref="CZ11:CZ16" si="1">SUM(CU11:CY11)</f>
        <v>55</v>
      </c>
      <c r="DA11" s="6">
        <f t="shared" ref="DA11:DA27" si="2">(CZ11-CU11)/2</f>
        <v>27.5</v>
      </c>
      <c r="DB11" s="6">
        <v>50</v>
      </c>
      <c r="DC11" s="19">
        <f t="shared" ref="DC11:DC27" si="3">SUM(DA11:DB11)</f>
        <v>77.5</v>
      </c>
    </row>
    <row r="12" spans="1:107" x14ac:dyDescent="0.25">
      <c r="A12">
        <v>2</v>
      </c>
      <c r="B12" s="11" t="s">
        <v>97</v>
      </c>
      <c r="C12" s="6" t="s">
        <v>359</v>
      </c>
      <c r="D12" s="6" t="s">
        <v>360</v>
      </c>
      <c r="E12" s="6" t="s">
        <v>326</v>
      </c>
      <c r="F12" s="6"/>
      <c r="G12" s="6"/>
      <c r="H12" s="6"/>
      <c r="I12" s="6"/>
      <c r="J12" s="6"/>
      <c r="K12" s="6"/>
      <c r="L12" s="6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>
        <v>48</v>
      </c>
      <c r="AY12" s="6"/>
      <c r="AZ12" s="6"/>
      <c r="BA12" s="6"/>
      <c r="BB12" s="6"/>
      <c r="BC12" s="6"/>
      <c r="BD12" s="6"/>
      <c r="BE12" s="6"/>
      <c r="BF12" s="6">
        <v>40</v>
      </c>
      <c r="BG12" s="6">
        <v>7.5</v>
      </c>
      <c r="BH12" s="6"/>
      <c r="BI12" s="6"/>
      <c r="BJ12" s="6"/>
      <c r="BK12" s="6"/>
      <c r="BL12" s="6">
        <v>48</v>
      </c>
      <c r="BM12" s="6">
        <v>60</v>
      </c>
      <c r="BN12" s="6"/>
      <c r="BO12" s="6"/>
      <c r="BP12" s="11">
        <f>SUM(AV12:BN12)</f>
        <v>203.5</v>
      </c>
      <c r="BQ12" s="11">
        <f>(BP12-AV12)/2</f>
        <v>101.75</v>
      </c>
      <c r="BR12" s="11">
        <v>48</v>
      </c>
      <c r="BS12" s="11">
        <v>3.2</v>
      </c>
      <c r="BT12" s="11">
        <v>70</v>
      </c>
      <c r="BU12" s="11">
        <v>2.4</v>
      </c>
      <c r="BV12" s="11">
        <v>100</v>
      </c>
      <c r="BW12" s="11"/>
      <c r="BX12" s="11">
        <f>SUM(BQ12:BW12)</f>
        <v>325.35000000000002</v>
      </c>
      <c r="BY12" s="11">
        <f>(BX12-BQ12)/2</f>
        <v>111.80000000000001</v>
      </c>
      <c r="BZ12" s="11">
        <v>60</v>
      </c>
      <c r="CA12" s="11">
        <v>48</v>
      </c>
      <c r="CB12" s="11">
        <v>84</v>
      </c>
      <c r="CC12" s="11">
        <v>60</v>
      </c>
      <c r="CD12" s="11"/>
      <c r="CE12" s="11"/>
      <c r="CF12" s="11">
        <f t="shared" si="0"/>
        <v>363.8</v>
      </c>
      <c r="CH12" s="6"/>
      <c r="CI12" s="6"/>
      <c r="CJ12" s="6"/>
      <c r="CK12" s="6"/>
      <c r="CL12" s="6">
        <f>SUM(CH12:CI12)</f>
        <v>0</v>
      </c>
      <c r="CM12" s="6">
        <f>CL12/2</f>
        <v>0</v>
      </c>
      <c r="CN12" s="11">
        <f>BP12/4</f>
        <v>50.875</v>
      </c>
      <c r="CO12" s="11"/>
      <c r="CP12" s="11"/>
      <c r="CQ12" s="11"/>
      <c r="CR12" s="11"/>
      <c r="CS12" s="11"/>
      <c r="CT12" s="6">
        <f>SUM(CM12:CO12)</f>
        <v>50.875</v>
      </c>
      <c r="CU12" s="6">
        <f>(CT12-CM12)/2</f>
        <v>25.4375</v>
      </c>
      <c r="CV12" s="11"/>
      <c r="CW12" s="11"/>
      <c r="CX12" s="11"/>
      <c r="CY12" s="11">
        <v>25</v>
      </c>
      <c r="CZ12" s="6">
        <f t="shared" si="1"/>
        <v>50.4375</v>
      </c>
      <c r="DA12" s="6">
        <f t="shared" si="2"/>
        <v>12.5</v>
      </c>
      <c r="DB12" s="6"/>
      <c r="DC12" s="6">
        <f t="shared" si="3"/>
        <v>12.5</v>
      </c>
    </row>
    <row r="13" spans="1:107" x14ac:dyDescent="0.25">
      <c r="A13">
        <v>3</v>
      </c>
      <c r="B13" s="11" t="s">
        <v>687</v>
      </c>
      <c r="C13" s="6"/>
      <c r="D13" s="6" t="s">
        <v>688</v>
      </c>
      <c r="E13" s="6" t="s">
        <v>121</v>
      </c>
      <c r="F13" s="6"/>
      <c r="G13" s="6"/>
      <c r="H13" s="6"/>
      <c r="I13" s="6"/>
      <c r="J13" s="6"/>
      <c r="K13" s="6"/>
      <c r="L13" s="6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11"/>
      <c r="BS13" s="11"/>
      <c r="BT13" s="11"/>
      <c r="BU13" s="11"/>
      <c r="BV13" s="11"/>
      <c r="BW13" s="11"/>
      <c r="BX13" s="6"/>
      <c r="BY13" s="11">
        <f>176.5/2</f>
        <v>88.25</v>
      </c>
      <c r="BZ13" s="6">
        <v>36</v>
      </c>
      <c r="CA13" s="11">
        <v>48</v>
      </c>
      <c r="CB13" s="11">
        <v>6</v>
      </c>
      <c r="CC13" s="6">
        <v>36</v>
      </c>
      <c r="CD13" s="6"/>
      <c r="CE13" s="6"/>
      <c r="CF13" s="11">
        <f t="shared" si="0"/>
        <v>214.25</v>
      </c>
      <c r="CH13" s="6"/>
      <c r="CI13" s="6"/>
      <c r="CJ13" s="6"/>
      <c r="CK13" s="6"/>
      <c r="CL13" s="6"/>
      <c r="CM13" s="6"/>
      <c r="CN13" s="11"/>
      <c r="CO13" s="11"/>
      <c r="CP13" s="11"/>
      <c r="CQ13" s="11"/>
      <c r="CR13" s="11"/>
      <c r="CS13" s="11"/>
      <c r="CT13" s="6"/>
      <c r="CU13" s="6"/>
      <c r="CV13" s="11"/>
      <c r="CW13" s="11"/>
      <c r="CX13" s="11"/>
      <c r="CY13" s="11"/>
      <c r="CZ13" s="6">
        <f t="shared" si="1"/>
        <v>0</v>
      </c>
      <c r="DA13" s="6">
        <f t="shared" si="2"/>
        <v>0</v>
      </c>
      <c r="DB13" s="6"/>
      <c r="DC13" s="6">
        <f t="shared" si="3"/>
        <v>0</v>
      </c>
    </row>
    <row r="14" spans="1:107" x14ac:dyDescent="0.25">
      <c r="A14" s="52">
        <v>4</v>
      </c>
      <c r="B14" s="11" t="s">
        <v>36</v>
      </c>
      <c r="C14" s="6"/>
      <c r="D14" s="6" t="s">
        <v>51</v>
      </c>
      <c r="E14" s="6" t="s">
        <v>269</v>
      </c>
      <c r="F14" s="6"/>
      <c r="G14" s="6"/>
      <c r="H14" s="6"/>
      <c r="I14" s="6"/>
      <c r="J14" s="6"/>
      <c r="K14" s="6"/>
      <c r="L14" s="6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11">
        <v>48</v>
      </c>
      <c r="BS14" s="11">
        <v>64</v>
      </c>
      <c r="BT14" s="11">
        <v>7.5</v>
      </c>
      <c r="BU14" s="11">
        <v>50</v>
      </c>
      <c r="BV14" s="11">
        <v>100</v>
      </c>
      <c r="BW14" s="11"/>
      <c r="BX14" s="11">
        <f t="shared" ref="BX14:BX22" si="4">SUM(BQ14:BW14)</f>
        <v>269.5</v>
      </c>
      <c r="BY14" s="11">
        <f t="shared" ref="BY14:BY22" si="5">(BX14-BQ14)/2</f>
        <v>134.75</v>
      </c>
      <c r="BZ14" s="11">
        <v>42</v>
      </c>
      <c r="CA14" s="11"/>
      <c r="CB14" s="11"/>
      <c r="CC14" s="11"/>
      <c r="CD14" s="11"/>
      <c r="CE14" s="11"/>
      <c r="CF14" s="11">
        <f t="shared" si="0"/>
        <v>176.75</v>
      </c>
      <c r="CH14" s="6"/>
      <c r="CI14" s="6"/>
      <c r="CJ14" s="6"/>
      <c r="CK14" s="6"/>
      <c r="CL14" s="6"/>
      <c r="CM14" s="6"/>
      <c r="CN14" s="11"/>
      <c r="CO14" s="11"/>
      <c r="CP14" s="11"/>
      <c r="CQ14" s="11"/>
      <c r="CR14" s="11"/>
      <c r="CS14" s="11"/>
      <c r="CT14" s="6"/>
      <c r="CU14" s="6"/>
      <c r="CV14" s="11"/>
      <c r="CW14" s="11"/>
      <c r="CX14" s="11"/>
      <c r="CY14" s="11">
        <v>2.5</v>
      </c>
      <c r="CZ14" s="6">
        <f t="shared" si="1"/>
        <v>2.5</v>
      </c>
      <c r="DA14" s="6">
        <f t="shared" si="2"/>
        <v>1.25</v>
      </c>
      <c r="DB14" s="6"/>
      <c r="DC14" s="6">
        <f t="shared" si="3"/>
        <v>1.25</v>
      </c>
    </row>
    <row r="15" spans="1:107" x14ac:dyDescent="0.25">
      <c r="A15">
        <v>5</v>
      </c>
      <c r="B15" s="11" t="s">
        <v>162</v>
      </c>
      <c r="C15" s="6"/>
      <c r="D15" s="6" t="s">
        <v>147</v>
      </c>
      <c r="E15" s="6" t="s">
        <v>207</v>
      </c>
      <c r="F15" s="6"/>
      <c r="G15" s="6"/>
      <c r="H15" s="6"/>
      <c r="I15" s="6"/>
      <c r="J15" s="6"/>
      <c r="K15" s="6"/>
      <c r="L15" s="6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>
        <v>16.899999999999999</v>
      </c>
      <c r="BR15" s="11">
        <v>33.6</v>
      </c>
      <c r="BS15" s="11">
        <v>64</v>
      </c>
      <c r="BT15" s="11">
        <v>75</v>
      </c>
      <c r="BU15" s="11">
        <v>7.5</v>
      </c>
      <c r="BV15" s="11">
        <v>44.8</v>
      </c>
      <c r="BW15" s="11">
        <v>6</v>
      </c>
      <c r="BX15" s="11">
        <f t="shared" si="4"/>
        <v>247.8</v>
      </c>
      <c r="BY15" s="11">
        <f t="shared" si="5"/>
        <v>115.45</v>
      </c>
      <c r="BZ15" s="11">
        <v>30</v>
      </c>
      <c r="CA15" s="11"/>
      <c r="CB15" s="11"/>
      <c r="CC15" s="11"/>
      <c r="CD15" s="11"/>
      <c r="CE15" s="11"/>
      <c r="CF15" s="11">
        <f t="shared" si="0"/>
        <v>145.44999999999999</v>
      </c>
      <c r="CH15" s="6"/>
      <c r="CI15" s="6"/>
      <c r="CJ15" s="6"/>
      <c r="CK15" s="6"/>
      <c r="CL15" s="6"/>
      <c r="CM15" s="6"/>
      <c r="CN15" s="11"/>
      <c r="CO15" s="11"/>
      <c r="CP15" s="11"/>
      <c r="CQ15" s="11"/>
      <c r="CR15" s="11"/>
      <c r="CS15" s="11"/>
      <c r="CT15" s="6"/>
      <c r="CU15" s="6"/>
      <c r="CV15" s="11">
        <v>1.25</v>
      </c>
      <c r="CW15" s="11"/>
      <c r="CX15" s="11"/>
      <c r="CY15" s="11"/>
      <c r="CZ15" s="6">
        <f t="shared" si="1"/>
        <v>1.25</v>
      </c>
      <c r="DA15" s="6">
        <f t="shared" si="2"/>
        <v>0.625</v>
      </c>
      <c r="DB15" s="6"/>
      <c r="DC15" s="6">
        <f t="shared" si="3"/>
        <v>0.625</v>
      </c>
    </row>
    <row r="16" spans="1:107" x14ac:dyDescent="0.25">
      <c r="A16">
        <v>6</v>
      </c>
      <c r="B16" s="11" t="s">
        <v>507</v>
      </c>
      <c r="C16" s="6"/>
      <c r="D16" s="6" t="s">
        <v>172</v>
      </c>
      <c r="E16" s="6" t="s">
        <v>149</v>
      </c>
      <c r="F16" s="6"/>
      <c r="G16" s="6"/>
      <c r="H16" s="6"/>
      <c r="I16" s="6"/>
      <c r="J16" s="6"/>
      <c r="K16" s="6"/>
      <c r="L16" s="6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11">
        <v>48</v>
      </c>
      <c r="BS16" s="11">
        <v>56</v>
      </c>
      <c r="BT16" s="11">
        <v>150</v>
      </c>
      <c r="BU16" s="11">
        <v>7.5</v>
      </c>
      <c r="BV16" s="11">
        <v>2.4</v>
      </c>
      <c r="BW16" s="11"/>
      <c r="BX16" s="11">
        <f t="shared" si="4"/>
        <v>263.89999999999998</v>
      </c>
      <c r="BY16" s="11">
        <f t="shared" si="5"/>
        <v>131.94999999999999</v>
      </c>
      <c r="BZ16" s="11"/>
      <c r="CA16" s="11"/>
      <c r="CB16" s="11"/>
      <c r="CC16" s="11"/>
      <c r="CD16" s="11"/>
      <c r="CE16" s="11"/>
      <c r="CF16" s="11">
        <f t="shared" si="0"/>
        <v>131.94999999999999</v>
      </c>
      <c r="CH16" s="6"/>
      <c r="CI16" s="6"/>
      <c r="CJ16" s="6"/>
      <c r="CK16" s="6"/>
      <c r="CL16" s="6"/>
      <c r="CM16" s="6"/>
      <c r="CN16" s="11"/>
      <c r="CO16" s="11"/>
      <c r="CP16" s="11"/>
      <c r="CQ16" s="11"/>
      <c r="CR16" s="11"/>
      <c r="CS16" s="11"/>
      <c r="CT16" s="6"/>
      <c r="CU16" s="6"/>
      <c r="CV16" s="11"/>
      <c r="CW16" s="11"/>
      <c r="CX16" s="11"/>
      <c r="CY16" s="11"/>
      <c r="CZ16" s="6">
        <f t="shared" si="1"/>
        <v>0</v>
      </c>
      <c r="DA16" s="6">
        <f t="shared" si="2"/>
        <v>0</v>
      </c>
      <c r="DB16" s="6"/>
      <c r="DC16" s="6">
        <f t="shared" si="3"/>
        <v>0</v>
      </c>
    </row>
    <row r="17" spans="1:107" x14ac:dyDescent="0.25">
      <c r="A17">
        <v>7</v>
      </c>
      <c r="B17" s="20" t="s">
        <v>217</v>
      </c>
      <c r="C17" s="21"/>
      <c r="D17" s="21" t="s">
        <v>135</v>
      </c>
      <c r="E17" s="21" t="s">
        <v>132</v>
      </c>
      <c r="F17" s="6"/>
      <c r="G17" s="6"/>
      <c r="H17" s="6"/>
      <c r="I17" s="6"/>
      <c r="J17" s="6"/>
      <c r="K17" s="6"/>
      <c r="L17" s="6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6"/>
      <c r="Z17" s="6"/>
      <c r="AA17" s="6"/>
      <c r="AB17" s="6"/>
      <c r="AC17" s="6"/>
      <c r="AD17" s="6">
        <v>36</v>
      </c>
      <c r="AE17" s="6"/>
      <c r="AF17" s="6"/>
      <c r="AG17" s="6"/>
      <c r="AH17" s="6"/>
      <c r="AI17" s="6"/>
      <c r="AJ17" s="6">
        <v>50</v>
      </c>
      <c r="AK17" s="6"/>
      <c r="AL17" s="6"/>
      <c r="AM17" s="6"/>
      <c r="AN17" s="6">
        <v>48</v>
      </c>
      <c r="AO17" s="6"/>
      <c r="AP17" s="6">
        <v>36</v>
      </c>
      <c r="AQ17" s="6"/>
      <c r="AR17" s="6"/>
      <c r="AS17" s="6"/>
      <c r="AT17" s="6">
        <v>75</v>
      </c>
      <c r="AU17" s="11">
        <f>SUM(Z17:AT17)</f>
        <v>245</v>
      </c>
      <c r="AV17" s="11">
        <f>(AU17-Z17)/2</f>
        <v>122.5</v>
      </c>
      <c r="AW17" s="11"/>
      <c r="AX17" s="11"/>
      <c r="AY17" s="11"/>
      <c r="AZ17" s="11"/>
      <c r="BA17" s="11"/>
      <c r="BB17" s="11"/>
      <c r="BC17" s="11"/>
      <c r="BD17" s="11"/>
      <c r="BE17" s="11"/>
      <c r="BF17" s="11">
        <v>80</v>
      </c>
      <c r="BG17" s="11">
        <v>105</v>
      </c>
      <c r="BH17" s="11">
        <v>36</v>
      </c>
      <c r="BI17" s="11"/>
      <c r="BJ17" s="11"/>
      <c r="BK17" s="11"/>
      <c r="BL17" s="11"/>
      <c r="BM17" s="11"/>
      <c r="BN17" s="11"/>
      <c r="BO17" s="11"/>
      <c r="BP17" s="11">
        <f>SUM(AV17:BN17)</f>
        <v>343.5</v>
      </c>
      <c r="BQ17" s="11">
        <f>(BP17-AV17)/2</f>
        <v>110.5</v>
      </c>
      <c r="BR17" s="11"/>
      <c r="BS17" s="11">
        <v>64</v>
      </c>
      <c r="BT17" s="11">
        <v>100</v>
      </c>
      <c r="BU17" s="11">
        <v>84</v>
      </c>
      <c r="BV17" s="11">
        <v>6</v>
      </c>
      <c r="BW17" s="11"/>
      <c r="BX17" s="11">
        <f t="shared" si="4"/>
        <v>364.5</v>
      </c>
      <c r="BY17" s="11">
        <f t="shared" si="5"/>
        <v>127</v>
      </c>
      <c r="BZ17" s="11"/>
      <c r="CA17" s="11"/>
      <c r="CB17" s="11"/>
      <c r="CC17" s="11"/>
      <c r="CD17" s="11"/>
      <c r="CE17" s="11"/>
      <c r="CF17" s="11">
        <f t="shared" si="0"/>
        <v>127</v>
      </c>
      <c r="CH17" s="6">
        <f>AU17/4</f>
        <v>61.25</v>
      </c>
      <c r="CI17" s="6"/>
      <c r="CJ17" s="6"/>
      <c r="CK17" s="6"/>
      <c r="CL17" s="6">
        <f>SUM(CH17:CI17)</f>
        <v>61.25</v>
      </c>
      <c r="CM17" s="6">
        <f>CL17/2</f>
        <v>30.625</v>
      </c>
      <c r="CN17" s="11">
        <f>BP17/4</f>
        <v>85.875</v>
      </c>
      <c r="CO17" s="11">
        <v>15</v>
      </c>
      <c r="CP17" s="11"/>
      <c r="CQ17" s="11"/>
      <c r="CR17" s="11"/>
      <c r="CS17" s="11"/>
      <c r="CT17" s="6">
        <f>SUM(CM17:CO17)</f>
        <v>131.5</v>
      </c>
      <c r="CU17" s="6">
        <f>(CT17-CM17)/2</f>
        <v>50.4375</v>
      </c>
      <c r="CV17" s="11">
        <v>25</v>
      </c>
      <c r="CW17" s="11">
        <v>15</v>
      </c>
      <c r="CX17" s="11"/>
      <c r="CY17" s="11"/>
      <c r="CZ17" s="6">
        <f>SUM(CU17:CW17)</f>
        <v>90.4375</v>
      </c>
      <c r="DA17" s="6">
        <f t="shared" si="2"/>
        <v>20</v>
      </c>
      <c r="DB17" s="6"/>
      <c r="DC17" s="21">
        <f t="shared" si="3"/>
        <v>20</v>
      </c>
    </row>
    <row r="18" spans="1:107" x14ac:dyDescent="0.25">
      <c r="A18">
        <v>8</v>
      </c>
      <c r="B18" s="23" t="s">
        <v>248</v>
      </c>
      <c r="C18" s="23"/>
      <c r="D18" s="23" t="s">
        <v>204</v>
      </c>
      <c r="E18" s="23" t="s">
        <v>111</v>
      </c>
      <c r="F18" s="6"/>
      <c r="G18" s="6"/>
      <c r="H18" s="6"/>
      <c r="I18" s="6"/>
      <c r="J18" s="6"/>
      <c r="K18" s="6"/>
      <c r="L18" s="6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75</v>
      </c>
      <c r="BN18" s="6"/>
      <c r="BO18" s="6"/>
      <c r="BP18" s="11">
        <f>SUM(AV18:BN18)</f>
        <v>75</v>
      </c>
      <c r="BQ18" s="11">
        <f>(BP18-AV18)/2</f>
        <v>37.5</v>
      </c>
      <c r="BR18" s="11">
        <v>36</v>
      </c>
      <c r="BS18" s="11">
        <v>40</v>
      </c>
      <c r="BT18" s="11">
        <v>140</v>
      </c>
      <c r="BU18" s="11"/>
      <c r="BV18" s="11"/>
      <c r="BW18" s="11"/>
      <c r="BX18" s="11">
        <f t="shared" si="4"/>
        <v>253.5</v>
      </c>
      <c r="BY18" s="11">
        <f t="shared" si="5"/>
        <v>108</v>
      </c>
      <c r="BZ18" s="11"/>
      <c r="CA18" s="11"/>
      <c r="CB18" s="11"/>
      <c r="CC18" s="11"/>
      <c r="CD18" s="11"/>
      <c r="CE18" s="11"/>
      <c r="CF18" s="11">
        <f t="shared" si="0"/>
        <v>108</v>
      </c>
      <c r="CH18" s="6"/>
      <c r="CI18" s="6"/>
      <c r="CJ18" s="6"/>
      <c r="CK18" s="6"/>
      <c r="CL18" s="6">
        <f>SUM(CH18:CI18)</f>
        <v>0</v>
      </c>
      <c r="CM18" s="6">
        <f>CL18/2</f>
        <v>0</v>
      </c>
      <c r="CN18" s="11">
        <f>BP18/4</f>
        <v>18.75</v>
      </c>
      <c r="CO18" s="11"/>
      <c r="CP18" s="11"/>
      <c r="CQ18" s="11"/>
      <c r="CR18" s="11"/>
      <c r="CS18" s="11"/>
      <c r="CT18" s="6">
        <f>SUM(CM18:CO18)</f>
        <v>18.75</v>
      </c>
      <c r="CU18" s="6">
        <f>(CT18-CM18)/2</f>
        <v>9.375</v>
      </c>
      <c r="CV18" s="11"/>
      <c r="CW18" s="11"/>
      <c r="CX18" s="11"/>
      <c r="CY18" s="11">
        <v>35</v>
      </c>
      <c r="CZ18" s="6">
        <f t="shared" ref="CZ18:CZ27" si="6">SUM(CU18:CY18)</f>
        <v>44.375</v>
      </c>
      <c r="DA18" s="6">
        <f t="shared" si="2"/>
        <v>17.5</v>
      </c>
      <c r="DB18" s="6"/>
      <c r="DC18" s="23">
        <f t="shared" si="3"/>
        <v>17.5</v>
      </c>
    </row>
    <row r="19" spans="1:107" x14ac:dyDescent="0.25">
      <c r="A19">
        <v>9</v>
      </c>
      <c r="B19" s="6" t="s">
        <v>318</v>
      </c>
      <c r="C19" s="6"/>
      <c r="D19" s="6" t="s">
        <v>263</v>
      </c>
      <c r="E19" s="6" t="s">
        <v>27</v>
      </c>
      <c r="F19" s="6"/>
      <c r="G19" s="6"/>
      <c r="H19" s="6"/>
      <c r="I19" s="6"/>
      <c r="J19" s="6"/>
      <c r="K19" s="6"/>
      <c r="L19" s="6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11">
        <v>33.6</v>
      </c>
      <c r="BS19" s="11"/>
      <c r="BT19" s="11">
        <v>150</v>
      </c>
      <c r="BU19" s="11"/>
      <c r="BV19" s="11"/>
      <c r="BW19" s="11"/>
      <c r="BX19" s="11">
        <f t="shared" si="4"/>
        <v>183.6</v>
      </c>
      <c r="BY19" s="11">
        <f t="shared" si="5"/>
        <v>91.8</v>
      </c>
      <c r="BZ19" s="11"/>
      <c r="CA19" s="11"/>
      <c r="CB19" s="11"/>
      <c r="CC19" s="11"/>
      <c r="CD19" s="11"/>
      <c r="CE19" s="11"/>
      <c r="CF19" s="11">
        <f t="shared" si="0"/>
        <v>91.8</v>
      </c>
      <c r="CH19" s="6"/>
      <c r="CI19" s="6"/>
      <c r="CJ19" s="6"/>
      <c r="CK19" s="6"/>
      <c r="CL19" s="6"/>
      <c r="CM19" s="6"/>
      <c r="CN19" s="11"/>
      <c r="CO19" s="11"/>
      <c r="CP19" s="11"/>
      <c r="CQ19" s="11"/>
      <c r="CR19" s="11"/>
      <c r="CS19" s="11"/>
      <c r="CT19" s="6">
        <f>SUM(CM19:CO19)</f>
        <v>0</v>
      </c>
      <c r="CU19" s="6">
        <f>(CT19-CM19)/2</f>
        <v>0</v>
      </c>
      <c r="CV19" s="11"/>
      <c r="CW19" s="11"/>
      <c r="CX19" s="11"/>
      <c r="CY19" s="11"/>
      <c r="CZ19" s="6">
        <f t="shared" si="6"/>
        <v>0</v>
      </c>
      <c r="DA19" s="6">
        <f t="shared" si="2"/>
        <v>0</v>
      </c>
      <c r="DB19" s="6"/>
      <c r="DC19" s="6">
        <f t="shared" si="3"/>
        <v>0</v>
      </c>
    </row>
    <row r="20" spans="1:107" x14ac:dyDescent="0.25">
      <c r="A20">
        <v>10</v>
      </c>
      <c r="B20" s="11" t="s">
        <v>487</v>
      </c>
      <c r="C20" s="6"/>
      <c r="D20" s="11" t="s">
        <v>488</v>
      </c>
      <c r="E20" s="6" t="s">
        <v>489</v>
      </c>
      <c r="F20" s="6"/>
      <c r="G20" s="6"/>
      <c r="H20" s="6"/>
      <c r="I20" s="6"/>
      <c r="J20" s="6"/>
      <c r="K20" s="6"/>
      <c r="L20" s="6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>
        <v>28</v>
      </c>
      <c r="BR20" s="11">
        <v>36</v>
      </c>
      <c r="BS20" s="11">
        <v>3.2</v>
      </c>
      <c r="BT20" s="11"/>
      <c r="BU20" s="11"/>
      <c r="BV20" s="11"/>
      <c r="BW20" s="11"/>
      <c r="BX20" s="11">
        <f t="shared" si="4"/>
        <v>67.2</v>
      </c>
      <c r="BY20" s="11">
        <f t="shared" si="5"/>
        <v>19.600000000000001</v>
      </c>
      <c r="BZ20" s="11">
        <v>36</v>
      </c>
      <c r="CA20" s="11"/>
      <c r="CB20" s="11"/>
      <c r="CC20" s="11"/>
      <c r="CD20" s="11"/>
      <c r="CE20" s="11"/>
      <c r="CF20" s="11">
        <f t="shared" si="0"/>
        <v>55.6</v>
      </c>
      <c r="CT20" s="6"/>
      <c r="CU20" s="6"/>
      <c r="CV20" s="11"/>
      <c r="CW20" s="11"/>
      <c r="CX20" s="11"/>
      <c r="CY20" s="11"/>
      <c r="CZ20" s="6">
        <f t="shared" si="6"/>
        <v>0</v>
      </c>
      <c r="DA20" s="6">
        <f t="shared" si="2"/>
        <v>0</v>
      </c>
      <c r="DB20" s="6"/>
      <c r="DC20" s="6">
        <f t="shared" si="3"/>
        <v>0</v>
      </c>
    </row>
    <row r="21" spans="1:107" x14ac:dyDescent="0.25">
      <c r="A21">
        <v>11</v>
      </c>
      <c r="B21" s="26" t="s">
        <v>473</v>
      </c>
      <c r="C21" s="27"/>
      <c r="D21" s="27" t="s">
        <v>474</v>
      </c>
      <c r="E21" s="27" t="s">
        <v>131</v>
      </c>
      <c r="BP21" s="27"/>
      <c r="BQ21" s="27"/>
      <c r="BR21" s="26"/>
      <c r="BS21" s="26">
        <v>4</v>
      </c>
      <c r="BT21" s="26">
        <v>105</v>
      </c>
      <c r="BU21" s="26"/>
      <c r="BV21" s="26"/>
      <c r="BW21" s="26"/>
      <c r="BX21" s="11">
        <f t="shared" si="4"/>
        <v>109</v>
      </c>
      <c r="BY21" s="11">
        <f t="shared" si="5"/>
        <v>54.5</v>
      </c>
      <c r="BZ21" s="11"/>
      <c r="CA21" s="11"/>
      <c r="CB21" s="11"/>
      <c r="CC21" s="11"/>
      <c r="CD21" s="11"/>
      <c r="CE21" s="11"/>
      <c r="CF21" s="11">
        <f t="shared" si="0"/>
        <v>54.5</v>
      </c>
      <c r="CT21" s="6"/>
      <c r="CU21" s="6"/>
      <c r="CV21" s="11">
        <f>15+(15/4)</f>
        <v>18.75</v>
      </c>
      <c r="CW21" s="11"/>
      <c r="CX21" s="11"/>
      <c r="CY21" s="11"/>
      <c r="CZ21" s="6">
        <f t="shared" si="6"/>
        <v>18.75</v>
      </c>
      <c r="DA21" s="6">
        <f t="shared" si="2"/>
        <v>9.375</v>
      </c>
      <c r="DB21" s="6"/>
      <c r="DC21" s="6">
        <f t="shared" si="3"/>
        <v>9.375</v>
      </c>
    </row>
    <row r="22" spans="1:107" x14ac:dyDescent="0.25">
      <c r="A22">
        <v>12</v>
      </c>
      <c r="B22" s="11" t="s">
        <v>162</v>
      </c>
      <c r="C22" s="6"/>
      <c r="D22" s="6" t="s">
        <v>457</v>
      </c>
      <c r="E22" s="6" t="s">
        <v>328</v>
      </c>
      <c r="F22" s="6"/>
      <c r="G22" s="6"/>
      <c r="H22" s="6"/>
      <c r="I22" s="6"/>
      <c r="J22" s="6"/>
      <c r="K22" s="6"/>
      <c r="L22" s="6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>
        <v>128.65</v>
      </c>
      <c r="BR22" s="11"/>
      <c r="BS22" s="11"/>
      <c r="BT22" s="11">
        <v>75</v>
      </c>
      <c r="BU22" s="11"/>
      <c r="BV22" s="11"/>
      <c r="BW22" s="11"/>
      <c r="BX22" s="11">
        <f t="shared" si="4"/>
        <v>203.65</v>
      </c>
      <c r="BY22" s="11">
        <f t="shared" si="5"/>
        <v>37.5</v>
      </c>
      <c r="BZ22" s="11"/>
      <c r="CA22" s="11"/>
      <c r="CB22" s="11"/>
      <c r="CC22" s="11"/>
      <c r="CD22" s="11"/>
      <c r="CE22" s="11"/>
      <c r="CF22" s="11">
        <f t="shared" si="0"/>
        <v>37.5</v>
      </c>
      <c r="CT22" s="6">
        <f>SUM(CM22:CO22)</f>
        <v>0</v>
      </c>
      <c r="CU22" s="6">
        <f>(CT22-CM22)/2</f>
        <v>0</v>
      </c>
      <c r="CV22" s="11"/>
      <c r="CW22" s="11"/>
      <c r="CX22" s="11"/>
      <c r="CY22" s="11"/>
      <c r="CZ22" s="6">
        <f t="shared" si="6"/>
        <v>0</v>
      </c>
      <c r="DA22" s="6">
        <f t="shared" si="2"/>
        <v>0</v>
      </c>
      <c r="DB22" s="6"/>
      <c r="DC22" s="6">
        <f t="shared" si="3"/>
        <v>0</v>
      </c>
    </row>
    <row r="23" spans="1:107" x14ac:dyDescent="0.25">
      <c r="A23">
        <v>13</v>
      </c>
      <c r="B23" s="26" t="s">
        <v>781</v>
      </c>
      <c r="C23" s="27"/>
      <c r="D23" s="26" t="s">
        <v>780</v>
      </c>
      <c r="E23" s="27" t="s">
        <v>540</v>
      </c>
      <c r="BP23" s="27"/>
      <c r="BQ23" s="27"/>
      <c r="BR23" s="26"/>
      <c r="BS23" s="26"/>
      <c r="BT23" s="26"/>
      <c r="BU23" s="26"/>
      <c r="BV23" s="26"/>
      <c r="BW23" s="26"/>
      <c r="BX23" s="6"/>
      <c r="BY23" s="6"/>
      <c r="BZ23" s="6">
        <v>36</v>
      </c>
      <c r="CA23" s="11"/>
      <c r="CB23" s="11"/>
      <c r="CC23" s="6"/>
      <c r="CD23" s="6"/>
      <c r="CE23" s="6"/>
      <c r="CF23" s="11">
        <f t="shared" si="0"/>
        <v>36</v>
      </c>
      <c r="CT23" s="6"/>
      <c r="CU23" s="6"/>
      <c r="CV23" s="11"/>
      <c r="CW23" s="11"/>
      <c r="CX23" s="11"/>
      <c r="CY23" s="11"/>
      <c r="CZ23" s="6">
        <f t="shared" si="6"/>
        <v>0</v>
      </c>
      <c r="DA23" s="6">
        <f t="shared" si="2"/>
        <v>0</v>
      </c>
      <c r="DB23" s="6"/>
      <c r="DC23" s="6">
        <f t="shared" si="3"/>
        <v>0</v>
      </c>
    </row>
    <row r="24" spans="1:107" x14ac:dyDescent="0.25">
      <c r="A24">
        <v>14</v>
      </c>
      <c r="B24" s="11" t="s">
        <v>548</v>
      </c>
      <c r="C24" s="6"/>
      <c r="D24" s="6" t="s">
        <v>203</v>
      </c>
      <c r="E24" s="6" t="s">
        <v>549</v>
      </c>
      <c r="F24" s="6"/>
      <c r="G24" s="6"/>
      <c r="H24" s="6"/>
      <c r="I24" s="6"/>
      <c r="J24" s="6"/>
      <c r="K24" s="6"/>
      <c r="L24" s="6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11">
        <v>36</v>
      </c>
      <c r="BS24" s="11"/>
      <c r="BT24" s="11"/>
      <c r="BU24" s="11"/>
      <c r="BV24" s="11"/>
      <c r="BW24" s="11"/>
      <c r="BX24" s="11">
        <f>SUM(BQ24:BW24)</f>
        <v>36</v>
      </c>
      <c r="BY24" s="11">
        <f>(BX24-BQ24)/2</f>
        <v>18</v>
      </c>
      <c r="BZ24" s="11"/>
      <c r="CA24" s="11"/>
      <c r="CB24" s="11"/>
      <c r="CC24" s="11"/>
      <c r="CD24" s="11"/>
      <c r="CE24" s="11"/>
      <c r="CF24" s="11">
        <f t="shared" si="0"/>
        <v>18</v>
      </c>
      <c r="CT24" s="6"/>
      <c r="CU24" s="6"/>
      <c r="CV24" s="11"/>
      <c r="CW24" s="11"/>
      <c r="CX24" s="11"/>
      <c r="CY24" s="11"/>
      <c r="CZ24" s="6">
        <f t="shared" si="6"/>
        <v>0</v>
      </c>
      <c r="DA24" s="6">
        <f t="shared" si="2"/>
        <v>0</v>
      </c>
      <c r="DB24" s="6"/>
      <c r="DC24" s="6">
        <f t="shared" si="3"/>
        <v>0</v>
      </c>
    </row>
    <row r="25" spans="1:107" x14ac:dyDescent="0.25">
      <c r="A25">
        <v>15</v>
      </c>
      <c r="B25" s="11" t="s">
        <v>62</v>
      </c>
      <c r="C25" s="6"/>
      <c r="D25" s="6" t="s">
        <v>572</v>
      </c>
      <c r="E25" s="6" t="s">
        <v>275</v>
      </c>
      <c r="F25" s="6"/>
      <c r="G25" s="6"/>
      <c r="H25" s="6"/>
      <c r="I25" s="6"/>
      <c r="J25" s="6"/>
      <c r="K25" s="6"/>
      <c r="L25" s="6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11"/>
      <c r="BS25" s="11">
        <v>4</v>
      </c>
      <c r="BT25" s="11">
        <v>5</v>
      </c>
      <c r="BU25" s="11"/>
      <c r="BV25" s="11"/>
      <c r="BW25" s="11"/>
      <c r="BX25" s="11">
        <f>SUM(BQ25:BW25)</f>
        <v>9</v>
      </c>
      <c r="BY25" s="11">
        <f>(BX25-BQ25)/2</f>
        <v>4.5</v>
      </c>
      <c r="BZ25" s="11"/>
      <c r="CA25" s="11"/>
      <c r="CB25" s="11"/>
      <c r="CC25" s="11"/>
      <c r="CD25" s="11"/>
      <c r="CE25" s="11"/>
      <c r="CF25" s="11">
        <f t="shared" si="0"/>
        <v>4.5</v>
      </c>
      <c r="CT25">
        <f>SUM(CM25:CO25)</f>
        <v>0</v>
      </c>
      <c r="CU25">
        <f>(CT25-CM25)/2</f>
        <v>0</v>
      </c>
      <c r="CZ25" s="6">
        <f t="shared" si="6"/>
        <v>0</v>
      </c>
      <c r="DA25" s="6">
        <f t="shared" si="2"/>
        <v>0</v>
      </c>
      <c r="DB25" s="6"/>
      <c r="DC25" s="6">
        <f t="shared" si="3"/>
        <v>0</v>
      </c>
    </row>
    <row r="26" spans="1:107" x14ac:dyDescent="0.25">
      <c r="A26">
        <v>16</v>
      </c>
      <c r="B26" s="11" t="s">
        <v>440</v>
      </c>
      <c r="C26" s="6"/>
      <c r="D26" s="6" t="s">
        <v>95</v>
      </c>
      <c r="E26" s="6" t="s">
        <v>273</v>
      </c>
      <c r="F26" s="6"/>
      <c r="G26" s="6"/>
      <c r="H26" s="6"/>
      <c r="I26" s="6"/>
      <c r="J26" s="6"/>
      <c r="K26" s="6"/>
      <c r="L26" s="6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11"/>
      <c r="BS26" s="11"/>
      <c r="BT26" s="11">
        <v>6</v>
      </c>
      <c r="BU26" s="11"/>
      <c r="BV26" s="11"/>
      <c r="BW26" s="11"/>
      <c r="BX26" s="11">
        <f>SUM(BQ26:BW26)</f>
        <v>6</v>
      </c>
      <c r="BY26" s="11">
        <f>(BX26-BQ26)/2</f>
        <v>3</v>
      </c>
      <c r="BZ26" s="11"/>
      <c r="CA26" s="11"/>
      <c r="CB26" s="11"/>
      <c r="CC26" s="11"/>
      <c r="CD26" s="11"/>
      <c r="CE26" s="11"/>
      <c r="CF26" s="11">
        <f t="shared" si="0"/>
        <v>3</v>
      </c>
      <c r="CT26">
        <f>SUM(CM26:CO26)</f>
        <v>0</v>
      </c>
      <c r="CU26">
        <f>(CT26-CM26)/2</f>
        <v>0</v>
      </c>
      <c r="CZ26" s="6">
        <f t="shared" si="6"/>
        <v>0</v>
      </c>
      <c r="DA26" s="6">
        <f t="shared" si="2"/>
        <v>0</v>
      </c>
      <c r="DB26" s="6"/>
      <c r="DC26" s="6">
        <f t="shared" si="3"/>
        <v>0</v>
      </c>
    </row>
    <row r="27" spans="1:107" x14ac:dyDescent="0.25">
      <c r="B27" s="11" t="s">
        <v>692</v>
      </c>
      <c r="C27" s="6"/>
      <c r="D27" s="6" t="s">
        <v>693</v>
      </c>
      <c r="E27" s="6" t="s">
        <v>196</v>
      </c>
      <c r="F27" s="6"/>
      <c r="G27" s="6"/>
      <c r="H27" s="6"/>
      <c r="I27" s="6"/>
      <c r="J27" s="6"/>
      <c r="K27" s="6"/>
      <c r="L27" s="6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11"/>
      <c r="BS27" s="11"/>
      <c r="BT27" s="11"/>
      <c r="BU27" s="11"/>
      <c r="BV27" s="11"/>
      <c r="BW27" s="11"/>
      <c r="BX27" s="6"/>
      <c r="BY27" s="6"/>
      <c r="BZ27" s="6">
        <v>3</v>
      </c>
      <c r="CA27" s="11"/>
      <c r="CB27" s="11"/>
      <c r="CC27" s="6"/>
      <c r="CD27" s="6"/>
      <c r="CE27" s="6"/>
      <c r="CF27" s="11">
        <f t="shared" si="0"/>
        <v>3</v>
      </c>
      <c r="CZ27" s="6">
        <f t="shared" si="6"/>
        <v>0</v>
      </c>
      <c r="DA27" s="6">
        <f t="shared" si="2"/>
        <v>0</v>
      </c>
      <c r="DB27" s="6"/>
      <c r="DC27" s="6">
        <f t="shared" si="3"/>
        <v>0</v>
      </c>
    </row>
  </sheetData>
  <sortState xmlns:xlrd2="http://schemas.microsoft.com/office/spreadsheetml/2017/richdata2" ref="B11:DC27">
    <sortCondition descending="1" ref="CF11:CF27"/>
  </sortState>
  <mergeCells count="6">
    <mergeCell ref="B1:DC1"/>
    <mergeCell ref="B8:C10"/>
    <mergeCell ref="BT9:BW9"/>
    <mergeCell ref="CB9:CE9"/>
    <mergeCell ref="D4:CF5"/>
    <mergeCell ref="CH4:DC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Q33"/>
  <sheetViews>
    <sheetView zoomScale="80" zoomScaleNormal="80" workbookViewId="0">
      <selection activeCell="CW20" sqref="CW20"/>
    </sheetView>
  </sheetViews>
  <sheetFormatPr baseColWidth="10" defaultRowHeight="15" x14ac:dyDescent="0.25"/>
  <cols>
    <col min="1" max="1" width="3.42578125" bestFit="1" customWidth="1"/>
    <col min="2" max="2" width="13.42578125" bestFit="1" customWidth="1"/>
    <col min="3" max="3" width="12.28515625" bestFit="1" customWidth="1"/>
    <col min="4" max="4" width="14.140625" customWidth="1"/>
    <col min="5" max="5" width="23.42578125" bestFit="1" customWidth="1"/>
    <col min="6" max="6" width="6.7109375" hidden="1" customWidth="1"/>
    <col min="7" max="8" width="6.42578125" hidden="1" customWidth="1"/>
    <col min="9" max="9" width="7.28515625" hidden="1" customWidth="1"/>
    <col min="10" max="10" width="7.28515625" style="8" hidden="1" customWidth="1"/>
    <col min="11" max="13" width="6.28515625" style="8" hidden="1" customWidth="1"/>
    <col min="14" max="16" width="6.7109375" style="8" hidden="1" customWidth="1"/>
    <col min="17" max="17" width="0" hidden="1" customWidth="1"/>
    <col min="18" max="18" width="7.140625" hidden="1" customWidth="1"/>
    <col min="19" max="28" width="5.5703125" hidden="1" customWidth="1"/>
    <col min="29" max="29" width="10.5703125" hidden="1" customWidth="1"/>
    <col min="30" max="34" width="6" hidden="1" customWidth="1"/>
    <col min="35" max="37" width="6.7109375" hidden="1" customWidth="1"/>
    <col min="38" max="38" width="10.5703125" hidden="1" customWidth="1"/>
    <col min="39" max="39" width="6.28515625" hidden="1" customWidth="1"/>
    <col min="40" max="51" width="6" hidden="1" customWidth="1"/>
    <col min="52" max="52" width="6.85546875" hidden="1" customWidth="1"/>
    <col min="53" max="53" width="6.7109375" hidden="1" customWidth="1"/>
    <col min="54" max="54" width="7.85546875" hidden="1" customWidth="1"/>
    <col min="55" max="60" width="6.7109375" style="8" hidden="1" customWidth="1"/>
    <col min="61" max="61" width="6.7109375" customWidth="1"/>
    <col min="62" max="62" width="7.85546875" bestFit="1" customWidth="1"/>
    <col min="63" max="68" width="6.7109375" style="8" customWidth="1"/>
    <col min="69" max="69" width="6.7109375" customWidth="1"/>
    <col min="71" max="71" width="11" style="8" hidden="1" customWidth="1"/>
    <col min="72" max="72" width="8.28515625" hidden="1" customWidth="1"/>
    <col min="73" max="73" width="7.28515625" hidden="1" customWidth="1"/>
    <col min="74" max="74" width="8" hidden="1" customWidth="1"/>
    <col min="75" max="75" width="7.28515625" style="15" hidden="1" customWidth="1"/>
    <col min="76" max="78" width="0" style="8" hidden="1" customWidth="1"/>
    <col min="79" max="82" width="6" style="8" hidden="1" customWidth="1"/>
    <col min="83" max="84" width="0" hidden="1" customWidth="1"/>
    <col min="85" max="85" width="5.5703125" style="8" hidden="1" customWidth="1"/>
    <col min="86" max="89" width="6" style="8" hidden="1" customWidth="1"/>
    <col min="92" max="92" width="6" style="8" bestFit="1" customWidth="1"/>
    <col min="93" max="94" width="6" style="8" customWidth="1"/>
  </cols>
  <sheetData>
    <row r="1" spans="1:95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</row>
    <row r="2" spans="1:95" ht="15.75" thickBot="1" x14ac:dyDescent="0.3">
      <c r="C2" s="8"/>
      <c r="D2" s="8"/>
      <c r="E2" s="8"/>
      <c r="F2" s="8"/>
    </row>
    <row r="3" spans="1:95" ht="15.75" thickTop="1" x14ac:dyDescent="0.25">
      <c r="B3" s="1" t="s">
        <v>0</v>
      </c>
      <c r="C3" s="4" t="s">
        <v>18</v>
      </c>
    </row>
    <row r="4" spans="1:95" ht="14.4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S4" s="64" t="s">
        <v>617</v>
      </c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</row>
    <row r="5" spans="1:95" ht="15" customHeight="1" thickBot="1" x14ac:dyDescent="0.3">
      <c r="B5" s="3" t="s">
        <v>2</v>
      </c>
      <c r="C5" s="33">
        <v>-50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</row>
    <row r="6" spans="1:95" ht="15.75" thickTop="1" x14ac:dyDescent="0.25"/>
    <row r="7" spans="1:95" ht="15.75" thickBot="1" x14ac:dyDescent="0.3"/>
    <row r="8" spans="1:95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102</v>
      </c>
      <c r="J8" s="4" t="s">
        <v>15</v>
      </c>
      <c r="K8" s="4" t="s">
        <v>139</v>
      </c>
      <c r="L8" s="4" t="s">
        <v>142</v>
      </c>
      <c r="M8" s="4" t="s">
        <v>145</v>
      </c>
      <c r="N8" s="4" t="s">
        <v>15</v>
      </c>
      <c r="O8" s="4" t="s">
        <v>15</v>
      </c>
      <c r="P8" s="4" t="s">
        <v>164</v>
      </c>
      <c r="Q8" s="1"/>
      <c r="R8" s="12">
        <v>44927</v>
      </c>
      <c r="S8" s="4" t="s">
        <v>15</v>
      </c>
      <c r="T8" s="4" t="s">
        <v>184</v>
      </c>
      <c r="U8" s="4" t="s">
        <v>224</v>
      </c>
      <c r="V8" s="4" t="s">
        <v>224</v>
      </c>
      <c r="W8" s="4" t="s">
        <v>224</v>
      </c>
      <c r="X8" s="4" t="s">
        <v>15</v>
      </c>
      <c r="Y8" s="4" t="s">
        <v>164</v>
      </c>
      <c r="Z8" s="4" t="s">
        <v>15</v>
      </c>
      <c r="AA8" s="4" t="s">
        <v>15</v>
      </c>
      <c r="AB8" s="4" t="s">
        <v>15</v>
      </c>
      <c r="AC8" s="4" t="s">
        <v>15</v>
      </c>
      <c r="AD8" s="4" t="s">
        <v>164</v>
      </c>
      <c r="AE8" s="4" t="s">
        <v>15</v>
      </c>
      <c r="AF8" s="4" t="s">
        <v>15</v>
      </c>
      <c r="AG8" s="4" t="s">
        <v>15</v>
      </c>
      <c r="AH8" s="4" t="s">
        <v>165</v>
      </c>
      <c r="AI8" s="4" t="s">
        <v>6</v>
      </c>
      <c r="AJ8" s="28">
        <v>45292</v>
      </c>
      <c r="AK8" s="28" t="s">
        <v>15</v>
      </c>
      <c r="AL8" s="28" t="s">
        <v>15</v>
      </c>
      <c r="AM8" s="28" t="s">
        <v>15</v>
      </c>
      <c r="AN8" s="28" t="s">
        <v>15</v>
      </c>
      <c r="AO8" s="28" t="s">
        <v>164</v>
      </c>
      <c r="AP8" s="28" t="s">
        <v>164</v>
      </c>
      <c r="AQ8" s="28" t="s">
        <v>224</v>
      </c>
      <c r="AR8" s="28" t="s">
        <v>224</v>
      </c>
      <c r="AS8" s="28" t="s">
        <v>224</v>
      </c>
      <c r="AT8" s="28" t="s">
        <v>164</v>
      </c>
      <c r="AU8" s="28" t="s">
        <v>15</v>
      </c>
      <c r="AV8" s="28" t="s">
        <v>15</v>
      </c>
      <c r="AW8" s="28" t="s">
        <v>15</v>
      </c>
      <c r="AX8" s="28" t="s">
        <v>15</v>
      </c>
      <c r="AY8" s="28" t="s">
        <v>164</v>
      </c>
      <c r="AZ8" s="28" t="s">
        <v>165</v>
      </c>
      <c r="BA8" s="28" t="s">
        <v>6</v>
      </c>
      <c r="BB8" s="28">
        <v>45658</v>
      </c>
      <c r="BC8" s="28"/>
      <c r="BD8" s="28"/>
      <c r="BE8" s="35"/>
      <c r="BF8" s="36"/>
      <c r="BG8" s="36"/>
      <c r="BH8" s="37"/>
      <c r="BI8" s="28" t="s">
        <v>6</v>
      </c>
      <c r="BJ8" s="28">
        <v>46023</v>
      </c>
      <c r="BK8" s="28"/>
      <c r="BL8" s="28"/>
      <c r="BM8" s="35"/>
      <c r="BN8" s="36"/>
      <c r="BO8" s="36"/>
      <c r="BP8" s="37"/>
      <c r="BQ8" s="28" t="s">
        <v>213</v>
      </c>
      <c r="BS8" s="4" t="s">
        <v>212</v>
      </c>
      <c r="BT8" s="1" t="s">
        <v>215</v>
      </c>
      <c r="BU8" s="1" t="s">
        <v>220</v>
      </c>
      <c r="BV8" s="1" t="s">
        <v>246</v>
      </c>
      <c r="BW8" s="13" t="s">
        <v>163</v>
      </c>
      <c r="BX8" s="4" t="s">
        <v>213</v>
      </c>
      <c r="BY8" s="28">
        <v>45292</v>
      </c>
      <c r="BZ8" s="4" t="s">
        <v>212</v>
      </c>
      <c r="CA8" s="4" t="s">
        <v>287</v>
      </c>
      <c r="CB8" s="4" t="s">
        <v>156</v>
      </c>
      <c r="CC8" s="4" t="s">
        <v>397</v>
      </c>
      <c r="CD8" s="4" t="s">
        <v>282</v>
      </c>
      <c r="CE8" s="1" t="s">
        <v>6</v>
      </c>
      <c r="CF8" s="28">
        <v>45658</v>
      </c>
      <c r="CG8" s="4" t="s">
        <v>287</v>
      </c>
      <c r="CH8" s="4" t="s">
        <v>156</v>
      </c>
      <c r="CI8" s="4" t="s">
        <v>25</v>
      </c>
      <c r="CJ8" s="4" t="s">
        <v>163</v>
      </c>
      <c r="CK8" s="4" t="s">
        <v>282</v>
      </c>
      <c r="CL8" s="4" t="s">
        <v>213</v>
      </c>
      <c r="CM8" s="28">
        <v>46023</v>
      </c>
      <c r="CN8" s="4" t="s">
        <v>25</v>
      </c>
      <c r="CO8" s="4" t="s">
        <v>770</v>
      </c>
      <c r="CP8" s="4" t="s">
        <v>163</v>
      </c>
      <c r="CQ8" s="1" t="s">
        <v>6</v>
      </c>
    </row>
    <row r="9" spans="1:95" x14ac:dyDescent="0.25">
      <c r="B9" s="58"/>
      <c r="C9" s="59"/>
      <c r="D9" s="2"/>
      <c r="E9" s="2"/>
      <c r="F9" s="5" t="s">
        <v>80</v>
      </c>
      <c r="G9" s="9" t="s">
        <v>40</v>
      </c>
      <c r="H9" s="9" t="s">
        <v>54</v>
      </c>
      <c r="I9" s="9" t="s">
        <v>103</v>
      </c>
      <c r="J9" s="9" t="s">
        <v>130</v>
      </c>
      <c r="K9" s="9" t="s">
        <v>141</v>
      </c>
      <c r="L9" s="9" t="s">
        <v>143</v>
      </c>
      <c r="M9" s="9" t="s">
        <v>80</v>
      </c>
      <c r="N9" s="9" t="s">
        <v>54</v>
      </c>
      <c r="O9" s="9" t="s">
        <v>130</v>
      </c>
      <c r="P9" s="9" t="s">
        <v>165</v>
      </c>
      <c r="Q9" s="2" t="s">
        <v>6</v>
      </c>
      <c r="R9" s="2"/>
      <c r="S9" s="9" t="s">
        <v>54</v>
      </c>
      <c r="T9" s="9" t="s">
        <v>136</v>
      </c>
      <c r="U9" s="9" t="s">
        <v>139</v>
      </c>
      <c r="V9" s="9" t="s">
        <v>142</v>
      </c>
      <c r="W9" s="9" t="s">
        <v>136</v>
      </c>
      <c r="X9" s="9" t="s">
        <v>120</v>
      </c>
      <c r="Y9" s="9" t="s">
        <v>139</v>
      </c>
      <c r="Z9" s="9" t="s">
        <v>256</v>
      </c>
      <c r="AA9" s="9" t="s">
        <v>54</v>
      </c>
      <c r="AB9" s="9" t="s">
        <v>40</v>
      </c>
      <c r="AC9" s="9" t="s">
        <v>268</v>
      </c>
      <c r="AD9" s="9" t="s">
        <v>142</v>
      </c>
      <c r="AE9" s="9" t="s">
        <v>120</v>
      </c>
      <c r="AF9" s="9" t="s">
        <v>16</v>
      </c>
      <c r="AG9" s="9" t="s">
        <v>256</v>
      </c>
      <c r="AH9" s="9"/>
      <c r="AI9" s="2"/>
      <c r="AJ9" s="5"/>
      <c r="AK9" s="5" t="s">
        <v>120</v>
      </c>
      <c r="AL9" s="5" t="s">
        <v>268</v>
      </c>
      <c r="AM9" s="5" t="s">
        <v>333</v>
      </c>
      <c r="AN9" s="5" t="s">
        <v>70</v>
      </c>
      <c r="AO9" s="5" t="s">
        <v>139</v>
      </c>
      <c r="AP9" s="5" t="s">
        <v>372</v>
      </c>
      <c r="AQ9" s="5" t="s">
        <v>139</v>
      </c>
      <c r="AR9" s="5" t="s">
        <v>136</v>
      </c>
      <c r="AS9" s="5" t="s">
        <v>142</v>
      </c>
      <c r="AT9" s="5" t="s">
        <v>136</v>
      </c>
      <c r="AU9" s="5" t="s">
        <v>333</v>
      </c>
      <c r="AV9" s="5" t="s">
        <v>70</v>
      </c>
      <c r="AW9" s="5" t="s">
        <v>120</v>
      </c>
      <c r="AX9" s="5" t="s">
        <v>417</v>
      </c>
      <c r="AY9" s="5" t="s">
        <v>142</v>
      </c>
      <c r="AZ9" s="5" t="s">
        <v>427</v>
      </c>
      <c r="BA9" s="5"/>
      <c r="BB9" s="5"/>
      <c r="BC9" s="9" t="s">
        <v>15</v>
      </c>
      <c r="BD9" s="9" t="s">
        <v>224</v>
      </c>
      <c r="BE9" s="60" t="s">
        <v>429</v>
      </c>
      <c r="BF9" s="61"/>
      <c r="BG9" s="61"/>
      <c r="BH9" s="62"/>
      <c r="BI9" s="5"/>
      <c r="BJ9" s="5"/>
      <c r="BK9" s="9" t="s">
        <v>15</v>
      </c>
      <c r="BL9" s="9" t="s">
        <v>224</v>
      </c>
      <c r="BM9" s="60" t="s">
        <v>429</v>
      </c>
      <c r="BN9" s="61"/>
      <c r="BO9" s="61"/>
      <c r="BP9" s="62"/>
      <c r="BQ9" s="9"/>
      <c r="BS9" s="5" t="s">
        <v>214</v>
      </c>
      <c r="BT9" s="2"/>
      <c r="BU9" s="2"/>
      <c r="BV9" s="2"/>
      <c r="BW9" s="14" t="s">
        <v>260</v>
      </c>
      <c r="BX9" s="5"/>
      <c r="BZ9" s="5" t="s">
        <v>214</v>
      </c>
      <c r="CA9" s="5"/>
      <c r="CB9" s="5" t="s">
        <v>28</v>
      </c>
      <c r="CC9" s="5" t="s">
        <v>28</v>
      </c>
      <c r="CD9" s="5" t="s">
        <v>80</v>
      </c>
      <c r="CE9" s="2"/>
      <c r="CF9" s="5"/>
      <c r="CG9" s="5"/>
      <c r="CH9" s="5" t="s">
        <v>103</v>
      </c>
      <c r="CI9" s="5" t="s">
        <v>28</v>
      </c>
      <c r="CJ9" s="5" t="s">
        <v>260</v>
      </c>
      <c r="CK9" s="5" t="s">
        <v>80</v>
      </c>
      <c r="CL9" s="5"/>
      <c r="CM9" s="5"/>
      <c r="CN9" s="5" t="s">
        <v>744</v>
      </c>
      <c r="CO9" s="5" t="s">
        <v>28</v>
      </c>
      <c r="CP9" s="5" t="s">
        <v>28</v>
      </c>
      <c r="CQ9" s="2"/>
    </row>
    <row r="10" spans="1:95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44660</v>
      </c>
      <c r="H10" s="10">
        <v>44653</v>
      </c>
      <c r="I10" s="10">
        <v>44695</v>
      </c>
      <c r="J10" s="10">
        <v>44709</v>
      </c>
      <c r="K10" s="10">
        <v>44730</v>
      </c>
      <c r="L10" s="10">
        <v>44737</v>
      </c>
      <c r="M10" s="10">
        <v>44759</v>
      </c>
      <c r="N10" s="10">
        <v>44779</v>
      </c>
      <c r="O10" s="10">
        <v>44800</v>
      </c>
      <c r="P10" s="10">
        <v>44906</v>
      </c>
      <c r="Q10" s="2">
        <v>2022</v>
      </c>
      <c r="R10" s="2"/>
      <c r="S10" s="2" t="s">
        <v>171</v>
      </c>
      <c r="T10" s="2" t="s">
        <v>185</v>
      </c>
      <c r="U10" s="2" t="s">
        <v>225</v>
      </c>
      <c r="V10" s="2" t="s">
        <v>232</v>
      </c>
      <c r="W10" s="5" t="s">
        <v>239</v>
      </c>
      <c r="X10" s="5" t="s">
        <v>247</v>
      </c>
      <c r="Y10" s="5" t="s">
        <v>250</v>
      </c>
      <c r="Z10" s="5" t="s">
        <v>257</v>
      </c>
      <c r="AA10" s="5" t="s">
        <v>258</v>
      </c>
      <c r="AB10" s="5" t="s">
        <v>262</v>
      </c>
      <c r="AC10" s="5" t="s">
        <v>267</v>
      </c>
      <c r="AD10" s="5" t="s">
        <v>270</v>
      </c>
      <c r="AE10" s="5" t="s">
        <v>276</v>
      </c>
      <c r="AF10" s="5" t="s">
        <v>278</v>
      </c>
      <c r="AG10" s="5" t="s">
        <v>280</v>
      </c>
      <c r="AH10" s="5" t="s">
        <v>284</v>
      </c>
      <c r="AI10" s="2">
        <v>2023</v>
      </c>
      <c r="AJ10" s="17"/>
      <c r="AK10" s="17" t="s">
        <v>319</v>
      </c>
      <c r="AL10" s="17" t="s">
        <v>319</v>
      </c>
      <c r="AM10" s="17" t="s">
        <v>319</v>
      </c>
      <c r="AN10" s="17" t="s">
        <v>362</v>
      </c>
      <c r="AO10" s="17" t="s">
        <v>366</v>
      </c>
      <c r="AP10" s="17" t="s">
        <v>373</v>
      </c>
      <c r="AQ10" s="17" t="s">
        <v>382</v>
      </c>
      <c r="AR10" s="17" t="s">
        <v>382</v>
      </c>
      <c r="AS10" s="17" t="s">
        <v>389</v>
      </c>
      <c r="AT10" s="17" t="s">
        <v>391</v>
      </c>
      <c r="AU10" s="17" t="s">
        <v>402</v>
      </c>
      <c r="AV10" s="17" t="s">
        <v>416</v>
      </c>
      <c r="AW10" s="17" t="s">
        <v>416</v>
      </c>
      <c r="AX10" s="17" t="s">
        <v>418</v>
      </c>
      <c r="AY10" s="17" t="s">
        <v>420</v>
      </c>
      <c r="AZ10" s="17" t="s">
        <v>428</v>
      </c>
      <c r="BA10" s="17">
        <v>2024</v>
      </c>
      <c r="BB10" s="5"/>
      <c r="BC10" s="5"/>
      <c r="BD10" s="5"/>
      <c r="BE10" s="5">
        <v>1</v>
      </c>
      <c r="BF10" s="5">
        <v>2</v>
      </c>
      <c r="BG10" s="5">
        <v>3</v>
      </c>
      <c r="BH10" s="5">
        <v>4</v>
      </c>
      <c r="BI10" s="5">
        <v>2025</v>
      </c>
      <c r="BJ10" s="5"/>
      <c r="BK10" s="5"/>
      <c r="BL10" s="5"/>
      <c r="BM10" s="5">
        <v>1</v>
      </c>
      <c r="BN10" s="5">
        <v>2</v>
      </c>
      <c r="BO10" s="5">
        <v>3</v>
      </c>
      <c r="BP10" s="5">
        <v>4</v>
      </c>
      <c r="BQ10" s="5">
        <v>2026</v>
      </c>
      <c r="BS10" s="17"/>
      <c r="BT10" s="16">
        <v>45077</v>
      </c>
      <c r="BU10" s="16">
        <v>45084</v>
      </c>
      <c r="BV10" s="16">
        <v>45126</v>
      </c>
      <c r="BW10" s="25">
        <v>45153</v>
      </c>
      <c r="BX10" s="17">
        <v>2023</v>
      </c>
      <c r="BZ10" s="5"/>
      <c r="CA10" s="5" t="s">
        <v>288</v>
      </c>
      <c r="CB10" s="5" t="s">
        <v>390</v>
      </c>
      <c r="CC10" s="5" t="s">
        <v>398</v>
      </c>
      <c r="CD10" s="5" t="s">
        <v>425</v>
      </c>
      <c r="CE10" s="2">
        <v>2024</v>
      </c>
      <c r="CF10" s="5"/>
      <c r="CG10" s="5" t="s">
        <v>430</v>
      </c>
      <c r="CH10" s="5" t="s">
        <v>508</v>
      </c>
      <c r="CI10" s="5" t="s">
        <v>518</v>
      </c>
      <c r="CJ10" s="5" t="s">
        <v>607</v>
      </c>
      <c r="CK10" s="5" t="s">
        <v>425</v>
      </c>
      <c r="CL10" s="5">
        <v>2025</v>
      </c>
      <c r="CM10" s="5"/>
      <c r="CN10" s="5" t="s">
        <v>745</v>
      </c>
      <c r="CO10" s="5" t="s">
        <v>771</v>
      </c>
      <c r="CP10" s="5" t="s">
        <v>772</v>
      </c>
      <c r="CQ10" s="2">
        <v>2026</v>
      </c>
    </row>
    <row r="11" spans="1:95" x14ac:dyDescent="0.25">
      <c r="A11">
        <v>1</v>
      </c>
      <c r="B11" s="6" t="s">
        <v>322</v>
      </c>
      <c r="C11" s="6"/>
      <c r="D11" s="6" t="s">
        <v>32</v>
      </c>
      <c r="E11" s="6" t="s">
        <v>29</v>
      </c>
      <c r="F11" s="6"/>
      <c r="G11" s="6"/>
      <c r="H11" s="6"/>
      <c r="I11" s="6"/>
      <c r="J11" s="11"/>
      <c r="K11" s="11"/>
      <c r="L11" s="11"/>
      <c r="M11" s="11"/>
      <c r="N11" s="11"/>
      <c r="O11" s="11"/>
      <c r="P11" s="11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11"/>
      <c r="BD11" s="11"/>
      <c r="BE11" s="11"/>
      <c r="BF11" s="11"/>
      <c r="BG11" s="11"/>
      <c r="BH11" s="11"/>
      <c r="BI11" s="6"/>
      <c r="BJ11" s="6">
        <f>255/2</f>
        <v>127.5</v>
      </c>
      <c r="BK11" s="11">
        <v>48</v>
      </c>
      <c r="BL11" s="11">
        <v>80</v>
      </c>
      <c r="BM11" s="11">
        <v>75</v>
      </c>
      <c r="BN11" s="11">
        <v>80</v>
      </c>
      <c r="BO11" s="11">
        <v>48</v>
      </c>
      <c r="BP11" s="11"/>
      <c r="BQ11" s="11">
        <f>SUM(BJ11:BP11)</f>
        <v>458.5</v>
      </c>
      <c r="BS11" s="11"/>
      <c r="BT11" s="6"/>
      <c r="BU11" s="6"/>
      <c r="BV11" s="6"/>
      <c r="BW11" s="7"/>
      <c r="BX11" s="11"/>
      <c r="BY11" s="11"/>
      <c r="BZ11" s="11"/>
      <c r="CA11" s="11"/>
      <c r="CB11" s="11"/>
      <c r="CC11" s="11"/>
      <c r="CD11" s="11"/>
      <c r="CE11" s="6"/>
      <c r="CF11" s="6"/>
      <c r="CG11" s="11"/>
      <c r="CH11" s="11"/>
      <c r="CI11" s="11"/>
      <c r="CJ11" s="11"/>
      <c r="CK11" s="11"/>
      <c r="CL11" s="6">
        <f>SUM(CF11:CK11)</f>
        <v>0</v>
      </c>
      <c r="CM11" s="6">
        <f>(CL11-CF11)/2</f>
        <v>0</v>
      </c>
      <c r="CN11" s="11"/>
      <c r="CO11" s="11"/>
      <c r="CP11" s="11"/>
      <c r="CQ11" s="6">
        <f>SUM(CM11:CN11)</f>
        <v>0</v>
      </c>
    </row>
    <row r="12" spans="1:95" x14ac:dyDescent="0.25">
      <c r="A12">
        <v>2</v>
      </c>
      <c r="B12" s="23" t="s">
        <v>432</v>
      </c>
      <c r="C12" s="23"/>
      <c r="D12" s="23" t="s">
        <v>89</v>
      </c>
      <c r="E12" s="23" t="s">
        <v>42</v>
      </c>
      <c r="F12" s="6"/>
      <c r="G12" s="6"/>
      <c r="H12" s="6"/>
      <c r="I12" s="6"/>
      <c r="J12" s="11"/>
      <c r="K12" s="11"/>
      <c r="L12" s="11"/>
      <c r="M12" s="11"/>
      <c r="N12" s="11"/>
      <c r="O12" s="11"/>
      <c r="P12" s="11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f>579/4</f>
        <v>144.75</v>
      </c>
      <c r="BC12" s="11">
        <v>36</v>
      </c>
      <c r="BD12" s="11">
        <v>48</v>
      </c>
      <c r="BE12" s="11">
        <v>100</v>
      </c>
      <c r="BF12" s="11">
        <v>70</v>
      </c>
      <c r="BG12" s="11">
        <v>105</v>
      </c>
      <c r="BH12" s="11">
        <v>105</v>
      </c>
      <c r="BI12" s="11">
        <f>SUM(BB12:BH12)</f>
        <v>608.75</v>
      </c>
      <c r="BJ12" s="11">
        <f>(BI12-BB12)/2</f>
        <v>232</v>
      </c>
      <c r="BK12" s="11">
        <v>36</v>
      </c>
      <c r="BL12" s="11"/>
      <c r="BM12" s="11">
        <v>54</v>
      </c>
      <c r="BN12" s="11">
        <v>56</v>
      </c>
      <c r="BO12" s="11">
        <v>36</v>
      </c>
      <c r="BP12" s="11"/>
      <c r="BQ12" s="11">
        <f>SUM(BJ12:BP12)</f>
        <v>414</v>
      </c>
      <c r="BS12" s="11"/>
      <c r="BT12" s="6"/>
      <c r="BU12" s="6"/>
      <c r="BV12" s="6"/>
      <c r="BW12" s="7"/>
      <c r="BX12" s="11"/>
      <c r="BY12" s="11"/>
      <c r="BZ12" s="11"/>
      <c r="CA12" s="11"/>
      <c r="CB12" s="11"/>
      <c r="CC12" s="11"/>
      <c r="CD12" s="11"/>
      <c r="CE12" s="6"/>
      <c r="CF12" s="6"/>
      <c r="CG12" s="11">
        <v>18</v>
      </c>
      <c r="CH12" s="11"/>
      <c r="CI12" s="11"/>
      <c r="CJ12" s="11">
        <v>36</v>
      </c>
      <c r="CK12" s="11">
        <v>28</v>
      </c>
      <c r="CL12" s="6">
        <f>SUM(CF12:CK12)</f>
        <v>82</v>
      </c>
      <c r="CM12" s="6">
        <f>(CL12-CF12)/2</f>
        <v>41</v>
      </c>
      <c r="CN12" s="11"/>
      <c r="CO12" s="11"/>
      <c r="CP12" s="11">
        <v>5</v>
      </c>
      <c r="CQ12" s="23">
        <f>SUM(CM12:CP12)</f>
        <v>46</v>
      </c>
    </row>
    <row r="13" spans="1:95" x14ac:dyDescent="0.25">
      <c r="A13">
        <v>3</v>
      </c>
      <c r="B13" s="6" t="s">
        <v>67</v>
      </c>
      <c r="C13" s="6"/>
      <c r="D13" s="6" t="s">
        <v>108</v>
      </c>
      <c r="E13" s="6" t="s">
        <v>27</v>
      </c>
      <c r="F13" s="6"/>
      <c r="G13" s="6"/>
      <c r="H13" s="6"/>
      <c r="I13" s="6"/>
      <c r="J13" s="11"/>
      <c r="K13" s="11"/>
      <c r="L13" s="11"/>
      <c r="M13" s="11"/>
      <c r="N13" s="11"/>
      <c r="O13" s="11"/>
      <c r="P13" s="11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11"/>
      <c r="BD13" s="11"/>
      <c r="BE13" s="11"/>
      <c r="BF13" s="11"/>
      <c r="BG13" s="11"/>
      <c r="BH13" s="11"/>
      <c r="BI13" s="6"/>
      <c r="BJ13" s="6">
        <v>195</v>
      </c>
      <c r="BK13" s="11">
        <v>48</v>
      </c>
      <c r="BL13" s="11">
        <v>64</v>
      </c>
      <c r="BM13" s="11">
        <v>105</v>
      </c>
      <c r="BN13" s="11"/>
      <c r="BO13" s="11"/>
      <c r="BP13" s="11"/>
      <c r="BQ13" s="11">
        <f>SUM(BJ13:BP13)</f>
        <v>412</v>
      </c>
      <c r="BS13" s="11"/>
      <c r="BT13" s="6"/>
      <c r="BU13" s="6"/>
      <c r="BV13" s="6"/>
      <c r="BW13" s="7"/>
      <c r="BX13" s="11"/>
      <c r="BY13" s="11"/>
      <c r="BZ13" s="11"/>
      <c r="CA13" s="11"/>
      <c r="CB13" s="11"/>
      <c r="CC13" s="11"/>
      <c r="CD13" s="11"/>
      <c r="CE13" s="6"/>
      <c r="CF13" s="6"/>
      <c r="CG13" s="11"/>
      <c r="CH13" s="11"/>
      <c r="CI13" s="11"/>
      <c r="CJ13" s="11"/>
      <c r="CK13" s="11"/>
      <c r="CL13" s="6">
        <f>SUM(CF13:CK13)</f>
        <v>0</v>
      </c>
      <c r="CM13" s="6">
        <f>(CL13-CF13)/2</f>
        <v>0</v>
      </c>
      <c r="CN13" s="11"/>
      <c r="CO13" s="11"/>
      <c r="CP13" s="11">
        <v>26</v>
      </c>
      <c r="CQ13" s="6">
        <f>SUM(CM13:CP13)</f>
        <v>26</v>
      </c>
    </row>
    <row r="14" spans="1:95" x14ac:dyDescent="0.25">
      <c r="A14" s="52">
        <v>4</v>
      </c>
      <c r="B14" s="6" t="s">
        <v>550</v>
      </c>
      <c r="C14" s="6"/>
      <c r="D14" s="6" t="s">
        <v>89</v>
      </c>
      <c r="E14" s="6" t="s">
        <v>84</v>
      </c>
      <c r="F14" s="6"/>
      <c r="G14" s="6"/>
      <c r="H14" s="6"/>
      <c r="I14" s="6"/>
      <c r="J14" s="11"/>
      <c r="K14" s="11"/>
      <c r="L14" s="11"/>
      <c r="M14" s="11"/>
      <c r="N14" s="11"/>
      <c r="O14" s="11"/>
      <c r="P14" s="11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11">
        <v>36</v>
      </c>
      <c r="BD14" s="11"/>
      <c r="BE14" s="11">
        <v>75</v>
      </c>
      <c r="BF14" s="11">
        <v>75</v>
      </c>
      <c r="BG14" s="11">
        <v>150</v>
      </c>
      <c r="BH14" s="11">
        <v>200</v>
      </c>
      <c r="BI14" s="11">
        <f>SUM(BB14:BH14)</f>
        <v>536</v>
      </c>
      <c r="BJ14" s="11">
        <f>(BI14-BB14)/2</f>
        <v>268</v>
      </c>
      <c r="BK14" s="11"/>
      <c r="BL14" s="11"/>
      <c r="BM14" s="11"/>
      <c r="BN14" s="11"/>
      <c r="BO14" s="11"/>
      <c r="BP14" s="11"/>
      <c r="BQ14" s="11">
        <f>SUM(BJ14:BP14)</f>
        <v>268</v>
      </c>
      <c r="BS14" s="11"/>
      <c r="BT14" s="6"/>
      <c r="BU14" s="6"/>
      <c r="BV14" s="6"/>
      <c r="BW14" s="7"/>
      <c r="BX14" s="11"/>
      <c r="BY14" s="11"/>
      <c r="BZ14" s="11"/>
      <c r="CA14" s="11"/>
      <c r="CB14" s="11"/>
      <c r="CC14" s="11"/>
      <c r="CD14" s="11"/>
      <c r="CE14" s="6">
        <f>SUM(BY14:CA14)</f>
        <v>0</v>
      </c>
      <c r="CF14" s="6">
        <f>(CE14-BY14)/2</f>
        <v>0</v>
      </c>
      <c r="CG14" s="11"/>
      <c r="CH14" s="11"/>
      <c r="CI14" s="11"/>
      <c r="CJ14" s="11"/>
      <c r="CK14" s="11">
        <v>40</v>
      </c>
      <c r="CL14" s="6">
        <f>SUM(CF14:CK14)</f>
        <v>40</v>
      </c>
      <c r="CM14" s="6">
        <f>(CL14-CF14)/2</f>
        <v>20</v>
      </c>
      <c r="CN14" s="11"/>
      <c r="CO14" s="11"/>
      <c r="CP14" s="11"/>
      <c r="CQ14" s="6">
        <f>SUM(CM14:CN14)</f>
        <v>20</v>
      </c>
    </row>
    <row r="15" spans="1:95" x14ac:dyDescent="0.25">
      <c r="A15">
        <v>5</v>
      </c>
      <c r="B15" s="6" t="s">
        <v>354</v>
      </c>
      <c r="C15" s="6"/>
      <c r="D15" s="6" t="s">
        <v>33</v>
      </c>
      <c r="E15" s="6" t="s">
        <v>126</v>
      </c>
      <c r="F15" s="6"/>
      <c r="G15" s="6"/>
      <c r="H15" s="6"/>
      <c r="I15" s="6"/>
      <c r="J15" s="11"/>
      <c r="K15" s="11"/>
      <c r="L15" s="11"/>
      <c r="M15" s="11"/>
      <c r="N15" s="11"/>
      <c r="O15" s="11"/>
      <c r="P15" s="11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6</v>
      </c>
      <c r="AP15" s="6"/>
      <c r="AQ15" s="6"/>
      <c r="AR15" s="6"/>
      <c r="AS15" s="6"/>
      <c r="AT15" s="6">
        <v>75</v>
      </c>
      <c r="AU15" s="6"/>
      <c r="AV15" s="6"/>
      <c r="AW15" s="6">
        <v>2.4</v>
      </c>
      <c r="AX15" s="6"/>
      <c r="AY15" s="6"/>
      <c r="AZ15" s="6"/>
      <c r="BA15" s="11">
        <f>SUM(AJ15:AZ15)</f>
        <v>83.4</v>
      </c>
      <c r="BB15" s="11">
        <f>(BA15-AJ15)/2</f>
        <v>41.7</v>
      </c>
      <c r="BC15" s="11">
        <v>48</v>
      </c>
      <c r="BD15" s="11">
        <v>64</v>
      </c>
      <c r="BE15" s="11">
        <v>150</v>
      </c>
      <c r="BF15" s="11">
        <v>75</v>
      </c>
      <c r="BG15" s="11">
        <v>100</v>
      </c>
      <c r="BH15" s="11">
        <v>75</v>
      </c>
      <c r="BI15" s="11">
        <f>SUM(BB15:BH15)</f>
        <v>553.70000000000005</v>
      </c>
      <c r="BJ15" s="11">
        <f>(BI15-BB15)/2</f>
        <v>256</v>
      </c>
      <c r="BK15" s="11"/>
      <c r="BL15" s="11"/>
      <c r="BM15" s="11"/>
      <c r="BN15" s="11"/>
      <c r="BO15" s="11"/>
      <c r="BP15" s="11"/>
      <c r="BQ15" s="11">
        <f>SUM(BJ15:BP15)</f>
        <v>256</v>
      </c>
      <c r="BS15" s="11"/>
      <c r="BT15" s="6"/>
      <c r="BU15" s="6"/>
      <c r="BV15" s="6"/>
      <c r="BW15" s="7"/>
      <c r="BX15" s="11">
        <f>SUM(BS15:BT15)</f>
        <v>0</v>
      </c>
      <c r="BY15" s="11">
        <f>BX15/2</f>
        <v>0</v>
      </c>
      <c r="BZ15" s="11">
        <f>BA15/4</f>
        <v>20.85</v>
      </c>
      <c r="CA15" s="11"/>
      <c r="CB15" s="11"/>
      <c r="CC15" s="11"/>
      <c r="CD15" s="11"/>
      <c r="CE15" s="6">
        <f>SUM(BY15:CA15)</f>
        <v>20.85</v>
      </c>
      <c r="CF15" s="6">
        <f>(CE15-BY15)/2</f>
        <v>10.425000000000001</v>
      </c>
      <c r="CG15" s="11"/>
      <c r="CH15" s="11"/>
      <c r="CI15" s="11"/>
      <c r="CJ15" s="11"/>
      <c r="CK15" s="11"/>
      <c r="CL15" s="6">
        <f>SUM(CF15:CI15)</f>
        <v>10.425000000000001</v>
      </c>
      <c r="CM15" s="6">
        <f>(CL15-CF15)/2</f>
        <v>0</v>
      </c>
      <c r="CN15" s="11"/>
      <c r="CO15" s="11"/>
      <c r="CP15" s="11"/>
      <c r="CQ15" s="6">
        <f>SUM(CM15:CN15)</f>
        <v>0</v>
      </c>
    </row>
    <row r="16" spans="1:95" x14ac:dyDescent="0.25">
      <c r="A16">
        <v>6</v>
      </c>
      <c r="B16" s="49" t="s">
        <v>605</v>
      </c>
      <c r="C16" s="49"/>
      <c r="D16" s="49" t="s">
        <v>530</v>
      </c>
      <c r="E16" s="49" t="s">
        <v>83</v>
      </c>
      <c r="F16" s="6"/>
      <c r="G16" s="6"/>
      <c r="H16" s="6"/>
      <c r="I16" s="6"/>
      <c r="J16" s="11"/>
      <c r="K16" s="11"/>
      <c r="L16" s="11"/>
      <c r="M16" s="11"/>
      <c r="N16" s="11"/>
      <c r="O16" s="11"/>
      <c r="P16" s="11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11"/>
      <c r="BD16" s="11"/>
      <c r="BE16" s="11"/>
      <c r="BF16" s="11"/>
      <c r="BG16" s="11"/>
      <c r="BH16" s="11"/>
      <c r="BI16" s="6"/>
      <c r="BJ16" s="6"/>
      <c r="BK16" s="11">
        <v>48</v>
      </c>
      <c r="BL16" s="11"/>
      <c r="BM16" s="11">
        <v>150</v>
      </c>
      <c r="BN16" s="11"/>
      <c r="BO16" s="11"/>
      <c r="BP16" s="11"/>
      <c r="BQ16" s="11">
        <f>SUM(BJ16:BP16)</f>
        <v>198</v>
      </c>
      <c r="BS16" s="11"/>
      <c r="BT16" s="6"/>
      <c r="BU16" s="6"/>
      <c r="BV16" s="6"/>
      <c r="BW16" s="7"/>
      <c r="BX16" s="11"/>
      <c r="BY16" s="11"/>
      <c r="BZ16" s="11"/>
      <c r="CA16" s="11"/>
      <c r="CB16" s="11"/>
      <c r="CC16" s="11"/>
      <c r="CD16" s="11"/>
      <c r="CE16" s="6"/>
      <c r="CF16" s="6"/>
      <c r="CG16" s="11"/>
      <c r="CH16" s="11"/>
      <c r="CI16" s="11"/>
      <c r="CJ16" s="11"/>
      <c r="CK16" s="11"/>
      <c r="CL16" s="6">
        <f>SUM(CF16:CK16)</f>
        <v>0</v>
      </c>
      <c r="CM16" s="6">
        <f>(CL16-CF16)/2</f>
        <v>0</v>
      </c>
      <c r="CN16" s="11">
        <v>15</v>
      </c>
      <c r="CO16" s="11">
        <v>7.5</v>
      </c>
      <c r="CP16" s="11">
        <v>36</v>
      </c>
      <c r="CQ16" s="49">
        <f>SUM(CM16:CP16)</f>
        <v>58.5</v>
      </c>
    </row>
    <row r="17" spans="1:95" x14ac:dyDescent="0.25">
      <c r="A17">
        <v>7</v>
      </c>
      <c r="B17" s="19" t="s">
        <v>361</v>
      </c>
      <c r="C17" s="19"/>
      <c r="D17" s="19" t="s">
        <v>431</v>
      </c>
      <c r="E17" s="19" t="s">
        <v>27</v>
      </c>
      <c r="F17" s="6"/>
      <c r="G17" s="6"/>
      <c r="H17" s="6"/>
      <c r="I17" s="6"/>
      <c r="J17" s="11"/>
      <c r="K17" s="11"/>
      <c r="L17" s="11"/>
      <c r="M17" s="11"/>
      <c r="N17" s="11"/>
      <c r="O17" s="11"/>
      <c r="P17" s="11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>
        <v>197.3</v>
      </c>
      <c r="BC17" s="11">
        <v>36</v>
      </c>
      <c r="BD17" s="11"/>
      <c r="BE17" s="11">
        <v>75</v>
      </c>
      <c r="BF17" s="11">
        <v>100</v>
      </c>
      <c r="BG17" s="11">
        <v>150</v>
      </c>
      <c r="BH17" s="11"/>
      <c r="BI17" s="11">
        <f>SUM(BB17:BH17)</f>
        <v>558.29999999999995</v>
      </c>
      <c r="BJ17" s="11">
        <f>(BI17-BB17)/2</f>
        <v>180.49999999999997</v>
      </c>
      <c r="BK17" s="11"/>
      <c r="BL17" s="11"/>
      <c r="BM17" s="11"/>
      <c r="BN17" s="11"/>
      <c r="BO17" s="11"/>
      <c r="BP17" s="11"/>
      <c r="BQ17" s="11">
        <f>SUM(BJ17:BP17)</f>
        <v>180.49999999999997</v>
      </c>
      <c r="BX17" s="11"/>
      <c r="BY17" s="11"/>
      <c r="BZ17" s="11"/>
      <c r="CA17" s="11"/>
      <c r="CB17" s="11"/>
      <c r="CC17" s="11"/>
      <c r="CD17" s="11"/>
      <c r="CE17" s="6"/>
      <c r="CF17" s="6"/>
      <c r="CG17" s="11">
        <v>30</v>
      </c>
      <c r="CH17" s="11">
        <v>7.5</v>
      </c>
      <c r="CI17" s="11">
        <v>108</v>
      </c>
      <c r="CJ17" s="11"/>
      <c r="CK17" s="11"/>
      <c r="CL17" s="6">
        <f>SUM(CF17:CI17)</f>
        <v>145.5</v>
      </c>
      <c r="CM17" s="6">
        <f>(CL17-CF17)/2</f>
        <v>72.75</v>
      </c>
      <c r="CN17" s="11"/>
      <c r="CO17" s="11"/>
      <c r="CP17" s="11"/>
      <c r="CQ17" s="19">
        <f>SUM(CM17:CN17)</f>
        <v>72.75</v>
      </c>
    </row>
    <row r="18" spans="1:95" x14ac:dyDescent="0.25">
      <c r="A18">
        <v>8</v>
      </c>
      <c r="B18" s="6" t="s">
        <v>35</v>
      </c>
      <c r="C18" s="6"/>
      <c r="D18" s="6" t="s">
        <v>22</v>
      </c>
      <c r="E18" s="6" t="s">
        <v>328</v>
      </c>
      <c r="F18" s="6"/>
      <c r="G18" s="6"/>
      <c r="H18" s="6"/>
      <c r="I18" s="6"/>
      <c r="J18" s="11"/>
      <c r="K18" s="11"/>
      <c r="L18" s="11"/>
      <c r="M18" s="11"/>
      <c r="N18" s="11"/>
      <c r="O18" s="11"/>
      <c r="P18" s="11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64</v>
      </c>
      <c r="AR18" s="6"/>
      <c r="AS18" s="6"/>
      <c r="AT18" s="6">
        <v>7.5</v>
      </c>
      <c r="AU18" s="6"/>
      <c r="AV18" s="6"/>
      <c r="AW18" s="6"/>
      <c r="AX18" s="6">
        <v>36</v>
      </c>
      <c r="AY18" s="6">
        <v>7.5</v>
      </c>
      <c r="AZ18" s="6"/>
      <c r="BA18" s="11">
        <f>SUM(AJ18:AZ18)</f>
        <v>115</v>
      </c>
      <c r="BB18" s="11">
        <f>(BA18-AJ18)/2</f>
        <v>57.5</v>
      </c>
      <c r="BC18" s="11">
        <v>36</v>
      </c>
      <c r="BD18" s="11">
        <v>48</v>
      </c>
      <c r="BE18" s="11">
        <v>105</v>
      </c>
      <c r="BF18" s="11">
        <v>50</v>
      </c>
      <c r="BG18" s="11">
        <v>54</v>
      </c>
      <c r="BH18" s="11">
        <v>48</v>
      </c>
      <c r="BI18" s="11">
        <f>SUM(BB18:BH18)</f>
        <v>398.5</v>
      </c>
      <c r="BJ18" s="11">
        <f>(BI18-BB18)/2</f>
        <v>170.5</v>
      </c>
      <c r="BK18" s="11"/>
      <c r="BL18" s="11"/>
      <c r="BM18" s="11"/>
      <c r="BN18" s="11"/>
      <c r="BO18" s="11"/>
      <c r="BP18" s="11"/>
      <c r="BQ18" s="11">
        <f>SUM(BJ18:BP18)</f>
        <v>170.5</v>
      </c>
      <c r="BX18" s="11">
        <f>SUM(BS18:BT18)</f>
        <v>0</v>
      </c>
      <c r="BY18" s="11">
        <f>BX18/2</f>
        <v>0</v>
      </c>
      <c r="BZ18" s="11">
        <f>BA18/4</f>
        <v>28.75</v>
      </c>
      <c r="CA18" s="11"/>
      <c r="CB18" s="11"/>
      <c r="CC18" s="11"/>
      <c r="CD18" s="11">
        <v>2</v>
      </c>
      <c r="CE18" s="6">
        <f>SUM(BY18:CD18)</f>
        <v>30.75</v>
      </c>
      <c r="CF18" s="6">
        <f>(CE18-BY18)/2</f>
        <v>15.375</v>
      </c>
      <c r="CG18" s="11">
        <v>22.5</v>
      </c>
      <c r="CH18" s="11"/>
      <c r="CI18" s="11"/>
      <c r="CJ18" s="11">
        <v>50</v>
      </c>
      <c r="CK18" s="11"/>
      <c r="CL18" s="6">
        <f>SUM(CF18:CJ18)</f>
        <v>87.875</v>
      </c>
      <c r="CM18" s="6">
        <f>(CL18-CF18)/2</f>
        <v>36.25</v>
      </c>
      <c r="CN18" s="11"/>
      <c r="CO18" s="11"/>
      <c r="CP18" s="11"/>
      <c r="CQ18" s="6">
        <f>SUM(CM18:CN18)</f>
        <v>36.25</v>
      </c>
    </row>
    <row r="19" spans="1:95" x14ac:dyDescent="0.25">
      <c r="A19">
        <v>9</v>
      </c>
      <c r="B19" s="6" t="s">
        <v>91</v>
      </c>
      <c r="C19" s="6"/>
      <c r="D19" s="6" t="s">
        <v>133</v>
      </c>
      <c r="E19" s="6" t="s">
        <v>636</v>
      </c>
      <c r="F19" s="6"/>
      <c r="G19" s="6"/>
      <c r="H19" s="6"/>
      <c r="I19" s="6"/>
      <c r="J19" s="11"/>
      <c r="K19" s="11"/>
      <c r="L19" s="11"/>
      <c r="M19" s="11"/>
      <c r="N19" s="11"/>
      <c r="O19" s="11"/>
      <c r="P19" s="11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11"/>
      <c r="BD19" s="11"/>
      <c r="BE19" s="11"/>
      <c r="BF19" s="11"/>
      <c r="BG19" s="11"/>
      <c r="BH19" s="11"/>
      <c r="BI19" s="6"/>
      <c r="BJ19" s="6"/>
      <c r="BK19" s="11">
        <v>36</v>
      </c>
      <c r="BL19" s="11">
        <v>64</v>
      </c>
      <c r="BM19" s="11">
        <v>54</v>
      </c>
      <c r="BN19" s="11">
        <v>2.4</v>
      </c>
      <c r="BO19" s="11"/>
      <c r="BP19" s="11"/>
      <c r="BQ19" s="11">
        <f>SUM(BJ19:BP19)</f>
        <v>156.4</v>
      </c>
      <c r="CE19" s="6"/>
      <c r="CF19" s="6"/>
      <c r="CG19" s="11"/>
      <c r="CH19" s="11"/>
      <c r="CI19" s="11"/>
      <c r="CJ19" s="11"/>
      <c r="CK19" s="11"/>
      <c r="CL19" s="6">
        <f>SUM(CF19:CK19)</f>
        <v>0</v>
      </c>
      <c r="CM19" s="6">
        <f>(CL19-CF19)/2</f>
        <v>0</v>
      </c>
      <c r="CN19" s="11"/>
      <c r="CO19" s="11"/>
      <c r="CP19" s="11">
        <v>5</v>
      </c>
      <c r="CQ19" s="6">
        <f>SUM(CM19:CP19)</f>
        <v>5</v>
      </c>
    </row>
    <row r="20" spans="1:95" x14ac:dyDescent="0.25">
      <c r="A20">
        <v>10</v>
      </c>
      <c r="B20" s="6" t="s">
        <v>574</v>
      </c>
      <c r="C20" s="6"/>
      <c r="D20" s="6" t="s">
        <v>684</v>
      </c>
      <c r="E20" s="6" t="s">
        <v>121</v>
      </c>
      <c r="F20" s="6"/>
      <c r="G20" s="6"/>
      <c r="H20" s="6"/>
      <c r="I20" s="6"/>
      <c r="J20" s="11"/>
      <c r="K20" s="11"/>
      <c r="L20" s="11"/>
      <c r="M20" s="11"/>
      <c r="N20" s="11"/>
      <c r="O20" s="11"/>
      <c r="P20" s="11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11"/>
      <c r="BD20" s="11"/>
      <c r="BE20" s="11"/>
      <c r="BF20" s="11"/>
      <c r="BG20" s="11"/>
      <c r="BH20" s="11"/>
      <c r="BI20" s="6"/>
      <c r="BJ20" s="6">
        <f>89.5/2</f>
        <v>44.75</v>
      </c>
      <c r="BK20" s="11">
        <v>48</v>
      </c>
      <c r="BL20" s="11">
        <v>4</v>
      </c>
      <c r="BM20" s="11">
        <v>7.5</v>
      </c>
      <c r="BN20" s="11">
        <v>48</v>
      </c>
      <c r="BO20" s="11"/>
      <c r="BP20" s="11"/>
      <c r="BQ20" s="11">
        <f>SUM(BJ20:BP20)</f>
        <v>152.25</v>
      </c>
      <c r="CE20" s="6"/>
      <c r="CF20" s="6"/>
      <c r="CG20" s="11"/>
      <c r="CH20" s="11"/>
      <c r="CI20" s="11"/>
      <c r="CJ20" s="11"/>
      <c r="CK20" s="11"/>
      <c r="CL20" s="6">
        <f>SUM(CF20:CK20)</f>
        <v>0</v>
      </c>
      <c r="CM20" s="6">
        <f>(CL20-CF20)/2</f>
        <v>0</v>
      </c>
      <c r="CN20" s="11"/>
      <c r="CO20" s="11"/>
      <c r="CP20" s="11"/>
      <c r="CQ20" s="6">
        <f>SUM(CM20:CN20)</f>
        <v>0</v>
      </c>
    </row>
    <row r="21" spans="1:95" x14ac:dyDescent="0.25">
      <c r="A21">
        <v>11</v>
      </c>
      <c r="B21" s="6" t="s">
        <v>621</v>
      </c>
      <c r="C21" s="6"/>
      <c r="D21" s="6" t="s">
        <v>74</v>
      </c>
      <c r="E21" s="6" t="s">
        <v>549</v>
      </c>
      <c r="F21" s="6"/>
      <c r="G21" s="6"/>
      <c r="H21" s="6"/>
      <c r="I21" s="6"/>
      <c r="J21" s="11"/>
      <c r="K21" s="11"/>
      <c r="L21" s="11"/>
      <c r="M21" s="11"/>
      <c r="N21" s="11"/>
      <c r="O21" s="11"/>
      <c r="P21" s="11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11"/>
      <c r="BD21" s="11"/>
      <c r="BE21" s="11"/>
      <c r="BF21" s="11"/>
      <c r="BG21" s="11"/>
      <c r="BH21" s="11"/>
      <c r="BI21" s="6"/>
      <c r="BJ21" s="6"/>
      <c r="BK21" s="11">
        <v>36</v>
      </c>
      <c r="BL21" s="11">
        <v>56</v>
      </c>
      <c r="BM21" s="11">
        <v>7.5</v>
      </c>
      <c r="BN21" s="11">
        <v>4</v>
      </c>
      <c r="BO21" s="11">
        <v>36</v>
      </c>
      <c r="BP21" s="11"/>
      <c r="BQ21" s="11">
        <f>SUM(BJ21:BP21)</f>
        <v>139.5</v>
      </c>
      <c r="CE21" s="6"/>
      <c r="CF21" s="6"/>
      <c r="CG21" s="11"/>
      <c r="CH21" s="11"/>
      <c r="CI21" s="11"/>
      <c r="CJ21" s="11"/>
      <c r="CK21" s="11"/>
      <c r="CL21" s="6">
        <f>SUM(CF21:CK21)</f>
        <v>0</v>
      </c>
      <c r="CM21" s="6">
        <f>(CL21-CF21)/2</f>
        <v>0</v>
      </c>
      <c r="CN21" s="11"/>
      <c r="CO21" s="11"/>
      <c r="CP21" s="11">
        <v>5</v>
      </c>
      <c r="CQ21" s="6">
        <f>SUM(CM21:CP21)</f>
        <v>5</v>
      </c>
    </row>
    <row r="22" spans="1:95" x14ac:dyDescent="0.25">
      <c r="A22">
        <v>12</v>
      </c>
      <c r="B22" s="38" t="s">
        <v>248</v>
      </c>
      <c r="C22" s="38" t="s">
        <v>162</v>
      </c>
      <c r="D22" s="38" t="s">
        <v>157</v>
      </c>
      <c r="E22" s="38" t="s">
        <v>121</v>
      </c>
      <c r="F22" s="6"/>
      <c r="G22" s="6"/>
      <c r="H22" s="6"/>
      <c r="I22" s="6"/>
      <c r="J22" s="11"/>
      <c r="K22" s="11"/>
      <c r="L22" s="11"/>
      <c r="M22" s="11"/>
      <c r="N22" s="11"/>
      <c r="O22" s="11"/>
      <c r="P22" s="11"/>
      <c r="Q22" s="6"/>
      <c r="R22" s="6"/>
      <c r="S22" s="6"/>
      <c r="T22" s="6"/>
      <c r="U22" s="6"/>
      <c r="V22" s="6"/>
      <c r="W22" s="6"/>
      <c r="X22" s="6">
        <v>48</v>
      </c>
      <c r="Y22" s="6"/>
      <c r="Z22" s="6"/>
      <c r="AA22" s="6"/>
      <c r="AB22" s="6"/>
      <c r="AC22" s="6"/>
      <c r="AD22" s="6"/>
      <c r="AE22" s="6">
        <v>36</v>
      </c>
      <c r="AF22" s="6"/>
      <c r="AG22" s="6"/>
      <c r="AH22" s="6"/>
      <c r="AI22" s="11">
        <f>SUM(R22:AH22)</f>
        <v>84</v>
      </c>
      <c r="AJ22" s="11">
        <f>(AI22-R22)/2</f>
        <v>42</v>
      </c>
      <c r="AK22" s="11"/>
      <c r="AL22" s="11"/>
      <c r="AM22" s="11"/>
      <c r="AN22" s="11"/>
      <c r="AO22" s="11"/>
      <c r="AP22" s="11"/>
      <c r="AQ22" s="11"/>
      <c r="AR22" s="11">
        <v>3.2</v>
      </c>
      <c r="AS22" s="11"/>
      <c r="AT22" s="11">
        <v>105</v>
      </c>
      <c r="AU22" s="11"/>
      <c r="AV22" s="11"/>
      <c r="AW22" s="11">
        <v>48</v>
      </c>
      <c r="AX22" s="11"/>
      <c r="AY22" s="11">
        <v>75</v>
      </c>
      <c r="AZ22" s="11">
        <v>112</v>
      </c>
      <c r="BA22" s="11">
        <f>SUM(AJ22:AZ22)</f>
        <v>385.2</v>
      </c>
      <c r="BB22" s="11">
        <f>(BA22-AJ22)/2</f>
        <v>171.6</v>
      </c>
      <c r="BC22" s="11">
        <v>48</v>
      </c>
      <c r="BD22" s="11">
        <v>64</v>
      </c>
      <c r="BE22" s="11">
        <v>60</v>
      </c>
      <c r="BF22" s="11"/>
      <c r="BG22" s="11"/>
      <c r="BH22" s="11"/>
      <c r="BI22" s="11">
        <f>SUM(BB22:BH22)</f>
        <v>343.6</v>
      </c>
      <c r="BJ22" s="11">
        <f>(BI22-BB22)/2</f>
        <v>86.000000000000014</v>
      </c>
      <c r="BK22" s="11"/>
      <c r="BL22" s="11"/>
      <c r="BM22" s="11"/>
      <c r="BN22" s="11"/>
      <c r="BO22" s="11"/>
      <c r="BP22" s="11"/>
      <c r="BQ22" s="11">
        <f>SUM(BJ22:BP22)</f>
        <v>86.000000000000014</v>
      </c>
      <c r="BS22" s="8">
        <f>AI22/4</f>
        <v>21</v>
      </c>
      <c r="BT22" s="8"/>
      <c r="BU22" s="8"/>
      <c r="BV22" s="8"/>
      <c r="BX22" s="8">
        <f>SUM(BS22:BT22)</f>
        <v>21</v>
      </c>
      <c r="BY22" s="8">
        <f>BX22/2</f>
        <v>10.5</v>
      </c>
      <c r="BZ22" s="8">
        <f>BA22/4</f>
        <v>96.3</v>
      </c>
      <c r="CE22" s="6">
        <f>SUM(BY22:CA22)</f>
        <v>106.8</v>
      </c>
      <c r="CF22" s="6">
        <f>(CE22-BY22)/2</f>
        <v>48.15</v>
      </c>
      <c r="CG22" s="11">
        <v>1.5</v>
      </c>
      <c r="CH22" s="11"/>
      <c r="CI22" s="11"/>
      <c r="CJ22" s="11"/>
      <c r="CK22" s="11"/>
      <c r="CL22" s="38">
        <f>SUM(CF22:CH22)</f>
        <v>49.65</v>
      </c>
      <c r="CM22" s="6">
        <f>(CL22-CF22)/2</f>
        <v>0.75</v>
      </c>
      <c r="CN22" s="11"/>
      <c r="CO22" s="11"/>
      <c r="CP22" s="11"/>
      <c r="CQ22" s="6">
        <f>SUM(CM22:CN22)</f>
        <v>0.75</v>
      </c>
    </row>
    <row r="23" spans="1:95" x14ac:dyDescent="0.25">
      <c r="A23">
        <v>13</v>
      </c>
      <c r="B23" s="6" t="s">
        <v>574</v>
      </c>
      <c r="C23" s="6"/>
      <c r="D23" s="6" t="s">
        <v>133</v>
      </c>
      <c r="E23" s="6" t="s">
        <v>121</v>
      </c>
      <c r="F23" s="6"/>
      <c r="G23" s="6"/>
      <c r="H23" s="6"/>
      <c r="I23" s="6"/>
      <c r="J23" s="11"/>
      <c r="K23" s="11"/>
      <c r="L23" s="11"/>
      <c r="M23" s="11"/>
      <c r="N23" s="11"/>
      <c r="O23" s="11"/>
      <c r="P23" s="11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18</v>
      </c>
      <c r="BC23" s="11">
        <v>2.4</v>
      </c>
      <c r="BD23" s="11">
        <v>48</v>
      </c>
      <c r="BE23" s="11">
        <v>2.4</v>
      </c>
      <c r="BF23" s="11">
        <v>3.2</v>
      </c>
      <c r="BG23" s="11">
        <v>7.5</v>
      </c>
      <c r="BH23" s="11"/>
      <c r="BI23" s="11">
        <f>SUM(BB23:BH23)</f>
        <v>81.500000000000014</v>
      </c>
      <c r="BJ23" s="11">
        <f>(BI23-BB23)/2</f>
        <v>31.750000000000007</v>
      </c>
      <c r="BK23" s="11">
        <v>2.4</v>
      </c>
      <c r="BL23" s="11">
        <v>40</v>
      </c>
      <c r="BM23" s="11">
        <v>7.5</v>
      </c>
      <c r="BN23" s="11">
        <v>2.4</v>
      </c>
      <c r="BO23" s="11"/>
      <c r="BP23" s="11"/>
      <c r="BQ23" s="11">
        <f>SUM(BJ23:BP23)</f>
        <v>84.050000000000011</v>
      </c>
      <c r="CE23">
        <f>SUM(BY23:CA23)</f>
        <v>0</v>
      </c>
      <c r="CF23">
        <f>(CE23-BY23)/2</f>
        <v>0</v>
      </c>
      <c r="CL23" s="6">
        <f>SUM(CF23:CK23)</f>
        <v>0</v>
      </c>
      <c r="CM23" s="6">
        <f>(CL23-CF23)/2</f>
        <v>0</v>
      </c>
      <c r="CN23" s="11"/>
      <c r="CO23" s="11"/>
      <c r="CP23" s="11"/>
      <c r="CQ23" s="6">
        <f>SUM(CM23:CN23)</f>
        <v>0</v>
      </c>
    </row>
    <row r="24" spans="1:95" x14ac:dyDescent="0.25">
      <c r="A24">
        <v>14</v>
      </c>
      <c r="B24" s="6" t="s">
        <v>648</v>
      </c>
      <c r="C24" s="6"/>
      <c r="D24" s="6" t="s">
        <v>60</v>
      </c>
      <c r="E24" s="6" t="s">
        <v>412</v>
      </c>
      <c r="F24" s="6"/>
      <c r="G24" s="6"/>
      <c r="H24" s="6"/>
      <c r="I24" s="6"/>
      <c r="J24" s="11"/>
      <c r="K24" s="11"/>
      <c r="L24" s="11"/>
      <c r="M24" s="11"/>
      <c r="N24" s="11"/>
      <c r="O24" s="11"/>
      <c r="P24" s="1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11"/>
      <c r="BD24" s="11"/>
      <c r="BE24" s="11"/>
      <c r="BF24" s="11"/>
      <c r="BG24" s="11"/>
      <c r="BH24" s="11"/>
      <c r="BI24" s="6"/>
      <c r="BJ24" s="6"/>
      <c r="BK24" s="11">
        <v>2.4</v>
      </c>
      <c r="BL24" s="11"/>
      <c r="BM24" s="11">
        <v>75</v>
      </c>
      <c r="BN24" s="11"/>
      <c r="BO24" s="11"/>
      <c r="BP24" s="11"/>
      <c r="BQ24" s="11">
        <f>SUM(BJ24:BP24)</f>
        <v>77.400000000000006</v>
      </c>
      <c r="CL24" s="6">
        <f>SUM(CF24:CK24)</f>
        <v>0</v>
      </c>
      <c r="CM24" s="6">
        <f>(CL24-CF24)/2</f>
        <v>0</v>
      </c>
      <c r="CN24" s="11"/>
      <c r="CO24" s="11"/>
      <c r="CP24" s="11"/>
      <c r="CQ24" s="6">
        <f>SUM(CM24:CN24)</f>
        <v>0</v>
      </c>
    </row>
    <row r="25" spans="1:95" x14ac:dyDescent="0.25">
      <c r="A25">
        <v>15</v>
      </c>
      <c r="B25" s="6" t="s">
        <v>240</v>
      </c>
      <c r="C25" s="6"/>
      <c r="D25" s="6" t="s">
        <v>55</v>
      </c>
      <c r="E25" s="6" t="s">
        <v>29</v>
      </c>
      <c r="F25" s="6"/>
      <c r="G25" s="6"/>
      <c r="H25" s="6"/>
      <c r="I25" s="6"/>
      <c r="J25" s="11"/>
      <c r="K25" s="11"/>
      <c r="L25" s="11"/>
      <c r="M25" s="11"/>
      <c r="N25" s="11"/>
      <c r="O25" s="11"/>
      <c r="P25" s="1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60</v>
      </c>
      <c r="BC25" s="11">
        <v>36</v>
      </c>
      <c r="BD25" s="11">
        <v>44.8</v>
      </c>
      <c r="BE25" s="11">
        <v>5</v>
      </c>
      <c r="BF25" s="11"/>
      <c r="BG25" s="11"/>
      <c r="BH25" s="11"/>
      <c r="BI25" s="11">
        <f>SUM(BB25:BH25)</f>
        <v>145.80000000000001</v>
      </c>
      <c r="BJ25" s="11">
        <f>(BI25-BB25)/2</f>
        <v>42.900000000000006</v>
      </c>
      <c r="BK25" s="11"/>
      <c r="BL25" s="11"/>
      <c r="BM25" s="11"/>
      <c r="BN25" s="11"/>
      <c r="BO25" s="11"/>
      <c r="BP25" s="11"/>
      <c r="BQ25" s="11">
        <f>SUM(BJ25:BP25)</f>
        <v>42.900000000000006</v>
      </c>
      <c r="CL25" s="6">
        <f>SUM(CF25:CK25)</f>
        <v>0</v>
      </c>
      <c r="CM25" s="6">
        <f>(CL25-CF25)/2</f>
        <v>0</v>
      </c>
      <c r="CN25" s="11"/>
      <c r="CO25" s="11"/>
      <c r="CP25" s="11"/>
      <c r="CQ25" s="6">
        <f>SUM(CM25:CN25)</f>
        <v>0</v>
      </c>
    </row>
    <row r="26" spans="1:95" x14ac:dyDescent="0.25">
      <c r="A26">
        <v>16</v>
      </c>
      <c r="B26" s="6" t="s">
        <v>759</v>
      </c>
      <c r="C26" s="6"/>
      <c r="D26" s="6" t="s">
        <v>20</v>
      </c>
      <c r="E26" s="6" t="s">
        <v>538</v>
      </c>
      <c r="F26" s="6"/>
      <c r="G26" s="6"/>
      <c r="H26" s="6"/>
      <c r="I26" s="6"/>
      <c r="J26" s="11"/>
      <c r="K26" s="11"/>
      <c r="L26" s="11"/>
      <c r="M26" s="11"/>
      <c r="N26" s="11"/>
      <c r="O26" s="11"/>
      <c r="P26" s="11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11"/>
      <c r="BD26" s="11"/>
      <c r="BE26" s="11"/>
      <c r="BF26" s="11"/>
      <c r="BG26" s="11"/>
      <c r="BH26" s="11"/>
      <c r="BI26" s="6"/>
      <c r="BJ26" s="6"/>
      <c r="BK26" s="11">
        <v>36</v>
      </c>
      <c r="BL26" s="11">
        <v>3.2</v>
      </c>
      <c r="BM26" s="11"/>
      <c r="BN26" s="11"/>
      <c r="BO26" s="11"/>
      <c r="BP26" s="11"/>
      <c r="BQ26" s="11">
        <f>SUM(BJ26:BP26)</f>
        <v>39.200000000000003</v>
      </c>
      <c r="BS26"/>
      <c r="BW26"/>
      <c r="BX26"/>
      <c r="BY26"/>
      <c r="BZ26"/>
      <c r="CA26"/>
      <c r="CB26"/>
      <c r="CC26"/>
      <c r="CD26"/>
      <c r="CG26"/>
      <c r="CH26"/>
      <c r="CI26"/>
      <c r="CJ26"/>
      <c r="CK26"/>
      <c r="CL26" s="6">
        <f>SUM(CF26:CK26)</f>
        <v>0</v>
      </c>
      <c r="CM26" s="6">
        <f>(CL26-CF26)/2</f>
        <v>0</v>
      </c>
      <c r="CN26" s="11"/>
      <c r="CO26" s="11"/>
      <c r="CP26" s="11"/>
      <c r="CQ26" s="6">
        <f>SUM(CM26:CN26)</f>
        <v>0</v>
      </c>
    </row>
    <row r="27" spans="1:95" x14ac:dyDescent="0.25">
      <c r="A27">
        <v>17</v>
      </c>
      <c r="B27" s="6" t="s">
        <v>551</v>
      </c>
      <c r="C27" s="6"/>
      <c r="D27" s="6" t="s">
        <v>552</v>
      </c>
      <c r="E27" s="6" t="s">
        <v>234</v>
      </c>
      <c r="F27" s="6"/>
      <c r="G27" s="6"/>
      <c r="H27" s="6"/>
      <c r="I27" s="6"/>
      <c r="J27" s="11"/>
      <c r="K27" s="11"/>
      <c r="L27" s="11"/>
      <c r="M27" s="11"/>
      <c r="N27" s="11"/>
      <c r="O27" s="11"/>
      <c r="P27" s="11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11"/>
      <c r="BD27" s="11"/>
      <c r="BE27" s="11">
        <v>54</v>
      </c>
      <c r="BF27" s="11"/>
      <c r="BG27" s="11"/>
      <c r="BH27" s="11"/>
      <c r="BI27" s="11">
        <f>SUM(BB27:BH27)</f>
        <v>54</v>
      </c>
      <c r="BJ27" s="11">
        <f>(BI27-BB27)/2</f>
        <v>27</v>
      </c>
      <c r="BK27" s="11"/>
      <c r="BL27" s="11"/>
      <c r="BM27" s="11"/>
      <c r="BN27" s="11"/>
      <c r="BO27" s="11"/>
      <c r="BP27" s="11"/>
      <c r="BQ27" s="11">
        <f>SUM(BJ27:BP27)</f>
        <v>27</v>
      </c>
      <c r="CE27">
        <f>SUM(BY27:CA27)</f>
        <v>0</v>
      </c>
      <c r="CF27">
        <f>(CE27-BY27)/2</f>
        <v>0</v>
      </c>
      <c r="CL27" s="6">
        <f>SUM(CF27:CK27)</f>
        <v>0</v>
      </c>
      <c r="CM27" s="6">
        <f>(CL27-CF27)/2</f>
        <v>0</v>
      </c>
      <c r="CN27" s="11"/>
      <c r="CO27" s="11"/>
      <c r="CP27" s="11"/>
      <c r="CQ27" s="6">
        <f>SUM(CM27:CN27)</f>
        <v>0</v>
      </c>
    </row>
    <row r="28" spans="1:95" x14ac:dyDescent="0.25">
      <c r="A28">
        <v>18</v>
      </c>
      <c r="B28" s="6" t="s">
        <v>722</v>
      </c>
      <c r="C28" s="6"/>
      <c r="D28" s="6" t="s">
        <v>22</v>
      </c>
      <c r="E28" s="6" t="s">
        <v>27</v>
      </c>
      <c r="F28" s="6"/>
      <c r="G28" s="6"/>
      <c r="H28" s="6"/>
      <c r="I28" s="6"/>
      <c r="J28" s="11"/>
      <c r="K28" s="11"/>
      <c r="L28" s="11"/>
      <c r="M28" s="11"/>
      <c r="N28" s="11"/>
      <c r="O28" s="11"/>
      <c r="P28" s="11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11"/>
      <c r="BD28" s="11"/>
      <c r="BE28" s="11"/>
      <c r="BF28" s="11"/>
      <c r="BG28" s="11"/>
      <c r="BH28" s="11"/>
      <c r="BI28" s="6"/>
      <c r="BJ28" s="6"/>
      <c r="BK28" s="11">
        <v>2.4</v>
      </c>
      <c r="BL28" s="11"/>
      <c r="BM28" s="11">
        <v>7.5</v>
      </c>
      <c r="BN28" s="11"/>
      <c r="BO28" s="11"/>
      <c r="BP28" s="11"/>
      <c r="BQ28" s="11">
        <f>SUM(BJ28:BP28)</f>
        <v>9.9</v>
      </c>
      <c r="CL28" s="6">
        <f>SUM(CF28:CK28)</f>
        <v>0</v>
      </c>
      <c r="CM28" s="6">
        <f>(CL28-CF28)/2</f>
        <v>0</v>
      </c>
      <c r="CN28" s="11"/>
      <c r="CO28" s="11"/>
      <c r="CP28" s="11"/>
      <c r="CQ28" s="6">
        <f>SUM(CM28:CN28)</f>
        <v>0</v>
      </c>
    </row>
    <row r="29" spans="1:95" x14ac:dyDescent="0.25">
      <c r="A29">
        <v>19</v>
      </c>
      <c r="B29" s="6" t="s">
        <v>553</v>
      </c>
      <c r="C29" s="6"/>
      <c r="D29" s="6" t="s">
        <v>497</v>
      </c>
      <c r="E29" s="6" t="s">
        <v>193</v>
      </c>
      <c r="F29" s="6"/>
      <c r="G29" s="6"/>
      <c r="H29" s="6"/>
      <c r="I29" s="6"/>
      <c r="J29" s="11"/>
      <c r="K29" s="11"/>
      <c r="L29" s="11"/>
      <c r="M29" s="11"/>
      <c r="N29" s="11"/>
      <c r="O29" s="11"/>
      <c r="P29" s="11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11"/>
      <c r="BD29" s="11"/>
      <c r="BE29" s="11">
        <v>7.5</v>
      </c>
      <c r="BF29" s="11">
        <v>7.5</v>
      </c>
      <c r="BG29" s="11"/>
      <c r="BH29" s="11"/>
      <c r="BI29" s="11">
        <f>SUM(BB29:BH29)</f>
        <v>15</v>
      </c>
      <c r="BJ29" s="11">
        <f>(BI29-BB29)/2</f>
        <v>7.5</v>
      </c>
      <c r="BK29" s="11"/>
      <c r="BL29" s="11"/>
      <c r="BM29" s="11"/>
      <c r="BN29" s="11"/>
      <c r="BO29" s="11"/>
      <c r="BP29" s="11"/>
      <c r="BQ29" s="11">
        <f>SUM(BJ29:BP29)</f>
        <v>7.5</v>
      </c>
      <c r="CE29">
        <f>SUM(BY29:CA29)</f>
        <v>0</v>
      </c>
      <c r="CF29">
        <f>(CE29-BY29)/2</f>
        <v>0</v>
      </c>
      <c r="CL29" s="6">
        <f>SUM(CF29:CK29)</f>
        <v>0</v>
      </c>
      <c r="CM29" s="6">
        <f>(CL29-CF29)/2</f>
        <v>0</v>
      </c>
      <c r="CN29" s="11"/>
      <c r="CO29" s="11"/>
      <c r="CP29" s="11"/>
      <c r="CQ29" s="6">
        <f>SUM(CM29:CN29)</f>
        <v>0</v>
      </c>
    </row>
    <row r="30" spans="1:95" x14ac:dyDescent="0.25">
      <c r="A30">
        <v>20</v>
      </c>
      <c r="B30" s="6" t="s">
        <v>763</v>
      </c>
      <c r="C30" s="6"/>
      <c r="D30" s="6" t="s">
        <v>764</v>
      </c>
      <c r="E30" s="6" t="s">
        <v>193</v>
      </c>
      <c r="F30" s="6"/>
      <c r="G30" s="6"/>
      <c r="H30" s="6"/>
      <c r="I30" s="6"/>
      <c r="J30" s="11"/>
      <c r="K30" s="11"/>
      <c r="L30" s="11"/>
      <c r="M30" s="11"/>
      <c r="N30" s="11"/>
      <c r="O30" s="11"/>
      <c r="P30" s="11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11"/>
      <c r="BD30" s="11"/>
      <c r="BE30" s="11"/>
      <c r="BF30" s="11"/>
      <c r="BG30" s="11"/>
      <c r="BH30" s="11"/>
      <c r="BI30" s="6"/>
      <c r="BJ30" s="6"/>
      <c r="BK30" s="11"/>
      <c r="BL30" s="11">
        <v>3.2</v>
      </c>
      <c r="BM30" s="11"/>
      <c r="BN30" s="11"/>
      <c r="BO30" s="11"/>
      <c r="BP30" s="11"/>
      <c r="BQ30" s="11">
        <f>SUM(BJ30:BP30)</f>
        <v>3.2</v>
      </c>
      <c r="CL30" s="6">
        <f>SUM(CF30:CK30)</f>
        <v>0</v>
      </c>
      <c r="CM30" s="6">
        <f>(CL30-CF30)/2</f>
        <v>0</v>
      </c>
      <c r="CN30" s="11"/>
      <c r="CO30" s="11"/>
      <c r="CP30" s="11"/>
      <c r="CQ30" s="6">
        <f>SUM(CM30:CN30)</f>
        <v>0</v>
      </c>
    </row>
    <row r="31" spans="1:95" x14ac:dyDescent="0.25">
      <c r="A31">
        <v>21</v>
      </c>
      <c r="B31" s="6" t="s">
        <v>784</v>
      </c>
      <c r="C31" s="6"/>
      <c r="D31" s="6" t="s">
        <v>569</v>
      </c>
      <c r="E31" s="6" t="s">
        <v>93</v>
      </c>
      <c r="F31" s="6"/>
      <c r="G31" s="6"/>
      <c r="H31" s="6"/>
      <c r="I31" s="6"/>
      <c r="J31" s="11"/>
      <c r="K31" s="11"/>
      <c r="L31" s="11"/>
      <c r="M31" s="11"/>
      <c r="N31" s="11"/>
      <c r="O31" s="11"/>
      <c r="P31" s="11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11"/>
      <c r="BD31" s="11"/>
      <c r="BE31" s="11"/>
      <c r="BF31" s="11"/>
      <c r="BG31" s="11"/>
      <c r="BH31" s="11"/>
      <c r="BI31" s="6"/>
      <c r="BJ31" s="6"/>
      <c r="BK31" s="11">
        <v>2.4</v>
      </c>
      <c r="BL31" s="11"/>
      <c r="BM31" s="11"/>
      <c r="BN31" s="11"/>
      <c r="BO31" s="11"/>
      <c r="BP31" s="11"/>
      <c r="BQ31" s="11">
        <f>SUM(BJ31:BP31)</f>
        <v>2.4</v>
      </c>
      <c r="CL31" s="6">
        <f>SUM(CF31:CK31)</f>
        <v>0</v>
      </c>
      <c r="CM31" s="6">
        <f>(CL31-CF31)/2</f>
        <v>0</v>
      </c>
      <c r="CN31" s="11"/>
      <c r="CO31" s="11"/>
      <c r="CP31" s="11"/>
      <c r="CQ31" s="6">
        <f>SUM(CM31:CN31)</f>
        <v>0</v>
      </c>
    </row>
    <row r="32" spans="1:95" x14ac:dyDescent="0.25">
      <c r="A32">
        <v>22</v>
      </c>
      <c r="B32" s="6" t="s">
        <v>87</v>
      </c>
      <c r="C32" s="6"/>
      <c r="D32" s="6" t="s">
        <v>222</v>
      </c>
      <c r="E32" s="6" t="s">
        <v>196</v>
      </c>
      <c r="F32" s="6"/>
      <c r="G32" s="6"/>
      <c r="H32" s="6"/>
      <c r="I32" s="6"/>
      <c r="J32" s="11"/>
      <c r="K32" s="11"/>
      <c r="L32" s="11"/>
      <c r="M32" s="11"/>
      <c r="N32" s="11"/>
      <c r="O32" s="11"/>
      <c r="P32" s="11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>
        <v>36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11">
        <f>SUM(AJ32:AZ32)</f>
        <v>36</v>
      </c>
      <c r="BB32" s="11">
        <f>(BA32-AJ32)/2</f>
        <v>18</v>
      </c>
      <c r="BC32" s="11"/>
      <c r="BD32" s="11"/>
      <c r="BE32" s="11"/>
      <c r="BF32" s="11"/>
      <c r="BG32" s="11"/>
      <c r="BH32" s="11"/>
      <c r="BI32" s="11">
        <f>SUM(BB32:BH32)</f>
        <v>18</v>
      </c>
      <c r="BJ32" s="11">
        <f>(BI32-BB32)/2</f>
        <v>0</v>
      </c>
      <c r="BK32" s="11"/>
      <c r="BL32" s="11"/>
      <c r="BM32" s="11"/>
      <c r="BN32" s="11"/>
      <c r="BO32" s="11"/>
      <c r="BP32" s="11"/>
      <c r="BQ32" s="11">
        <f>SUM(BJ32:BP32)</f>
        <v>0</v>
      </c>
      <c r="BX32" s="8">
        <f>SUM(BS32:BT32)</f>
        <v>0</v>
      </c>
      <c r="BY32" s="8">
        <f>BX32/2</f>
        <v>0</v>
      </c>
      <c r="BZ32" s="8">
        <f>BA32/4</f>
        <v>9</v>
      </c>
      <c r="CE32">
        <f>SUM(BY32:CA32)</f>
        <v>9</v>
      </c>
      <c r="CF32">
        <f>(CE32-BY32)/2</f>
        <v>4.5</v>
      </c>
      <c r="CL32" s="6">
        <f>SUM(CF32:CK32)</f>
        <v>4.5</v>
      </c>
      <c r="CM32" s="6">
        <f>(CL32-CF32)/2</f>
        <v>0</v>
      </c>
      <c r="CN32" s="11"/>
      <c r="CO32" s="11"/>
      <c r="CP32" s="11"/>
      <c r="CQ32" s="6">
        <f>SUM(CM32:CN32)</f>
        <v>0</v>
      </c>
    </row>
    <row r="33" spans="1:95" x14ac:dyDescent="0.25">
      <c r="A33">
        <v>23</v>
      </c>
      <c r="B33" s="6" t="s">
        <v>609</v>
      </c>
      <c r="C33" s="6"/>
      <c r="D33" s="6" t="s">
        <v>22</v>
      </c>
      <c r="E33" s="6" t="s">
        <v>573</v>
      </c>
      <c r="F33" s="6"/>
      <c r="G33" s="6"/>
      <c r="H33" s="6"/>
      <c r="I33" s="6"/>
      <c r="J33" s="11"/>
      <c r="K33" s="11"/>
      <c r="L33" s="11"/>
      <c r="M33" s="11"/>
      <c r="N33" s="11"/>
      <c r="O33" s="11"/>
      <c r="P33" s="11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11"/>
      <c r="BD33" s="11"/>
      <c r="BE33" s="11"/>
      <c r="BF33" s="11"/>
      <c r="BG33" s="11"/>
      <c r="BH33" s="11"/>
      <c r="BI33" s="11">
        <f>SUM(BB33:BH33)</f>
        <v>0</v>
      </c>
      <c r="BJ33" s="11">
        <f>(BI33-BB33)/2</f>
        <v>0</v>
      </c>
      <c r="BK33" s="11"/>
      <c r="BL33" s="11"/>
      <c r="BM33" s="11"/>
      <c r="BN33" s="11"/>
      <c r="BO33" s="11"/>
      <c r="BP33" s="11"/>
      <c r="BQ33" s="11">
        <f>SUM(BJ33:BP33)</f>
        <v>0</v>
      </c>
      <c r="CE33">
        <f>SUM(BY33:CA33)</f>
        <v>0</v>
      </c>
      <c r="CF33">
        <f>(CE33-BY33)/2</f>
        <v>0</v>
      </c>
      <c r="CK33" s="8">
        <v>2</v>
      </c>
      <c r="CL33" s="6">
        <f>SUM(CF33:CK33)</f>
        <v>2</v>
      </c>
      <c r="CM33" s="6">
        <f>(CL33-CF33)/2</f>
        <v>1</v>
      </c>
      <c r="CN33" s="11"/>
      <c r="CO33" s="11"/>
      <c r="CP33" s="11"/>
      <c r="CQ33" s="6">
        <f>SUM(CM33:CN33)</f>
        <v>1</v>
      </c>
    </row>
  </sheetData>
  <sortState xmlns:xlrd2="http://schemas.microsoft.com/office/spreadsheetml/2017/richdata2" ref="B11:CQ33">
    <sortCondition descending="1" ref="BQ11:BQ33"/>
  </sortState>
  <mergeCells count="6">
    <mergeCell ref="B1:CQ1"/>
    <mergeCell ref="B8:C10"/>
    <mergeCell ref="BE9:BH9"/>
    <mergeCell ref="BM9:BP9"/>
    <mergeCell ref="D4:BQ5"/>
    <mergeCell ref="BS4:CQ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Z71"/>
  <sheetViews>
    <sheetView zoomScale="80" zoomScaleNormal="80" workbookViewId="0">
      <selection activeCell="B11" sqref="B11:DZ71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2.42578125" bestFit="1" customWidth="1"/>
    <col min="4" max="4" width="13.28515625" bestFit="1" customWidth="1"/>
    <col min="5" max="5" width="23.42578125" bestFit="1" customWidth="1"/>
    <col min="6" max="6" width="6.7109375" hidden="1" customWidth="1"/>
    <col min="7" max="11" width="6.42578125" hidden="1" customWidth="1"/>
    <col min="12" max="14" width="7.28515625" hidden="1" customWidth="1"/>
    <col min="15" max="15" width="7.28515625" style="8" hidden="1" customWidth="1"/>
    <col min="16" max="20" width="6.28515625" style="8" hidden="1" customWidth="1"/>
    <col min="21" max="23" width="6.7109375" style="8" hidden="1" customWidth="1"/>
    <col min="24" max="30" width="7.28515625" style="8" hidden="1" customWidth="1"/>
    <col min="31" max="32" width="0" hidden="1" customWidth="1"/>
    <col min="33" max="50" width="6" style="8" hidden="1" customWidth="1"/>
    <col min="51" max="51" width="10.5703125" style="8" hidden="1" customWidth="1"/>
    <col min="52" max="56" width="6" style="8" hidden="1" customWidth="1"/>
    <col min="57" max="57" width="6.7109375" hidden="1" customWidth="1"/>
    <col min="58" max="58" width="7.140625" style="8" hidden="1" customWidth="1"/>
    <col min="59" max="59" width="10.5703125" style="8" hidden="1" customWidth="1"/>
    <col min="60" max="61" width="6" style="8" hidden="1" customWidth="1"/>
    <col min="62" max="64" width="6.7109375" style="8" hidden="1" customWidth="1"/>
    <col min="65" max="76" width="6" style="8" hidden="1" customWidth="1"/>
    <col min="77" max="77" width="10.85546875" style="8" hidden="1" customWidth="1"/>
    <col min="78" max="84" width="6.140625" style="8" hidden="1" customWidth="1"/>
    <col min="85" max="85" width="6.7109375" hidden="1" customWidth="1"/>
    <col min="86" max="86" width="7.85546875" hidden="1" customWidth="1"/>
    <col min="87" max="92" width="6.7109375" style="8" hidden="1" customWidth="1"/>
    <col min="93" max="93" width="6.7109375" customWidth="1"/>
    <col min="94" max="94" width="7.85546875" bestFit="1" customWidth="1"/>
    <col min="95" max="96" width="6.7109375" style="8" customWidth="1"/>
    <col min="97" max="97" width="6.7109375" customWidth="1"/>
    <col min="98" max="98" width="6.7109375" style="8" customWidth="1"/>
    <col min="99" max="101" width="6.7109375" customWidth="1"/>
    <col min="103" max="103" width="0" hidden="1" customWidth="1"/>
    <col min="104" max="104" width="8.5703125" hidden="1" customWidth="1"/>
    <col min="105" max="107" width="7.140625" hidden="1" customWidth="1"/>
    <col min="108" max="108" width="0" hidden="1" customWidth="1"/>
    <col min="109" max="110" width="0" style="8" hidden="1" customWidth="1"/>
    <col min="111" max="118" width="6" style="8" hidden="1" customWidth="1"/>
    <col min="119" max="119" width="0" hidden="1" customWidth="1"/>
    <col min="120" max="120" width="10" hidden="1" customWidth="1"/>
    <col min="121" max="121" width="6.7109375" style="8" hidden="1" customWidth="1"/>
    <col min="122" max="124" width="6" style="8" hidden="1" customWidth="1"/>
    <col min="127" max="127" width="9.28515625" style="8" bestFit="1" customWidth="1"/>
    <col min="128" max="128" width="6" style="8" bestFit="1" customWidth="1"/>
    <col min="129" max="129" width="6" style="8" customWidth="1"/>
  </cols>
  <sheetData>
    <row r="1" spans="1:130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</row>
    <row r="2" spans="1:130" ht="15.75" thickBot="1" x14ac:dyDescent="0.3">
      <c r="C2" s="8"/>
      <c r="D2" s="8"/>
      <c r="E2" s="8"/>
      <c r="F2" s="8"/>
      <c r="CY2" s="8"/>
      <c r="DD2" s="8"/>
    </row>
    <row r="3" spans="1:130" ht="15.75" thickTop="1" x14ac:dyDescent="0.25">
      <c r="B3" s="1" t="s">
        <v>0</v>
      </c>
      <c r="C3" s="4" t="s">
        <v>18</v>
      </c>
      <c r="CY3" s="8"/>
      <c r="DD3" s="8"/>
    </row>
    <row r="4" spans="1:130" ht="14.6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Y4" s="64" t="s">
        <v>617</v>
      </c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</row>
    <row r="5" spans="1:130" ht="15" customHeight="1" thickBot="1" x14ac:dyDescent="0.3">
      <c r="B5" s="3" t="s">
        <v>2</v>
      </c>
      <c r="C5" s="33">
        <v>-55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</row>
    <row r="6" spans="1:130" ht="15.75" thickTop="1" x14ac:dyDescent="0.25">
      <c r="CY6" s="8"/>
      <c r="DD6" s="8"/>
    </row>
    <row r="7" spans="1:130" ht="15.75" thickBot="1" x14ac:dyDescent="0.3">
      <c r="CY7" s="8"/>
      <c r="DD7" s="8"/>
    </row>
    <row r="8" spans="1:130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25</v>
      </c>
      <c r="J8" s="4" t="s">
        <v>15</v>
      </c>
      <c r="K8" s="4" t="s">
        <v>79</v>
      </c>
      <c r="L8" s="4" t="s">
        <v>100</v>
      </c>
      <c r="M8" s="4" t="s">
        <v>102</v>
      </c>
      <c r="N8" s="4" t="s">
        <v>15</v>
      </c>
      <c r="O8" s="4" t="s">
        <v>15</v>
      </c>
      <c r="P8" s="4" t="s">
        <v>136</v>
      </c>
      <c r="Q8" s="4" t="s">
        <v>139</v>
      </c>
      <c r="R8" s="4" t="s">
        <v>142</v>
      </c>
      <c r="S8" s="4" t="s">
        <v>145</v>
      </c>
      <c r="T8" s="4" t="s">
        <v>15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</v>
      </c>
      <c r="Z8" s="4" t="s">
        <v>15</v>
      </c>
      <c r="AA8" s="4" t="s">
        <v>15</v>
      </c>
      <c r="AB8" s="4" t="s">
        <v>159</v>
      </c>
      <c r="AC8" s="4" t="s">
        <v>15</v>
      </c>
      <c r="AD8" s="4" t="s">
        <v>164</v>
      </c>
      <c r="AE8" s="1"/>
      <c r="AF8" s="12">
        <v>44927</v>
      </c>
      <c r="AG8" s="4" t="s">
        <v>15</v>
      </c>
      <c r="AH8" s="4" t="s">
        <v>15</v>
      </c>
      <c r="AI8" s="13" t="s">
        <v>15</v>
      </c>
      <c r="AJ8" s="4" t="s">
        <v>15</v>
      </c>
      <c r="AK8" s="4" t="s">
        <v>184</v>
      </c>
      <c r="AL8" s="4" t="s">
        <v>15</v>
      </c>
      <c r="AM8" s="4" t="s">
        <v>15</v>
      </c>
      <c r="AN8" s="4" t="s">
        <v>15</v>
      </c>
      <c r="AO8" s="4" t="s">
        <v>224</v>
      </c>
      <c r="AP8" s="4" t="s">
        <v>224</v>
      </c>
      <c r="AQ8" s="4" t="s">
        <v>224</v>
      </c>
      <c r="AR8" s="4" t="s">
        <v>15</v>
      </c>
      <c r="AS8" s="4" t="s">
        <v>164</v>
      </c>
      <c r="AT8" s="4" t="s">
        <v>15</v>
      </c>
      <c r="AU8" s="4" t="s">
        <v>15</v>
      </c>
      <c r="AV8" s="4" t="s">
        <v>15</v>
      </c>
      <c r="AW8" s="4" t="s">
        <v>15</v>
      </c>
      <c r="AX8" s="4" t="s">
        <v>15</v>
      </c>
      <c r="AY8" s="4" t="s">
        <v>15</v>
      </c>
      <c r="AZ8" s="4" t="s">
        <v>164</v>
      </c>
      <c r="BA8" s="4" t="s">
        <v>15</v>
      </c>
      <c r="BB8" s="4" t="s">
        <v>15</v>
      </c>
      <c r="BC8" s="4" t="s">
        <v>15</v>
      </c>
      <c r="BD8" s="4" t="s">
        <v>165</v>
      </c>
      <c r="BE8" s="4" t="s">
        <v>6</v>
      </c>
      <c r="BF8" s="28">
        <v>45292</v>
      </c>
      <c r="BG8" s="28" t="s">
        <v>15</v>
      </c>
      <c r="BH8" s="28" t="s">
        <v>15</v>
      </c>
      <c r="BI8" s="28" t="s">
        <v>15</v>
      </c>
      <c r="BJ8" s="28" t="s">
        <v>15</v>
      </c>
      <c r="BK8" s="28" t="s">
        <v>15</v>
      </c>
      <c r="BL8" s="28" t="s">
        <v>15</v>
      </c>
      <c r="BM8" s="28" t="s">
        <v>15</v>
      </c>
      <c r="BN8" s="28" t="s">
        <v>15</v>
      </c>
      <c r="BO8" s="28" t="s">
        <v>164</v>
      </c>
      <c r="BP8" s="28" t="s">
        <v>15</v>
      </c>
      <c r="BQ8" s="28" t="s">
        <v>164</v>
      </c>
      <c r="BR8" s="28" t="s">
        <v>224</v>
      </c>
      <c r="BS8" s="28" t="s">
        <v>224</v>
      </c>
      <c r="BT8" s="28" t="s">
        <v>224</v>
      </c>
      <c r="BU8" s="28" t="s">
        <v>164</v>
      </c>
      <c r="BV8" s="28" t="s">
        <v>15</v>
      </c>
      <c r="BW8" s="28" t="s">
        <v>15</v>
      </c>
      <c r="BX8" s="28" t="s">
        <v>15</v>
      </c>
      <c r="BY8" s="28" t="s">
        <v>15</v>
      </c>
      <c r="BZ8" s="28" t="s">
        <v>15</v>
      </c>
      <c r="CA8" s="28" t="s">
        <v>15</v>
      </c>
      <c r="CB8" s="28" t="s">
        <v>15</v>
      </c>
      <c r="CC8" s="28" t="s">
        <v>15</v>
      </c>
      <c r="CD8" s="28" t="s">
        <v>15</v>
      </c>
      <c r="CE8" s="28" t="s">
        <v>164</v>
      </c>
      <c r="CF8" s="28" t="s">
        <v>165</v>
      </c>
      <c r="CG8" s="28" t="s">
        <v>6</v>
      </c>
      <c r="CH8" s="28">
        <v>45658</v>
      </c>
      <c r="CI8" s="28"/>
      <c r="CJ8" s="28"/>
      <c r="CK8" s="35"/>
      <c r="CL8" s="36"/>
      <c r="CM8" s="36"/>
      <c r="CN8" s="37"/>
      <c r="CO8" s="28" t="s">
        <v>6</v>
      </c>
      <c r="CP8" s="28">
        <v>46023</v>
      </c>
      <c r="CQ8" s="28"/>
      <c r="CR8" s="28"/>
      <c r="CS8" s="35"/>
      <c r="CT8" s="36"/>
      <c r="CU8" s="36"/>
      <c r="CV8" s="37"/>
      <c r="CW8" s="28" t="s">
        <v>213</v>
      </c>
      <c r="CY8" s="4" t="s">
        <v>212</v>
      </c>
      <c r="CZ8" s="1" t="s">
        <v>215</v>
      </c>
      <c r="DA8" s="13" t="s">
        <v>163</v>
      </c>
      <c r="DB8" s="13" t="s">
        <v>281</v>
      </c>
      <c r="DC8" s="13" t="s">
        <v>282</v>
      </c>
      <c r="DD8" s="4" t="s">
        <v>213</v>
      </c>
      <c r="DE8" s="28">
        <v>45292</v>
      </c>
      <c r="DF8" s="4" t="s">
        <v>212</v>
      </c>
      <c r="DG8" s="4" t="s">
        <v>287</v>
      </c>
      <c r="DH8" s="4" t="s">
        <v>330</v>
      </c>
      <c r="DI8" s="4" t="s">
        <v>25</v>
      </c>
      <c r="DJ8" s="4" t="s">
        <v>156</v>
      </c>
      <c r="DK8" s="4" t="s">
        <v>397</v>
      </c>
      <c r="DL8" s="4" t="s">
        <v>156</v>
      </c>
      <c r="DM8" s="4" t="s">
        <v>163</v>
      </c>
      <c r="DN8" s="4" t="s">
        <v>282</v>
      </c>
      <c r="DO8" s="1" t="s">
        <v>6</v>
      </c>
      <c r="DP8" s="28">
        <v>45658</v>
      </c>
      <c r="DQ8" s="4" t="s">
        <v>287</v>
      </c>
      <c r="DR8" s="4" t="s">
        <v>25</v>
      </c>
      <c r="DS8" s="4" t="s">
        <v>163</v>
      </c>
      <c r="DT8" s="4" t="s">
        <v>282</v>
      </c>
      <c r="DU8" s="4" t="s">
        <v>213</v>
      </c>
      <c r="DV8" s="28">
        <v>46023</v>
      </c>
      <c r="DW8" s="4" t="s">
        <v>740</v>
      </c>
      <c r="DX8" s="4" t="s">
        <v>770</v>
      </c>
      <c r="DY8" s="4" t="s">
        <v>163</v>
      </c>
      <c r="DZ8" s="1" t="s">
        <v>6</v>
      </c>
    </row>
    <row r="9" spans="1:130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5" t="s">
        <v>28</v>
      </c>
      <c r="J9" s="5" t="s">
        <v>70</v>
      </c>
      <c r="K9" s="9" t="s">
        <v>80</v>
      </c>
      <c r="L9" s="9" t="s">
        <v>101</v>
      </c>
      <c r="M9" s="9" t="s">
        <v>103</v>
      </c>
      <c r="N9" s="9" t="s">
        <v>130</v>
      </c>
      <c r="O9" s="9" t="s">
        <v>120</v>
      </c>
      <c r="P9" s="9" t="s">
        <v>138</v>
      </c>
      <c r="Q9" s="9" t="s">
        <v>141</v>
      </c>
      <c r="R9" s="9" t="s">
        <v>143</v>
      </c>
      <c r="S9" s="9" t="s">
        <v>80</v>
      </c>
      <c r="T9" s="9" t="s">
        <v>148</v>
      </c>
      <c r="U9" s="9" t="s">
        <v>54</v>
      </c>
      <c r="V9" s="9" t="s">
        <v>153</v>
      </c>
      <c r="W9" s="9" t="s">
        <v>130</v>
      </c>
      <c r="X9" s="9" t="s">
        <v>148</v>
      </c>
      <c r="Y9" s="9" t="s">
        <v>120</v>
      </c>
      <c r="Z9" s="9" t="s">
        <v>16</v>
      </c>
      <c r="AA9" s="9" t="s">
        <v>155</v>
      </c>
      <c r="AB9" s="9" t="s">
        <v>160</v>
      </c>
      <c r="AC9" s="9" t="s">
        <v>155</v>
      </c>
      <c r="AD9" s="9" t="s">
        <v>165</v>
      </c>
      <c r="AE9" s="2" t="s">
        <v>6</v>
      </c>
      <c r="AF9" s="2"/>
      <c r="AG9" s="9" t="s">
        <v>54</v>
      </c>
      <c r="AH9" s="5" t="s">
        <v>16</v>
      </c>
      <c r="AI9" s="14" t="s">
        <v>148</v>
      </c>
      <c r="AJ9" s="5" t="s">
        <v>40</v>
      </c>
      <c r="AK9" s="9" t="s">
        <v>136</v>
      </c>
      <c r="AL9" s="9" t="s">
        <v>130</v>
      </c>
      <c r="AM9" s="9" t="s">
        <v>155</v>
      </c>
      <c r="AN9" s="9" t="s">
        <v>70</v>
      </c>
      <c r="AO9" s="9" t="s">
        <v>139</v>
      </c>
      <c r="AP9" s="9" t="s">
        <v>142</v>
      </c>
      <c r="AQ9" s="9" t="s">
        <v>136</v>
      </c>
      <c r="AR9" s="9" t="s">
        <v>120</v>
      </c>
      <c r="AS9" s="9" t="s">
        <v>139</v>
      </c>
      <c r="AT9" s="9" t="s">
        <v>256</v>
      </c>
      <c r="AU9" s="9" t="s">
        <v>54</v>
      </c>
      <c r="AV9" s="9" t="s">
        <v>155</v>
      </c>
      <c r="AW9" s="9" t="s">
        <v>130</v>
      </c>
      <c r="AX9" s="9" t="s">
        <v>40</v>
      </c>
      <c r="AY9" s="9" t="s">
        <v>268</v>
      </c>
      <c r="AZ9" s="9" t="s">
        <v>142</v>
      </c>
      <c r="BA9" s="9" t="s">
        <v>120</v>
      </c>
      <c r="BB9" s="9" t="s">
        <v>16</v>
      </c>
      <c r="BC9" s="9" t="s">
        <v>256</v>
      </c>
      <c r="BD9" s="9"/>
      <c r="BE9" s="2"/>
      <c r="BF9" s="5"/>
      <c r="BG9" s="5" t="s">
        <v>268</v>
      </c>
      <c r="BH9" s="5" t="s">
        <v>148</v>
      </c>
      <c r="BI9" s="5" t="s">
        <v>333</v>
      </c>
      <c r="BJ9" s="5" t="s">
        <v>130</v>
      </c>
      <c r="BK9" s="5" t="s">
        <v>120</v>
      </c>
      <c r="BL9" s="5" t="s">
        <v>153</v>
      </c>
      <c r="BM9" s="5" t="s">
        <v>40</v>
      </c>
      <c r="BN9" s="5" t="s">
        <v>54</v>
      </c>
      <c r="BO9" s="5" t="s">
        <v>139</v>
      </c>
      <c r="BP9" s="5" t="s">
        <v>166</v>
      </c>
      <c r="BQ9" s="5" t="s">
        <v>372</v>
      </c>
      <c r="BR9" s="5" t="s">
        <v>139</v>
      </c>
      <c r="BS9" s="5" t="s">
        <v>136</v>
      </c>
      <c r="BT9" s="5" t="s">
        <v>142</v>
      </c>
      <c r="BU9" s="5" t="s">
        <v>136</v>
      </c>
      <c r="BV9" s="5" t="s">
        <v>130</v>
      </c>
      <c r="BW9" s="5" t="s">
        <v>333</v>
      </c>
      <c r="BX9" s="5" t="s">
        <v>40</v>
      </c>
      <c r="BY9" s="5" t="s">
        <v>268</v>
      </c>
      <c r="BZ9" s="5" t="s">
        <v>54</v>
      </c>
      <c r="CA9" s="5" t="s">
        <v>153</v>
      </c>
      <c r="CB9" s="5" t="s">
        <v>16</v>
      </c>
      <c r="CC9" s="5" t="s">
        <v>120</v>
      </c>
      <c r="CD9" s="5" t="s">
        <v>417</v>
      </c>
      <c r="CE9" s="5" t="s">
        <v>142</v>
      </c>
      <c r="CF9" s="5" t="s">
        <v>427</v>
      </c>
      <c r="CG9" s="5"/>
      <c r="CH9" s="5"/>
      <c r="CI9" s="9" t="s">
        <v>15</v>
      </c>
      <c r="CJ9" s="9" t="s">
        <v>224</v>
      </c>
      <c r="CK9" s="60" t="s">
        <v>429</v>
      </c>
      <c r="CL9" s="61"/>
      <c r="CM9" s="61"/>
      <c r="CN9" s="62"/>
      <c r="CO9" s="5"/>
      <c r="CP9" s="5"/>
      <c r="CQ9" s="9" t="s">
        <v>15</v>
      </c>
      <c r="CR9" s="9" t="s">
        <v>224</v>
      </c>
      <c r="CS9" s="60" t="s">
        <v>429</v>
      </c>
      <c r="CT9" s="61"/>
      <c r="CU9" s="61"/>
      <c r="CV9" s="62"/>
      <c r="CW9" s="9"/>
      <c r="CY9" s="5" t="s">
        <v>214</v>
      </c>
      <c r="CZ9" s="2"/>
      <c r="DA9" s="14" t="s">
        <v>260</v>
      </c>
      <c r="DB9" s="14"/>
      <c r="DC9" s="14" t="s">
        <v>283</v>
      </c>
      <c r="DD9" s="5"/>
      <c r="DF9" s="5" t="s">
        <v>214</v>
      </c>
      <c r="DG9" s="5"/>
      <c r="DH9" s="5" t="s">
        <v>331</v>
      </c>
      <c r="DI9" s="5" t="s">
        <v>343</v>
      </c>
      <c r="DJ9" s="5" t="s">
        <v>28</v>
      </c>
      <c r="DK9" s="5" t="s">
        <v>28</v>
      </c>
      <c r="DL9" s="5" t="s">
        <v>260</v>
      </c>
      <c r="DM9" s="5" t="s">
        <v>260</v>
      </c>
      <c r="DN9" s="5" t="s">
        <v>80</v>
      </c>
      <c r="DO9" s="2"/>
      <c r="DP9" s="5"/>
      <c r="DQ9" s="5"/>
      <c r="DR9" s="5" t="s">
        <v>28</v>
      </c>
      <c r="DS9" s="5" t="s">
        <v>260</v>
      </c>
      <c r="DT9" s="5" t="s">
        <v>80</v>
      </c>
      <c r="DU9" s="5"/>
      <c r="DV9" s="5"/>
      <c r="DW9" s="5" t="s">
        <v>741</v>
      </c>
      <c r="DX9" s="5" t="s">
        <v>28</v>
      </c>
      <c r="DY9" s="5" t="s">
        <v>28</v>
      </c>
      <c r="DZ9" s="2"/>
    </row>
    <row r="10" spans="1:130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44674</v>
      </c>
      <c r="K10" s="10">
        <v>44681</v>
      </c>
      <c r="L10" s="10">
        <v>44684</v>
      </c>
      <c r="M10" s="10">
        <v>44695</v>
      </c>
      <c r="N10" s="10">
        <v>44709</v>
      </c>
      <c r="O10" s="10">
        <v>44709</v>
      </c>
      <c r="P10" s="10">
        <v>44730</v>
      </c>
      <c r="Q10" s="10">
        <v>44730</v>
      </c>
      <c r="R10" s="10">
        <v>44737</v>
      </c>
      <c r="S10" s="10">
        <v>44759</v>
      </c>
      <c r="T10" s="10">
        <v>44765</v>
      </c>
      <c r="U10" s="10">
        <v>44779</v>
      </c>
      <c r="V10" s="10">
        <v>44800</v>
      </c>
      <c r="W10" s="10">
        <v>44800</v>
      </c>
      <c r="X10" s="10">
        <v>44814</v>
      </c>
      <c r="Y10" s="10">
        <v>44814</v>
      </c>
      <c r="Z10" s="10">
        <v>44814</v>
      </c>
      <c r="AA10" s="10">
        <v>44814</v>
      </c>
      <c r="AB10" s="10">
        <v>44829</v>
      </c>
      <c r="AC10" s="10">
        <v>44856</v>
      </c>
      <c r="AD10" s="10">
        <v>44906</v>
      </c>
      <c r="AE10" s="2">
        <v>2022</v>
      </c>
      <c r="AF10" s="2"/>
      <c r="AG10" s="5" t="s">
        <v>171</v>
      </c>
      <c r="AH10" s="5" t="s">
        <v>168</v>
      </c>
      <c r="AI10" s="14" t="s">
        <v>179</v>
      </c>
      <c r="AJ10" s="5" t="s">
        <v>180</v>
      </c>
      <c r="AK10" s="2" t="s">
        <v>185</v>
      </c>
      <c r="AL10" s="2" t="s">
        <v>216</v>
      </c>
      <c r="AM10" s="2" t="s">
        <v>210</v>
      </c>
      <c r="AN10" s="2" t="s">
        <v>221</v>
      </c>
      <c r="AO10" s="2" t="s">
        <v>225</v>
      </c>
      <c r="AP10" s="2" t="s">
        <v>232</v>
      </c>
      <c r="AQ10" s="5" t="s">
        <v>239</v>
      </c>
      <c r="AR10" s="5" t="s">
        <v>247</v>
      </c>
      <c r="AS10" s="5" t="s">
        <v>250</v>
      </c>
      <c r="AT10" s="5" t="s">
        <v>257</v>
      </c>
      <c r="AU10" s="5" t="s">
        <v>258</v>
      </c>
      <c r="AV10" s="5" t="s">
        <v>261</v>
      </c>
      <c r="AW10" s="5" t="s">
        <v>261</v>
      </c>
      <c r="AX10" s="5" t="s">
        <v>262</v>
      </c>
      <c r="AY10" s="5" t="s">
        <v>267</v>
      </c>
      <c r="AZ10" s="5" t="s">
        <v>270</v>
      </c>
      <c r="BA10" s="5" t="s">
        <v>276</v>
      </c>
      <c r="BB10" s="5" t="s">
        <v>278</v>
      </c>
      <c r="BC10" s="5" t="s">
        <v>280</v>
      </c>
      <c r="BD10" s="5" t="s">
        <v>284</v>
      </c>
      <c r="BE10" s="2">
        <v>2023</v>
      </c>
      <c r="BF10" s="17"/>
      <c r="BG10" s="17" t="s">
        <v>319</v>
      </c>
      <c r="BH10" s="17" t="s">
        <v>319</v>
      </c>
      <c r="BI10" s="17" t="s">
        <v>319</v>
      </c>
      <c r="BJ10" s="17" t="s">
        <v>319</v>
      </c>
      <c r="BK10" s="17" t="s">
        <v>319</v>
      </c>
      <c r="BL10" s="17" t="s">
        <v>319</v>
      </c>
      <c r="BM10" s="17" t="s">
        <v>345</v>
      </c>
      <c r="BN10" s="17" t="s">
        <v>362</v>
      </c>
      <c r="BO10" s="17" t="s">
        <v>366</v>
      </c>
      <c r="BP10" s="17" t="s">
        <v>373</v>
      </c>
      <c r="BQ10" s="17" t="s">
        <v>373</v>
      </c>
      <c r="BR10" s="17" t="s">
        <v>382</v>
      </c>
      <c r="BS10" s="17" t="s">
        <v>382</v>
      </c>
      <c r="BT10" s="17" t="s">
        <v>389</v>
      </c>
      <c r="BU10" s="17" t="s">
        <v>391</v>
      </c>
      <c r="BV10" s="17" t="s">
        <v>395</v>
      </c>
      <c r="BW10" s="17" t="s">
        <v>402</v>
      </c>
      <c r="BX10" s="17" t="s">
        <v>402</v>
      </c>
      <c r="BY10" s="17" t="s">
        <v>403</v>
      </c>
      <c r="BZ10" s="17" t="s">
        <v>403</v>
      </c>
      <c r="CA10" s="17" t="s">
        <v>403</v>
      </c>
      <c r="CB10" s="17" t="s">
        <v>413</v>
      </c>
      <c r="CC10" s="17" t="s">
        <v>416</v>
      </c>
      <c r="CD10" s="17" t="s">
        <v>418</v>
      </c>
      <c r="CE10" s="17" t="s">
        <v>420</v>
      </c>
      <c r="CF10" s="17" t="s">
        <v>428</v>
      </c>
      <c r="CG10" s="17">
        <v>2024</v>
      </c>
      <c r="CH10" s="5"/>
      <c r="CI10" s="5"/>
      <c r="CJ10" s="5"/>
      <c r="CK10" s="5">
        <v>1</v>
      </c>
      <c r="CL10" s="5">
        <v>2</v>
      </c>
      <c r="CM10" s="5">
        <v>3</v>
      </c>
      <c r="CN10" s="5">
        <v>4</v>
      </c>
      <c r="CO10" s="5">
        <v>2025</v>
      </c>
      <c r="CP10" s="5"/>
      <c r="CQ10" s="5"/>
      <c r="CR10" s="5"/>
      <c r="CS10" s="5">
        <v>1</v>
      </c>
      <c r="CT10" s="5">
        <v>2</v>
      </c>
      <c r="CU10" s="5">
        <v>3</v>
      </c>
      <c r="CV10" s="5">
        <v>4</v>
      </c>
      <c r="CW10" s="5">
        <v>2026</v>
      </c>
      <c r="CY10" s="17"/>
      <c r="CZ10" s="16">
        <v>45077</v>
      </c>
      <c r="DA10" s="25">
        <v>45153</v>
      </c>
      <c r="DB10" s="25">
        <v>45247</v>
      </c>
      <c r="DC10" s="25">
        <v>45255</v>
      </c>
      <c r="DD10" s="17">
        <v>2023</v>
      </c>
      <c r="DF10" s="5"/>
      <c r="DG10" s="5" t="s">
        <v>288</v>
      </c>
      <c r="DH10" s="5" t="s">
        <v>332</v>
      </c>
      <c r="DI10" s="5" t="s">
        <v>344</v>
      </c>
      <c r="DJ10" s="5" t="s">
        <v>390</v>
      </c>
      <c r="DK10" s="5" t="s">
        <v>398</v>
      </c>
      <c r="DL10" s="5" t="s">
        <v>414</v>
      </c>
      <c r="DM10" s="5" t="s">
        <v>415</v>
      </c>
      <c r="DN10" s="5" t="s">
        <v>425</v>
      </c>
      <c r="DO10" s="2">
        <v>2024</v>
      </c>
      <c r="DP10" s="5"/>
      <c r="DQ10" s="5" t="s">
        <v>430</v>
      </c>
      <c r="DR10" s="5" t="s">
        <v>518</v>
      </c>
      <c r="DS10" s="5" t="s">
        <v>607</v>
      </c>
      <c r="DT10" s="5" t="s">
        <v>425</v>
      </c>
      <c r="DU10" s="5">
        <v>2025</v>
      </c>
      <c r="DV10" s="5"/>
      <c r="DW10" s="5" t="s">
        <v>742</v>
      </c>
      <c r="DX10" s="5" t="s">
        <v>771</v>
      </c>
      <c r="DY10" s="5" t="s">
        <v>772</v>
      </c>
      <c r="DZ10" s="2">
        <v>2026</v>
      </c>
    </row>
    <row r="11" spans="1:130" x14ac:dyDescent="0.25">
      <c r="A11">
        <v>1</v>
      </c>
      <c r="B11" s="19" t="s">
        <v>433</v>
      </c>
      <c r="C11" s="19"/>
      <c r="D11" s="19" t="s">
        <v>300</v>
      </c>
      <c r="E11" s="19" t="s">
        <v>53</v>
      </c>
      <c r="F11" s="6"/>
      <c r="G11" s="6"/>
      <c r="H11" s="6"/>
      <c r="I11" s="6"/>
      <c r="J11" s="6"/>
      <c r="K11" s="6"/>
      <c r="L11" s="6"/>
      <c r="M11" s="6"/>
      <c r="N11" s="6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6"/>
      <c r="AF11" s="6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6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6"/>
      <c r="CH11" s="6">
        <f>245/2</f>
        <v>122.5</v>
      </c>
      <c r="CI11" s="11">
        <v>60</v>
      </c>
      <c r="CJ11" s="11">
        <v>80</v>
      </c>
      <c r="CK11" s="11">
        <v>75</v>
      </c>
      <c r="CL11" s="11">
        <v>105</v>
      </c>
      <c r="CM11" s="11">
        <v>200</v>
      </c>
      <c r="CN11" s="11">
        <v>150</v>
      </c>
      <c r="CO11" s="6">
        <f>SUM(CH11:CN11)</f>
        <v>792.5</v>
      </c>
      <c r="CP11" s="6">
        <f>(CO11-CH11)/2</f>
        <v>335</v>
      </c>
      <c r="CQ11" s="11">
        <v>48</v>
      </c>
      <c r="CR11" s="11">
        <v>80</v>
      </c>
      <c r="CS11" s="11">
        <v>75</v>
      </c>
      <c r="CT11" s="11"/>
      <c r="CU11" s="6"/>
      <c r="CV11" s="6"/>
      <c r="CW11" s="6">
        <f t="shared" ref="CW11:CW42" si="0">SUM(CP11:CV11)</f>
        <v>538</v>
      </c>
      <c r="CY11" s="6"/>
      <c r="CZ11" s="6"/>
      <c r="DA11" s="6"/>
      <c r="DB11" s="6"/>
      <c r="DC11" s="6"/>
      <c r="DD11" s="6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6"/>
      <c r="DP11" s="6"/>
      <c r="DQ11" s="11">
        <v>21</v>
      </c>
      <c r="DR11" s="11"/>
      <c r="DS11" s="11">
        <v>36</v>
      </c>
      <c r="DT11" s="11"/>
      <c r="DU11" s="6">
        <f>SUM(DP11:DS11)</f>
        <v>57</v>
      </c>
      <c r="DV11" s="6">
        <f t="shared" ref="DV11:DV42" si="1">(DU11-DP11)/2</f>
        <v>28.5</v>
      </c>
      <c r="DW11" s="11"/>
      <c r="DX11" s="11"/>
      <c r="DY11" s="11">
        <v>70</v>
      </c>
      <c r="DZ11" s="19">
        <f>SUM(DV11:DY11)</f>
        <v>98.5</v>
      </c>
    </row>
    <row r="12" spans="1:130" x14ac:dyDescent="0.25">
      <c r="A12">
        <v>2</v>
      </c>
      <c r="B12" s="6" t="s">
        <v>480</v>
      </c>
      <c r="C12" s="6"/>
      <c r="D12" s="6" t="s">
        <v>446</v>
      </c>
      <c r="E12" s="6" t="s">
        <v>11</v>
      </c>
      <c r="F12" s="6"/>
      <c r="G12" s="6"/>
      <c r="H12" s="6"/>
      <c r="I12" s="6"/>
      <c r="J12" s="6"/>
      <c r="K12" s="6"/>
      <c r="L12" s="6"/>
      <c r="M12" s="6"/>
      <c r="N12" s="6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6"/>
      <c r="AF12" s="6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6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6"/>
      <c r="CH12" s="6">
        <v>110</v>
      </c>
      <c r="CI12" s="11">
        <v>42</v>
      </c>
      <c r="CJ12" s="11">
        <v>48</v>
      </c>
      <c r="CK12" s="11">
        <v>50</v>
      </c>
      <c r="CL12" s="11">
        <v>39</v>
      </c>
      <c r="CM12" s="11">
        <v>80</v>
      </c>
      <c r="CN12" s="11">
        <v>100</v>
      </c>
      <c r="CO12" s="6">
        <f>SUM(CH12:CN12)</f>
        <v>469</v>
      </c>
      <c r="CP12" s="6">
        <f>(CO12-CH12)/2</f>
        <v>179.5</v>
      </c>
      <c r="CQ12" s="11">
        <v>30</v>
      </c>
      <c r="CR12" s="11">
        <v>80</v>
      </c>
      <c r="CS12" s="11">
        <v>54</v>
      </c>
      <c r="CT12" s="11"/>
      <c r="CU12" s="6"/>
      <c r="CV12" s="6"/>
      <c r="CW12" s="6">
        <f t="shared" si="0"/>
        <v>343.5</v>
      </c>
      <c r="CY12" s="6"/>
      <c r="CZ12" s="6"/>
      <c r="DA12" s="6"/>
      <c r="DB12" s="6"/>
      <c r="DC12" s="6"/>
      <c r="DD12" s="6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6"/>
      <c r="DP12" s="6"/>
      <c r="DQ12" s="11"/>
      <c r="DR12" s="11"/>
      <c r="DS12" s="11"/>
      <c r="DT12" s="11"/>
      <c r="DU12" s="6">
        <f>SUM(DP12:DR12)</f>
        <v>0</v>
      </c>
      <c r="DV12" s="6">
        <f t="shared" si="1"/>
        <v>0</v>
      </c>
      <c r="DW12" s="11"/>
      <c r="DX12" s="11"/>
      <c r="DY12" s="11">
        <v>5</v>
      </c>
      <c r="DZ12" s="6">
        <f>SUM(DV12:DY12)</f>
        <v>5</v>
      </c>
    </row>
    <row r="13" spans="1:130" x14ac:dyDescent="0.25">
      <c r="A13">
        <v>3</v>
      </c>
      <c r="B13" s="6" t="s">
        <v>299</v>
      </c>
      <c r="C13" s="6"/>
      <c r="D13" s="6" t="s">
        <v>300</v>
      </c>
      <c r="E13" s="6" t="s">
        <v>27</v>
      </c>
      <c r="F13" s="6"/>
      <c r="G13" s="6"/>
      <c r="H13" s="6"/>
      <c r="I13" s="6"/>
      <c r="J13" s="6"/>
      <c r="K13" s="6"/>
      <c r="L13" s="6"/>
      <c r="M13" s="6"/>
      <c r="N13" s="6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6"/>
      <c r="AF13" s="6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6"/>
      <c r="BF13" s="11">
        <v>88</v>
      </c>
      <c r="BG13" s="11"/>
      <c r="BH13" s="11"/>
      <c r="BI13" s="11"/>
      <c r="BJ13" s="11"/>
      <c r="BK13" s="11"/>
      <c r="BL13" s="11"/>
      <c r="BM13" s="11"/>
      <c r="BN13" s="11">
        <v>60</v>
      </c>
      <c r="BO13" s="11">
        <v>150</v>
      </c>
      <c r="BP13" s="11"/>
      <c r="BQ13" s="11">
        <v>100</v>
      </c>
      <c r="BR13" s="11"/>
      <c r="BS13" s="11"/>
      <c r="BT13" s="11">
        <v>56</v>
      </c>
      <c r="BU13" s="11">
        <v>54</v>
      </c>
      <c r="BV13" s="11"/>
      <c r="BW13" s="11"/>
      <c r="BX13" s="11"/>
      <c r="BY13" s="11"/>
      <c r="BZ13" s="11">
        <v>48</v>
      </c>
      <c r="CA13" s="11"/>
      <c r="CB13" s="11"/>
      <c r="CC13" s="11"/>
      <c r="CD13" s="11"/>
      <c r="CE13" s="11">
        <v>75</v>
      </c>
      <c r="CF13" s="11">
        <v>200</v>
      </c>
      <c r="CG13" s="6">
        <f>SUM(BF13:CF13)</f>
        <v>831</v>
      </c>
      <c r="CH13" s="6">
        <f>(CG13-BF13)/2</f>
        <v>371.5</v>
      </c>
      <c r="CI13" s="11">
        <v>42</v>
      </c>
      <c r="CJ13" s="11">
        <v>56</v>
      </c>
      <c r="CK13" s="11">
        <v>150</v>
      </c>
      <c r="CL13" s="11">
        <v>140</v>
      </c>
      <c r="CM13" s="11">
        <v>150</v>
      </c>
      <c r="CN13" s="11">
        <v>105</v>
      </c>
      <c r="CO13" s="6">
        <f>SUM(CH13:CN13)</f>
        <v>1014.5</v>
      </c>
      <c r="CP13" s="6">
        <f>(CO13-CH13)/2</f>
        <v>321.5</v>
      </c>
      <c r="CQ13" s="11"/>
      <c r="CR13" s="11"/>
      <c r="CS13" s="11"/>
      <c r="CT13" s="11"/>
      <c r="CU13" s="6"/>
      <c r="CV13" s="6"/>
      <c r="CW13" s="6">
        <f t="shared" si="0"/>
        <v>321.5</v>
      </c>
      <c r="CY13" s="6"/>
      <c r="CZ13" s="6"/>
      <c r="DA13" s="6"/>
      <c r="DB13" s="6"/>
      <c r="DC13" s="6"/>
      <c r="DD13" s="6"/>
      <c r="DE13" s="11"/>
      <c r="DF13" s="11">
        <f>CG13/4</f>
        <v>207.75</v>
      </c>
      <c r="DG13" s="11">
        <v>1.5</v>
      </c>
      <c r="DH13" s="11"/>
      <c r="DI13" s="11"/>
      <c r="DJ13" s="11"/>
      <c r="DK13" s="11"/>
      <c r="DL13" s="11">
        <v>150</v>
      </c>
      <c r="DM13" s="11">
        <v>100</v>
      </c>
      <c r="DN13" s="11">
        <v>35</v>
      </c>
      <c r="DO13" s="6">
        <f>SUM(DE13:DN13)</f>
        <v>494.25</v>
      </c>
      <c r="DP13" s="6">
        <f>(DO13-DE13)/2</f>
        <v>247.125</v>
      </c>
      <c r="DQ13" s="11">
        <v>26.25</v>
      </c>
      <c r="DR13" s="11"/>
      <c r="DS13" s="11">
        <v>50</v>
      </c>
      <c r="DT13" s="11">
        <v>28</v>
      </c>
      <c r="DU13" s="6">
        <f>SUM(DP13:DT13)</f>
        <v>351.375</v>
      </c>
      <c r="DV13" s="6">
        <f t="shared" si="1"/>
        <v>52.125</v>
      </c>
      <c r="DW13" s="11"/>
      <c r="DX13" s="11"/>
      <c r="DY13" s="11"/>
      <c r="DZ13" s="6">
        <f>SUM(DV13:DW13)</f>
        <v>52.125</v>
      </c>
    </row>
    <row r="14" spans="1:130" x14ac:dyDescent="0.25">
      <c r="A14">
        <v>4</v>
      </c>
      <c r="B14" s="6" t="s">
        <v>723</v>
      </c>
      <c r="C14" s="6"/>
      <c r="D14" s="6" t="s">
        <v>92</v>
      </c>
      <c r="E14" s="6" t="s">
        <v>27</v>
      </c>
      <c r="F14" s="6"/>
      <c r="G14" s="6"/>
      <c r="H14" s="6"/>
      <c r="I14" s="6"/>
      <c r="J14" s="6"/>
      <c r="K14" s="6"/>
      <c r="L14" s="6"/>
      <c r="M14" s="6"/>
      <c r="N14" s="6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6"/>
      <c r="AF14" s="6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6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6"/>
      <c r="CH14" s="6"/>
      <c r="CI14" s="11"/>
      <c r="CJ14" s="11"/>
      <c r="CK14" s="11"/>
      <c r="CL14" s="11"/>
      <c r="CM14" s="11"/>
      <c r="CN14" s="11"/>
      <c r="CO14" s="6"/>
      <c r="CP14" s="6">
        <f>243.8/2</f>
        <v>121.9</v>
      </c>
      <c r="CQ14" s="11">
        <v>33.6</v>
      </c>
      <c r="CR14" s="11">
        <v>56</v>
      </c>
      <c r="CS14" s="11">
        <v>7.5</v>
      </c>
      <c r="CT14" s="11"/>
      <c r="CU14" s="6"/>
      <c r="CV14" s="6"/>
      <c r="CW14" s="6">
        <f t="shared" si="0"/>
        <v>219</v>
      </c>
      <c r="CY14" s="6"/>
      <c r="CZ14" s="6"/>
      <c r="DA14" s="6"/>
      <c r="DB14" s="6"/>
      <c r="DC14" s="6"/>
      <c r="DD14" s="6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6"/>
      <c r="DP14" s="6"/>
      <c r="DQ14" s="11"/>
      <c r="DR14" s="11"/>
      <c r="DS14" s="11"/>
      <c r="DT14" s="11"/>
      <c r="DU14" s="6">
        <f>SUM(DP14:DR14)</f>
        <v>0</v>
      </c>
      <c r="DV14" s="6">
        <f t="shared" si="1"/>
        <v>0</v>
      </c>
      <c r="DW14" s="11"/>
      <c r="DX14" s="11"/>
      <c r="DY14" s="11"/>
      <c r="DZ14" s="6">
        <f t="shared" ref="DZ14:DZ23" si="2">SUM(DV14:DY14)</f>
        <v>0</v>
      </c>
    </row>
    <row r="15" spans="1:130" x14ac:dyDescent="0.25">
      <c r="A15">
        <v>5</v>
      </c>
      <c r="B15" s="6" t="s">
        <v>500</v>
      </c>
      <c r="C15" s="6"/>
      <c r="D15" s="6" t="s">
        <v>501</v>
      </c>
      <c r="E15" s="6" t="s">
        <v>12</v>
      </c>
      <c r="F15" s="6"/>
      <c r="G15" s="6"/>
      <c r="H15" s="6"/>
      <c r="I15" s="6"/>
      <c r="J15" s="6"/>
      <c r="K15" s="6"/>
      <c r="L15" s="6"/>
      <c r="M15" s="6"/>
      <c r="N15" s="6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6"/>
      <c r="AF15" s="6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6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6"/>
      <c r="CH15" s="6">
        <f>56.8/2</f>
        <v>28.4</v>
      </c>
      <c r="CI15" s="11">
        <v>33.6</v>
      </c>
      <c r="CJ15" s="11">
        <v>40</v>
      </c>
      <c r="CK15" s="11">
        <v>7.5</v>
      </c>
      <c r="CL15" s="11">
        <v>7.5</v>
      </c>
      <c r="CM15" s="11">
        <v>7.5</v>
      </c>
      <c r="CN15" s="11">
        <v>40</v>
      </c>
      <c r="CO15" s="6">
        <f>SUM(CH15:CN15)</f>
        <v>164.5</v>
      </c>
      <c r="CP15" s="6">
        <f>(CO15-CH15)/2</f>
        <v>68.05</v>
      </c>
      <c r="CQ15" s="11"/>
      <c r="CR15" s="11">
        <v>40</v>
      </c>
      <c r="CS15" s="11">
        <v>75</v>
      </c>
      <c r="CT15" s="11"/>
      <c r="CU15" s="6"/>
      <c r="CV15" s="6"/>
      <c r="CW15" s="6">
        <f t="shared" si="0"/>
        <v>183.05</v>
      </c>
      <c r="CY15" s="6"/>
      <c r="CZ15" s="6"/>
      <c r="DA15" s="6"/>
      <c r="DB15" s="6"/>
      <c r="DC15" s="6"/>
      <c r="DD15" s="6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6"/>
      <c r="DP15" s="6"/>
      <c r="DQ15" s="11"/>
      <c r="DR15" s="11"/>
      <c r="DS15" s="11"/>
      <c r="DT15" s="11"/>
      <c r="DU15" s="6">
        <f>SUM(DP15:DR15)</f>
        <v>0</v>
      </c>
      <c r="DV15" s="6">
        <f t="shared" si="1"/>
        <v>0</v>
      </c>
      <c r="DW15" s="11"/>
      <c r="DX15" s="11"/>
      <c r="DY15" s="11">
        <v>36</v>
      </c>
      <c r="DZ15" s="6">
        <f t="shared" si="2"/>
        <v>36</v>
      </c>
    </row>
    <row r="16" spans="1:130" x14ac:dyDescent="0.25">
      <c r="A16">
        <v>6</v>
      </c>
      <c r="B16" s="6" t="s">
        <v>233</v>
      </c>
      <c r="C16" s="6"/>
      <c r="D16" s="6" t="s">
        <v>117</v>
      </c>
      <c r="E16" s="6" t="s">
        <v>49</v>
      </c>
      <c r="F16" s="6"/>
      <c r="G16" s="6"/>
      <c r="H16" s="6"/>
      <c r="I16" s="6"/>
      <c r="J16" s="6"/>
      <c r="K16" s="6"/>
      <c r="L16" s="6"/>
      <c r="M16" s="6"/>
      <c r="N16" s="6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6"/>
      <c r="AF16" s="6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6"/>
      <c r="BF16" s="11"/>
      <c r="BG16" s="11"/>
      <c r="BH16" s="11"/>
      <c r="BI16" s="11"/>
      <c r="BJ16" s="11"/>
      <c r="BK16" s="11"/>
      <c r="BL16" s="11"/>
      <c r="BM16" s="11">
        <v>36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>
        <v>48</v>
      </c>
      <c r="BY16" s="11"/>
      <c r="BZ16" s="11"/>
      <c r="CA16" s="11"/>
      <c r="CB16" s="11"/>
      <c r="CC16" s="11"/>
      <c r="CD16" s="11"/>
      <c r="CE16" s="11"/>
      <c r="CF16" s="11"/>
      <c r="CG16" s="6">
        <f>SUM(BF16:CF16)</f>
        <v>84</v>
      </c>
      <c r="CH16" s="6">
        <f>(CG16-BF16)/2</f>
        <v>42</v>
      </c>
      <c r="CI16" s="11">
        <v>36</v>
      </c>
      <c r="CJ16" s="11">
        <v>56</v>
      </c>
      <c r="CK16" s="11">
        <v>7.5</v>
      </c>
      <c r="CL16" s="11">
        <v>100</v>
      </c>
      <c r="CM16" s="11">
        <v>54</v>
      </c>
      <c r="CN16" s="11">
        <v>100</v>
      </c>
      <c r="CO16" s="6">
        <f>SUM(CH16:CN16)</f>
        <v>395.5</v>
      </c>
      <c r="CP16" s="6">
        <f>(CO16-CH16)/2</f>
        <v>176.75</v>
      </c>
      <c r="CQ16" s="11"/>
      <c r="CR16" s="11"/>
      <c r="CS16" s="11"/>
      <c r="CT16" s="11"/>
      <c r="CU16" s="6"/>
      <c r="CV16" s="6"/>
      <c r="CW16" s="6">
        <f t="shared" si="0"/>
        <v>176.75</v>
      </c>
      <c r="CY16" s="6"/>
      <c r="CZ16" s="6"/>
      <c r="DA16" s="6"/>
      <c r="DB16" s="6"/>
      <c r="DC16" s="6"/>
      <c r="DD16" s="6"/>
      <c r="DE16" s="11"/>
      <c r="DF16" s="11">
        <f>CG16/4</f>
        <v>21</v>
      </c>
      <c r="DG16" s="11"/>
      <c r="DH16" s="11"/>
      <c r="DI16" s="11"/>
      <c r="DJ16" s="11"/>
      <c r="DK16" s="11"/>
      <c r="DL16" s="11"/>
      <c r="DM16" s="11"/>
      <c r="DN16" s="11"/>
      <c r="DO16" s="6">
        <f>SUM(DE16:DG16)</f>
        <v>21</v>
      </c>
      <c r="DP16" s="6">
        <f>(DO16-DE16)/2</f>
        <v>10.5</v>
      </c>
      <c r="DQ16" s="11">
        <v>21</v>
      </c>
      <c r="DR16" s="11"/>
      <c r="DS16" s="11">
        <v>26</v>
      </c>
      <c r="DT16" s="11">
        <v>2</v>
      </c>
      <c r="DU16" s="6">
        <f>SUM(DP16:DT16)</f>
        <v>59.5</v>
      </c>
      <c r="DV16" s="6">
        <f t="shared" si="1"/>
        <v>24.5</v>
      </c>
      <c r="DW16" s="11"/>
      <c r="DX16" s="11"/>
      <c r="DY16" s="11"/>
      <c r="DZ16" s="6">
        <f t="shared" si="2"/>
        <v>24.5</v>
      </c>
    </row>
    <row r="17" spans="1:130" x14ac:dyDescent="0.25">
      <c r="A17">
        <v>7</v>
      </c>
      <c r="B17" s="6" t="s">
        <v>363</v>
      </c>
      <c r="C17" s="6"/>
      <c r="D17" s="6" t="s">
        <v>72</v>
      </c>
      <c r="E17" s="6" t="s">
        <v>73</v>
      </c>
      <c r="F17" s="6"/>
      <c r="G17" s="6"/>
      <c r="H17" s="6"/>
      <c r="I17" s="6"/>
      <c r="J17" s="6"/>
      <c r="K17" s="6"/>
      <c r="L17" s="6"/>
      <c r="M17" s="6"/>
      <c r="N17" s="6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6"/>
      <c r="AF17" s="6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6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6"/>
      <c r="CH17" s="6"/>
      <c r="CI17" s="11">
        <v>36</v>
      </c>
      <c r="CJ17" s="11">
        <v>64</v>
      </c>
      <c r="CK17" s="11">
        <v>39</v>
      </c>
      <c r="CL17" s="11">
        <v>7.5</v>
      </c>
      <c r="CM17" s="11">
        <v>36</v>
      </c>
      <c r="CN17" s="11">
        <v>3.2</v>
      </c>
      <c r="CO17" s="6">
        <f>SUM(CH17:CN17)</f>
        <v>185.7</v>
      </c>
      <c r="CP17" s="6">
        <f>(CO17-CH17)/2</f>
        <v>92.85</v>
      </c>
      <c r="CQ17" s="11">
        <v>36</v>
      </c>
      <c r="CR17" s="11">
        <v>40</v>
      </c>
      <c r="CS17" s="11"/>
      <c r="CT17" s="11"/>
      <c r="CU17" s="6"/>
      <c r="CV17" s="6"/>
      <c r="CW17" s="6">
        <f t="shared" si="0"/>
        <v>168.85</v>
      </c>
      <c r="CY17" s="6"/>
      <c r="CZ17" s="6"/>
      <c r="DA17" s="6"/>
      <c r="DB17" s="6"/>
      <c r="DC17" s="6"/>
      <c r="DD17" s="6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6"/>
      <c r="DP17" s="6"/>
      <c r="DQ17" s="11"/>
      <c r="DR17" s="11"/>
      <c r="DS17" s="11"/>
      <c r="DT17" s="11"/>
      <c r="DU17" s="6">
        <f t="shared" ref="DU17:DU48" si="3">SUM(DP17:DR17)</f>
        <v>0</v>
      </c>
      <c r="DV17" s="6">
        <f t="shared" si="1"/>
        <v>0</v>
      </c>
      <c r="DW17" s="11"/>
      <c r="DX17" s="11"/>
      <c r="DY17" s="11"/>
      <c r="DZ17" s="6">
        <f t="shared" si="2"/>
        <v>0</v>
      </c>
    </row>
    <row r="18" spans="1:130" x14ac:dyDescent="0.25">
      <c r="A18" s="52">
        <v>8</v>
      </c>
      <c r="B18" s="6" t="s">
        <v>622</v>
      </c>
      <c r="C18" s="6"/>
      <c r="D18" s="6" t="s">
        <v>76</v>
      </c>
      <c r="E18" s="6" t="s">
        <v>242</v>
      </c>
      <c r="F18" s="6"/>
      <c r="G18" s="6"/>
      <c r="H18" s="6"/>
      <c r="I18" s="6"/>
      <c r="J18" s="6"/>
      <c r="K18" s="6"/>
      <c r="L18" s="6"/>
      <c r="M18" s="6"/>
      <c r="N18" s="6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6"/>
      <c r="AF18" s="6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6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6"/>
      <c r="CH18" s="6"/>
      <c r="CI18" s="11"/>
      <c r="CJ18" s="11"/>
      <c r="CK18" s="11"/>
      <c r="CL18" s="11"/>
      <c r="CM18" s="11"/>
      <c r="CN18" s="11"/>
      <c r="CO18" s="6"/>
      <c r="CP18" s="6"/>
      <c r="CQ18" s="11">
        <v>36</v>
      </c>
      <c r="CR18" s="11">
        <v>56</v>
      </c>
      <c r="CS18" s="11">
        <v>39</v>
      </c>
      <c r="CT18" s="11">
        <v>36</v>
      </c>
      <c r="CU18" s="6"/>
      <c r="CV18" s="6"/>
      <c r="CW18" s="6">
        <f t="shared" si="0"/>
        <v>167</v>
      </c>
      <c r="CY18" s="6"/>
      <c r="CZ18" s="6"/>
      <c r="DA18" s="6"/>
      <c r="DB18" s="6"/>
      <c r="DC18" s="6"/>
      <c r="DD18" s="6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6"/>
      <c r="DP18" s="6"/>
      <c r="DQ18" s="11"/>
      <c r="DR18" s="11"/>
      <c r="DS18" s="11"/>
      <c r="DT18" s="11"/>
      <c r="DU18" s="6">
        <f t="shared" si="3"/>
        <v>0</v>
      </c>
      <c r="DV18" s="6">
        <f t="shared" si="1"/>
        <v>0</v>
      </c>
      <c r="DW18" s="11"/>
      <c r="DX18" s="11"/>
      <c r="DY18" s="11"/>
      <c r="DZ18" s="6">
        <f t="shared" si="2"/>
        <v>0</v>
      </c>
    </row>
    <row r="19" spans="1:130" x14ac:dyDescent="0.25">
      <c r="A19">
        <v>9</v>
      </c>
      <c r="B19" s="6" t="s">
        <v>435</v>
      </c>
      <c r="C19" s="6"/>
      <c r="D19" s="6" t="s">
        <v>436</v>
      </c>
      <c r="E19" s="6" t="s">
        <v>526</v>
      </c>
      <c r="F19" s="6"/>
      <c r="G19" s="6"/>
      <c r="H19" s="6"/>
      <c r="I19" s="6"/>
      <c r="J19" s="6"/>
      <c r="K19" s="6"/>
      <c r="L19" s="6"/>
      <c r="M19" s="6"/>
      <c r="N19" s="6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6"/>
      <c r="AF19" s="6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6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6"/>
      <c r="CH19" s="6"/>
      <c r="CI19" s="11">
        <v>48</v>
      </c>
      <c r="CJ19" s="11">
        <v>80</v>
      </c>
      <c r="CK19" s="11">
        <v>105</v>
      </c>
      <c r="CL19" s="11">
        <v>75</v>
      </c>
      <c r="CM19" s="11"/>
      <c r="CN19" s="11"/>
      <c r="CO19" s="6">
        <f>SUM(CH19:CN19)</f>
        <v>308</v>
      </c>
      <c r="CP19" s="6">
        <f>(CO19-CH19)/2</f>
        <v>154</v>
      </c>
      <c r="CQ19" s="11"/>
      <c r="CR19" s="11"/>
      <c r="CS19" s="11"/>
      <c r="CT19" s="11"/>
      <c r="CU19" s="6"/>
      <c r="CV19" s="6"/>
      <c r="CW19" s="6">
        <f t="shared" si="0"/>
        <v>154</v>
      </c>
      <c r="CY19" s="6"/>
      <c r="CZ19" s="6"/>
      <c r="DA19" s="6"/>
      <c r="DB19" s="6"/>
      <c r="DC19" s="6"/>
      <c r="DD19" s="6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6"/>
      <c r="DP19" s="6"/>
      <c r="DQ19" s="11">
        <v>14</v>
      </c>
      <c r="DR19" s="11"/>
      <c r="DS19" s="11"/>
      <c r="DT19" s="11"/>
      <c r="DU19" s="6">
        <f t="shared" si="3"/>
        <v>14</v>
      </c>
      <c r="DV19" s="6">
        <f t="shared" si="1"/>
        <v>7</v>
      </c>
      <c r="DW19" s="11"/>
      <c r="DX19" s="11"/>
      <c r="DY19" s="11"/>
      <c r="DZ19" s="6">
        <f t="shared" si="2"/>
        <v>7</v>
      </c>
    </row>
    <row r="20" spans="1:130" x14ac:dyDescent="0.25">
      <c r="A20">
        <v>10</v>
      </c>
      <c r="B20" s="6" t="s">
        <v>259</v>
      </c>
      <c r="C20" s="6"/>
      <c r="D20" s="6" t="s">
        <v>724</v>
      </c>
      <c r="E20" s="6" t="s">
        <v>12</v>
      </c>
      <c r="F20" s="6"/>
      <c r="G20" s="6"/>
      <c r="H20" s="6"/>
      <c r="I20" s="6"/>
      <c r="J20" s="6"/>
      <c r="K20" s="6"/>
      <c r="L20" s="6"/>
      <c r="M20" s="6"/>
      <c r="N20" s="6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6"/>
      <c r="AF20" s="6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6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6"/>
      <c r="CH20" s="6"/>
      <c r="CI20" s="11"/>
      <c r="CJ20" s="11"/>
      <c r="CK20" s="11"/>
      <c r="CL20" s="11"/>
      <c r="CM20" s="11"/>
      <c r="CN20" s="11"/>
      <c r="CO20" s="6"/>
      <c r="CP20" s="6">
        <f>285.5/2</f>
        <v>142.75</v>
      </c>
      <c r="CQ20" s="11">
        <v>2.4</v>
      </c>
      <c r="CR20" s="11"/>
      <c r="CS20" s="11">
        <v>7.5</v>
      </c>
      <c r="CT20" s="11"/>
      <c r="CU20" s="6"/>
      <c r="CV20" s="6"/>
      <c r="CW20" s="6">
        <f t="shared" si="0"/>
        <v>152.65</v>
      </c>
      <c r="CY20" s="6"/>
      <c r="CZ20" s="6"/>
      <c r="DA20" s="6"/>
      <c r="DB20" s="6"/>
      <c r="DC20" s="6"/>
      <c r="DD20" s="6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6"/>
      <c r="DP20" s="6"/>
      <c r="DQ20" s="11"/>
      <c r="DR20" s="11"/>
      <c r="DS20" s="11"/>
      <c r="DT20" s="11"/>
      <c r="DU20" s="6">
        <f t="shared" si="3"/>
        <v>0</v>
      </c>
      <c r="DV20" s="6">
        <f t="shared" si="1"/>
        <v>0</v>
      </c>
      <c r="DW20" s="11"/>
      <c r="DX20" s="11"/>
      <c r="DY20" s="11"/>
      <c r="DZ20" s="6">
        <f t="shared" si="2"/>
        <v>0</v>
      </c>
    </row>
    <row r="21" spans="1:130" x14ac:dyDescent="0.25">
      <c r="A21">
        <v>11</v>
      </c>
      <c r="B21" s="6" t="s">
        <v>301</v>
      </c>
      <c r="C21" s="6"/>
      <c r="D21" s="6" t="s">
        <v>302</v>
      </c>
      <c r="E21" s="6" t="s">
        <v>303</v>
      </c>
      <c r="F21" s="6"/>
      <c r="G21" s="6"/>
      <c r="H21" s="6"/>
      <c r="I21" s="6"/>
      <c r="J21" s="6"/>
      <c r="K21" s="6"/>
      <c r="L21" s="6"/>
      <c r="M21" s="6"/>
      <c r="N21" s="6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6"/>
      <c r="AF21" s="6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6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>
        <v>42</v>
      </c>
      <c r="CD21" s="11"/>
      <c r="CE21" s="11"/>
      <c r="CF21" s="11"/>
      <c r="CG21" s="6">
        <f>SUM(BF21:CF21)</f>
        <v>42</v>
      </c>
      <c r="CH21" s="6">
        <f>(CG21-BF21)/2</f>
        <v>21</v>
      </c>
      <c r="CI21" s="11">
        <v>48</v>
      </c>
      <c r="CJ21" s="11">
        <v>80</v>
      </c>
      <c r="CK21" s="11">
        <v>52</v>
      </c>
      <c r="CL21" s="11">
        <v>7.5</v>
      </c>
      <c r="CM21" s="11">
        <v>42</v>
      </c>
      <c r="CN21" s="11">
        <v>75</v>
      </c>
      <c r="CO21" s="6">
        <f>SUM(CH21:CN21)</f>
        <v>325.5</v>
      </c>
      <c r="CP21" s="6">
        <f>(CO21-CH21)/2</f>
        <v>152.25</v>
      </c>
      <c r="CQ21" s="11"/>
      <c r="CR21" s="11"/>
      <c r="CS21" s="11"/>
      <c r="CT21" s="11"/>
      <c r="CU21" s="6"/>
      <c r="CV21" s="6"/>
      <c r="CW21" s="6">
        <f t="shared" si="0"/>
        <v>152.25</v>
      </c>
      <c r="CY21" s="6"/>
      <c r="CZ21" s="6"/>
      <c r="DA21" s="6"/>
      <c r="DB21" s="6"/>
      <c r="DC21" s="6"/>
      <c r="DD21" s="6"/>
      <c r="DE21" s="11"/>
      <c r="DF21" s="11">
        <f>CG21/4</f>
        <v>10.5</v>
      </c>
      <c r="DG21" s="11"/>
      <c r="DH21" s="11"/>
      <c r="DI21" s="11"/>
      <c r="DJ21" s="11"/>
      <c r="DK21" s="11"/>
      <c r="DL21" s="11"/>
      <c r="DM21" s="11"/>
      <c r="DN21" s="11"/>
      <c r="DO21" s="6">
        <f>SUM(DE21:DG21)</f>
        <v>10.5</v>
      </c>
      <c r="DP21" s="6">
        <f>(DO21-DE21)/2</f>
        <v>5.25</v>
      </c>
      <c r="DQ21" s="11">
        <v>1.75</v>
      </c>
      <c r="DR21" s="11"/>
      <c r="DS21" s="11"/>
      <c r="DT21" s="11"/>
      <c r="DU21" s="6">
        <f t="shared" si="3"/>
        <v>7</v>
      </c>
      <c r="DV21" s="6">
        <f t="shared" si="1"/>
        <v>0.875</v>
      </c>
      <c r="DW21" s="11"/>
      <c r="DX21" s="11"/>
      <c r="DY21" s="11"/>
      <c r="DZ21" s="6">
        <f t="shared" si="2"/>
        <v>0.875</v>
      </c>
    </row>
    <row r="22" spans="1:130" x14ac:dyDescent="0.25">
      <c r="A22">
        <v>12</v>
      </c>
      <c r="B22" s="11" t="s">
        <v>638</v>
      </c>
      <c r="C22" s="6"/>
      <c r="D22" s="11" t="s">
        <v>639</v>
      </c>
      <c r="E22" s="6" t="s">
        <v>83</v>
      </c>
      <c r="F22" s="6"/>
      <c r="G22" s="6"/>
      <c r="H22" s="6"/>
      <c r="I22" s="6"/>
      <c r="J22" s="6"/>
      <c r="K22" s="6"/>
      <c r="L22" s="6"/>
      <c r="M22" s="6"/>
      <c r="N22" s="6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6"/>
      <c r="AF22" s="6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6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6"/>
      <c r="CH22" s="6"/>
      <c r="CI22" s="11"/>
      <c r="CJ22" s="11"/>
      <c r="CK22" s="11"/>
      <c r="CL22" s="11"/>
      <c r="CM22" s="11"/>
      <c r="CN22" s="11"/>
      <c r="CO22" s="6"/>
      <c r="CP22" s="6"/>
      <c r="CQ22" s="11"/>
      <c r="CR22" s="11"/>
      <c r="CS22" s="11">
        <v>150</v>
      </c>
      <c r="CT22" s="11"/>
      <c r="CU22" s="6"/>
      <c r="CV22" s="6"/>
      <c r="CW22" s="6">
        <f t="shared" si="0"/>
        <v>150</v>
      </c>
      <c r="CY22" s="6"/>
      <c r="CZ22" s="6"/>
      <c r="DA22" s="6"/>
      <c r="DB22" s="6"/>
      <c r="DC22" s="6"/>
      <c r="DD22" s="6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6"/>
      <c r="DP22" s="6"/>
      <c r="DQ22" s="11"/>
      <c r="DR22" s="11"/>
      <c r="DS22" s="11"/>
      <c r="DT22" s="11"/>
      <c r="DU22" s="6">
        <f t="shared" si="3"/>
        <v>0</v>
      </c>
      <c r="DV22" s="6">
        <f t="shared" si="1"/>
        <v>0</v>
      </c>
      <c r="DW22" s="11"/>
      <c r="DX22" s="11"/>
      <c r="DY22" s="11"/>
      <c r="DZ22" s="6">
        <f t="shared" si="2"/>
        <v>0</v>
      </c>
    </row>
    <row r="23" spans="1:130" x14ac:dyDescent="0.25">
      <c r="A23">
        <v>13</v>
      </c>
      <c r="B23" s="6" t="s">
        <v>35</v>
      </c>
      <c r="C23" s="6"/>
      <c r="D23" s="6" t="s">
        <v>22</v>
      </c>
      <c r="E23" s="6" t="s">
        <v>328</v>
      </c>
      <c r="F23" s="6"/>
      <c r="G23" s="6"/>
      <c r="H23" s="6"/>
      <c r="I23" s="6"/>
      <c r="J23" s="6"/>
      <c r="K23" s="6"/>
      <c r="L23" s="6"/>
      <c r="M23" s="6"/>
      <c r="N23" s="6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6"/>
      <c r="AF23" s="6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6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6"/>
      <c r="CH23" s="6"/>
      <c r="CI23" s="11"/>
      <c r="CJ23" s="11"/>
      <c r="CK23" s="11"/>
      <c r="CL23" s="11"/>
      <c r="CM23" s="11"/>
      <c r="CN23" s="11"/>
      <c r="CO23" s="6"/>
      <c r="CP23" s="6"/>
      <c r="CQ23" s="11">
        <v>48</v>
      </c>
      <c r="CR23" s="11">
        <v>56</v>
      </c>
      <c r="CS23" s="11">
        <v>7.5</v>
      </c>
      <c r="CT23" s="11">
        <v>33.6</v>
      </c>
      <c r="CU23" s="6"/>
      <c r="CV23" s="6"/>
      <c r="CW23" s="6">
        <f t="shared" si="0"/>
        <v>145.1</v>
      </c>
      <c r="CY23" s="6"/>
      <c r="CZ23" s="6"/>
      <c r="DA23" s="6"/>
      <c r="DB23" s="6"/>
      <c r="DC23" s="6"/>
      <c r="DD23" s="6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6"/>
      <c r="DP23" s="6"/>
      <c r="DQ23" s="11"/>
      <c r="DR23" s="11"/>
      <c r="DS23" s="11"/>
      <c r="DT23" s="11"/>
      <c r="DU23" s="6">
        <f t="shared" si="3"/>
        <v>0</v>
      </c>
      <c r="DV23" s="6">
        <f t="shared" si="1"/>
        <v>0</v>
      </c>
      <c r="DW23" s="11"/>
      <c r="DX23" s="11"/>
      <c r="DY23" s="11"/>
      <c r="DZ23" s="6">
        <f t="shared" si="2"/>
        <v>0</v>
      </c>
    </row>
    <row r="24" spans="1:130" x14ac:dyDescent="0.25">
      <c r="A24">
        <v>14</v>
      </c>
      <c r="B24" s="6" t="s">
        <v>651</v>
      </c>
      <c r="C24" s="6"/>
      <c r="D24" s="6" t="s">
        <v>78</v>
      </c>
      <c r="E24" s="6" t="s">
        <v>29</v>
      </c>
      <c r="F24" s="6"/>
      <c r="G24" s="6"/>
      <c r="H24" s="6"/>
      <c r="I24" s="6"/>
      <c r="J24" s="6"/>
      <c r="K24" s="6"/>
      <c r="L24" s="6"/>
      <c r="M24" s="6"/>
      <c r="N24" s="6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6"/>
      <c r="AF24" s="6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6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6"/>
      <c r="CH24" s="6"/>
      <c r="CI24" s="11"/>
      <c r="CJ24" s="11"/>
      <c r="CK24" s="11"/>
      <c r="CL24" s="11"/>
      <c r="CM24" s="11"/>
      <c r="CN24" s="11"/>
      <c r="CO24" s="6"/>
      <c r="CP24" s="6">
        <v>90</v>
      </c>
      <c r="CQ24" s="11">
        <v>42</v>
      </c>
      <c r="CR24" s="11"/>
      <c r="CS24" s="11"/>
      <c r="CT24" s="11"/>
      <c r="CU24" s="6"/>
      <c r="CV24" s="6"/>
      <c r="CW24" s="6">
        <f t="shared" si="0"/>
        <v>132</v>
      </c>
      <c r="CY24" s="6"/>
      <c r="CZ24" s="6"/>
      <c r="DA24" s="6"/>
      <c r="DB24" s="6"/>
      <c r="DC24" s="6"/>
      <c r="DD24" s="6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6"/>
      <c r="DP24" s="6"/>
      <c r="DQ24" s="11"/>
      <c r="DR24" s="11"/>
      <c r="DS24" s="11"/>
      <c r="DT24" s="11"/>
      <c r="DU24" s="6">
        <f t="shared" si="3"/>
        <v>0</v>
      </c>
      <c r="DV24" s="6">
        <f t="shared" si="1"/>
        <v>0</v>
      </c>
      <c r="DW24" s="11"/>
      <c r="DX24" s="11"/>
      <c r="DY24" s="11"/>
      <c r="DZ24" s="6">
        <f>SUM(DV24:DW24)</f>
        <v>0</v>
      </c>
    </row>
    <row r="25" spans="1:130" x14ac:dyDescent="0.25">
      <c r="A25">
        <v>15</v>
      </c>
      <c r="B25" s="6" t="s">
        <v>507</v>
      </c>
      <c r="C25" s="6"/>
      <c r="D25" s="6" t="s">
        <v>426</v>
      </c>
      <c r="E25" s="6" t="s">
        <v>8</v>
      </c>
      <c r="F25" s="6"/>
      <c r="G25" s="6"/>
      <c r="H25" s="6"/>
      <c r="I25" s="6"/>
      <c r="J25" s="6"/>
      <c r="K25" s="6"/>
      <c r="L25" s="6"/>
      <c r="M25" s="6"/>
      <c r="N25" s="6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6"/>
      <c r="AF25" s="6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6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6"/>
      <c r="CH25" s="6"/>
      <c r="CI25" s="11"/>
      <c r="CJ25" s="11"/>
      <c r="CK25" s="11"/>
      <c r="CL25" s="11"/>
      <c r="CM25" s="11"/>
      <c r="CN25" s="11"/>
      <c r="CO25" s="6"/>
      <c r="CP25" s="6">
        <f>147.4/2</f>
        <v>73.7</v>
      </c>
      <c r="CQ25" s="11">
        <v>36</v>
      </c>
      <c r="CR25" s="11"/>
      <c r="CS25" s="11">
        <v>7.5</v>
      </c>
      <c r="CT25" s="11"/>
      <c r="CU25" s="6"/>
      <c r="CV25" s="6"/>
      <c r="CW25" s="6">
        <f t="shared" si="0"/>
        <v>117.2</v>
      </c>
      <c r="CY25" s="6"/>
      <c r="CZ25" s="6"/>
      <c r="DA25" s="6"/>
      <c r="DB25" s="6"/>
      <c r="DC25" s="6"/>
      <c r="DD25" s="6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6"/>
      <c r="DP25" s="6"/>
      <c r="DQ25" s="11"/>
      <c r="DR25" s="11"/>
      <c r="DS25" s="11"/>
      <c r="DT25" s="11"/>
      <c r="DU25" s="6">
        <f t="shared" si="3"/>
        <v>0</v>
      </c>
      <c r="DV25" s="6">
        <f t="shared" si="1"/>
        <v>0</v>
      </c>
      <c r="DW25" s="11"/>
      <c r="DX25" s="11"/>
      <c r="DY25" s="11"/>
      <c r="DZ25" s="6">
        <f>SUM(DV25:DY25)</f>
        <v>0</v>
      </c>
    </row>
    <row r="26" spans="1:130" x14ac:dyDescent="0.25">
      <c r="A26">
        <v>16</v>
      </c>
      <c r="B26" s="6" t="s">
        <v>550</v>
      </c>
      <c r="C26" s="6"/>
      <c r="D26" s="6" t="s">
        <v>89</v>
      </c>
      <c r="E26" s="6" t="s">
        <v>84</v>
      </c>
      <c r="F26" s="6"/>
      <c r="G26" s="6"/>
      <c r="H26" s="6"/>
      <c r="I26" s="6"/>
      <c r="J26" s="6"/>
      <c r="K26" s="6"/>
      <c r="L26" s="6"/>
      <c r="M26" s="6"/>
      <c r="N26" s="6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6"/>
      <c r="AF26" s="6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6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6"/>
      <c r="CH26" s="6"/>
      <c r="CI26" s="11"/>
      <c r="CJ26" s="11"/>
      <c r="CK26" s="11"/>
      <c r="CL26" s="11"/>
      <c r="CM26" s="11"/>
      <c r="CN26" s="11"/>
      <c r="CO26" s="6"/>
      <c r="CP26" s="6"/>
      <c r="CQ26" s="11">
        <v>36</v>
      </c>
      <c r="CR26" s="11">
        <v>80</v>
      </c>
      <c r="CS26" s="6"/>
      <c r="CT26" s="11"/>
      <c r="CU26" s="6"/>
      <c r="CV26" s="6"/>
      <c r="CW26" s="6">
        <f t="shared" si="0"/>
        <v>116</v>
      </c>
      <c r="CY26" s="6"/>
      <c r="CZ26" s="6"/>
      <c r="DA26" s="6"/>
      <c r="DB26" s="6"/>
      <c r="DC26" s="6"/>
      <c r="DD26" s="6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6"/>
      <c r="DP26" s="6"/>
      <c r="DQ26" s="11"/>
      <c r="DR26" s="11"/>
      <c r="DS26" s="11"/>
      <c r="DT26" s="11"/>
      <c r="DU26" s="6">
        <f t="shared" si="3"/>
        <v>0</v>
      </c>
      <c r="DV26" s="6">
        <f t="shared" si="1"/>
        <v>0</v>
      </c>
      <c r="DW26" s="11"/>
      <c r="DX26" s="11"/>
      <c r="DY26" s="11"/>
      <c r="DZ26" s="6">
        <f>SUM(DV26:DY26)</f>
        <v>0</v>
      </c>
    </row>
    <row r="27" spans="1:130" x14ac:dyDescent="0.25">
      <c r="A27">
        <v>17</v>
      </c>
      <c r="B27" s="11" t="s">
        <v>640</v>
      </c>
      <c r="C27" s="6"/>
      <c r="D27" s="11" t="s">
        <v>75</v>
      </c>
      <c r="E27" s="6" t="s">
        <v>328</v>
      </c>
      <c r="F27" s="6"/>
      <c r="G27" s="6"/>
      <c r="H27" s="6"/>
      <c r="I27" s="6"/>
      <c r="J27" s="6"/>
      <c r="K27" s="6"/>
      <c r="L27" s="6"/>
      <c r="M27" s="6"/>
      <c r="N27" s="6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6"/>
      <c r="AF27" s="6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6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6"/>
      <c r="CH27" s="6"/>
      <c r="CI27" s="11"/>
      <c r="CJ27" s="11"/>
      <c r="CK27" s="11"/>
      <c r="CL27" s="11"/>
      <c r="CM27" s="11"/>
      <c r="CN27" s="11"/>
      <c r="CO27" s="6"/>
      <c r="CP27" s="6"/>
      <c r="CQ27" s="11"/>
      <c r="CR27" s="11"/>
      <c r="CS27" s="11">
        <v>105</v>
      </c>
      <c r="CT27" s="11"/>
      <c r="CU27" s="6"/>
      <c r="CV27" s="6"/>
      <c r="CW27" s="6">
        <f t="shared" si="0"/>
        <v>105</v>
      </c>
      <c r="CY27" s="6"/>
      <c r="CZ27" s="6"/>
      <c r="DA27" s="6"/>
      <c r="DB27" s="6"/>
      <c r="DC27" s="6"/>
      <c r="DD27" s="6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6"/>
      <c r="DP27" s="6"/>
      <c r="DQ27" s="11"/>
      <c r="DR27" s="11"/>
      <c r="DS27" s="11"/>
      <c r="DT27" s="11"/>
      <c r="DU27" s="6">
        <f t="shared" si="3"/>
        <v>0</v>
      </c>
      <c r="DV27" s="6">
        <f t="shared" si="1"/>
        <v>0</v>
      </c>
      <c r="DW27" s="11">
        <v>12.5</v>
      </c>
      <c r="DX27" s="11"/>
      <c r="DY27" s="11"/>
      <c r="DZ27" s="6">
        <f>SUM(DV27:DY27)</f>
        <v>12.5</v>
      </c>
    </row>
    <row r="28" spans="1:130" x14ac:dyDescent="0.25">
      <c r="A28">
        <v>18</v>
      </c>
      <c r="B28" s="6" t="s">
        <v>240</v>
      </c>
      <c r="C28" s="6"/>
      <c r="D28" s="6" t="s">
        <v>22</v>
      </c>
      <c r="E28" s="6" t="s">
        <v>29</v>
      </c>
      <c r="F28" s="6"/>
      <c r="G28" s="6"/>
      <c r="H28" s="6"/>
      <c r="I28" s="6"/>
      <c r="J28" s="6"/>
      <c r="K28" s="6"/>
      <c r="L28" s="6"/>
      <c r="M28" s="6"/>
      <c r="N28" s="6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6"/>
      <c r="AF28" s="6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>
        <v>40</v>
      </c>
      <c r="AR28" s="11"/>
      <c r="AS28" s="11">
        <v>5</v>
      </c>
      <c r="AT28" s="11"/>
      <c r="AU28" s="11"/>
      <c r="AV28" s="11">
        <v>2.4</v>
      </c>
      <c r="AW28" s="11"/>
      <c r="AX28" s="11"/>
      <c r="AY28" s="11"/>
      <c r="AZ28" s="11">
        <v>5</v>
      </c>
      <c r="BA28" s="11"/>
      <c r="BB28" s="11"/>
      <c r="BC28" s="11"/>
      <c r="BD28" s="11"/>
      <c r="BE28" s="6">
        <f>SUM(AF28:BD28)</f>
        <v>52.4</v>
      </c>
      <c r="BF28" s="11">
        <f>(BE28-AF28)/2</f>
        <v>26.2</v>
      </c>
      <c r="BG28" s="11"/>
      <c r="BH28" s="11"/>
      <c r="BI28" s="11">
        <v>30</v>
      </c>
      <c r="BJ28" s="11"/>
      <c r="BK28" s="11"/>
      <c r="BL28" s="11"/>
      <c r="BM28" s="11"/>
      <c r="BN28" s="11"/>
      <c r="BO28" s="11">
        <v>54</v>
      </c>
      <c r="BP28" s="11"/>
      <c r="BQ28" s="11">
        <v>36</v>
      </c>
      <c r="BR28" s="11"/>
      <c r="BS28" s="11">
        <v>56</v>
      </c>
      <c r="BT28" s="11"/>
      <c r="BU28" s="11">
        <v>18</v>
      </c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>
        <v>72</v>
      </c>
      <c r="CG28" s="6">
        <f>SUM(BF28:CF28)</f>
        <v>292.2</v>
      </c>
      <c r="CH28" s="6">
        <f>(CG28-BF28)/2</f>
        <v>133</v>
      </c>
      <c r="CI28" s="11">
        <v>30</v>
      </c>
      <c r="CJ28" s="11">
        <v>40</v>
      </c>
      <c r="CK28" s="11">
        <v>70</v>
      </c>
      <c r="CL28" s="11">
        <v>54</v>
      </c>
      <c r="CM28" s="11">
        <v>4</v>
      </c>
      <c r="CN28" s="11">
        <v>10</v>
      </c>
      <c r="CO28" s="6">
        <f>SUM(CH28:CN28)</f>
        <v>341</v>
      </c>
      <c r="CP28" s="6">
        <f>(CO28-CH28)/2</f>
        <v>104</v>
      </c>
      <c r="CQ28" s="11"/>
      <c r="CR28" s="11"/>
      <c r="CS28" s="11"/>
      <c r="CT28" s="11"/>
      <c r="CU28" s="6"/>
      <c r="CV28" s="6"/>
      <c r="CW28" s="6">
        <f t="shared" si="0"/>
        <v>104</v>
      </c>
      <c r="CY28" s="8">
        <f>BE28/4</f>
        <v>13.1</v>
      </c>
      <c r="CZ28" s="8"/>
      <c r="DA28" s="8"/>
      <c r="DB28" s="8"/>
      <c r="DC28" s="8"/>
      <c r="DD28" s="11">
        <f>SUM(CY28:CZ28)</f>
        <v>13.1</v>
      </c>
      <c r="DE28" s="11">
        <f>DD28/2</f>
        <v>6.55</v>
      </c>
      <c r="DF28" s="11">
        <f>CG28/4</f>
        <v>73.05</v>
      </c>
      <c r="DG28" s="11">
        <v>18</v>
      </c>
      <c r="DH28" s="11"/>
      <c r="DI28" s="11"/>
      <c r="DJ28" s="11"/>
      <c r="DK28" s="11"/>
      <c r="DL28" s="11"/>
      <c r="DM28" s="11"/>
      <c r="DN28" s="11">
        <v>20</v>
      </c>
      <c r="DO28" s="6">
        <f>SUM(DE28:DN28)</f>
        <v>117.6</v>
      </c>
      <c r="DP28" s="6">
        <f>(DO28-DE28)/2</f>
        <v>55.524999999999999</v>
      </c>
      <c r="DQ28" s="11">
        <v>1.75</v>
      </c>
      <c r="DR28" s="11"/>
      <c r="DS28" s="11"/>
      <c r="DT28" s="11"/>
      <c r="DU28" s="6">
        <f t="shared" si="3"/>
        <v>57.274999999999999</v>
      </c>
      <c r="DV28" s="6">
        <f t="shared" si="1"/>
        <v>0.875</v>
      </c>
      <c r="DW28" s="11"/>
      <c r="DX28" s="11"/>
      <c r="DY28" s="11"/>
      <c r="DZ28" s="6">
        <f>SUM(DV28:DY28)</f>
        <v>0.875</v>
      </c>
    </row>
    <row r="29" spans="1:130" x14ac:dyDescent="0.25">
      <c r="A29">
        <v>19</v>
      </c>
      <c r="B29" s="6" t="s">
        <v>481</v>
      </c>
      <c r="C29" s="6"/>
      <c r="D29" s="6" t="s">
        <v>69</v>
      </c>
      <c r="E29" s="6" t="s">
        <v>482</v>
      </c>
      <c r="F29" s="6"/>
      <c r="G29" s="6"/>
      <c r="H29" s="6"/>
      <c r="I29" s="6"/>
      <c r="J29" s="6"/>
      <c r="K29" s="6"/>
      <c r="L29" s="6"/>
      <c r="M29" s="6"/>
      <c r="N29" s="6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6"/>
      <c r="AF29" s="6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6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6"/>
      <c r="CH29" s="6"/>
      <c r="CI29" s="11">
        <v>3</v>
      </c>
      <c r="CJ29" s="11"/>
      <c r="CK29" s="11"/>
      <c r="CL29" s="11"/>
      <c r="CM29" s="11"/>
      <c r="CN29" s="11"/>
      <c r="CO29" s="6">
        <f>SUM(CH29:CN29)</f>
        <v>3</v>
      </c>
      <c r="CP29" s="6">
        <f>(CO29-CH29)/2</f>
        <v>1.5</v>
      </c>
      <c r="CQ29" s="11"/>
      <c r="CR29" s="11">
        <v>40</v>
      </c>
      <c r="CS29" s="11">
        <v>60</v>
      </c>
      <c r="CT29" s="11"/>
      <c r="CU29" s="6"/>
      <c r="CV29" s="6"/>
      <c r="CW29" s="6">
        <f t="shared" si="0"/>
        <v>101.5</v>
      </c>
      <c r="DD29" s="6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6"/>
      <c r="DP29" s="6"/>
      <c r="DQ29" s="11"/>
      <c r="DR29" s="11"/>
      <c r="DS29" s="11"/>
      <c r="DT29" s="11"/>
      <c r="DU29" s="6">
        <f t="shared" si="3"/>
        <v>0</v>
      </c>
      <c r="DV29" s="6">
        <f t="shared" si="1"/>
        <v>0</v>
      </c>
      <c r="DW29" s="11"/>
      <c r="DX29" s="11"/>
      <c r="DY29" s="11"/>
      <c r="DZ29" s="6">
        <f>SUM(DV29:DW29)</f>
        <v>0</v>
      </c>
    </row>
    <row r="30" spans="1:130" x14ac:dyDescent="0.25">
      <c r="A30">
        <v>20</v>
      </c>
      <c r="B30" s="6" t="s">
        <v>649</v>
      </c>
      <c r="C30" s="6"/>
      <c r="D30" s="6" t="s">
        <v>78</v>
      </c>
      <c r="E30" s="6" t="s">
        <v>650</v>
      </c>
      <c r="F30" s="6"/>
      <c r="G30" s="6"/>
      <c r="H30" s="6"/>
      <c r="I30" s="6"/>
      <c r="J30" s="6"/>
      <c r="K30" s="6"/>
      <c r="L30" s="6"/>
      <c r="M30" s="6"/>
      <c r="N30" s="6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6"/>
      <c r="AF30" s="6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6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6"/>
      <c r="CH30" s="6"/>
      <c r="CI30" s="11"/>
      <c r="CJ30" s="11"/>
      <c r="CK30" s="11"/>
      <c r="CL30" s="11"/>
      <c r="CM30" s="11"/>
      <c r="CN30" s="11"/>
      <c r="CO30" s="6"/>
      <c r="CP30" s="6"/>
      <c r="CQ30" s="11">
        <v>60</v>
      </c>
      <c r="CR30" s="11"/>
      <c r="CS30" s="11">
        <v>39</v>
      </c>
      <c r="CT30" s="11"/>
      <c r="CU30" s="6"/>
      <c r="CV30" s="6"/>
      <c r="CW30" s="6">
        <f t="shared" si="0"/>
        <v>99</v>
      </c>
      <c r="DD30" s="6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6"/>
      <c r="DP30" s="6"/>
      <c r="DQ30" s="11"/>
      <c r="DR30" s="11"/>
      <c r="DS30" s="11"/>
      <c r="DT30" s="11"/>
      <c r="DU30" s="6">
        <f t="shared" si="3"/>
        <v>0</v>
      </c>
      <c r="DV30" s="6">
        <f t="shared" si="1"/>
        <v>0</v>
      </c>
      <c r="DW30" s="11"/>
      <c r="DX30" s="11"/>
      <c r="DY30" s="11"/>
      <c r="DZ30" s="6">
        <f>SUM(DV30:DY30)</f>
        <v>0</v>
      </c>
    </row>
    <row r="31" spans="1:130" x14ac:dyDescent="0.25">
      <c r="A31">
        <v>21</v>
      </c>
      <c r="B31" s="27" t="s">
        <v>188</v>
      </c>
      <c r="C31" s="27"/>
      <c r="D31" s="27" t="s">
        <v>10</v>
      </c>
      <c r="E31" s="27" t="s">
        <v>106</v>
      </c>
      <c r="BE31" s="6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>
        <v>50</v>
      </c>
      <c r="BR31" s="11"/>
      <c r="BS31" s="11"/>
      <c r="BT31" s="11"/>
      <c r="BU31" s="11">
        <v>7.5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6">
        <f>SUM(BF31:CF31)</f>
        <v>57.5</v>
      </c>
      <c r="CH31" s="6">
        <f>(CG31-BF31)/2</f>
        <v>28.75</v>
      </c>
      <c r="CI31" s="11">
        <v>48</v>
      </c>
      <c r="CJ31" s="11">
        <v>44.8</v>
      </c>
      <c r="CK31" s="11">
        <v>54</v>
      </c>
      <c r="CL31" s="11">
        <v>36</v>
      </c>
      <c r="CM31" s="11">
        <v>10</v>
      </c>
      <c r="CN31" s="11"/>
      <c r="CO31" s="6">
        <f>SUM(CH31:CN31)</f>
        <v>221.55</v>
      </c>
      <c r="CP31" s="6">
        <f>(CO31-CH31)/2</f>
        <v>96.4</v>
      </c>
      <c r="CQ31" s="11"/>
      <c r="CR31" s="11"/>
      <c r="CS31" s="11"/>
      <c r="CT31" s="11"/>
      <c r="CU31" s="6"/>
      <c r="CV31" s="6"/>
      <c r="CW31" s="6">
        <f t="shared" si="0"/>
        <v>96.4</v>
      </c>
      <c r="DD31" s="6"/>
      <c r="DE31" s="11"/>
      <c r="DF31" s="11">
        <f>CG31/4</f>
        <v>14.375</v>
      </c>
      <c r="DG31" s="11"/>
      <c r="DH31" s="11"/>
      <c r="DI31" s="11"/>
      <c r="DJ31" s="11"/>
      <c r="DK31" s="11"/>
      <c r="DL31" s="11"/>
      <c r="DM31" s="11"/>
      <c r="DN31" s="11"/>
      <c r="DO31" s="6">
        <f>SUM(DE31:DG31)</f>
        <v>14.375</v>
      </c>
      <c r="DP31" s="6">
        <f>(DO31-DE31)/2</f>
        <v>7.1875</v>
      </c>
      <c r="DQ31" s="11"/>
      <c r="DR31" s="11"/>
      <c r="DS31" s="11"/>
      <c r="DT31" s="11"/>
      <c r="DU31" s="6">
        <f t="shared" si="3"/>
        <v>7.1875</v>
      </c>
      <c r="DV31" s="6">
        <f t="shared" si="1"/>
        <v>0</v>
      </c>
      <c r="DW31" s="11"/>
      <c r="DX31" s="11"/>
      <c r="DY31" s="11"/>
      <c r="DZ31" s="6">
        <f>SUM(DV31:DY31)</f>
        <v>0</v>
      </c>
    </row>
    <row r="32" spans="1:130" x14ac:dyDescent="0.25">
      <c r="A32">
        <v>22</v>
      </c>
      <c r="B32" s="6" t="s">
        <v>605</v>
      </c>
      <c r="C32" s="6"/>
      <c r="D32" s="6" t="s">
        <v>530</v>
      </c>
      <c r="E32" s="6" t="s">
        <v>83</v>
      </c>
      <c r="F32" s="6"/>
      <c r="G32" s="6"/>
      <c r="H32" s="6"/>
      <c r="I32" s="6"/>
      <c r="J32" s="6"/>
      <c r="K32" s="6"/>
      <c r="L32" s="6"/>
      <c r="M32" s="6"/>
      <c r="N32" s="6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6"/>
      <c r="AF32" s="6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6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6"/>
      <c r="CH32" s="6"/>
      <c r="CI32" s="11"/>
      <c r="CJ32" s="11"/>
      <c r="CK32" s="11"/>
      <c r="CL32" s="11"/>
      <c r="CM32" s="11"/>
      <c r="CN32" s="11"/>
      <c r="CO32" s="6"/>
      <c r="CP32" s="6"/>
      <c r="CQ32" s="11">
        <v>48</v>
      </c>
      <c r="CR32" s="11">
        <v>40</v>
      </c>
      <c r="CS32" s="6"/>
      <c r="CT32" s="11"/>
      <c r="CU32" s="6"/>
      <c r="CV32" s="6"/>
      <c r="CW32" s="6">
        <f t="shared" si="0"/>
        <v>88</v>
      </c>
      <c r="DD32" s="6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6"/>
      <c r="DP32" s="6"/>
      <c r="DQ32" s="11"/>
      <c r="DR32" s="11"/>
      <c r="DS32" s="11"/>
      <c r="DT32" s="11"/>
      <c r="DU32" s="6">
        <f t="shared" si="3"/>
        <v>0</v>
      </c>
      <c r="DV32" s="6">
        <f t="shared" si="1"/>
        <v>0</v>
      </c>
      <c r="DW32" s="11"/>
      <c r="DX32" s="11"/>
      <c r="DY32" s="11"/>
      <c r="DZ32" s="6">
        <f>SUM(DV32:DW32)</f>
        <v>0</v>
      </c>
    </row>
    <row r="33" spans="1:130" x14ac:dyDescent="0.25">
      <c r="A33">
        <v>23</v>
      </c>
      <c r="B33" s="21" t="s">
        <v>361</v>
      </c>
      <c r="C33" s="21"/>
      <c r="D33" s="21" t="s">
        <v>431</v>
      </c>
      <c r="E33" s="21" t="s">
        <v>27</v>
      </c>
      <c r="F33" s="6"/>
      <c r="G33" s="6"/>
      <c r="H33" s="6"/>
      <c r="I33" s="6"/>
      <c r="J33" s="6"/>
      <c r="K33" s="6"/>
      <c r="L33" s="6"/>
      <c r="M33" s="6"/>
      <c r="N33" s="6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6"/>
      <c r="AF33" s="6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6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6"/>
      <c r="CH33" s="6"/>
      <c r="CI33" s="11"/>
      <c r="CJ33" s="11"/>
      <c r="CK33" s="11"/>
      <c r="CL33" s="11"/>
      <c r="CM33" s="11"/>
      <c r="CN33" s="11"/>
      <c r="CO33" s="6"/>
      <c r="CP33" s="6"/>
      <c r="CQ33" s="11"/>
      <c r="CR33" s="11"/>
      <c r="CS33" s="11">
        <v>75</v>
      </c>
      <c r="CT33" s="11"/>
      <c r="CU33" s="6"/>
      <c r="CV33" s="6"/>
      <c r="CW33" s="6">
        <f t="shared" si="0"/>
        <v>75</v>
      </c>
      <c r="DD33" s="6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6"/>
      <c r="DP33" s="6"/>
      <c r="DQ33" s="11"/>
      <c r="DR33" s="11"/>
      <c r="DS33" s="11"/>
      <c r="DT33" s="11"/>
      <c r="DU33" s="6">
        <f t="shared" si="3"/>
        <v>0</v>
      </c>
      <c r="DV33" s="6">
        <f t="shared" si="1"/>
        <v>0</v>
      </c>
      <c r="DW33" s="11"/>
      <c r="DX33" s="11">
        <v>54</v>
      </c>
      <c r="DY33" s="11">
        <v>5</v>
      </c>
      <c r="DZ33" s="21">
        <f>SUM(DV33:DY33)</f>
        <v>59</v>
      </c>
    </row>
    <row r="34" spans="1:130" x14ac:dyDescent="0.25">
      <c r="A34">
        <v>24</v>
      </c>
      <c r="B34" s="6" t="s">
        <v>710</v>
      </c>
      <c r="C34" s="6"/>
      <c r="D34" s="6" t="s">
        <v>92</v>
      </c>
      <c r="E34" s="6" t="s">
        <v>8</v>
      </c>
      <c r="F34" s="6"/>
      <c r="G34" s="6"/>
      <c r="H34" s="6"/>
      <c r="I34" s="6"/>
      <c r="J34" s="6"/>
      <c r="K34" s="6"/>
      <c r="L34" s="6"/>
      <c r="M34" s="6"/>
      <c r="N34" s="6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6"/>
      <c r="AF34" s="6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6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6"/>
      <c r="CH34" s="6"/>
      <c r="CI34" s="11"/>
      <c r="CJ34" s="11"/>
      <c r="CK34" s="11"/>
      <c r="CL34" s="11"/>
      <c r="CM34" s="11"/>
      <c r="CN34" s="11"/>
      <c r="CO34" s="6"/>
      <c r="CP34" s="6">
        <f>61.95/2</f>
        <v>30.975000000000001</v>
      </c>
      <c r="CQ34" s="11">
        <v>36</v>
      </c>
      <c r="CR34" s="11"/>
      <c r="CS34" s="11">
        <v>7.5</v>
      </c>
      <c r="CT34" s="11"/>
      <c r="CU34" s="6"/>
      <c r="CV34" s="6"/>
      <c r="CW34" s="6">
        <f t="shared" si="0"/>
        <v>74.474999999999994</v>
      </c>
      <c r="DD34" s="6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6"/>
      <c r="DP34" s="6"/>
      <c r="DQ34" s="11"/>
      <c r="DR34" s="11"/>
      <c r="DS34" s="11"/>
      <c r="DT34" s="11"/>
      <c r="DU34" s="6">
        <f t="shared" si="3"/>
        <v>0</v>
      </c>
      <c r="DV34" s="6">
        <f t="shared" si="1"/>
        <v>0</v>
      </c>
      <c r="DW34" s="11"/>
      <c r="DX34" s="11"/>
      <c r="DY34" s="11"/>
      <c r="DZ34" s="6">
        <f t="shared" ref="DZ34:DZ71" si="4">SUM(DV34:DW34)</f>
        <v>0</v>
      </c>
    </row>
    <row r="35" spans="1:130" x14ac:dyDescent="0.25">
      <c r="A35">
        <v>25</v>
      </c>
      <c r="B35" s="6" t="s">
        <v>98</v>
      </c>
      <c r="C35" s="6"/>
      <c r="D35" s="6" t="s">
        <v>734</v>
      </c>
      <c r="E35" s="6" t="s">
        <v>27</v>
      </c>
      <c r="F35" s="6"/>
      <c r="G35" s="6"/>
      <c r="H35" s="6"/>
      <c r="I35" s="6"/>
      <c r="J35" s="6"/>
      <c r="K35" s="6"/>
      <c r="L35" s="6"/>
      <c r="M35" s="6"/>
      <c r="N35" s="6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6"/>
      <c r="AF35" s="6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6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6"/>
      <c r="CH35" s="6"/>
      <c r="CI35" s="11"/>
      <c r="CJ35" s="11"/>
      <c r="CK35" s="11"/>
      <c r="CL35" s="11"/>
      <c r="CM35" s="11"/>
      <c r="CN35" s="11"/>
      <c r="CO35" s="6"/>
      <c r="CP35" s="6">
        <f>135/2</f>
        <v>67.5</v>
      </c>
      <c r="CQ35" s="11"/>
      <c r="CR35" s="11"/>
      <c r="CS35" s="11"/>
      <c r="CT35" s="11"/>
      <c r="CU35" s="6"/>
      <c r="CV35" s="6"/>
      <c r="CW35" s="6">
        <f t="shared" si="0"/>
        <v>67.5</v>
      </c>
      <c r="DO35" s="6"/>
      <c r="DP35" s="6"/>
      <c r="DQ35" s="11"/>
      <c r="DR35" s="11"/>
      <c r="DS35" s="11"/>
      <c r="DT35" s="11"/>
      <c r="DU35" s="6">
        <f t="shared" si="3"/>
        <v>0</v>
      </c>
      <c r="DV35" s="6">
        <f t="shared" si="1"/>
        <v>0</v>
      </c>
      <c r="DW35" s="11"/>
      <c r="DX35" s="11"/>
      <c r="DY35" s="11"/>
      <c r="DZ35" s="6">
        <f t="shared" si="4"/>
        <v>0</v>
      </c>
    </row>
    <row r="36" spans="1:130" x14ac:dyDescent="0.25">
      <c r="A36">
        <v>26</v>
      </c>
      <c r="B36" s="6" t="s">
        <v>760</v>
      </c>
      <c r="C36" s="6"/>
      <c r="D36" s="6" t="s">
        <v>761</v>
      </c>
      <c r="E36" s="6" t="s">
        <v>581</v>
      </c>
      <c r="F36" s="6"/>
      <c r="G36" s="6"/>
      <c r="H36" s="6"/>
      <c r="I36" s="6"/>
      <c r="J36" s="6"/>
      <c r="K36" s="6"/>
      <c r="L36" s="6"/>
      <c r="M36" s="6"/>
      <c r="N36" s="6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6"/>
      <c r="AF36" s="6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6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6"/>
      <c r="CH36" s="6"/>
      <c r="CI36" s="11"/>
      <c r="CJ36" s="11"/>
      <c r="CK36" s="11"/>
      <c r="CL36" s="11"/>
      <c r="CM36" s="11"/>
      <c r="CN36" s="11"/>
      <c r="CO36" s="6"/>
      <c r="CP36" s="6"/>
      <c r="CQ36" s="11">
        <v>36</v>
      </c>
      <c r="CR36" s="11">
        <v>28.8</v>
      </c>
      <c r="CS36" s="6"/>
      <c r="CT36" s="11"/>
      <c r="CU36" s="6"/>
      <c r="CV36" s="6"/>
      <c r="CW36" s="6">
        <f t="shared" si="0"/>
        <v>64.8</v>
      </c>
      <c r="DO36" s="6"/>
      <c r="DP36" s="6"/>
      <c r="DQ36" s="11"/>
      <c r="DR36" s="11"/>
      <c r="DS36" s="11"/>
      <c r="DT36" s="11"/>
      <c r="DU36" s="6">
        <f t="shared" si="3"/>
        <v>0</v>
      </c>
      <c r="DV36" s="6">
        <f t="shared" si="1"/>
        <v>0</v>
      </c>
      <c r="DW36" s="11"/>
      <c r="DX36" s="11"/>
      <c r="DY36" s="11"/>
      <c r="DZ36" s="6">
        <f t="shared" si="4"/>
        <v>0</v>
      </c>
    </row>
    <row r="37" spans="1:130" x14ac:dyDescent="0.25">
      <c r="A37">
        <v>27</v>
      </c>
      <c r="B37" s="6" t="s">
        <v>736</v>
      </c>
      <c r="C37" s="6"/>
      <c r="D37" s="6" t="s">
        <v>696</v>
      </c>
      <c r="E37" s="6" t="s">
        <v>196</v>
      </c>
      <c r="F37" s="6"/>
      <c r="G37" s="6"/>
      <c r="H37" s="6"/>
      <c r="I37" s="6"/>
      <c r="J37" s="6"/>
      <c r="K37" s="6"/>
      <c r="L37" s="6"/>
      <c r="M37" s="6"/>
      <c r="N37" s="6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6"/>
      <c r="AF37" s="6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6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6"/>
      <c r="CH37" s="6"/>
      <c r="CI37" s="11"/>
      <c r="CJ37" s="11"/>
      <c r="CK37" s="11"/>
      <c r="CL37" s="11"/>
      <c r="CM37" s="11"/>
      <c r="CN37" s="11"/>
      <c r="CO37" s="6"/>
      <c r="CP37" s="6"/>
      <c r="CQ37" s="11">
        <v>48</v>
      </c>
      <c r="CR37" s="11">
        <v>4</v>
      </c>
      <c r="CS37" s="11">
        <v>7.5</v>
      </c>
      <c r="CT37" s="11"/>
      <c r="CU37" s="6"/>
      <c r="CV37" s="6"/>
      <c r="CW37" s="6">
        <f t="shared" si="0"/>
        <v>59.5</v>
      </c>
      <c r="DO37" s="6"/>
      <c r="DP37" s="6"/>
      <c r="DQ37" s="11"/>
      <c r="DR37" s="11"/>
      <c r="DS37" s="11"/>
      <c r="DT37" s="11"/>
      <c r="DU37" s="6">
        <f t="shared" si="3"/>
        <v>0</v>
      </c>
      <c r="DV37" s="6">
        <f t="shared" si="1"/>
        <v>0</v>
      </c>
      <c r="DW37" s="11"/>
      <c r="DX37" s="11"/>
      <c r="DY37" s="11"/>
      <c r="DZ37" s="6">
        <f t="shared" si="4"/>
        <v>0</v>
      </c>
    </row>
    <row r="38" spans="1:130" x14ac:dyDescent="0.25">
      <c r="A38">
        <v>28</v>
      </c>
      <c r="B38" s="6" t="s">
        <v>99</v>
      </c>
      <c r="C38" s="6"/>
      <c r="D38" s="6" t="s">
        <v>392</v>
      </c>
      <c r="E38" s="6" t="s">
        <v>393</v>
      </c>
      <c r="F38" s="6"/>
      <c r="G38" s="6"/>
      <c r="H38" s="6"/>
      <c r="I38" s="6"/>
      <c r="J38" s="6"/>
      <c r="K38" s="6"/>
      <c r="L38" s="6"/>
      <c r="M38" s="6"/>
      <c r="N38" s="6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6"/>
      <c r="AF38" s="6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6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>
        <v>7.5</v>
      </c>
      <c r="BV38" s="11"/>
      <c r="BW38" s="11"/>
      <c r="BX38" s="11"/>
      <c r="BY38" s="11"/>
      <c r="BZ38" s="11"/>
      <c r="CA38" s="11"/>
      <c r="CB38" s="11"/>
      <c r="CC38" s="11">
        <v>30</v>
      </c>
      <c r="CD38" s="11"/>
      <c r="CE38" s="11">
        <v>7.5</v>
      </c>
      <c r="CF38" s="11"/>
      <c r="CG38" s="6">
        <f>SUM(BF38:CF38)</f>
        <v>45</v>
      </c>
      <c r="CH38" s="6">
        <f>(CG38-BF38)/2</f>
        <v>22.5</v>
      </c>
      <c r="CI38" s="11">
        <v>33.6</v>
      </c>
      <c r="CJ38" s="11">
        <v>4</v>
      </c>
      <c r="CK38" s="11">
        <v>39</v>
      </c>
      <c r="CL38" s="11">
        <v>30</v>
      </c>
      <c r="CM38" s="11"/>
      <c r="CN38" s="11"/>
      <c r="CO38" s="6">
        <f>SUM(CH38:CN38)</f>
        <v>129.1</v>
      </c>
      <c r="CP38" s="6">
        <f>(CO38-CH38)/2</f>
        <v>53.3</v>
      </c>
      <c r="CQ38" s="11"/>
      <c r="CR38" s="11"/>
      <c r="CS38" s="11"/>
      <c r="CT38" s="11"/>
      <c r="CU38" s="6"/>
      <c r="CV38" s="6"/>
      <c r="CW38" s="6">
        <f t="shared" si="0"/>
        <v>53.3</v>
      </c>
      <c r="DF38" s="8">
        <f>CG38/4</f>
        <v>11.25</v>
      </c>
      <c r="DO38" s="6">
        <f>SUM(DE38:DG38)</f>
        <v>11.25</v>
      </c>
      <c r="DP38" s="6">
        <f>(DO38-DE38)/2</f>
        <v>5.625</v>
      </c>
      <c r="DQ38" s="11"/>
      <c r="DR38" s="11"/>
      <c r="DS38" s="11"/>
      <c r="DT38" s="11"/>
      <c r="DU38" s="6">
        <f t="shared" si="3"/>
        <v>5.625</v>
      </c>
      <c r="DV38" s="6">
        <f t="shared" si="1"/>
        <v>0</v>
      </c>
      <c r="DW38" s="11"/>
      <c r="DX38" s="11"/>
      <c r="DY38" s="11"/>
      <c r="DZ38" s="6">
        <f t="shared" si="4"/>
        <v>0</v>
      </c>
    </row>
    <row r="39" spans="1:130" x14ac:dyDescent="0.25">
      <c r="A39">
        <v>29</v>
      </c>
      <c r="B39" s="6" t="s">
        <v>652</v>
      </c>
      <c r="C39" s="6"/>
      <c r="D39" s="6" t="s">
        <v>653</v>
      </c>
      <c r="E39" s="6" t="s">
        <v>654</v>
      </c>
      <c r="F39" s="6"/>
      <c r="G39" s="6"/>
      <c r="H39" s="6"/>
      <c r="I39" s="6"/>
      <c r="J39" s="6"/>
      <c r="K39" s="6"/>
      <c r="L39" s="6"/>
      <c r="M39" s="6"/>
      <c r="N39" s="6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6"/>
      <c r="AF39" s="6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6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6"/>
      <c r="CH39" s="6"/>
      <c r="CI39" s="11"/>
      <c r="CJ39" s="11"/>
      <c r="CK39" s="11"/>
      <c r="CL39" s="11"/>
      <c r="CM39" s="11"/>
      <c r="CN39" s="11"/>
      <c r="CO39" s="6"/>
      <c r="CP39" s="6"/>
      <c r="CQ39" s="11">
        <v>48</v>
      </c>
      <c r="CR39" s="11"/>
      <c r="CS39" s="11">
        <v>3</v>
      </c>
      <c r="CT39" s="11"/>
      <c r="CU39" s="6"/>
      <c r="CV39" s="6"/>
      <c r="CW39" s="6">
        <f t="shared" si="0"/>
        <v>51</v>
      </c>
      <c r="DO39" s="6"/>
      <c r="DP39" s="6"/>
      <c r="DQ39" s="11"/>
      <c r="DR39" s="11"/>
      <c r="DS39" s="11"/>
      <c r="DT39" s="11"/>
      <c r="DU39" s="6">
        <f t="shared" si="3"/>
        <v>0</v>
      </c>
      <c r="DV39" s="6">
        <f t="shared" si="1"/>
        <v>0</v>
      </c>
      <c r="DW39" s="11"/>
      <c r="DX39" s="11"/>
      <c r="DY39" s="11"/>
      <c r="DZ39" s="6">
        <f t="shared" si="4"/>
        <v>0</v>
      </c>
    </row>
    <row r="40" spans="1:130" x14ac:dyDescent="0.25">
      <c r="A40">
        <v>30</v>
      </c>
      <c r="B40" s="6" t="s">
        <v>551</v>
      </c>
      <c r="C40" s="6"/>
      <c r="D40" s="6" t="s">
        <v>552</v>
      </c>
      <c r="E40" s="6" t="s">
        <v>526</v>
      </c>
      <c r="F40" s="6"/>
      <c r="G40" s="6"/>
      <c r="H40" s="6"/>
      <c r="I40" s="6"/>
      <c r="J40" s="6"/>
      <c r="K40" s="6"/>
      <c r="L40" s="6"/>
      <c r="M40" s="6"/>
      <c r="N40" s="6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6"/>
      <c r="AF40" s="6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6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6"/>
      <c r="CH40" s="6"/>
      <c r="CI40" s="11"/>
      <c r="CJ40" s="11">
        <v>4</v>
      </c>
      <c r="CK40" s="11">
        <v>7.5</v>
      </c>
      <c r="CL40" s="11"/>
      <c r="CM40" s="11"/>
      <c r="CN40" s="11"/>
      <c r="CO40" s="6">
        <f>SUM(CH40:CN40)</f>
        <v>11.5</v>
      </c>
      <c r="CP40" s="6">
        <f>(CO40-CH40)/2</f>
        <v>5.75</v>
      </c>
      <c r="CQ40" s="11">
        <v>36</v>
      </c>
      <c r="CR40" s="11"/>
      <c r="CS40" s="11">
        <v>7.5</v>
      </c>
      <c r="CT40" s="11"/>
      <c r="CU40" s="6"/>
      <c r="CV40" s="6"/>
      <c r="CW40" s="6">
        <f t="shared" si="0"/>
        <v>49.25</v>
      </c>
      <c r="DO40" s="6">
        <f>SUM(DE40:DG40)</f>
        <v>0</v>
      </c>
      <c r="DP40" s="6">
        <f>(DO40-DE40)/2</f>
        <v>0</v>
      </c>
      <c r="DQ40" s="11"/>
      <c r="DR40" s="11"/>
      <c r="DS40" s="11"/>
      <c r="DT40" s="11"/>
      <c r="DU40" s="6">
        <f t="shared" si="3"/>
        <v>0</v>
      </c>
      <c r="DV40" s="6">
        <f t="shared" si="1"/>
        <v>0</v>
      </c>
      <c r="DW40" s="11"/>
      <c r="DX40" s="11"/>
      <c r="DY40" s="11"/>
      <c r="DZ40" s="6">
        <f t="shared" si="4"/>
        <v>0</v>
      </c>
    </row>
    <row r="41" spans="1:130" x14ac:dyDescent="0.25">
      <c r="A41">
        <v>31</v>
      </c>
      <c r="B41" s="6" t="s">
        <v>349</v>
      </c>
      <c r="C41" s="6"/>
      <c r="D41" s="6" t="s">
        <v>527</v>
      </c>
      <c r="E41" s="6" t="s">
        <v>526</v>
      </c>
      <c r="F41" s="6"/>
      <c r="G41" s="6"/>
      <c r="H41" s="6"/>
      <c r="I41" s="6"/>
      <c r="J41" s="6"/>
      <c r="K41" s="6"/>
      <c r="L41" s="6"/>
      <c r="M41" s="6"/>
      <c r="N41" s="6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6"/>
      <c r="AF41" s="6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6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6"/>
      <c r="CH41" s="6"/>
      <c r="CI41" s="11">
        <v>33.6</v>
      </c>
      <c r="CJ41" s="11">
        <v>4</v>
      </c>
      <c r="CK41" s="11">
        <v>54</v>
      </c>
      <c r="CL41" s="11"/>
      <c r="CM41" s="11"/>
      <c r="CN41" s="11"/>
      <c r="CO41" s="6">
        <f>SUM(CH41:CN41)</f>
        <v>91.6</v>
      </c>
      <c r="CP41" s="6">
        <f>(CO41-CH41)/2</f>
        <v>45.8</v>
      </c>
      <c r="CQ41" s="11"/>
      <c r="CR41" s="11"/>
      <c r="CS41" s="11"/>
      <c r="CT41" s="11"/>
      <c r="CU41" s="6"/>
      <c r="CV41" s="6"/>
      <c r="CW41" s="6">
        <f t="shared" si="0"/>
        <v>45.8</v>
      </c>
      <c r="DO41" s="6"/>
      <c r="DP41" s="6"/>
      <c r="DQ41" s="11"/>
      <c r="DR41" s="11"/>
      <c r="DS41" s="11"/>
      <c r="DT41" s="11"/>
      <c r="DU41" s="6">
        <f t="shared" si="3"/>
        <v>0</v>
      </c>
      <c r="DV41" s="6">
        <f t="shared" si="1"/>
        <v>0</v>
      </c>
      <c r="DW41" s="11"/>
      <c r="DX41" s="11"/>
      <c r="DY41" s="11"/>
      <c r="DZ41" s="6">
        <f t="shared" si="4"/>
        <v>0</v>
      </c>
    </row>
    <row r="42" spans="1:130" x14ac:dyDescent="0.25">
      <c r="A42">
        <v>32</v>
      </c>
      <c r="B42" s="6" t="s">
        <v>50</v>
      </c>
      <c r="C42" s="6"/>
      <c r="D42" s="6" t="s">
        <v>327</v>
      </c>
      <c r="E42" s="6" t="s">
        <v>13</v>
      </c>
      <c r="F42" s="6"/>
      <c r="G42" s="6"/>
      <c r="H42" s="6"/>
      <c r="I42" s="6"/>
      <c r="J42" s="6"/>
      <c r="K42" s="6"/>
      <c r="L42" s="6"/>
      <c r="M42" s="6"/>
      <c r="N42" s="6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6"/>
      <c r="AF42" s="6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6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6"/>
      <c r="CH42" s="6"/>
      <c r="CI42" s="11"/>
      <c r="CJ42" s="11"/>
      <c r="CK42" s="11"/>
      <c r="CL42" s="11"/>
      <c r="CM42" s="11"/>
      <c r="CN42" s="11"/>
      <c r="CO42" s="6"/>
      <c r="CP42" s="6"/>
      <c r="CQ42" s="11">
        <v>3</v>
      </c>
      <c r="CR42" s="11">
        <v>40</v>
      </c>
      <c r="CS42" s="11"/>
      <c r="CT42" s="11"/>
      <c r="CU42" s="6"/>
      <c r="CV42" s="6"/>
      <c r="CW42" s="6">
        <f t="shared" si="0"/>
        <v>43</v>
      </c>
      <c r="DO42" s="6"/>
      <c r="DP42" s="6"/>
      <c r="DQ42" s="11"/>
      <c r="DR42" s="11"/>
      <c r="DS42" s="11"/>
      <c r="DT42" s="11"/>
      <c r="DU42" s="6">
        <f t="shared" si="3"/>
        <v>0</v>
      </c>
      <c r="DV42" s="6">
        <f t="shared" si="1"/>
        <v>0</v>
      </c>
      <c r="DW42" s="11"/>
      <c r="DX42" s="11"/>
      <c r="DY42" s="11"/>
      <c r="DZ42" s="6">
        <f t="shared" si="4"/>
        <v>0</v>
      </c>
    </row>
    <row r="43" spans="1:130" x14ac:dyDescent="0.25">
      <c r="A43">
        <v>33</v>
      </c>
      <c r="B43" s="6" t="s">
        <v>503</v>
      </c>
      <c r="C43" s="6"/>
      <c r="D43" s="6" t="s">
        <v>658</v>
      </c>
      <c r="E43" s="6" t="s">
        <v>196</v>
      </c>
      <c r="F43" s="6"/>
      <c r="G43" s="6"/>
      <c r="H43" s="6"/>
      <c r="I43" s="6"/>
      <c r="J43" s="6"/>
      <c r="K43" s="6"/>
      <c r="L43" s="6"/>
      <c r="M43" s="6"/>
      <c r="N43" s="6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6"/>
      <c r="AF43" s="6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6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6"/>
      <c r="CH43" s="6"/>
      <c r="CI43" s="11"/>
      <c r="CJ43" s="11"/>
      <c r="CK43" s="11"/>
      <c r="CL43" s="11"/>
      <c r="CM43" s="11"/>
      <c r="CN43" s="11"/>
      <c r="CO43" s="6"/>
      <c r="CP43" s="6"/>
      <c r="CQ43" s="11">
        <v>33.6</v>
      </c>
      <c r="CR43" s="11"/>
      <c r="CS43" s="11">
        <v>7.5</v>
      </c>
      <c r="CT43" s="11"/>
      <c r="CU43" s="6"/>
      <c r="CV43" s="6"/>
      <c r="CW43" s="6">
        <f t="shared" ref="CW43:CW74" si="5">SUM(CP43:CV43)</f>
        <v>41.1</v>
      </c>
      <c r="DO43" s="6"/>
      <c r="DP43" s="6"/>
      <c r="DQ43" s="11"/>
      <c r="DR43" s="11"/>
      <c r="DS43" s="11"/>
      <c r="DT43" s="11"/>
      <c r="DU43" s="6">
        <f t="shared" si="3"/>
        <v>0</v>
      </c>
      <c r="DV43" s="6">
        <f t="shared" ref="DV43:DV74" si="6">(DU43-DP43)/2</f>
        <v>0</v>
      </c>
      <c r="DW43" s="11"/>
      <c r="DX43" s="11"/>
      <c r="DY43" s="11"/>
      <c r="DZ43" s="6">
        <f t="shared" si="4"/>
        <v>0</v>
      </c>
    </row>
    <row r="44" spans="1:130" x14ac:dyDescent="0.25">
      <c r="A44">
        <v>34</v>
      </c>
      <c r="B44" s="6" t="s">
        <v>777</v>
      </c>
      <c r="C44" s="6"/>
      <c r="D44" s="6" t="s">
        <v>92</v>
      </c>
      <c r="E44" s="6" t="s">
        <v>8</v>
      </c>
      <c r="F44" s="6"/>
      <c r="G44" s="6"/>
      <c r="H44" s="6"/>
      <c r="I44" s="6"/>
      <c r="J44" s="6"/>
      <c r="K44" s="6"/>
      <c r="L44" s="6"/>
      <c r="M44" s="6"/>
      <c r="N44" s="6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6"/>
      <c r="AF44" s="6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6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6"/>
      <c r="CH44" s="6"/>
      <c r="CI44" s="11"/>
      <c r="CJ44" s="11"/>
      <c r="CK44" s="11"/>
      <c r="CL44" s="11"/>
      <c r="CM44" s="11"/>
      <c r="CN44" s="11"/>
      <c r="CO44" s="6"/>
      <c r="CP44" s="6"/>
      <c r="CQ44" s="11">
        <v>36</v>
      </c>
      <c r="CR44" s="11"/>
      <c r="CS44" s="6"/>
      <c r="CT44" s="11"/>
      <c r="CU44" s="6"/>
      <c r="CV44" s="6"/>
      <c r="CW44" s="6">
        <f t="shared" si="5"/>
        <v>36</v>
      </c>
      <c r="DO44" s="6"/>
      <c r="DP44" s="6"/>
      <c r="DQ44" s="11"/>
      <c r="DR44" s="11"/>
      <c r="DS44" s="11"/>
      <c r="DT44" s="11"/>
      <c r="DU44" s="6">
        <f t="shared" si="3"/>
        <v>0</v>
      </c>
      <c r="DV44" s="6">
        <f t="shared" si="6"/>
        <v>0</v>
      </c>
      <c r="DW44" s="11"/>
      <c r="DX44" s="11"/>
      <c r="DY44" s="11"/>
      <c r="DZ44" s="6">
        <f t="shared" si="4"/>
        <v>0</v>
      </c>
    </row>
    <row r="45" spans="1:130" x14ac:dyDescent="0.25">
      <c r="A45">
        <v>35</v>
      </c>
      <c r="B45" s="6" t="s">
        <v>240</v>
      </c>
      <c r="C45" s="6"/>
      <c r="D45" s="6" t="s">
        <v>367</v>
      </c>
      <c r="E45" s="6" t="s">
        <v>13</v>
      </c>
      <c r="F45" s="6"/>
      <c r="G45" s="6"/>
      <c r="H45" s="6"/>
      <c r="I45" s="6"/>
      <c r="J45" s="6"/>
      <c r="K45" s="6"/>
      <c r="L45" s="6"/>
      <c r="M45" s="6"/>
      <c r="N45" s="6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6"/>
      <c r="AF45" s="6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6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>
        <v>42</v>
      </c>
      <c r="BX45" s="11"/>
      <c r="BY45" s="11"/>
      <c r="BZ45" s="11"/>
      <c r="CA45" s="11"/>
      <c r="CB45" s="11"/>
      <c r="CC45" s="11"/>
      <c r="CD45" s="11"/>
      <c r="CE45" s="11"/>
      <c r="CF45" s="11"/>
      <c r="CG45" s="6">
        <f>SUM(BF45:CF45)</f>
        <v>42</v>
      </c>
      <c r="CH45" s="6">
        <f>(CG45-BF45)/2</f>
        <v>21</v>
      </c>
      <c r="CI45" s="11"/>
      <c r="CJ45" s="11">
        <v>56</v>
      </c>
      <c r="CK45" s="11">
        <v>5</v>
      </c>
      <c r="CL45" s="11">
        <v>7.5</v>
      </c>
      <c r="CM45" s="11"/>
      <c r="CN45" s="11"/>
      <c r="CO45" s="6">
        <f>SUM(CH45:CN45)</f>
        <v>89.5</v>
      </c>
      <c r="CP45" s="6">
        <f>(CO45-CH45)/2</f>
        <v>34.25</v>
      </c>
      <c r="CQ45" s="11"/>
      <c r="CR45" s="11"/>
      <c r="CS45" s="11"/>
      <c r="CT45" s="11"/>
      <c r="CU45" s="6"/>
      <c r="CV45" s="6"/>
      <c r="CW45" s="6">
        <f t="shared" si="5"/>
        <v>34.25</v>
      </c>
      <c r="DF45" s="8">
        <f>CG45/4</f>
        <v>10.5</v>
      </c>
      <c r="DO45">
        <f>SUM(DE45:DG45)</f>
        <v>10.5</v>
      </c>
      <c r="DP45">
        <f>(DO45-DE45)/2</f>
        <v>5.25</v>
      </c>
      <c r="DU45" s="6">
        <f t="shared" si="3"/>
        <v>5.25</v>
      </c>
      <c r="DV45" s="6">
        <f t="shared" si="6"/>
        <v>0</v>
      </c>
      <c r="DW45" s="11"/>
      <c r="DX45" s="11"/>
      <c r="DY45" s="11"/>
      <c r="DZ45" s="6">
        <f t="shared" si="4"/>
        <v>0</v>
      </c>
    </row>
    <row r="46" spans="1:130" x14ac:dyDescent="0.25">
      <c r="A46">
        <v>36</v>
      </c>
      <c r="B46" s="6" t="s">
        <v>648</v>
      </c>
      <c r="C46" s="6"/>
      <c r="D46" s="6" t="s">
        <v>60</v>
      </c>
      <c r="E46" s="6" t="s">
        <v>412</v>
      </c>
      <c r="F46" s="6"/>
      <c r="G46" s="6"/>
      <c r="H46" s="6"/>
      <c r="I46" s="6"/>
      <c r="J46" s="6"/>
      <c r="K46" s="6"/>
      <c r="L46" s="6"/>
      <c r="M46" s="6"/>
      <c r="N46" s="6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6"/>
      <c r="AF46" s="6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6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6"/>
      <c r="CH46" s="6"/>
      <c r="CI46" s="11"/>
      <c r="CJ46" s="11"/>
      <c r="CK46" s="11"/>
      <c r="CL46" s="11"/>
      <c r="CM46" s="11"/>
      <c r="CN46" s="11"/>
      <c r="CO46" s="6"/>
      <c r="CP46" s="6"/>
      <c r="CQ46" s="11">
        <v>33.6</v>
      </c>
      <c r="CR46" s="11"/>
      <c r="CS46" s="6"/>
      <c r="CT46" s="11"/>
      <c r="CU46" s="6"/>
      <c r="CV46" s="6"/>
      <c r="CW46" s="6">
        <f t="shared" si="5"/>
        <v>33.6</v>
      </c>
      <c r="DU46" s="6">
        <f t="shared" si="3"/>
        <v>0</v>
      </c>
      <c r="DV46" s="6">
        <f t="shared" si="6"/>
        <v>0</v>
      </c>
      <c r="DW46" s="11"/>
      <c r="DX46" s="11"/>
      <c r="DY46" s="11"/>
      <c r="DZ46" s="6">
        <f t="shared" si="4"/>
        <v>0</v>
      </c>
    </row>
    <row r="47" spans="1:130" x14ac:dyDescent="0.25">
      <c r="A47">
        <v>37</v>
      </c>
      <c r="B47" s="6" t="s">
        <v>735</v>
      </c>
      <c r="C47" s="6"/>
      <c r="D47" s="6" t="s">
        <v>536</v>
      </c>
      <c r="E47" s="6" t="s">
        <v>27</v>
      </c>
      <c r="F47" s="6"/>
      <c r="G47" s="6"/>
      <c r="H47" s="6"/>
      <c r="I47" s="6"/>
      <c r="J47" s="6"/>
      <c r="K47" s="6"/>
      <c r="L47" s="6"/>
      <c r="M47" s="6"/>
      <c r="N47" s="6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6"/>
      <c r="AF47" s="6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6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6"/>
      <c r="CH47" s="6"/>
      <c r="CI47" s="11"/>
      <c r="CJ47" s="11"/>
      <c r="CK47" s="11"/>
      <c r="CL47" s="11"/>
      <c r="CM47" s="11"/>
      <c r="CN47" s="11"/>
      <c r="CO47" s="6"/>
      <c r="CP47" s="6">
        <f>66.45/2</f>
        <v>33.225000000000001</v>
      </c>
      <c r="CQ47" s="11"/>
      <c r="CR47" s="11"/>
      <c r="CS47" s="11"/>
      <c r="CT47" s="11"/>
      <c r="CU47" s="6"/>
      <c r="CV47" s="6"/>
      <c r="CW47" s="6">
        <f t="shared" si="5"/>
        <v>33.225000000000001</v>
      </c>
      <c r="DU47" s="6">
        <f t="shared" si="3"/>
        <v>0</v>
      </c>
      <c r="DV47" s="6">
        <f t="shared" si="6"/>
        <v>0</v>
      </c>
      <c r="DW47" s="11"/>
      <c r="DX47" s="11"/>
      <c r="DY47" s="11"/>
      <c r="DZ47" s="6">
        <f t="shared" si="4"/>
        <v>0</v>
      </c>
    </row>
    <row r="48" spans="1:130" x14ac:dyDescent="0.25">
      <c r="A48">
        <v>38</v>
      </c>
      <c r="B48" s="6" t="s">
        <v>248</v>
      </c>
      <c r="C48" s="6" t="s">
        <v>162</v>
      </c>
      <c r="D48" s="6" t="s">
        <v>157</v>
      </c>
      <c r="E48" s="6" t="s">
        <v>121</v>
      </c>
      <c r="F48" s="6"/>
      <c r="G48" s="6"/>
      <c r="H48" s="6"/>
      <c r="I48" s="6"/>
      <c r="J48" s="6"/>
      <c r="K48" s="6"/>
      <c r="L48" s="6"/>
      <c r="M48" s="6"/>
      <c r="N48" s="6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6"/>
      <c r="AF48" s="6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6"/>
      <c r="BF48" s="11"/>
      <c r="BG48" s="11"/>
      <c r="BH48" s="11"/>
      <c r="BI48" s="11"/>
      <c r="BJ48" s="11"/>
      <c r="BK48" s="11">
        <v>60</v>
      </c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6">
        <f>SUM(BF48:CF48)</f>
        <v>60</v>
      </c>
      <c r="CH48" s="6">
        <f>(CG48-BF48)/2</f>
        <v>30</v>
      </c>
      <c r="CI48" s="11">
        <v>60</v>
      </c>
      <c r="CJ48" s="11"/>
      <c r="CK48" s="11"/>
      <c r="CL48" s="11"/>
      <c r="CM48" s="11"/>
      <c r="CN48" s="11"/>
      <c r="CO48" s="6">
        <f t="shared" ref="CO48:CO54" si="7">SUM(CH48:CN48)</f>
        <v>90</v>
      </c>
      <c r="CP48" s="6">
        <f t="shared" ref="CP48:CP54" si="8">(CO48-CH48)/2</f>
        <v>30</v>
      </c>
      <c r="CQ48" s="11"/>
      <c r="CR48" s="11"/>
      <c r="CS48" s="11"/>
      <c r="CT48" s="11"/>
      <c r="CU48" s="6"/>
      <c r="CV48" s="6"/>
      <c r="CW48" s="6">
        <f t="shared" si="5"/>
        <v>30</v>
      </c>
      <c r="DF48" s="8">
        <f>CG48/4</f>
        <v>15</v>
      </c>
      <c r="DO48">
        <f>SUM(DE48:DG48)</f>
        <v>15</v>
      </c>
      <c r="DP48">
        <f>(DO48-DE48)/2</f>
        <v>7.5</v>
      </c>
      <c r="DU48" s="6">
        <f t="shared" si="3"/>
        <v>7.5</v>
      </c>
      <c r="DV48" s="6">
        <f t="shared" si="6"/>
        <v>0</v>
      </c>
      <c r="DW48" s="11"/>
      <c r="DX48" s="11"/>
      <c r="DY48" s="11"/>
      <c r="DZ48" s="6">
        <f t="shared" si="4"/>
        <v>0</v>
      </c>
    </row>
    <row r="49" spans="1:130" x14ac:dyDescent="0.25">
      <c r="A49">
        <v>39</v>
      </c>
      <c r="B49" s="6" t="s">
        <v>437</v>
      </c>
      <c r="C49" s="6"/>
      <c r="D49" s="6" t="s">
        <v>202</v>
      </c>
      <c r="E49" s="6" t="s">
        <v>219</v>
      </c>
      <c r="F49" s="6"/>
      <c r="G49" s="6"/>
      <c r="H49" s="6"/>
      <c r="I49" s="6"/>
      <c r="J49" s="6"/>
      <c r="K49" s="6"/>
      <c r="L49" s="6"/>
      <c r="M49" s="6"/>
      <c r="N49" s="6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6"/>
      <c r="AF49" s="6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6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6"/>
      <c r="CH49" s="6"/>
      <c r="CI49" s="11"/>
      <c r="CJ49" s="11"/>
      <c r="CK49" s="11">
        <v>54</v>
      </c>
      <c r="CL49" s="11"/>
      <c r="CM49" s="11"/>
      <c r="CN49" s="11"/>
      <c r="CO49" s="6">
        <f t="shared" si="7"/>
        <v>54</v>
      </c>
      <c r="CP49" s="6">
        <f t="shared" si="8"/>
        <v>27</v>
      </c>
      <c r="CQ49" s="11"/>
      <c r="CR49" s="11"/>
      <c r="CS49" s="11"/>
      <c r="CT49" s="11"/>
      <c r="CU49" s="6"/>
      <c r="CV49" s="6"/>
      <c r="CW49" s="6">
        <f t="shared" si="5"/>
        <v>27</v>
      </c>
      <c r="DQ49" s="8">
        <v>10.5</v>
      </c>
      <c r="DU49" s="6">
        <f t="shared" ref="DU49:DU71" si="9">SUM(DP49:DR49)</f>
        <v>10.5</v>
      </c>
      <c r="DV49" s="6">
        <f t="shared" si="6"/>
        <v>5.25</v>
      </c>
      <c r="DW49" s="11"/>
      <c r="DX49" s="11"/>
      <c r="DY49" s="11"/>
      <c r="DZ49" s="6">
        <f t="shared" si="4"/>
        <v>5.25</v>
      </c>
    </row>
    <row r="50" spans="1:130" x14ac:dyDescent="0.25">
      <c r="A50">
        <v>40</v>
      </c>
      <c r="B50" s="6" t="s">
        <v>98</v>
      </c>
      <c r="C50" s="6"/>
      <c r="D50" s="6" t="s">
        <v>74</v>
      </c>
      <c r="E50" s="6" t="s">
        <v>393</v>
      </c>
      <c r="F50" s="6"/>
      <c r="G50" s="6"/>
      <c r="H50" s="6"/>
      <c r="I50" s="6"/>
      <c r="J50" s="6"/>
      <c r="K50" s="6"/>
      <c r="L50" s="6"/>
      <c r="M50" s="6"/>
      <c r="N50" s="6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6"/>
      <c r="AF50" s="6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6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6"/>
      <c r="CH50" s="6"/>
      <c r="CI50" s="11">
        <v>3</v>
      </c>
      <c r="CJ50" s="11">
        <v>28.8</v>
      </c>
      <c r="CK50" s="11">
        <v>7.5</v>
      </c>
      <c r="CL50" s="11">
        <v>2.4</v>
      </c>
      <c r="CM50" s="11">
        <v>4</v>
      </c>
      <c r="CN50" s="11">
        <v>7.5</v>
      </c>
      <c r="CO50" s="6">
        <f t="shared" si="7"/>
        <v>53.199999999999996</v>
      </c>
      <c r="CP50" s="6">
        <f t="shared" si="8"/>
        <v>26.599999999999998</v>
      </c>
      <c r="CQ50" s="11"/>
      <c r="CR50" s="11"/>
      <c r="CS50" s="11"/>
      <c r="CT50" s="11"/>
      <c r="CU50" s="6"/>
      <c r="CV50" s="6"/>
      <c r="CW50" s="6">
        <f t="shared" si="5"/>
        <v>26.599999999999998</v>
      </c>
      <c r="DO50">
        <f>SUM(DE50:DG50)</f>
        <v>0</v>
      </c>
      <c r="DP50">
        <f>(DO50-DE50)/2</f>
        <v>0</v>
      </c>
      <c r="DU50" s="6">
        <f t="shared" si="9"/>
        <v>0</v>
      </c>
      <c r="DV50" s="6">
        <f t="shared" si="6"/>
        <v>0</v>
      </c>
      <c r="DW50" s="11"/>
      <c r="DX50" s="11"/>
      <c r="DY50" s="11"/>
      <c r="DZ50" s="6">
        <f t="shared" si="4"/>
        <v>0</v>
      </c>
    </row>
    <row r="51" spans="1:130" x14ac:dyDescent="0.25">
      <c r="A51">
        <v>41</v>
      </c>
      <c r="B51" s="6" t="s">
        <v>434</v>
      </c>
      <c r="C51" s="6"/>
      <c r="D51" s="6" t="s">
        <v>122</v>
      </c>
      <c r="E51" s="6" t="s">
        <v>111</v>
      </c>
      <c r="F51" s="6"/>
      <c r="G51" s="6"/>
      <c r="H51" s="6"/>
      <c r="I51" s="6"/>
      <c r="J51" s="6"/>
      <c r="K51" s="6"/>
      <c r="L51" s="6"/>
      <c r="M51" s="6"/>
      <c r="N51" s="6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6"/>
      <c r="AF51" s="6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6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6"/>
      <c r="CH51" s="6"/>
      <c r="CI51" s="11"/>
      <c r="CJ51" s="11"/>
      <c r="CK51" s="11">
        <v>39</v>
      </c>
      <c r="CL51" s="11"/>
      <c r="CM51" s="11"/>
      <c r="CN51" s="11"/>
      <c r="CO51" s="6">
        <f t="shared" si="7"/>
        <v>39</v>
      </c>
      <c r="CP51" s="6">
        <f t="shared" si="8"/>
        <v>19.5</v>
      </c>
      <c r="CQ51" s="11"/>
      <c r="CR51" s="11"/>
      <c r="CS51" s="11"/>
      <c r="CT51" s="11"/>
      <c r="CU51" s="6"/>
      <c r="CV51" s="6"/>
      <c r="CW51" s="6">
        <f t="shared" si="5"/>
        <v>19.5</v>
      </c>
      <c r="DQ51" s="8">
        <v>14</v>
      </c>
      <c r="DU51" s="6">
        <f t="shared" si="9"/>
        <v>14</v>
      </c>
      <c r="DV51" s="6">
        <f t="shared" si="6"/>
        <v>7</v>
      </c>
      <c r="DW51" s="11"/>
      <c r="DX51" s="11"/>
      <c r="DY51" s="11"/>
      <c r="DZ51" s="6">
        <f t="shared" si="4"/>
        <v>7</v>
      </c>
    </row>
    <row r="52" spans="1:130" x14ac:dyDescent="0.25">
      <c r="A52">
        <v>42</v>
      </c>
      <c r="B52" s="6" t="s">
        <v>438</v>
      </c>
      <c r="C52" s="6"/>
      <c r="D52" s="6" t="s">
        <v>439</v>
      </c>
      <c r="E52" s="6" t="s">
        <v>11</v>
      </c>
      <c r="F52" s="6"/>
      <c r="G52" s="6"/>
      <c r="H52" s="6"/>
      <c r="I52" s="6"/>
      <c r="J52" s="6"/>
      <c r="K52" s="6"/>
      <c r="L52" s="6"/>
      <c r="M52" s="6"/>
      <c r="N52" s="6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6"/>
      <c r="AF52" s="6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6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6"/>
      <c r="CH52" s="6">
        <v>68.099999999999994</v>
      </c>
      <c r="CI52" s="11">
        <v>24</v>
      </c>
      <c r="CJ52" s="11"/>
      <c r="CK52" s="11">
        <v>7.5</v>
      </c>
      <c r="CL52" s="11">
        <v>5</v>
      </c>
      <c r="CM52" s="11"/>
      <c r="CN52" s="11"/>
      <c r="CO52" s="6">
        <f t="shared" si="7"/>
        <v>104.6</v>
      </c>
      <c r="CP52" s="6">
        <f t="shared" si="8"/>
        <v>18.25</v>
      </c>
      <c r="CQ52" s="11"/>
      <c r="CR52" s="11"/>
      <c r="CS52" s="11"/>
      <c r="CT52" s="11"/>
      <c r="CU52" s="6"/>
      <c r="CV52" s="6"/>
      <c r="CW52" s="6">
        <f t="shared" si="5"/>
        <v>18.25</v>
      </c>
      <c r="DQ52" s="8">
        <v>1.75</v>
      </c>
      <c r="DU52" s="6">
        <f t="shared" si="9"/>
        <v>1.75</v>
      </c>
      <c r="DV52" s="6">
        <f t="shared" si="6"/>
        <v>0.875</v>
      </c>
      <c r="DW52" s="11"/>
      <c r="DX52" s="11"/>
      <c r="DY52" s="11"/>
      <c r="DZ52" s="6">
        <f t="shared" si="4"/>
        <v>0.875</v>
      </c>
    </row>
    <row r="53" spans="1:130" x14ac:dyDescent="0.25">
      <c r="A53">
        <v>43</v>
      </c>
      <c r="B53" s="6" t="s">
        <v>325</v>
      </c>
      <c r="C53" s="6"/>
      <c r="D53" s="6" t="s">
        <v>211</v>
      </c>
      <c r="E53" s="6" t="s">
        <v>196</v>
      </c>
      <c r="F53" s="6"/>
      <c r="G53" s="6"/>
      <c r="H53" s="6"/>
      <c r="I53" s="6"/>
      <c r="J53" s="6"/>
      <c r="K53" s="6"/>
      <c r="L53" s="6"/>
      <c r="M53" s="6"/>
      <c r="N53" s="6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6"/>
      <c r="AF53" s="6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6"/>
      <c r="BF53" s="11"/>
      <c r="BG53" s="11">
        <v>48</v>
      </c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>
        <v>48.8</v>
      </c>
      <c r="BS53" s="11"/>
      <c r="BT53" s="11"/>
      <c r="BU53" s="11">
        <v>39</v>
      </c>
      <c r="BV53" s="11"/>
      <c r="BW53" s="11"/>
      <c r="BX53" s="11"/>
      <c r="BY53" s="11">
        <v>60</v>
      </c>
      <c r="BZ53" s="11"/>
      <c r="CA53" s="11"/>
      <c r="CB53" s="11"/>
      <c r="CC53" s="11"/>
      <c r="CD53" s="11"/>
      <c r="CE53" s="11"/>
      <c r="CF53" s="11">
        <v>100</v>
      </c>
      <c r="CG53" s="6">
        <f>SUM(BF53:CF53)</f>
        <v>295.8</v>
      </c>
      <c r="CH53" s="6">
        <f>(CG53-BF53)/2</f>
        <v>147.9</v>
      </c>
      <c r="CI53" s="11"/>
      <c r="CJ53" s="11"/>
      <c r="CK53" s="11">
        <v>36</v>
      </c>
      <c r="CL53" s="11"/>
      <c r="CM53" s="11"/>
      <c r="CN53" s="11"/>
      <c r="CO53" s="6">
        <f t="shared" si="7"/>
        <v>183.9</v>
      </c>
      <c r="CP53" s="6">
        <f t="shared" si="8"/>
        <v>18</v>
      </c>
      <c r="CQ53" s="11"/>
      <c r="CR53" s="11"/>
      <c r="CS53" s="11"/>
      <c r="CT53" s="11"/>
      <c r="CU53" s="6"/>
      <c r="CV53" s="6"/>
      <c r="CW53" s="6">
        <f t="shared" si="5"/>
        <v>18</v>
      </c>
      <c r="DF53" s="8">
        <f>CG53/4</f>
        <v>73.95</v>
      </c>
      <c r="DO53">
        <f>SUM(DE53:DG53)</f>
        <v>73.95</v>
      </c>
      <c r="DP53">
        <f>(DO53-DE53)/2</f>
        <v>36.975000000000001</v>
      </c>
      <c r="DU53" s="6">
        <f t="shared" si="9"/>
        <v>36.975000000000001</v>
      </c>
      <c r="DV53" s="6">
        <f t="shared" si="6"/>
        <v>0</v>
      </c>
      <c r="DW53" s="11"/>
      <c r="DX53" s="11"/>
      <c r="DY53" s="11"/>
      <c r="DZ53" s="6">
        <f t="shared" si="4"/>
        <v>0</v>
      </c>
    </row>
    <row r="54" spans="1:130" x14ac:dyDescent="0.25">
      <c r="A54">
        <v>44</v>
      </c>
      <c r="B54" s="6" t="s">
        <v>41</v>
      </c>
      <c r="C54" s="6"/>
      <c r="D54" s="6" t="s">
        <v>108</v>
      </c>
      <c r="E54" s="6" t="s">
        <v>545</v>
      </c>
      <c r="F54" s="6"/>
      <c r="G54" s="6"/>
      <c r="H54" s="6"/>
      <c r="I54" s="6"/>
      <c r="J54" s="6"/>
      <c r="K54" s="6"/>
      <c r="L54" s="6"/>
      <c r="M54" s="6"/>
      <c r="N54" s="6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6"/>
      <c r="AF54" s="6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6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6"/>
      <c r="CH54" s="6"/>
      <c r="CI54" s="11">
        <v>36</v>
      </c>
      <c r="CJ54" s="11"/>
      <c r="CK54" s="11"/>
      <c r="CL54" s="11"/>
      <c r="CM54" s="11"/>
      <c r="CN54" s="11"/>
      <c r="CO54" s="6">
        <f t="shared" si="7"/>
        <v>36</v>
      </c>
      <c r="CP54" s="6">
        <f t="shared" si="8"/>
        <v>18</v>
      </c>
      <c r="CQ54" s="11"/>
      <c r="CR54" s="11"/>
      <c r="CS54" s="11"/>
      <c r="CT54" s="11"/>
      <c r="CU54" s="6"/>
      <c r="CV54" s="6"/>
      <c r="CW54" s="6">
        <f t="shared" si="5"/>
        <v>18</v>
      </c>
      <c r="DU54" s="6">
        <f t="shared" si="9"/>
        <v>0</v>
      </c>
      <c r="DV54" s="6">
        <f t="shared" si="6"/>
        <v>0</v>
      </c>
      <c r="DW54" s="11"/>
      <c r="DX54" s="11"/>
      <c r="DY54" s="11"/>
      <c r="DZ54" s="6">
        <f t="shared" si="4"/>
        <v>0</v>
      </c>
    </row>
    <row r="55" spans="1:130" x14ac:dyDescent="0.25">
      <c r="A55">
        <v>45</v>
      </c>
      <c r="B55" s="6" t="s">
        <v>637</v>
      </c>
      <c r="C55" s="6"/>
      <c r="D55" s="6" t="s">
        <v>226</v>
      </c>
      <c r="E55" s="6" t="s">
        <v>328</v>
      </c>
      <c r="F55" s="6"/>
      <c r="G55" s="6"/>
      <c r="H55" s="6"/>
      <c r="I55" s="6"/>
      <c r="J55" s="6"/>
      <c r="K55" s="6"/>
      <c r="L55" s="6"/>
      <c r="M55" s="6"/>
      <c r="N55" s="6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6"/>
      <c r="AF55" s="6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6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6"/>
      <c r="CH55" s="6"/>
      <c r="CI55" s="11"/>
      <c r="CJ55" s="11"/>
      <c r="CK55" s="11"/>
      <c r="CL55" s="11"/>
      <c r="CM55" s="11"/>
      <c r="CN55" s="11"/>
      <c r="CO55" s="6"/>
      <c r="CP55" s="6"/>
      <c r="CQ55" s="11">
        <v>2.4</v>
      </c>
      <c r="CR55" s="11">
        <v>4</v>
      </c>
      <c r="CS55" s="11">
        <v>7.5</v>
      </c>
      <c r="CT55" s="11">
        <v>2.4</v>
      </c>
      <c r="CU55" s="6"/>
      <c r="CV55" s="6"/>
      <c r="CW55" s="6">
        <f t="shared" si="5"/>
        <v>16.3</v>
      </c>
      <c r="DU55" s="6">
        <f t="shared" si="9"/>
        <v>0</v>
      </c>
      <c r="DV55" s="6">
        <f t="shared" si="6"/>
        <v>0</v>
      </c>
      <c r="DW55" s="11"/>
      <c r="DX55" s="11"/>
      <c r="DY55" s="11"/>
      <c r="DZ55" s="6">
        <f t="shared" si="4"/>
        <v>0</v>
      </c>
    </row>
    <row r="56" spans="1:130" x14ac:dyDescent="0.25">
      <c r="A56">
        <v>46</v>
      </c>
      <c r="B56" s="6" t="s">
        <v>285</v>
      </c>
      <c r="C56" s="6" t="s">
        <v>238</v>
      </c>
      <c r="D56" s="6" t="s">
        <v>108</v>
      </c>
      <c r="E56" s="6" t="s">
        <v>124</v>
      </c>
      <c r="F56" s="6"/>
      <c r="G56" s="6"/>
      <c r="H56" s="6"/>
      <c r="I56" s="6"/>
      <c r="J56" s="6"/>
      <c r="K56" s="6"/>
      <c r="L56" s="6"/>
      <c r="M56" s="6"/>
      <c r="N56" s="6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6"/>
      <c r="AF56" s="6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6"/>
      <c r="BF56" s="11"/>
      <c r="BG56" s="11"/>
      <c r="BH56" s="11"/>
      <c r="BI56" s="11"/>
      <c r="BJ56" s="11"/>
      <c r="BK56" s="11">
        <v>3</v>
      </c>
      <c r="BL56" s="11"/>
      <c r="BM56" s="11"/>
      <c r="BN56" s="11"/>
      <c r="BO56" s="11">
        <v>7.5</v>
      </c>
      <c r="BP56" s="11"/>
      <c r="BQ56" s="11"/>
      <c r="BR56" s="11"/>
      <c r="BS56" s="11"/>
      <c r="BT56" s="11"/>
      <c r="BU56" s="11">
        <v>39</v>
      </c>
      <c r="BV56" s="11"/>
      <c r="BW56" s="11"/>
      <c r="BX56" s="11"/>
      <c r="BY56" s="11"/>
      <c r="BZ56" s="11"/>
      <c r="CA56" s="11"/>
      <c r="CB56" s="11"/>
      <c r="CC56" s="11">
        <v>3</v>
      </c>
      <c r="CD56" s="11"/>
      <c r="CE56" s="11"/>
      <c r="CF56" s="11"/>
      <c r="CG56" s="6">
        <f>SUM(BF56:CF56)</f>
        <v>52.5</v>
      </c>
      <c r="CH56" s="6">
        <f>(CG56-BF56)/2</f>
        <v>26.25</v>
      </c>
      <c r="CI56" s="11"/>
      <c r="CJ56" s="11">
        <v>4</v>
      </c>
      <c r="CK56" s="11">
        <v>7.5</v>
      </c>
      <c r="CL56" s="11"/>
      <c r="CM56" s="11"/>
      <c r="CN56" s="11"/>
      <c r="CO56" s="6">
        <f>SUM(CH56:CN56)</f>
        <v>37.75</v>
      </c>
      <c r="CP56" s="6">
        <f>(CO56-CH56)/2</f>
        <v>5.75</v>
      </c>
      <c r="CQ56" s="11"/>
      <c r="CR56" s="11"/>
      <c r="CS56" s="11"/>
      <c r="CT56" s="11"/>
      <c r="CU56" s="6"/>
      <c r="CV56" s="6"/>
      <c r="CW56" s="6">
        <f t="shared" si="5"/>
        <v>5.75</v>
      </c>
      <c r="DF56" s="8">
        <f>CG56/4</f>
        <v>13.125</v>
      </c>
      <c r="DO56">
        <f>SUM(DE56:DG56)</f>
        <v>13.125</v>
      </c>
      <c r="DP56">
        <f>(DO56-DE56)/2</f>
        <v>6.5625</v>
      </c>
      <c r="DU56" s="6">
        <f t="shared" si="9"/>
        <v>6.5625</v>
      </c>
      <c r="DV56" s="6">
        <f t="shared" si="6"/>
        <v>0</v>
      </c>
      <c r="DW56" s="11"/>
      <c r="DX56" s="11"/>
      <c r="DY56" s="11"/>
      <c r="DZ56" s="6">
        <f t="shared" si="4"/>
        <v>0</v>
      </c>
    </row>
    <row r="57" spans="1:130" x14ac:dyDescent="0.25">
      <c r="A57">
        <v>47</v>
      </c>
      <c r="B57" s="6" t="s">
        <v>765</v>
      </c>
      <c r="C57" s="6"/>
      <c r="D57" s="6" t="s">
        <v>22</v>
      </c>
      <c r="E57" s="6" t="s">
        <v>526</v>
      </c>
      <c r="F57" s="6"/>
      <c r="G57" s="6"/>
      <c r="H57" s="6"/>
      <c r="I57" s="6"/>
      <c r="J57" s="6"/>
      <c r="K57" s="6"/>
      <c r="L57" s="6"/>
      <c r="M57" s="6"/>
      <c r="N57" s="6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6"/>
      <c r="AF57" s="6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6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6"/>
      <c r="CH57" s="6"/>
      <c r="CI57" s="11"/>
      <c r="CJ57" s="11"/>
      <c r="CK57" s="11"/>
      <c r="CL57" s="11"/>
      <c r="CM57" s="11"/>
      <c r="CN57" s="11"/>
      <c r="CO57" s="6"/>
      <c r="CP57" s="6"/>
      <c r="CQ57" s="11"/>
      <c r="CR57" s="11">
        <v>4</v>
      </c>
      <c r="CS57" s="6"/>
      <c r="CT57" s="11"/>
      <c r="CU57" s="6"/>
      <c r="CV57" s="6"/>
      <c r="CW57" s="6">
        <f t="shared" si="5"/>
        <v>4</v>
      </c>
      <c r="DU57" s="6">
        <f t="shared" si="9"/>
        <v>0</v>
      </c>
      <c r="DV57" s="6">
        <f t="shared" si="6"/>
        <v>0</v>
      </c>
      <c r="DW57" s="11"/>
      <c r="DX57" s="11"/>
      <c r="DY57" s="11"/>
      <c r="DZ57" s="6">
        <f t="shared" si="4"/>
        <v>0</v>
      </c>
    </row>
    <row r="58" spans="1:130" x14ac:dyDescent="0.25">
      <c r="A58">
        <v>48</v>
      </c>
      <c r="B58" s="6" t="s">
        <v>52</v>
      </c>
      <c r="C58" s="6"/>
      <c r="D58" s="6" t="s">
        <v>229</v>
      </c>
      <c r="E58" s="6" t="s">
        <v>189</v>
      </c>
      <c r="F58" s="6"/>
      <c r="G58" s="6"/>
      <c r="H58" s="6"/>
      <c r="I58" s="6"/>
      <c r="J58" s="6"/>
      <c r="K58" s="6"/>
      <c r="L58" s="6"/>
      <c r="M58" s="6"/>
      <c r="N58" s="6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6"/>
      <c r="AF58" s="6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6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6"/>
      <c r="CH58" s="6"/>
      <c r="CI58" s="11"/>
      <c r="CJ58" s="11"/>
      <c r="CK58" s="11"/>
      <c r="CL58" s="11"/>
      <c r="CM58" s="11"/>
      <c r="CN58" s="11"/>
      <c r="CO58" s="6"/>
      <c r="CP58" s="6"/>
      <c r="CQ58" s="11"/>
      <c r="CR58" s="11">
        <v>4</v>
      </c>
      <c r="CS58" s="6"/>
      <c r="CT58" s="11"/>
      <c r="CU58" s="6"/>
      <c r="CV58" s="6"/>
      <c r="CW58" s="6">
        <f t="shared" si="5"/>
        <v>4</v>
      </c>
      <c r="DU58" s="6">
        <f t="shared" si="9"/>
        <v>0</v>
      </c>
      <c r="DV58" s="6">
        <f t="shared" si="6"/>
        <v>0</v>
      </c>
      <c r="DW58" s="11"/>
      <c r="DX58" s="11"/>
      <c r="DY58" s="11"/>
      <c r="DZ58" s="6">
        <f t="shared" si="4"/>
        <v>0</v>
      </c>
    </row>
    <row r="59" spans="1:130" x14ac:dyDescent="0.25">
      <c r="A59">
        <v>49</v>
      </c>
      <c r="B59" s="6" t="s">
        <v>440</v>
      </c>
      <c r="C59" s="6"/>
      <c r="D59" s="6" t="s">
        <v>365</v>
      </c>
      <c r="E59" s="6" t="s">
        <v>116</v>
      </c>
      <c r="F59" s="6"/>
      <c r="G59" s="6"/>
      <c r="H59" s="6"/>
      <c r="I59" s="6"/>
      <c r="J59" s="6"/>
      <c r="K59" s="6"/>
      <c r="L59" s="6"/>
      <c r="M59" s="6"/>
      <c r="N59" s="6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6"/>
      <c r="AF59" s="6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6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6"/>
      <c r="CH59" s="6"/>
      <c r="CI59" s="11"/>
      <c r="CJ59" s="11"/>
      <c r="CK59" s="11">
        <v>7.5</v>
      </c>
      <c r="CL59" s="11"/>
      <c r="CM59" s="11"/>
      <c r="CN59" s="11"/>
      <c r="CO59" s="6">
        <f>SUM(CH59:CN59)</f>
        <v>7.5</v>
      </c>
      <c r="CP59" s="6">
        <f>(CO59-CH59)/2</f>
        <v>3.75</v>
      </c>
      <c r="CQ59" s="11"/>
      <c r="CR59" s="11"/>
      <c r="CS59" s="11"/>
      <c r="CT59" s="11"/>
      <c r="CU59" s="6"/>
      <c r="CV59" s="6"/>
      <c r="CW59" s="6">
        <f t="shared" si="5"/>
        <v>3.75</v>
      </c>
      <c r="DU59" s="6">
        <f t="shared" si="9"/>
        <v>0</v>
      </c>
      <c r="DV59" s="6">
        <f t="shared" si="6"/>
        <v>0</v>
      </c>
      <c r="DW59" s="11"/>
      <c r="DX59" s="11"/>
      <c r="DY59" s="11"/>
      <c r="DZ59" s="6">
        <f t="shared" si="4"/>
        <v>0</v>
      </c>
    </row>
    <row r="60" spans="1:130" x14ac:dyDescent="0.25">
      <c r="A60">
        <v>50</v>
      </c>
      <c r="B60" s="6" t="s">
        <v>697</v>
      </c>
      <c r="C60" s="6"/>
      <c r="D60" s="6" t="s">
        <v>675</v>
      </c>
      <c r="E60" s="6" t="s">
        <v>231</v>
      </c>
      <c r="CO60" s="6"/>
      <c r="CP60" s="6"/>
      <c r="CQ60" s="11">
        <v>2.4</v>
      </c>
      <c r="CR60" s="11"/>
      <c r="CS60" s="11"/>
      <c r="CT60" s="11"/>
      <c r="CU60" s="6"/>
      <c r="CV60" s="6"/>
      <c r="CW60" s="6">
        <f t="shared" si="5"/>
        <v>2.4</v>
      </c>
      <c r="DU60" s="6">
        <f t="shared" si="9"/>
        <v>0</v>
      </c>
      <c r="DV60" s="6">
        <f t="shared" si="6"/>
        <v>0</v>
      </c>
      <c r="DW60" s="11"/>
      <c r="DX60" s="11"/>
      <c r="DY60" s="11"/>
      <c r="DZ60" s="6">
        <f t="shared" si="4"/>
        <v>0</v>
      </c>
    </row>
    <row r="61" spans="1:130" x14ac:dyDescent="0.25">
      <c r="A61">
        <v>51</v>
      </c>
      <c r="B61" s="6" t="s">
        <v>609</v>
      </c>
      <c r="C61" s="6"/>
      <c r="D61" s="6" t="s">
        <v>22</v>
      </c>
      <c r="E61" s="6" t="s">
        <v>650</v>
      </c>
      <c r="CO61" s="6"/>
      <c r="CP61" s="6"/>
      <c r="CQ61" s="11">
        <v>2.4</v>
      </c>
      <c r="CR61" s="11"/>
      <c r="CS61" s="6"/>
      <c r="CT61" s="11"/>
      <c r="CU61" s="6"/>
      <c r="CV61" s="6"/>
      <c r="CW61" s="6">
        <f t="shared" si="5"/>
        <v>2.4</v>
      </c>
      <c r="DU61" s="6">
        <f t="shared" si="9"/>
        <v>0</v>
      </c>
      <c r="DV61" s="6">
        <f t="shared" si="6"/>
        <v>0</v>
      </c>
      <c r="DW61" s="11"/>
      <c r="DX61" s="11"/>
      <c r="DY61" s="11"/>
      <c r="DZ61" s="6">
        <f t="shared" si="4"/>
        <v>0</v>
      </c>
    </row>
    <row r="62" spans="1:130" x14ac:dyDescent="0.25">
      <c r="A62">
        <v>52</v>
      </c>
      <c r="B62" s="27" t="s">
        <v>528</v>
      </c>
      <c r="C62" s="27"/>
      <c r="D62" s="27" t="s">
        <v>529</v>
      </c>
      <c r="E62" s="27" t="s">
        <v>132</v>
      </c>
      <c r="CI62" s="8">
        <v>2.4</v>
      </c>
      <c r="CO62" s="27">
        <f t="shared" ref="CO62:CO71" si="10">SUM(CH62:CN62)</f>
        <v>2.4</v>
      </c>
      <c r="CP62" s="27">
        <f t="shared" ref="CP62:CP71" si="11">(CO62-CH62)/2</f>
        <v>1.2</v>
      </c>
      <c r="CQ62" s="26"/>
      <c r="CR62" s="26"/>
      <c r="CS62" s="26"/>
      <c r="CT62" s="26"/>
      <c r="CU62" s="27"/>
      <c r="CV62" s="27"/>
      <c r="CW62" s="6">
        <f t="shared" si="5"/>
        <v>1.2</v>
      </c>
      <c r="DU62" s="6">
        <f t="shared" si="9"/>
        <v>0</v>
      </c>
      <c r="DV62" s="6">
        <f t="shared" si="6"/>
        <v>0</v>
      </c>
      <c r="DW62" s="11"/>
      <c r="DX62" s="11"/>
      <c r="DY62" s="11"/>
      <c r="DZ62" s="6">
        <f t="shared" si="4"/>
        <v>0</v>
      </c>
    </row>
    <row r="63" spans="1:130" x14ac:dyDescent="0.25">
      <c r="A63">
        <v>53</v>
      </c>
      <c r="B63" s="6" t="s">
        <v>404</v>
      </c>
      <c r="C63" s="6"/>
      <c r="D63" s="6" t="s">
        <v>405</v>
      </c>
      <c r="E63" s="6" t="s">
        <v>158</v>
      </c>
      <c r="F63" s="6"/>
      <c r="G63" s="6"/>
      <c r="H63" s="6"/>
      <c r="I63" s="6"/>
      <c r="J63" s="6"/>
      <c r="K63" s="6"/>
      <c r="L63" s="6"/>
      <c r="M63" s="6"/>
      <c r="N63" s="6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6"/>
      <c r="AF63" s="6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6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>
        <v>30</v>
      </c>
      <c r="BZ63" s="11"/>
      <c r="CA63" s="11"/>
      <c r="CB63" s="11"/>
      <c r="CC63" s="11"/>
      <c r="CD63" s="11"/>
      <c r="CE63" s="11"/>
      <c r="CF63" s="11"/>
      <c r="CG63" s="6">
        <f t="shared" ref="CG63:CG71" si="12">SUM(BF63:CF63)</f>
        <v>30</v>
      </c>
      <c r="CH63" s="6">
        <f t="shared" ref="CH63:CH71" si="13">(CG63-BF63)/2</f>
        <v>15</v>
      </c>
      <c r="CI63" s="11">
        <v>2.4</v>
      </c>
      <c r="CJ63" s="11"/>
      <c r="CK63" s="11"/>
      <c r="CL63" s="11"/>
      <c r="CM63" s="11"/>
      <c r="CN63" s="11"/>
      <c r="CO63" s="6">
        <f t="shared" si="10"/>
        <v>17.399999999999999</v>
      </c>
      <c r="CP63" s="6">
        <f t="shared" si="11"/>
        <v>1.1999999999999993</v>
      </c>
      <c r="CQ63" s="11"/>
      <c r="CR63" s="11"/>
      <c r="CS63" s="11"/>
      <c r="CT63" s="11"/>
      <c r="CU63" s="6"/>
      <c r="CV63" s="6"/>
      <c r="CW63" s="6">
        <f t="shared" si="5"/>
        <v>1.1999999999999993</v>
      </c>
      <c r="DF63" s="8">
        <f t="shared" ref="DF63:DF71" si="14">CG63/4</f>
        <v>7.5</v>
      </c>
      <c r="DO63">
        <f>SUM(DE63:DG63)</f>
        <v>7.5</v>
      </c>
      <c r="DP63">
        <f t="shared" ref="DP63:DP71" si="15">(DO63-DE63)/2</f>
        <v>3.75</v>
      </c>
      <c r="DU63" s="6">
        <f t="shared" si="9"/>
        <v>3.75</v>
      </c>
      <c r="DV63" s="6">
        <f t="shared" si="6"/>
        <v>0</v>
      </c>
      <c r="DW63" s="11"/>
      <c r="DX63" s="11"/>
      <c r="DY63" s="11"/>
      <c r="DZ63" s="6">
        <f t="shared" si="4"/>
        <v>0</v>
      </c>
    </row>
    <row r="64" spans="1:130" x14ac:dyDescent="0.25">
      <c r="A64">
        <v>54</v>
      </c>
      <c r="B64" s="6" t="s">
        <v>58</v>
      </c>
      <c r="C64" s="6"/>
      <c r="D64" s="6" t="s">
        <v>173</v>
      </c>
      <c r="E64" s="6" t="s">
        <v>61</v>
      </c>
      <c r="F64" s="6"/>
      <c r="G64" s="6"/>
      <c r="H64" s="6"/>
      <c r="I64" s="6"/>
      <c r="J64" s="6"/>
      <c r="K64" s="6"/>
      <c r="L64" s="6"/>
      <c r="M64" s="6"/>
      <c r="N64" s="6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6"/>
      <c r="AF64" s="6"/>
      <c r="AG64" s="11">
        <v>2.4</v>
      </c>
      <c r="AH64" s="11"/>
      <c r="AI64" s="11"/>
      <c r="AJ64" s="11"/>
      <c r="AK64" s="11">
        <v>36</v>
      </c>
      <c r="AL64" s="11"/>
      <c r="AM64" s="11"/>
      <c r="AN64" s="11"/>
      <c r="AO64" s="11"/>
      <c r="AP64" s="11">
        <v>4</v>
      </c>
      <c r="AQ64" s="11"/>
      <c r="AR64" s="11"/>
      <c r="AS64" s="11">
        <v>5</v>
      </c>
      <c r="AT64" s="11"/>
      <c r="AU64" s="11">
        <v>48</v>
      </c>
      <c r="AV64" s="11"/>
      <c r="AW64" s="11"/>
      <c r="AX64" s="11"/>
      <c r="AY64" s="11"/>
      <c r="AZ64" s="11">
        <v>26</v>
      </c>
      <c r="BA64" s="11"/>
      <c r="BB64" s="11"/>
      <c r="BC64" s="11"/>
      <c r="BD64" s="11">
        <v>54</v>
      </c>
      <c r="BE64" s="6">
        <f>SUM(AF64:BD64)</f>
        <v>175.4</v>
      </c>
      <c r="BF64" s="11">
        <f>(BE64-AF64)/2</f>
        <v>87.7</v>
      </c>
      <c r="BG64" s="11"/>
      <c r="BH64" s="11"/>
      <c r="BI64" s="11"/>
      <c r="BJ64" s="11"/>
      <c r="BK64" s="11"/>
      <c r="BL64" s="11"/>
      <c r="BM64" s="11"/>
      <c r="BN64" s="11">
        <v>42</v>
      </c>
      <c r="BO64" s="11">
        <v>75</v>
      </c>
      <c r="BP64" s="11"/>
      <c r="BQ64" s="11"/>
      <c r="BR64" s="11"/>
      <c r="BS64" s="11"/>
      <c r="BT64" s="11">
        <v>80</v>
      </c>
      <c r="BU64" s="11">
        <v>54</v>
      </c>
      <c r="BV64" s="11"/>
      <c r="BW64" s="11"/>
      <c r="BX64" s="11"/>
      <c r="BY64" s="11"/>
      <c r="BZ64" s="11">
        <v>33.6</v>
      </c>
      <c r="CA64" s="11"/>
      <c r="CB64" s="11"/>
      <c r="CC64" s="11"/>
      <c r="CD64" s="11"/>
      <c r="CE64" s="11">
        <v>105</v>
      </c>
      <c r="CF64" s="11">
        <v>10</v>
      </c>
      <c r="CG64" s="6">
        <f t="shared" si="12"/>
        <v>487.3</v>
      </c>
      <c r="CH64" s="6">
        <f t="shared" si="13"/>
        <v>199.8</v>
      </c>
      <c r="CI64" s="11"/>
      <c r="CJ64" s="11"/>
      <c r="CK64" s="11"/>
      <c r="CL64" s="11"/>
      <c r="CM64" s="11"/>
      <c r="CN64" s="11"/>
      <c r="CO64" s="6">
        <f t="shared" si="10"/>
        <v>199.8</v>
      </c>
      <c r="CP64" s="6">
        <f t="shared" si="11"/>
        <v>0</v>
      </c>
      <c r="CQ64" s="11"/>
      <c r="CR64" s="11"/>
      <c r="CS64" s="11"/>
      <c r="CT64" s="11"/>
      <c r="CU64" s="6"/>
      <c r="CV64" s="6"/>
      <c r="CW64" s="6">
        <f t="shared" si="5"/>
        <v>0</v>
      </c>
      <c r="CY64" s="8">
        <f>BE64/4</f>
        <v>43.85</v>
      </c>
      <c r="CZ64" s="8"/>
      <c r="DA64" s="8"/>
      <c r="DB64" s="8"/>
      <c r="DC64" s="8"/>
      <c r="DD64" s="8">
        <f>SUM(CY64:DC64)</f>
        <v>43.85</v>
      </c>
      <c r="DE64" s="8">
        <f>DD64/2</f>
        <v>21.925000000000001</v>
      </c>
      <c r="DF64" s="8">
        <f t="shared" si="14"/>
        <v>121.825</v>
      </c>
      <c r="DG64" s="8">
        <v>18</v>
      </c>
      <c r="DN64" s="8">
        <v>2.5</v>
      </c>
      <c r="DO64">
        <f>SUM(DE64:DN64)</f>
        <v>164.25</v>
      </c>
      <c r="DP64">
        <f t="shared" si="15"/>
        <v>71.162499999999994</v>
      </c>
      <c r="DQ64" s="8">
        <v>1.75</v>
      </c>
      <c r="DU64" s="6">
        <f t="shared" si="9"/>
        <v>72.912499999999994</v>
      </c>
      <c r="DV64" s="6">
        <f t="shared" si="6"/>
        <v>0.875</v>
      </c>
      <c r="DW64" s="11"/>
      <c r="DX64" s="11"/>
      <c r="DY64" s="11"/>
      <c r="DZ64" s="6">
        <f t="shared" si="4"/>
        <v>0.875</v>
      </c>
    </row>
    <row r="65" spans="1:130" x14ac:dyDescent="0.25">
      <c r="A65">
        <v>55</v>
      </c>
      <c r="B65" s="6" t="s">
        <v>123</v>
      </c>
      <c r="C65" s="6" t="s">
        <v>351</v>
      </c>
      <c r="D65" s="6" t="s">
        <v>108</v>
      </c>
      <c r="E65" s="6" t="s">
        <v>303</v>
      </c>
      <c r="F65" s="6"/>
      <c r="G65" s="6"/>
      <c r="H65" s="6"/>
      <c r="I65" s="6"/>
      <c r="J65" s="6"/>
      <c r="K65" s="6"/>
      <c r="L65" s="6"/>
      <c r="M65" s="6"/>
      <c r="N65" s="6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6"/>
      <c r="AF65" s="6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6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>
        <v>40</v>
      </c>
      <c r="BT65" s="11"/>
      <c r="BU65" s="11">
        <v>75</v>
      </c>
      <c r="BV65" s="11"/>
      <c r="BW65" s="11"/>
      <c r="BX65" s="11"/>
      <c r="BY65" s="11"/>
      <c r="BZ65" s="11"/>
      <c r="CA65" s="11"/>
      <c r="CB65" s="11"/>
      <c r="CC65" s="11">
        <v>60</v>
      </c>
      <c r="CD65" s="11"/>
      <c r="CE65" s="11">
        <v>54</v>
      </c>
      <c r="CF65" s="11">
        <v>72</v>
      </c>
      <c r="CG65" s="6">
        <f t="shared" si="12"/>
        <v>301</v>
      </c>
      <c r="CH65" s="6">
        <f t="shared" si="13"/>
        <v>150.5</v>
      </c>
      <c r="CI65" s="11"/>
      <c r="CJ65" s="11"/>
      <c r="CK65" s="11"/>
      <c r="CL65" s="11"/>
      <c r="CM65" s="11"/>
      <c r="CN65" s="11"/>
      <c r="CO65" s="6">
        <f t="shared" si="10"/>
        <v>150.5</v>
      </c>
      <c r="CP65" s="6">
        <f t="shared" si="11"/>
        <v>0</v>
      </c>
      <c r="CQ65" s="11"/>
      <c r="CR65" s="11"/>
      <c r="CS65" s="11"/>
      <c r="CT65" s="11"/>
      <c r="CU65" s="6"/>
      <c r="CV65" s="6"/>
      <c r="CW65" s="6">
        <f t="shared" si="5"/>
        <v>0</v>
      </c>
      <c r="DF65" s="8">
        <f t="shared" si="14"/>
        <v>75.25</v>
      </c>
      <c r="DO65">
        <f t="shared" ref="DO65:DO71" si="16">SUM(DE65:DG65)</f>
        <v>75.25</v>
      </c>
      <c r="DP65">
        <f t="shared" si="15"/>
        <v>37.625</v>
      </c>
      <c r="DU65" s="6">
        <f t="shared" si="9"/>
        <v>37.625</v>
      </c>
      <c r="DV65" s="6">
        <f t="shared" si="6"/>
        <v>0</v>
      </c>
      <c r="DW65" s="11"/>
      <c r="DX65" s="11"/>
      <c r="DY65" s="11"/>
      <c r="DZ65" s="6">
        <f t="shared" si="4"/>
        <v>0</v>
      </c>
    </row>
    <row r="66" spans="1:130" x14ac:dyDescent="0.25">
      <c r="A66">
        <v>56</v>
      </c>
      <c r="B66" s="6" t="s">
        <v>353</v>
      </c>
      <c r="C66" s="6" t="s">
        <v>354</v>
      </c>
      <c r="D66" s="6" t="s">
        <v>355</v>
      </c>
      <c r="E66" s="6" t="s">
        <v>111</v>
      </c>
      <c r="F66" s="6"/>
      <c r="G66" s="6"/>
      <c r="H66" s="6"/>
      <c r="I66" s="6"/>
      <c r="J66" s="6"/>
      <c r="K66" s="6"/>
      <c r="L66" s="6"/>
      <c r="M66" s="6"/>
      <c r="N66" s="6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6"/>
      <c r="AF66" s="6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6"/>
      <c r="BF66" s="11"/>
      <c r="BG66" s="11"/>
      <c r="BH66" s="11"/>
      <c r="BI66" s="11"/>
      <c r="BJ66" s="11"/>
      <c r="BK66" s="11">
        <v>30</v>
      </c>
      <c r="BL66" s="11"/>
      <c r="BM66" s="11"/>
      <c r="BN66" s="11"/>
      <c r="BO66" s="11">
        <v>7.5</v>
      </c>
      <c r="BP66" s="11"/>
      <c r="BQ66" s="11"/>
      <c r="BR66" s="11"/>
      <c r="BS66" s="11"/>
      <c r="BT66" s="11">
        <v>40</v>
      </c>
      <c r="BU66" s="11"/>
      <c r="BV66" s="11"/>
      <c r="BW66" s="11"/>
      <c r="BX66" s="11"/>
      <c r="BY66" s="11"/>
      <c r="BZ66" s="11"/>
      <c r="CA66" s="11"/>
      <c r="CB66" s="11"/>
      <c r="CC66" s="11">
        <v>3</v>
      </c>
      <c r="CD66" s="11"/>
      <c r="CE66" s="11">
        <v>54</v>
      </c>
      <c r="CF66" s="11">
        <v>100</v>
      </c>
      <c r="CG66" s="6">
        <f t="shared" si="12"/>
        <v>234.5</v>
      </c>
      <c r="CH66" s="6">
        <f t="shared" si="13"/>
        <v>117.25</v>
      </c>
      <c r="CI66" s="11"/>
      <c r="CJ66" s="11"/>
      <c r="CK66" s="11"/>
      <c r="CL66" s="11"/>
      <c r="CM66" s="11"/>
      <c r="CN66" s="11"/>
      <c r="CO66" s="6">
        <f t="shared" si="10"/>
        <v>117.25</v>
      </c>
      <c r="CP66" s="6">
        <f t="shared" si="11"/>
        <v>0</v>
      </c>
      <c r="CQ66" s="11"/>
      <c r="CR66" s="11"/>
      <c r="CS66" s="11"/>
      <c r="CT66" s="11"/>
      <c r="CU66" s="6"/>
      <c r="CV66" s="6"/>
      <c r="CW66" s="6">
        <f t="shared" si="5"/>
        <v>0</v>
      </c>
      <c r="DF66" s="8">
        <f t="shared" si="14"/>
        <v>58.625</v>
      </c>
      <c r="DO66">
        <f t="shared" si="16"/>
        <v>58.625</v>
      </c>
      <c r="DP66">
        <f t="shared" si="15"/>
        <v>29.3125</v>
      </c>
      <c r="DU66" s="6">
        <f t="shared" si="9"/>
        <v>29.3125</v>
      </c>
      <c r="DV66" s="6">
        <f t="shared" si="6"/>
        <v>0</v>
      </c>
      <c r="DW66" s="11"/>
      <c r="DX66" s="11"/>
      <c r="DY66" s="11"/>
      <c r="DZ66" s="6">
        <f t="shared" si="4"/>
        <v>0</v>
      </c>
    </row>
    <row r="67" spans="1:130" x14ac:dyDescent="0.25">
      <c r="A67">
        <v>57</v>
      </c>
      <c r="B67" s="6" t="s">
        <v>56</v>
      </c>
      <c r="C67" s="6"/>
      <c r="D67" s="6" t="s">
        <v>69</v>
      </c>
      <c r="E67" s="6" t="s">
        <v>158</v>
      </c>
      <c r="F67" s="6"/>
      <c r="G67" s="6"/>
      <c r="H67" s="6"/>
      <c r="I67" s="6"/>
      <c r="J67" s="6"/>
      <c r="K67" s="6"/>
      <c r="L67" s="6"/>
      <c r="M67" s="6"/>
      <c r="N67" s="6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6"/>
      <c r="AF67" s="6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6"/>
      <c r="BF67" s="11"/>
      <c r="BG67" s="11">
        <v>33.6</v>
      </c>
      <c r="BH67" s="11"/>
      <c r="BI67" s="11"/>
      <c r="BJ67" s="11"/>
      <c r="BK67" s="11"/>
      <c r="BL67" s="11"/>
      <c r="BM67" s="11"/>
      <c r="BN67" s="11"/>
      <c r="BO67" s="11"/>
      <c r="BP67" s="11"/>
      <c r="BQ67" s="11">
        <v>5</v>
      </c>
      <c r="BR67" s="11"/>
      <c r="BS67" s="11"/>
      <c r="BT67" s="11"/>
      <c r="BU67" s="11">
        <v>75</v>
      </c>
      <c r="BV67" s="11"/>
      <c r="BW67" s="11"/>
      <c r="BX67" s="11"/>
      <c r="BY67" s="11">
        <v>30</v>
      </c>
      <c r="BZ67" s="11"/>
      <c r="CA67" s="11"/>
      <c r="CB67" s="11"/>
      <c r="CC67" s="11"/>
      <c r="CD67" s="11"/>
      <c r="CE67" s="11"/>
      <c r="CF67" s="11"/>
      <c r="CG67" s="6">
        <f t="shared" si="12"/>
        <v>143.6</v>
      </c>
      <c r="CH67" s="6">
        <f t="shared" si="13"/>
        <v>71.8</v>
      </c>
      <c r="CI67" s="11"/>
      <c r="CJ67" s="11"/>
      <c r="CK67" s="11"/>
      <c r="CL67" s="11"/>
      <c r="CM67" s="11"/>
      <c r="CN67" s="11"/>
      <c r="CO67" s="6">
        <f t="shared" si="10"/>
        <v>71.8</v>
      </c>
      <c r="CP67" s="6">
        <f t="shared" si="11"/>
        <v>0</v>
      </c>
      <c r="CQ67" s="11"/>
      <c r="CR67" s="11"/>
      <c r="CS67" s="11"/>
      <c r="CT67" s="11"/>
      <c r="CU67" s="6"/>
      <c r="CV67" s="6"/>
      <c r="CW67" s="6">
        <f t="shared" si="5"/>
        <v>0</v>
      </c>
      <c r="DF67" s="8">
        <f t="shared" si="14"/>
        <v>35.9</v>
      </c>
      <c r="DO67">
        <f t="shared" si="16"/>
        <v>35.9</v>
      </c>
      <c r="DP67">
        <f t="shared" si="15"/>
        <v>17.95</v>
      </c>
      <c r="DU67" s="6">
        <f t="shared" si="9"/>
        <v>17.95</v>
      </c>
      <c r="DV67" s="6">
        <f t="shared" si="6"/>
        <v>0</v>
      </c>
      <c r="DW67" s="11"/>
      <c r="DX67" s="11"/>
      <c r="DY67" s="11"/>
      <c r="DZ67" s="6">
        <f t="shared" si="4"/>
        <v>0</v>
      </c>
    </row>
    <row r="68" spans="1:130" x14ac:dyDescent="0.25">
      <c r="A68">
        <v>58</v>
      </c>
      <c r="B68" s="6" t="s">
        <v>105</v>
      </c>
      <c r="C68" s="6"/>
      <c r="D68" s="6" t="s">
        <v>63</v>
      </c>
      <c r="E68" s="6" t="s">
        <v>84</v>
      </c>
      <c r="F68" s="6"/>
      <c r="G68" s="6"/>
      <c r="H68" s="6"/>
      <c r="I68" s="6"/>
      <c r="J68" s="6"/>
      <c r="K68" s="6"/>
      <c r="L68" s="6"/>
      <c r="M68" s="6"/>
      <c r="N68" s="6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6"/>
      <c r="AF68" s="6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6"/>
      <c r="BF68" s="11"/>
      <c r="BG68" s="11"/>
      <c r="BH68" s="11"/>
      <c r="BI68" s="11"/>
      <c r="BJ68" s="11"/>
      <c r="BK68" s="11"/>
      <c r="BL68" s="11">
        <v>36</v>
      </c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>
        <v>36</v>
      </c>
      <c r="CB68" s="11"/>
      <c r="CC68" s="11"/>
      <c r="CD68" s="11"/>
      <c r="CE68" s="11"/>
      <c r="CF68" s="11"/>
      <c r="CG68" s="6">
        <f t="shared" si="12"/>
        <v>72</v>
      </c>
      <c r="CH68" s="6">
        <f t="shared" si="13"/>
        <v>36</v>
      </c>
      <c r="CI68" s="11"/>
      <c r="CJ68" s="11"/>
      <c r="CK68" s="11"/>
      <c r="CL68" s="11"/>
      <c r="CM68" s="11"/>
      <c r="CN68" s="11"/>
      <c r="CO68" s="6">
        <f t="shared" si="10"/>
        <v>36</v>
      </c>
      <c r="CP68" s="6">
        <f t="shared" si="11"/>
        <v>0</v>
      </c>
      <c r="CQ68" s="11"/>
      <c r="CR68" s="11"/>
      <c r="CS68" s="11"/>
      <c r="CT68" s="11"/>
      <c r="CU68" s="6"/>
      <c r="CV68" s="6"/>
      <c r="CW68" s="6">
        <f t="shared" si="5"/>
        <v>0</v>
      </c>
      <c r="DF68" s="8">
        <f t="shared" si="14"/>
        <v>18</v>
      </c>
      <c r="DO68">
        <f t="shared" si="16"/>
        <v>18</v>
      </c>
      <c r="DP68">
        <f t="shared" si="15"/>
        <v>9</v>
      </c>
      <c r="DU68" s="6">
        <f t="shared" si="9"/>
        <v>9</v>
      </c>
      <c r="DV68" s="6">
        <f t="shared" si="6"/>
        <v>0</v>
      </c>
      <c r="DW68" s="11"/>
      <c r="DX68" s="11"/>
      <c r="DY68" s="11"/>
      <c r="DZ68" s="6">
        <f t="shared" si="4"/>
        <v>0</v>
      </c>
    </row>
    <row r="69" spans="1:130" x14ac:dyDescent="0.25">
      <c r="A69">
        <v>59</v>
      </c>
      <c r="B69" s="6" t="s">
        <v>48</v>
      </c>
      <c r="C69" s="6"/>
      <c r="D69" s="6" t="s">
        <v>133</v>
      </c>
      <c r="E69" s="6" t="s">
        <v>269</v>
      </c>
      <c r="F69" s="6"/>
      <c r="G69" s="6"/>
      <c r="H69" s="6"/>
      <c r="I69" s="6"/>
      <c r="J69" s="6"/>
      <c r="K69" s="6"/>
      <c r="L69" s="6"/>
      <c r="M69" s="6"/>
      <c r="N69" s="6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6"/>
      <c r="AF69" s="6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>
        <v>26</v>
      </c>
      <c r="AT69" s="11"/>
      <c r="AU69" s="11"/>
      <c r="AV69" s="11"/>
      <c r="AW69" s="11"/>
      <c r="AX69" s="11"/>
      <c r="AY69" s="11">
        <v>36</v>
      </c>
      <c r="AZ69" s="11"/>
      <c r="BA69" s="11"/>
      <c r="BB69" s="11"/>
      <c r="BC69" s="11"/>
      <c r="BD69" s="11"/>
      <c r="BE69" s="6">
        <f>SUM(AF69:BD69)</f>
        <v>62</v>
      </c>
      <c r="BF69" s="11">
        <f>(BE69-AF69)/2</f>
        <v>31</v>
      </c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>
        <v>7.5</v>
      </c>
      <c r="BV69" s="11"/>
      <c r="BW69" s="11"/>
      <c r="BX69" s="11"/>
      <c r="BY69" s="11">
        <v>42</v>
      </c>
      <c r="BZ69" s="11"/>
      <c r="CA69" s="11"/>
      <c r="CB69" s="11"/>
      <c r="CC69" s="11"/>
      <c r="CD69" s="11"/>
      <c r="CE69" s="11"/>
      <c r="CF69" s="11"/>
      <c r="CG69" s="6">
        <f t="shared" si="12"/>
        <v>80.5</v>
      </c>
      <c r="CH69" s="6">
        <f t="shared" si="13"/>
        <v>24.75</v>
      </c>
      <c r="CI69" s="11"/>
      <c r="CJ69" s="11"/>
      <c r="CK69" s="11"/>
      <c r="CL69" s="11"/>
      <c r="CM69" s="11"/>
      <c r="CN69" s="11"/>
      <c r="CO69" s="6">
        <f t="shared" si="10"/>
        <v>24.75</v>
      </c>
      <c r="CP69" s="6">
        <f t="shared" si="11"/>
        <v>0</v>
      </c>
      <c r="CQ69" s="11"/>
      <c r="CR69" s="11"/>
      <c r="CS69" s="11"/>
      <c r="CT69" s="11"/>
      <c r="CU69" s="6"/>
      <c r="CV69" s="6"/>
      <c r="CW69" s="6">
        <f t="shared" si="5"/>
        <v>0</v>
      </c>
      <c r="CY69" s="8">
        <f>BE69/4</f>
        <v>15.5</v>
      </c>
      <c r="CZ69" s="8"/>
      <c r="DA69" s="8"/>
      <c r="DB69" s="8"/>
      <c r="DC69" s="8"/>
      <c r="DD69" s="8">
        <f>SUM(CY69:CZ69)</f>
        <v>15.5</v>
      </c>
      <c r="DE69" s="8">
        <f>DD69/2</f>
        <v>7.75</v>
      </c>
      <c r="DF69" s="8">
        <f t="shared" si="14"/>
        <v>20.125</v>
      </c>
      <c r="DO69">
        <f t="shared" si="16"/>
        <v>27.875</v>
      </c>
      <c r="DP69">
        <f t="shared" si="15"/>
        <v>10.0625</v>
      </c>
      <c r="DU69" s="6">
        <f t="shared" si="9"/>
        <v>10.0625</v>
      </c>
      <c r="DV69" s="6">
        <f t="shared" si="6"/>
        <v>0</v>
      </c>
      <c r="DW69" s="11"/>
      <c r="DX69" s="11"/>
      <c r="DY69" s="11"/>
      <c r="DZ69" s="6">
        <f t="shared" si="4"/>
        <v>0</v>
      </c>
    </row>
    <row r="70" spans="1:130" x14ac:dyDescent="0.25">
      <c r="A70">
        <v>60</v>
      </c>
      <c r="B70" s="6" t="s">
        <v>407</v>
      </c>
      <c r="C70" s="6"/>
      <c r="D70" s="6" t="s">
        <v>408</v>
      </c>
      <c r="E70" s="6" t="s">
        <v>252</v>
      </c>
      <c r="F70" s="6"/>
      <c r="G70" s="6"/>
      <c r="H70" s="6"/>
      <c r="I70" s="6"/>
      <c r="J70" s="6"/>
      <c r="K70" s="6"/>
      <c r="L70" s="6"/>
      <c r="M70" s="6"/>
      <c r="N70" s="6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6"/>
      <c r="AF70" s="6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6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>
        <v>21.6</v>
      </c>
      <c r="BZ70" s="11"/>
      <c r="CA70" s="11"/>
      <c r="CB70" s="11"/>
      <c r="CC70" s="11"/>
      <c r="CD70" s="11"/>
      <c r="CE70" s="11"/>
      <c r="CF70" s="11"/>
      <c r="CG70" s="6">
        <f t="shared" si="12"/>
        <v>21.6</v>
      </c>
      <c r="CH70" s="6">
        <f t="shared" si="13"/>
        <v>10.8</v>
      </c>
      <c r="CI70" s="11"/>
      <c r="CJ70" s="11"/>
      <c r="CK70" s="11"/>
      <c r="CL70" s="11"/>
      <c r="CM70" s="11"/>
      <c r="CN70" s="11"/>
      <c r="CO70" s="6">
        <f t="shared" si="10"/>
        <v>10.8</v>
      </c>
      <c r="CP70" s="6">
        <f t="shared" si="11"/>
        <v>0</v>
      </c>
      <c r="CQ70" s="11"/>
      <c r="CR70" s="11"/>
      <c r="CS70" s="11"/>
      <c r="CT70" s="11"/>
      <c r="CU70" s="6"/>
      <c r="CV70" s="6"/>
      <c r="CW70" s="6">
        <f t="shared" si="5"/>
        <v>0</v>
      </c>
      <c r="DF70" s="8">
        <f t="shared" si="14"/>
        <v>5.4</v>
      </c>
      <c r="DO70">
        <f t="shared" si="16"/>
        <v>5.4</v>
      </c>
      <c r="DP70">
        <f t="shared" si="15"/>
        <v>2.7</v>
      </c>
      <c r="DU70" s="6">
        <f t="shared" si="9"/>
        <v>2.7</v>
      </c>
      <c r="DV70" s="6">
        <f t="shared" si="6"/>
        <v>0</v>
      </c>
      <c r="DW70" s="11"/>
      <c r="DX70" s="11"/>
      <c r="DY70" s="11"/>
      <c r="DZ70" s="6">
        <f t="shared" si="4"/>
        <v>0</v>
      </c>
    </row>
    <row r="71" spans="1:130" x14ac:dyDescent="0.25">
      <c r="A71">
        <v>61</v>
      </c>
      <c r="B71" s="6" t="s">
        <v>406</v>
      </c>
      <c r="C71" s="6"/>
      <c r="D71" s="6" t="s">
        <v>43</v>
      </c>
      <c r="E71" s="6" t="s">
        <v>252</v>
      </c>
      <c r="F71" s="6"/>
      <c r="G71" s="6"/>
      <c r="H71" s="6"/>
      <c r="I71" s="6"/>
      <c r="J71" s="6"/>
      <c r="K71" s="6"/>
      <c r="L71" s="6"/>
      <c r="M71" s="6"/>
      <c r="N71" s="6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6"/>
      <c r="AF71" s="6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6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>
        <v>3</v>
      </c>
      <c r="BZ71" s="11"/>
      <c r="CA71" s="11"/>
      <c r="CB71" s="11"/>
      <c r="CC71" s="11"/>
      <c r="CD71" s="11"/>
      <c r="CE71" s="11"/>
      <c r="CF71" s="11"/>
      <c r="CG71" s="6">
        <f t="shared" si="12"/>
        <v>3</v>
      </c>
      <c r="CH71" s="6">
        <f t="shared" si="13"/>
        <v>1.5</v>
      </c>
      <c r="CI71" s="11"/>
      <c r="CJ71" s="11"/>
      <c r="CK71" s="11"/>
      <c r="CL71" s="11"/>
      <c r="CM71" s="11"/>
      <c r="CN71" s="11"/>
      <c r="CO71" s="6">
        <f t="shared" si="10"/>
        <v>1.5</v>
      </c>
      <c r="CP71" s="6">
        <f t="shared" si="11"/>
        <v>0</v>
      </c>
      <c r="CQ71" s="11"/>
      <c r="CR71" s="11"/>
      <c r="CS71" s="11"/>
      <c r="CT71" s="11"/>
      <c r="CU71" s="6"/>
      <c r="CV71" s="6"/>
      <c r="CW71" s="6">
        <f t="shared" si="5"/>
        <v>0</v>
      </c>
      <c r="DF71" s="8">
        <f t="shared" si="14"/>
        <v>0.75</v>
      </c>
      <c r="DO71">
        <f t="shared" si="16"/>
        <v>0.75</v>
      </c>
      <c r="DP71">
        <f t="shared" si="15"/>
        <v>0.375</v>
      </c>
      <c r="DU71" s="6">
        <f t="shared" si="9"/>
        <v>0.375</v>
      </c>
      <c r="DV71" s="6">
        <f t="shared" si="6"/>
        <v>0</v>
      </c>
      <c r="DW71" s="11"/>
      <c r="DX71" s="11"/>
      <c r="DY71" s="11"/>
      <c r="DZ71" s="6">
        <f t="shared" si="4"/>
        <v>0</v>
      </c>
    </row>
  </sheetData>
  <sortState xmlns:xlrd2="http://schemas.microsoft.com/office/spreadsheetml/2017/richdata2" ref="B11:DZ71">
    <sortCondition descending="1" ref="CW11:CW71"/>
  </sortState>
  <mergeCells count="6">
    <mergeCell ref="B1:DZ1"/>
    <mergeCell ref="B8:C10"/>
    <mergeCell ref="CK9:CN9"/>
    <mergeCell ref="CS9:CV9"/>
    <mergeCell ref="D4:CW5"/>
    <mergeCell ref="CY4:DZ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W96"/>
  <sheetViews>
    <sheetView topLeftCell="A10" zoomScale="80" zoomScaleNormal="80" workbookViewId="0">
      <selection activeCell="EB30" sqref="EB30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2.42578125" bestFit="1" customWidth="1"/>
    <col min="4" max="4" width="14.28515625" bestFit="1" customWidth="1"/>
    <col min="5" max="5" width="20.140625" bestFit="1" customWidth="1"/>
    <col min="6" max="8" width="6.42578125" hidden="1" customWidth="1"/>
    <col min="9" max="10" width="7.28515625" hidden="1" customWidth="1"/>
    <col min="11" max="12" width="7.28515625" style="8" hidden="1" customWidth="1"/>
    <col min="13" max="17" width="6.28515625" style="8" hidden="1" customWidth="1"/>
    <col min="18" max="21" width="6.7109375" style="8" hidden="1" customWidth="1"/>
    <col min="22" max="26" width="7.28515625" style="8" hidden="1" customWidth="1"/>
    <col min="27" max="28" width="6.28515625" style="8" hidden="1" customWidth="1"/>
    <col min="29" max="30" width="6.7109375" style="8" hidden="1" customWidth="1"/>
    <col min="31" max="32" width="0" hidden="1" customWidth="1"/>
    <col min="33" max="33" width="6" style="8" hidden="1" customWidth="1"/>
    <col min="34" max="49" width="6" hidden="1" customWidth="1"/>
    <col min="50" max="50" width="10.5703125" hidden="1" customWidth="1"/>
    <col min="51" max="55" width="6" hidden="1" customWidth="1"/>
    <col min="56" max="56" width="6" style="8" hidden="1" customWidth="1"/>
    <col min="57" max="57" width="6.28515625" hidden="1" customWidth="1"/>
    <col min="58" max="61" width="6.85546875" hidden="1" customWidth="1"/>
    <col min="62" max="62" width="10.5703125" hidden="1" customWidth="1"/>
    <col min="63" max="63" width="6.85546875" hidden="1" customWidth="1"/>
    <col min="64" max="67" width="6.28515625" hidden="1" customWidth="1"/>
    <col min="68" max="68" width="6" hidden="1" customWidth="1"/>
    <col min="69" max="79" width="6" style="8" hidden="1" customWidth="1"/>
    <col min="80" max="80" width="10.85546875" style="8" hidden="1" customWidth="1"/>
    <col min="81" max="86" width="6.140625" style="8" hidden="1" customWidth="1"/>
    <col min="87" max="87" width="6.28515625" hidden="1" customWidth="1"/>
    <col min="88" max="88" width="7.85546875" hidden="1" customWidth="1"/>
    <col min="89" max="94" width="6.28515625" style="8" hidden="1" customWidth="1"/>
    <col min="95" max="95" width="6.28515625" customWidth="1"/>
    <col min="96" max="96" width="7.85546875" bestFit="1" customWidth="1"/>
    <col min="97" max="100" width="6.28515625" style="8" customWidth="1"/>
    <col min="101" max="102" width="6.28515625" customWidth="1"/>
    <col min="103" max="103" width="7.42578125" bestFit="1" customWidth="1"/>
    <col min="105" max="105" width="0" hidden="1" customWidth="1"/>
    <col min="106" max="106" width="8.5703125" hidden="1" customWidth="1"/>
    <col min="107" max="107" width="7.140625" hidden="1" customWidth="1"/>
    <col min="108" max="109" width="0" hidden="1" customWidth="1"/>
    <col min="110" max="110" width="0" style="8" hidden="1" customWidth="1"/>
    <col min="111" max="116" width="6.7109375" style="8" hidden="1" customWidth="1"/>
    <col min="117" max="117" width="0" hidden="1" customWidth="1"/>
    <col min="118" max="118" width="11.140625" hidden="1" customWidth="1"/>
    <col min="119" max="119" width="6.7109375" style="8" hidden="1" customWidth="1"/>
    <col min="120" max="122" width="6" style="8" hidden="1" customWidth="1"/>
    <col min="125" max="125" width="6" bestFit="1" customWidth="1"/>
    <col min="126" max="126" width="6" style="8" customWidth="1"/>
  </cols>
  <sheetData>
    <row r="1" spans="1:127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</row>
    <row r="2" spans="1:127" ht="15" customHeight="1" thickBot="1" x14ac:dyDescent="0.3">
      <c r="C2" s="8"/>
      <c r="D2" s="8"/>
      <c r="E2" s="8"/>
      <c r="DA2" s="8"/>
      <c r="DD2" s="8"/>
    </row>
    <row r="3" spans="1:127" ht="15" customHeight="1" thickTop="1" x14ac:dyDescent="0.25">
      <c r="B3" s="1" t="s">
        <v>0</v>
      </c>
      <c r="C3" s="4" t="s">
        <v>18</v>
      </c>
      <c r="DA3" s="8"/>
      <c r="DD3" s="8"/>
    </row>
    <row r="4" spans="1:127" ht="14.6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DA4" s="64" t="s">
        <v>617</v>
      </c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</row>
    <row r="5" spans="1:127" ht="15" customHeight="1" thickBot="1" x14ac:dyDescent="0.3">
      <c r="B5" s="3" t="s">
        <v>2</v>
      </c>
      <c r="C5" s="33">
        <v>-60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</row>
    <row r="6" spans="1:127" ht="15.75" thickTop="1" x14ac:dyDescent="0.25">
      <c r="DA6" s="8"/>
      <c r="DD6" s="8"/>
    </row>
    <row r="7" spans="1:127" ht="15.75" thickBot="1" x14ac:dyDescent="0.3">
      <c r="DA7" s="8"/>
      <c r="DD7" s="8"/>
    </row>
    <row r="8" spans="1:127" ht="15.75" thickTop="1" x14ac:dyDescent="0.25">
      <c r="B8" s="56" t="s">
        <v>14</v>
      </c>
      <c r="C8" s="57"/>
      <c r="D8" s="1"/>
      <c r="E8" s="1"/>
      <c r="F8" s="4" t="s">
        <v>15</v>
      </c>
      <c r="G8" s="4" t="s">
        <v>15</v>
      </c>
      <c r="H8" s="4" t="s">
        <v>79</v>
      </c>
      <c r="I8" s="4" t="s">
        <v>102</v>
      </c>
      <c r="J8" s="4" t="s">
        <v>15</v>
      </c>
      <c r="K8" s="4" t="s">
        <v>15</v>
      </c>
      <c r="L8" s="4" t="s">
        <v>15</v>
      </c>
      <c r="M8" s="4" t="s">
        <v>136</v>
      </c>
      <c r="N8" s="4" t="s">
        <v>139</v>
      </c>
      <c r="O8" s="4" t="s">
        <v>142</v>
      </c>
      <c r="P8" s="4" t="s">
        <v>145</v>
      </c>
      <c r="Q8" s="4" t="s">
        <v>15</v>
      </c>
      <c r="R8" s="4" t="s">
        <v>15</v>
      </c>
      <c r="S8" s="4" t="s">
        <v>15</v>
      </c>
      <c r="T8" s="4" t="s">
        <v>15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159</v>
      </c>
      <c r="Z8" s="4" t="s">
        <v>15</v>
      </c>
      <c r="AA8" s="4" t="s">
        <v>15</v>
      </c>
      <c r="AB8" s="4" t="s">
        <v>15</v>
      </c>
      <c r="AC8" s="4" t="s">
        <v>163</v>
      </c>
      <c r="AD8" s="4" t="s">
        <v>164</v>
      </c>
      <c r="AE8" s="1"/>
      <c r="AF8" s="12">
        <v>44927</v>
      </c>
      <c r="AG8" s="4" t="s">
        <v>15</v>
      </c>
      <c r="AH8" s="13" t="s">
        <v>15</v>
      </c>
      <c r="AI8" s="13" t="s">
        <v>15</v>
      </c>
      <c r="AJ8" s="4" t="s">
        <v>15</v>
      </c>
      <c r="AK8" s="4" t="s">
        <v>184</v>
      </c>
      <c r="AL8" s="4" t="s">
        <v>15</v>
      </c>
      <c r="AM8" s="4" t="s">
        <v>15</v>
      </c>
      <c r="AN8" s="4" t="s">
        <v>224</v>
      </c>
      <c r="AO8" s="4" t="s">
        <v>224</v>
      </c>
      <c r="AP8" s="4" t="s">
        <v>224</v>
      </c>
      <c r="AQ8" s="4" t="s">
        <v>15</v>
      </c>
      <c r="AR8" s="4" t="s">
        <v>164</v>
      </c>
      <c r="AS8" s="4" t="s">
        <v>15</v>
      </c>
      <c r="AT8" s="4" t="s">
        <v>15</v>
      </c>
      <c r="AU8" s="4" t="s">
        <v>15</v>
      </c>
      <c r="AV8" s="4" t="s">
        <v>15</v>
      </c>
      <c r="AW8" s="4" t="s">
        <v>15</v>
      </c>
      <c r="AX8" s="4" t="s">
        <v>15</v>
      </c>
      <c r="AY8" s="4" t="s">
        <v>15</v>
      </c>
      <c r="AZ8" s="4" t="s">
        <v>164</v>
      </c>
      <c r="BA8" s="4" t="s">
        <v>15</v>
      </c>
      <c r="BB8" s="4" t="s">
        <v>15</v>
      </c>
      <c r="BC8" s="4" t="s">
        <v>15</v>
      </c>
      <c r="BD8" s="4" t="s">
        <v>165</v>
      </c>
      <c r="BE8" s="13" t="s">
        <v>6</v>
      </c>
      <c r="BF8" s="28">
        <v>45292</v>
      </c>
      <c r="BG8" s="28" t="s">
        <v>15</v>
      </c>
      <c r="BH8" s="28" t="s">
        <v>15</v>
      </c>
      <c r="BI8" s="28" t="s">
        <v>15</v>
      </c>
      <c r="BJ8" s="28" t="s">
        <v>15</v>
      </c>
      <c r="BK8" s="28" t="s">
        <v>15</v>
      </c>
      <c r="BL8" s="28" t="s">
        <v>15</v>
      </c>
      <c r="BM8" s="28" t="s">
        <v>15</v>
      </c>
      <c r="BN8" s="28" t="s">
        <v>15</v>
      </c>
      <c r="BO8" s="28" t="s">
        <v>15</v>
      </c>
      <c r="BP8" s="28" t="s">
        <v>15</v>
      </c>
      <c r="BQ8" s="28" t="s">
        <v>164</v>
      </c>
      <c r="BR8" s="28" t="s">
        <v>15</v>
      </c>
      <c r="BS8" s="28" t="s">
        <v>164</v>
      </c>
      <c r="BT8" s="28" t="s">
        <v>224</v>
      </c>
      <c r="BU8" s="28" t="s">
        <v>224</v>
      </c>
      <c r="BV8" s="28" t="s">
        <v>224</v>
      </c>
      <c r="BW8" s="28" t="s">
        <v>164</v>
      </c>
      <c r="BX8" s="28" t="s">
        <v>15</v>
      </c>
      <c r="BY8" s="28" t="s">
        <v>15</v>
      </c>
      <c r="BZ8" s="28" t="s">
        <v>15</v>
      </c>
      <c r="CA8" s="28" t="s">
        <v>15</v>
      </c>
      <c r="CB8" s="28" t="s">
        <v>15</v>
      </c>
      <c r="CC8" s="28" t="s">
        <v>15</v>
      </c>
      <c r="CD8" s="28" t="s">
        <v>15</v>
      </c>
      <c r="CE8" s="28" t="s">
        <v>15</v>
      </c>
      <c r="CF8" s="28" t="s">
        <v>15</v>
      </c>
      <c r="CG8" s="28" t="s">
        <v>164</v>
      </c>
      <c r="CH8" s="28" t="s">
        <v>165</v>
      </c>
      <c r="CI8" s="28" t="s">
        <v>6</v>
      </c>
      <c r="CJ8" s="28">
        <v>45658</v>
      </c>
      <c r="CK8" s="28"/>
      <c r="CL8" s="28"/>
      <c r="CM8" s="35"/>
      <c r="CN8" s="36"/>
      <c r="CO8" s="36"/>
      <c r="CP8" s="37"/>
      <c r="CQ8" s="28" t="s">
        <v>6</v>
      </c>
      <c r="CR8" s="28">
        <v>46023</v>
      </c>
      <c r="CS8" s="28"/>
      <c r="CT8" s="28"/>
      <c r="CU8" s="35"/>
      <c r="CV8" s="36"/>
      <c r="CW8" s="36"/>
      <c r="CX8" s="37"/>
      <c r="CY8" s="28" t="s">
        <v>213</v>
      </c>
      <c r="DA8" s="4" t="s">
        <v>212</v>
      </c>
      <c r="DB8" s="1" t="s">
        <v>215</v>
      </c>
      <c r="DC8" s="13" t="s">
        <v>163</v>
      </c>
      <c r="DD8" s="4" t="s">
        <v>213</v>
      </c>
      <c r="DE8" s="28">
        <v>45292</v>
      </c>
      <c r="DF8" s="4" t="s">
        <v>212</v>
      </c>
      <c r="DG8" s="4" t="s">
        <v>287</v>
      </c>
      <c r="DH8" s="4" t="s">
        <v>25</v>
      </c>
      <c r="DI8" s="4" t="s">
        <v>156</v>
      </c>
      <c r="DJ8" s="4" t="s">
        <v>156</v>
      </c>
      <c r="DK8" s="4" t="s">
        <v>163</v>
      </c>
      <c r="DL8" s="4" t="s">
        <v>282</v>
      </c>
      <c r="DM8" s="1" t="s">
        <v>6</v>
      </c>
      <c r="DN8" s="28">
        <v>45658</v>
      </c>
      <c r="DO8" s="4" t="s">
        <v>287</v>
      </c>
      <c r="DP8" s="4" t="s">
        <v>25</v>
      </c>
      <c r="DQ8" s="4" t="s">
        <v>163</v>
      </c>
      <c r="DR8" s="4" t="s">
        <v>282</v>
      </c>
      <c r="DS8" s="4" t="s">
        <v>213</v>
      </c>
      <c r="DT8" s="28">
        <v>46023</v>
      </c>
      <c r="DU8" s="4" t="s">
        <v>770</v>
      </c>
      <c r="DV8" s="4" t="s">
        <v>163</v>
      </c>
      <c r="DW8" s="1" t="s">
        <v>6</v>
      </c>
    </row>
    <row r="9" spans="1:127" x14ac:dyDescent="0.25">
      <c r="B9" s="58"/>
      <c r="C9" s="59"/>
      <c r="D9" s="2"/>
      <c r="E9" s="2"/>
      <c r="F9" s="9" t="s">
        <v>40</v>
      </c>
      <c r="G9" s="5" t="s">
        <v>54</v>
      </c>
      <c r="H9" s="9" t="s">
        <v>80</v>
      </c>
      <c r="I9" s="9" t="s">
        <v>103</v>
      </c>
      <c r="J9" s="9" t="s">
        <v>119</v>
      </c>
      <c r="K9" s="9" t="s">
        <v>130</v>
      </c>
      <c r="L9" s="9" t="s">
        <v>120</v>
      </c>
      <c r="M9" s="9" t="s">
        <v>138</v>
      </c>
      <c r="N9" s="9" t="s">
        <v>140</v>
      </c>
      <c r="O9" s="9" t="s">
        <v>143</v>
      </c>
      <c r="P9" s="9" t="s">
        <v>80</v>
      </c>
      <c r="Q9" s="9" t="s">
        <v>148</v>
      </c>
      <c r="R9" s="9" t="s">
        <v>54</v>
      </c>
      <c r="S9" s="9" t="s">
        <v>40</v>
      </c>
      <c r="T9" s="9" t="s">
        <v>153</v>
      </c>
      <c r="U9" s="9" t="s">
        <v>130</v>
      </c>
      <c r="V9" s="9" t="s">
        <v>148</v>
      </c>
      <c r="W9" s="9" t="s">
        <v>120</v>
      </c>
      <c r="X9" s="9" t="s">
        <v>155</v>
      </c>
      <c r="Y9" s="9" t="s">
        <v>160</v>
      </c>
      <c r="Z9" s="9" t="s">
        <v>119</v>
      </c>
      <c r="AA9" s="9" t="s">
        <v>155</v>
      </c>
      <c r="AB9" s="9" t="s">
        <v>70</v>
      </c>
      <c r="AC9" s="9" t="s">
        <v>101</v>
      </c>
      <c r="AD9" s="9" t="s">
        <v>165</v>
      </c>
      <c r="AE9" s="2" t="s">
        <v>6</v>
      </c>
      <c r="AF9" s="2"/>
      <c r="AG9" s="9" t="s">
        <v>54</v>
      </c>
      <c r="AH9" s="14" t="s">
        <v>16</v>
      </c>
      <c r="AI9" s="14" t="s">
        <v>148</v>
      </c>
      <c r="AJ9" s="5" t="s">
        <v>40</v>
      </c>
      <c r="AK9" s="9" t="s">
        <v>136</v>
      </c>
      <c r="AL9" s="9" t="s">
        <v>130</v>
      </c>
      <c r="AM9" s="9" t="s">
        <v>155</v>
      </c>
      <c r="AN9" s="9" t="s">
        <v>139</v>
      </c>
      <c r="AO9" s="9" t="s">
        <v>142</v>
      </c>
      <c r="AP9" s="9" t="s">
        <v>136</v>
      </c>
      <c r="AQ9" s="9" t="s">
        <v>120</v>
      </c>
      <c r="AR9" s="9" t="s">
        <v>139</v>
      </c>
      <c r="AS9" s="9" t="s">
        <v>256</v>
      </c>
      <c r="AT9" s="9" t="s">
        <v>54</v>
      </c>
      <c r="AU9" s="9" t="s">
        <v>155</v>
      </c>
      <c r="AV9" s="9" t="s">
        <v>130</v>
      </c>
      <c r="AW9" s="9" t="s">
        <v>40</v>
      </c>
      <c r="AX9" s="9" t="s">
        <v>268</v>
      </c>
      <c r="AY9" s="9" t="s">
        <v>148</v>
      </c>
      <c r="AZ9" s="9" t="s">
        <v>142</v>
      </c>
      <c r="BA9" s="9" t="s">
        <v>120</v>
      </c>
      <c r="BB9" s="9" t="s">
        <v>166</v>
      </c>
      <c r="BC9" s="9" t="s">
        <v>153</v>
      </c>
      <c r="BD9" s="9"/>
      <c r="BE9" s="14"/>
      <c r="BF9" s="5"/>
      <c r="BG9" s="5" t="s">
        <v>130</v>
      </c>
      <c r="BH9" s="5" t="s">
        <v>16</v>
      </c>
      <c r="BI9" s="5" t="s">
        <v>148</v>
      </c>
      <c r="BJ9" s="5" t="s">
        <v>268</v>
      </c>
      <c r="BK9" s="5" t="s">
        <v>333</v>
      </c>
      <c r="BL9" s="5" t="s">
        <v>256</v>
      </c>
      <c r="BM9" s="5" t="s">
        <v>120</v>
      </c>
      <c r="BN9" s="5" t="s">
        <v>40</v>
      </c>
      <c r="BO9" s="5" t="s">
        <v>54</v>
      </c>
      <c r="BP9" s="5" t="s">
        <v>70</v>
      </c>
      <c r="BQ9" s="5" t="s">
        <v>139</v>
      </c>
      <c r="BR9" s="5" t="s">
        <v>166</v>
      </c>
      <c r="BS9" s="5" t="s">
        <v>372</v>
      </c>
      <c r="BT9" s="5" t="s">
        <v>139</v>
      </c>
      <c r="BU9" s="5" t="s">
        <v>136</v>
      </c>
      <c r="BV9" s="5" t="s">
        <v>142</v>
      </c>
      <c r="BW9" s="5" t="s">
        <v>136</v>
      </c>
      <c r="BX9" s="5" t="s">
        <v>130</v>
      </c>
      <c r="BY9" s="5" t="s">
        <v>333</v>
      </c>
      <c r="BZ9" s="5" t="s">
        <v>40</v>
      </c>
      <c r="CA9" s="5" t="s">
        <v>256</v>
      </c>
      <c r="CB9" s="5" t="s">
        <v>268</v>
      </c>
      <c r="CC9" s="5" t="s">
        <v>54</v>
      </c>
      <c r="CD9" s="5" t="s">
        <v>70</v>
      </c>
      <c r="CE9" s="5" t="s">
        <v>120</v>
      </c>
      <c r="CF9" s="5" t="s">
        <v>417</v>
      </c>
      <c r="CG9" s="5" t="s">
        <v>142</v>
      </c>
      <c r="CH9" s="5" t="s">
        <v>427</v>
      </c>
      <c r="CI9" s="5"/>
      <c r="CJ9" s="5"/>
      <c r="CK9" s="9" t="s">
        <v>15</v>
      </c>
      <c r="CL9" s="9" t="s">
        <v>224</v>
      </c>
      <c r="CM9" s="60" t="s">
        <v>429</v>
      </c>
      <c r="CN9" s="61"/>
      <c r="CO9" s="61"/>
      <c r="CP9" s="62"/>
      <c r="CQ9" s="5"/>
      <c r="CR9" s="5"/>
      <c r="CS9" s="9" t="s">
        <v>15</v>
      </c>
      <c r="CT9" s="9" t="s">
        <v>224</v>
      </c>
      <c r="CU9" s="60" t="s">
        <v>429</v>
      </c>
      <c r="CV9" s="61"/>
      <c r="CW9" s="61"/>
      <c r="CX9" s="62"/>
      <c r="CY9" s="9"/>
      <c r="DA9" s="5" t="s">
        <v>214</v>
      </c>
      <c r="DB9" s="2"/>
      <c r="DC9" s="14" t="s">
        <v>260</v>
      </c>
      <c r="DD9" s="5"/>
      <c r="DE9" s="5"/>
      <c r="DF9" s="5" t="s">
        <v>214</v>
      </c>
      <c r="DG9" s="5"/>
      <c r="DH9" s="5" t="s">
        <v>343</v>
      </c>
      <c r="DI9" s="5" t="s">
        <v>28</v>
      </c>
      <c r="DJ9" s="5" t="s">
        <v>260</v>
      </c>
      <c r="DK9" s="5" t="s">
        <v>260</v>
      </c>
      <c r="DL9" s="5" t="s">
        <v>80</v>
      </c>
      <c r="DM9" s="2"/>
      <c r="DN9" s="5"/>
      <c r="DO9" s="5"/>
      <c r="DP9" s="5" t="s">
        <v>28</v>
      </c>
      <c r="DQ9" s="5" t="s">
        <v>260</v>
      </c>
      <c r="DR9" s="5" t="s">
        <v>80</v>
      </c>
      <c r="DS9" s="5"/>
      <c r="DT9" s="5"/>
      <c r="DU9" s="5" t="s">
        <v>28</v>
      </c>
      <c r="DV9" s="5" t="s">
        <v>28</v>
      </c>
      <c r="DW9" s="2"/>
    </row>
    <row r="10" spans="1:127" x14ac:dyDescent="0.25">
      <c r="B10" s="58"/>
      <c r="C10" s="59"/>
      <c r="D10" s="2" t="s">
        <v>4</v>
      </c>
      <c r="E10" s="2" t="s">
        <v>5</v>
      </c>
      <c r="F10" s="10">
        <v>44660</v>
      </c>
      <c r="G10" s="10">
        <v>44653</v>
      </c>
      <c r="H10" s="10">
        <v>44681</v>
      </c>
      <c r="I10" s="10">
        <v>44695</v>
      </c>
      <c r="J10" s="10">
        <v>44709</v>
      </c>
      <c r="K10" s="10">
        <v>44709</v>
      </c>
      <c r="L10" s="10">
        <v>44709</v>
      </c>
      <c r="M10" s="10">
        <v>44730</v>
      </c>
      <c r="N10" s="10">
        <v>44730</v>
      </c>
      <c r="O10" s="10">
        <v>44737</v>
      </c>
      <c r="P10" s="10">
        <v>44759</v>
      </c>
      <c r="Q10" s="10">
        <v>44765</v>
      </c>
      <c r="R10" s="10">
        <v>44779</v>
      </c>
      <c r="S10" s="10">
        <v>44793</v>
      </c>
      <c r="T10" s="10">
        <v>44800</v>
      </c>
      <c r="U10" s="10">
        <v>44800</v>
      </c>
      <c r="V10" s="10">
        <v>44814</v>
      </c>
      <c r="W10" s="10">
        <v>44814</v>
      </c>
      <c r="X10" s="10">
        <v>44814</v>
      </c>
      <c r="Y10" s="10">
        <v>44829</v>
      </c>
      <c r="Z10" s="10">
        <v>44849</v>
      </c>
      <c r="AA10" s="10">
        <v>44856</v>
      </c>
      <c r="AB10" s="10">
        <v>44863</v>
      </c>
      <c r="AC10" s="10">
        <v>44866</v>
      </c>
      <c r="AD10" s="10">
        <v>44906</v>
      </c>
      <c r="AE10" s="2">
        <v>2022</v>
      </c>
      <c r="AF10" s="2"/>
      <c r="AG10" s="5" t="s">
        <v>171</v>
      </c>
      <c r="AH10" s="14" t="s">
        <v>168</v>
      </c>
      <c r="AI10" s="14" t="s">
        <v>179</v>
      </c>
      <c r="AJ10" s="5" t="s">
        <v>180</v>
      </c>
      <c r="AK10" s="2" t="s">
        <v>185</v>
      </c>
      <c r="AL10" s="2" t="s">
        <v>216</v>
      </c>
      <c r="AM10" s="2" t="s">
        <v>210</v>
      </c>
      <c r="AN10" s="2" t="s">
        <v>225</v>
      </c>
      <c r="AO10" s="2" t="s">
        <v>232</v>
      </c>
      <c r="AP10" s="5" t="s">
        <v>239</v>
      </c>
      <c r="AQ10" s="5" t="s">
        <v>247</v>
      </c>
      <c r="AR10" s="5" t="s">
        <v>250</v>
      </c>
      <c r="AS10" s="5" t="s">
        <v>257</v>
      </c>
      <c r="AT10" s="5" t="s">
        <v>258</v>
      </c>
      <c r="AU10" s="5" t="s">
        <v>261</v>
      </c>
      <c r="AV10" s="5" t="s">
        <v>261</v>
      </c>
      <c r="AW10" s="5" t="s">
        <v>262</v>
      </c>
      <c r="AX10" s="5" t="s">
        <v>267</v>
      </c>
      <c r="AY10" s="5" t="s">
        <v>267</v>
      </c>
      <c r="AZ10" s="5" t="s">
        <v>270</v>
      </c>
      <c r="BA10" s="5" t="s">
        <v>276</v>
      </c>
      <c r="BB10" s="5" t="s">
        <v>277</v>
      </c>
      <c r="BC10" s="5" t="s">
        <v>278</v>
      </c>
      <c r="BD10" s="5" t="s">
        <v>284</v>
      </c>
      <c r="BE10" s="14">
        <v>2023</v>
      </c>
      <c r="BF10" s="17"/>
      <c r="BG10" s="17" t="s">
        <v>319</v>
      </c>
      <c r="BH10" s="17" t="s">
        <v>319</v>
      </c>
      <c r="BI10" s="17" t="s">
        <v>319</v>
      </c>
      <c r="BJ10" s="17" t="s">
        <v>319</v>
      </c>
      <c r="BK10" s="17" t="s">
        <v>319</v>
      </c>
      <c r="BL10" s="17" t="s">
        <v>319</v>
      </c>
      <c r="BM10" s="17" t="s">
        <v>319</v>
      </c>
      <c r="BN10" s="17" t="s">
        <v>345</v>
      </c>
      <c r="BO10" s="17" t="s">
        <v>362</v>
      </c>
      <c r="BP10" s="17" t="s">
        <v>362</v>
      </c>
      <c r="BQ10" s="17" t="s">
        <v>366</v>
      </c>
      <c r="BR10" s="17" t="s">
        <v>373</v>
      </c>
      <c r="BS10" s="17" t="s">
        <v>373</v>
      </c>
      <c r="BT10" s="17" t="s">
        <v>382</v>
      </c>
      <c r="BU10" s="17" t="s">
        <v>382</v>
      </c>
      <c r="BV10" s="17" t="s">
        <v>389</v>
      </c>
      <c r="BW10" s="17" t="s">
        <v>391</v>
      </c>
      <c r="BX10" s="17" t="s">
        <v>395</v>
      </c>
      <c r="BY10" s="17" t="s">
        <v>402</v>
      </c>
      <c r="BZ10" s="17" t="s">
        <v>402</v>
      </c>
      <c r="CA10" s="17" t="s">
        <v>401</v>
      </c>
      <c r="CB10" s="17" t="s">
        <v>403</v>
      </c>
      <c r="CC10" s="17" t="s">
        <v>403</v>
      </c>
      <c r="CD10" s="17" t="s">
        <v>416</v>
      </c>
      <c r="CE10" s="17" t="s">
        <v>416</v>
      </c>
      <c r="CF10" s="17" t="s">
        <v>418</v>
      </c>
      <c r="CG10" s="17" t="s">
        <v>420</v>
      </c>
      <c r="CH10" s="17" t="s">
        <v>428</v>
      </c>
      <c r="CI10" s="17">
        <v>2024</v>
      </c>
      <c r="CJ10" s="5"/>
      <c r="CK10" s="5"/>
      <c r="CL10" s="5"/>
      <c r="CM10" s="5">
        <v>1</v>
      </c>
      <c r="CN10" s="5">
        <v>2</v>
      </c>
      <c r="CO10" s="5">
        <v>3</v>
      </c>
      <c r="CP10" s="5">
        <v>4</v>
      </c>
      <c r="CQ10" s="5">
        <v>2025</v>
      </c>
      <c r="CR10" s="5"/>
      <c r="CS10" s="5"/>
      <c r="CT10" s="5"/>
      <c r="CU10" s="5">
        <v>1</v>
      </c>
      <c r="CV10" s="5">
        <v>2</v>
      </c>
      <c r="CW10" s="5">
        <v>3</v>
      </c>
      <c r="CX10" s="5">
        <v>4</v>
      </c>
      <c r="CY10" s="5">
        <v>2026</v>
      </c>
      <c r="DA10" s="17"/>
      <c r="DB10" s="16">
        <v>45077</v>
      </c>
      <c r="DC10" s="25">
        <v>45153</v>
      </c>
      <c r="DD10" s="17">
        <v>2023</v>
      </c>
      <c r="DE10" s="17"/>
      <c r="DF10" s="5"/>
      <c r="DG10" s="5" t="s">
        <v>288</v>
      </c>
      <c r="DH10" s="5" t="s">
        <v>344</v>
      </c>
      <c r="DI10" s="5" t="s">
        <v>390</v>
      </c>
      <c r="DJ10" s="5" t="s">
        <v>414</v>
      </c>
      <c r="DK10" s="5" t="s">
        <v>415</v>
      </c>
      <c r="DL10" s="5" t="s">
        <v>425</v>
      </c>
      <c r="DM10" s="2">
        <v>2024</v>
      </c>
      <c r="DN10" s="5"/>
      <c r="DO10" s="5" t="s">
        <v>430</v>
      </c>
      <c r="DP10" s="5" t="s">
        <v>518</v>
      </c>
      <c r="DQ10" s="5" t="s">
        <v>607</v>
      </c>
      <c r="DR10" s="5" t="s">
        <v>425</v>
      </c>
      <c r="DS10" s="5">
        <v>2025</v>
      </c>
      <c r="DT10" s="5"/>
      <c r="DU10" s="5" t="s">
        <v>771</v>
      </c>
      <c r="DV10" s="5" t="s">
        <v>772</v>
      </c>
      <c r="DW10" s="2">
        <v>2026</v>
      </c>
    </row>
    <row r="11" spans="1:127" x14ac:dyDescent="0.25">
      <c r="A11">
        <v>1</v>
      </c>
      <c r="B11" s="18" t="s">
        <v>296</v>
      </c>
      <c r="C11" s="19"/>
      <c r="D11" s="18" t="s">
        <v>297</v>
      </c>
      <c r="E11" s="19" t="s">
        <v>86</v>
      </c>
      <c r="F11" s="6"/>
      <c r="G11" s="6"/>
      <c r="H11" s="6"/>
      <c r="I11" s="6"/>
      <c r="J11" s="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6"/>
      <c r="AF11" s="6"/>
      <c r="AG11" s="11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11"/>
      <c r="BE11" s="6">
        <f>SUM(AF11:BD11)</f>
        <v>0</v>
      </c>
      <c r="BF11" s="6">
        <f>(BE11-AF11)/2</f>
        <v>0</v>
      </c>
      <c r="BG11" s="6"/>
      <c r="BH11" s="6"/>
      <c r="BI11" s="6"/>
      <c r="BJ11" s="6"/>
      <c r="BK11" s="6">
        <v>60</v>
      </c>
      <c r="BL11" s="6"/>
      <c r="BM11" s="6"/>
      <c r="BN11" s="6"/>
      <c r="BO11" s="6"/>
      <c r="BP11" s="6"/>
      <c r="BQ11" s="11">
        <v>150</v>
      </c>
      <c r="BR11" s="11"/>
      <c r="BS11" s="11">
        <v>50</v>
      </c>
      <c r="BT11" s="11"/>
      <c r="BU11" s="11">
        <v>80</v>
      </c>
      <c r="BV11" s="11"/>
      <c r="BW11" s="11">
        <v>150</v>
      </c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>
        <v>200</v>
      </c>
      <c r="CI11" s="6">
        <f>SUM(BF11:CH11)</f>
        <v>690</v>
      </c>
      <c r="CJ11" s="6">
        <f>(CI11-BF11)/2</f>
        <v>345</v>
      </c>
      <c r="CK11" s="11">
        <v>42</v>
      </c>
      <c r="CL11" s="11">
        <v>56</v>
      </c>
      <c r="CM11" s="11">
        <v>105</v>
      </c>
      <c r="CN11" s="11">
        <v>70</v>
      </c>
      <c r="CO11" s="11">
        <v>56</v>
      </c>
      <c r="CP11" s="11">
        <v>54</v>
      </c>
      <c r="CQ11" s="6">
        <f>SUM(CJ11:CP11)</f>
        <v>728</v>
      </c>
      <c r="CR11" s="6">
        <f>(CQ11-CJ11)/2</f>
        <v>191.5</v>
      </c>
      <c r="CS11" s="11">
        <v>60</v>
      </c>
      <c r="CT11" s="11">
        <v>40</v>
      </c>
      <c r="CU11" s="11">
        <v>150</v>
      </c>
      <c r="CV11" s="11"/>
      <c r="CW11" s="6"/>
      <c r="CX11" s="6"/>
      <c r="CY11" s="6">
        <f>SUM(CR11:CX11)</f>
        <v>441.5</v>
      </c>
      <c r="DA11" s="6"/>
      <c r="DB11" s="6"/>
      <c r="DC11" s="6"/>
      <c r="DD11" s="6"/>
      <c r="DE11" s="6">
        <f>DD11/2</f>
        <v>0</v>
      </c>
      <c r="DF11" s="11">
        <f>CI11/4</f>
        <v>172.5</v>
      </c>
      <c r="DG11" s="11">
        <v>26.25</v>
      </c>
      <c r="DH11" s="11"/>
      <c r="DI11" s="11"/>
      <c r="DJ11" s="11">
        <v>39</v>
      </c>
      <c r="DK11" s="11">
        <v>70</v>
      </c>
      <c r="DL11" s="11">
        <v>50</v>
      </c>
      <c r="DM11" s="6">
        <f>SUM(DE11:DL11)</f>
        <v>357.75</v>
      </c>
      <c r="DN11" s="6">
        <f>(DM11-DE11)/2</f>
        <v>178.875</v>
      </c>
      <c r="DO11" s="11">
        <v>35</v>
      </c>
      <c r="DP11" s="11">
        <v>15</v>
      </c>
      <c r="DQ11" s="11"/>
      <c r="DR11" s="11"/>
      <c r="DS11" s="6">
        <f>SUM(DN11:DP11)</f>
        <v>228.875</v>
      </c>
      <c r="DT11" s="6">
        <f>(DS11-DN11)/2</f>
        <v>25</v>
      </c>
      <c r="DU11" s="6"/>
      <c r="DV11" s="11">
        <v>50</v>
      </c>
      <c r="DW11" s="19">
        <f>SUM(DT11:DV11)</f>
        <v>75</v>
      </c>
    </row>
    <row r="12" spans="1:127" x14ac:dyDescent="0.25">
      <c r="A12">
        <v>2</v>
      </c>
      <c r="B12" s="20" t="s">
        <v>190</v>
      </c>
      <c r="C12" s="21"/>
      <c r="D12" s="20" t="s">
        <v>298</v>
      </c>
      <c r="E12" s="21" t="s">
        <v>9</v>
      </c>
      <c r="F12" s="6"/>
      <c r="G12" s="6"/>
      <c r="H12" s="6"/>
      <c r="I12" s="6"/>
      <c r="J12" s="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6"/>
      <c r="AF12" s="6"/>
      <c r="AG12" s="11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11"/>
      <c r="BE12" s="6">
        <f>SUM(AF12:BD12)</f>
        <v>0</v>
      </c>
      <c r="BF12" s="6">
        <f>(BE12-AF12)/2</f>
        <v>0</v>
      </c>
      <c r="BG12" s="6"/>
      <c r="BH12" s="6"/>
      <c r="BI12" s="6"/>
      <c r="BJ12" s="6"/>
      <c r="BK12" s="6">
        <v>42</v>
      </c>
      <c r="BL12" s="6"/>
      <c r="BM12" s="6"/>
      <c r="BN12" s="6"/>
      <c r="BO12" s="6"/>
      <c r="BP12" s="6"/>
      <c r="BQ12" s="11">
        <v>7.5</v>
      </c>
      <c r="BR12" s="11"/>
      <c r="BS12" s="11">
        <v>50</v>
      </c>
      <c r="BT12" s="11"/>
      <c r="BU12" s="11">
        <v>40</v>
      </c>
      <c r="BV12" s="11"/>
      <c r="BW12" s="11">
        <v>7.5</v>
      </c>
      <c r="BX12" s="11"/>
      <c r="BY12" s="11">
        <v>48</v>
      </c>
      <c r="BZ12" s="11"/>
      <c r="CA12" s="11"/>
      <c r="CB12" s="11"/>
      <c r="CC12" s="11"/>
      <c r="CD12" s="11"/>
      <c r="CE12" s="11"/>
      <c r="CF12" s="11"/>
      <c r="CG12" s="11">
        <v>75</v>
      </c>
      <c r="CH12" s="11">
        <v>10</v>
      </c>
      <c r="CI12" s="6">
        <f>SUM(BF12:CH12)</f>
        <v>280</v>
      </c>
      <c r="CJ12" s="6">
        <f>(CI12-BF12)/2</f>
        <v>140</v>
      </c>
      <c r="CK12" s="11">
        <v>30</v>
      </c>
      <c r="CL12" s="11">
        <v>80</v>
      </c>
      <c r="CM12" s="11">
        <v>54</v>
      </c>
      <c r="CN12" s="11">
        <v>72</v>
      </c>
      <c r="CO12" s="11">
        <v>75</v>
      </c>
      <c r="CP12" s="11">
        <v>70</v>
      </c>
      <c r="CQ12" s="6">
        <f>SUM(CJ12:CP12)</f>
        <v>521</v>
      </c>
      <c r="CR12" s="6">
        <f>(CQ12-CJ12)/2</f>
        <v>190.5</v>
      </c>
      <c r="CS12" s="11">
        <v>42</v>
      </c>
      <c r="CT12" s="11">
        <v>80</v>
      </c>
      <c r="CU12" s="11">
        <v>75</v>
      </c>
      <c r="CV12" s="11">
        <v>42</v>
      </c>
      <c r="CW12" s="6"/>
      <c r="CX12" s="6"/>
      <c r="CY12" s="6">
        <f>SUM(CR12:CX12)</f>
        <v>429.5</v>
      </c>
      <c r="DA12" s="6"/>
      <c r="DB12" s="6"/>
      <c r="DC12" s="6"/>
      <c r="DD12" s="6"/>
      <c r="DE12" s="6">
        <f>DD12/2</f>
        <v>0</v>
      </c>
      <c r="DF12" s="11">
        <f>CI12/4</f>
        <v>70</v>
      </c>
      <c r="DG12" s="11">
        <v>21</v>
      </c>
      <c r="DH12" s="11"/>
      <c r="DI12" s="11">
        <v>7.5</v>
      </c>
      <c r="DJ12" s="11"/>
      <c r="DK12" s="11">
        <v>26</v>
      </c>
      <c r="DL12" s="11">
        <v>25</v>
      </c>
      <c r="DM12" s="6">
        <f>SUM(DE12:DL12)</f>
        <v>149.5</v>
      </c>
      <c r="DN12" s="6">
        <f>(DM12-DE12)/2</f>
        <v>74.75</v>
      </c>
      <c r="DO12" s="11">
        <v>14</v>
      </c>
      <c r="DP12" s="11"/>
      <c r="DQ12" s="11">
        <v>36</v>
      </c>
      <c r="DR12" s="11"/>
      <c r="DS12" s="6">
        <f>SUM(DN12:DQ12)</f>
        <v>124.75</v>
      </c>
      <c r="DT12" s="6">
        <f>(DS12-DN12)/2</f>
        <v>25</v>
      </c>
      <c r="DU12" s="6"/>
      <c r="DV12" s="11">
        <v>26</v>
      </c>
      <c r="DW12" s="21">
        <f>SUM(DT12:DV12)</f>
        <v>51</v>
      </c>
    </row>
    <row r="13" spans="1:127" x14ac:dyDescent="0.25">
      <c r="A13">
        <v>3</v>
      </c>
      <c r="B13" s="11" t="s">
        <v>640</v>
      </c>
      <c r="C13" s="6"/>
      <c r="D13" s="11" t="s">
        <v>75</v>
      </c>
      <c r="E13" s="6" t="s">
        <v>328</v>
      </c>
      <c r="F13" s="6"/>
      <c r="G13" s="6"/>
      <c r="H13" s="6"/>
      <c r="I13" s="6"/>
      <c r="J13" s="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6"/>
      <c r="AF13" s="6"/>
      <c r="AG13" s="11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11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6"/>
      <c r="CJ13" s="6"/>
      <c r="CK13" s="11"/>
      <c r="CL13" s="11"/>
      <c r="CM13" s="11"/>
      <c r="CN13" s="11"/>
      <c r="CO13" s="11"/>
      <c r="CP13" s="11"/>
      <c r="CQ13" s="6"/>
      <c r="CR13" s="6">
        <f>168.9/2</f>
        <v>84.45</v>
      </c>
      <c r="CS13" s="11">
        <v>33.6</v>
      </c>
      <c r="CT13" s="11">
        <v>80</v>
      </c>
      <c r="CU13" s="11">
        <v>100</v>
      </c>
      <c r="CV13" s="11">
        <v>2.4</v>
      </c>
      <c r="CW13" s="6"/>
      <c r="CX13" s="6"/>
      <c r="CY13" s="6">
        <f>SUM(CR13:CX13)</f>
        <v>300.45</v>
      </c>
      <c r="DA13" s="6"/>
      <c r="DB13" s="6"/>
      <c r="DC13" s="6"/>
      <c r="DD13" s="6"/>
      <c r="DE13" s="6"/>
      <c r="DF13" s="11"/>
      <c r="DG13" s="11"/>
      <c r="DH13" s="11"/>
      <c r="DI13" s="11"/>
      <c r="DJ13" s="11"/>
      <c r="DK13" s="11"/>
      <c r="DL13" s="11"/>
      <c r="DM13" s="6"/>
      <c r="DN13" s="6"/>
      <c r="DO13" s="11"/>
      <c r="DP13" s="11"/>
      <c r="DQ13" s="11"/>
      <c r="DR13" s="11"/>
      <c r="DS13" s="6">
        <f>SUM(DN13:DR13)</f>
        <v>0</v>
      </c>
      <c r="DT13" s="6">
        <f>(DS13-DN13)/2</f>
        <v>0</v>
      </c>
      <c r="DU13" s="6"/>
      <c r="DV13" s="11"/>
      <c r="DW13" s="6">
        <f>SUM(DT13:DV13)</f>
        <v>0</v>
      </c>
    </row>
    <row r="14" spans="1:127" x14ac:dyDescent="0.25">
      <c r="A14">
        <v>4</v>
      </c>
      <c r="B14" s="11" t="s">
        <v>109</v>
      </c>
      <c r="C14" s="6"/>
      <c r="D14" s="11" t="s">
        <v>92</v>
      </c>
      <c r="E14" s="6" t="s">
        <v>29</v>
      </c>
      <c r="F14" s="6"/>
      <c r="G14" s="6"/>
      <c r="H14" s="6"/>
      <c r="I14" s="6"/>
      <c r="J14" s="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6"/>
      <c r="AF14" s="6"/>
      <c r="AG14" s="11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11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6"/>
      <c r="CJ14" s="6"/>
      <c r="CK14" s="11">
        <v>60</v>
      </c>
      <c r="CL14" s="11">
        <v>80</v>
      </c>
      <c r="CM14" s="11">
        <v>150</v>
      </c>
      <c r="CN14" s="11">
        <v>150</v>
      </c>
      <c r="CO14" s="11">
        <v>100</v>
      </c>
      <c r="CP14" s="11"/>
      <c r="CQ14" s="6">
        <f>SUM(CJ14:CP14)</f>
        <v>540</v>
      </c>
      <c r="CR14" s="6">
        <f>(CQ14-CJ14)/2</f>
        <v>270</v>
      </c>
      <c r="CS14" s="11"/>
      <c r="CT14" s="11"/>
      <c r="CU14" s="11"/>
      <c r="CV14" s="11"/>
      <c r="CW14" s="6"/>
      <c r="CX14" s="6"/>
      <c r="CY14" s="6">
        <f>SUM(CR14:CX14)</f>
        <v>270</v>
      </c>
      <c r="DA14" s="6"/>
      <c r="DB14" s="6"/>
      <c r="DC14" s="6"/>
      <c r="DD14" s="6"/>
      <c r="DE14" s="6"/>
      <c r="DF14" s="11"/>
      <c r="DG14" s="11"/>
      <c r="DH14" s="11"/>
      <c r="DI14" s="11"/>
      <c r="DJ14" s="11"/>
      <c r="DK14" s="11"/>
      <c r="DL14" s="11"/>
      <c r="DM14" s="6">
        <f>SUM(DE14:DG14)</f>
        <v>0</v>
      </c>
      <c r="DN14" s="6">
        <f>(DM14-DE14)/2</f>
        <v>0</v>
      </c>
      <c r="DO14" s="11"/>
      <c r="DP14" s="11"/>
      <c r="DQ14" s="11"/>
      <c r="DR14" s="11"/>
      <c r="DS14" s="6">
        <f>SUM(DN14:DP14)</f>
        <v>0</v>
      </c>
      <c r="DT14" s="6">
        <f>(DS14-DN14)/2</f>
        <v>0</v>
      </c>
      <c r="DU14" s="6"/>
      <c r="DV14" s="11"/>
      <c r="DW14" s="6">
        <f>SUM(DT14:DU14)</f>
        <v>0</v>
      </c>
    </row>
    <row r="15" spans="1:127" x14ac:dyDescent="0.25">
      <c r="A15">
        <v>5</v>
      </c>
      <c r="B15" s="11" t="s">
        <v>350</v>
      </c>
      <c r="C15" s="6"/>
      <c r="D15" s="11" t="s">
        <v>150</v>
      </c>
      <c r="E15" s="6" t="s">
        <v>42</v>
      </c>
      <c r="F15" s="6"/>
      <c r="G15" s="6"/>
      <c r="H15" s="6"/>
      <c r="I15" s="6"/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6"/>
      <c r="AF15" s="6"/>
      <c r="AG15" s="11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11"/>
      <c r="BE15" s="6"/>
      <c r="BF15" s="6"/>
      <c r="BG15" s="6"/>
      <c r="BH15" s="6"/>
      <c r="BI15" s="6"/>
      <c r="BJ15" s="6"/>
      <c r="BK15" s="6"/>
      <c r="BL15" s="6"/>
      <c r="BM15" s="6"/>
      <c r="BN15" s="6">
        <v>48</v>
      </c>
      <c r="BO15" s="6"/>
      <c r="BP15" s="6"/>
      <c r="BQ15" s="11">
        <v>105</v>
      </c>
      <c r="BR15" s="11"/>
      <c r="BS15" s="11"/>
      <c r="BT15" s="11"/>
      <c r="BU15" s="11"/>
      <c r="BV15" s="11"/>
      <c r="BW15" s="11">
        <v>105</v>
      </c>
      <c r="BX15" s="11"/>
      <c r="BY15" s="11"/>
      <c r="BZ15" s="11">
        <v>33.6</v>
      </c>
      <c r="CA15" s="11"/>
      <c r="CB15" s="11"/>
      <c r="CC15" s="11"/>
      <c r="CD15" s="11"/>
      <c r="CE15" s="11"/>
      <c r="CF15" s="11"/>
      <c r="CG15" s="11">
        <v>54</v>
      </c>
      <c r="CH15" s="11">
        <v>100</v>
      </c>
      <c r="CI15" s="6">
        <f>SUM(BF15:CH15)</f>
        <v>445.6</v>
      </c>
      <c r="CJ15" s="6">
        <f>(CI15-BF15)/2</f>
        <v>222.8</v>
      </c>
      <c r="CK15" s="11">
        <v>60</v>
      </c>
      <c r="CL15" s="11">
        <v>56</v>
      </c>
      <c r="CM15" s="11">
        <v>7.5</v>
      </c>
      <c r="CN15" s="11">
        <v>50</v>
      </c>
      <c r="CO15" s="11">
        <v>7.5</v>
      </c>
      <c r="CP15" s="11">
        <v>33.6</v>
      </c>
      <c r="CQ15" s="6">
        <f>SUM(CJ15:CP15)</f>
        <v>437.40000000000003</v>
      </c>
      <c r="CR15" s="6">
        <f>(CQ15-CJ15)/2</f>
        <v>107.30000000000001</v>
      </c>
      <c r="CS15" s="11">
        <v>48</v>
      </c>
      <c r="CT15" s="11"/>
      <c r="CU15" s="11">
        <v>105</v>
      </c>
      <c r="CV15" s="11"/>
      <c r="CW15" s="6"/>
      <c r="CX15" s="6"/>
      <c r="CY15" s="6">
        <f>SUM(CR15:CX15)</f>
        <v>260.3</v>
      </c>
      <c r="DA15" s="6"/>
      <c r="DB15" s="6"/>
      <c r="DC15" s="6"/>
      <c r="DD15" s="6"/>
      <c r="DE15" s="6">
        <f>DD15/2</f>
        <v>0</v>
      </c>
      <c r="DF15" s="11">
        <f>CI15/4</f>
        <v>111.4</v>
      </c>
      <c r="DG15" s="11"/>
      <c r="DH15" s="11"/>
      <c r="DI15" s="11">
        <v>7.5</v>
      </c>
      <c r="DJ15" s="11"/>
      <c r="DK15" s="11"/>
      <c r="DL15" s="11">
        <v>35</v>
      </c>
      <c r="DM15" s="6">
        <f>SUM(DE15:DL15)</f>
        <v>153.9</v>
      </c>
      <c r="DN15" s="6">
        <f>(DM15-DE15)/2</f>
        <v>76.95</v>
      </c>
      <c r="DO15" s="11">
        <v>21</v>
      </c>
      <c r="DP15" s="11"/>
      <c r="DQ15" s="11"/>
      <c r="DR15" s="11"/>
      <c r="DS15" s="6">
        <f>SUM(DN15:DP15)</f>
        <v>97.95</v>
      </c>
      <c r="DT15" s="6">
        <f>(DS15-DN15)/2</f>
        <v>10.5</v>
      </c>
      <c r="DU15" s="6"/>
      <c r="DV15" s="11"/>
      <c r="DW15" s="6">
        <f>SUM(DT15:DV15)</f>
        <v>10.5</v>
      </c>
    </row>
    <row r="16" spans="1:127" x14ac:dyDescent="0.25">
      <c r="A16">
        <v>6</v>
      </c>
      <c r="B16" s="11" t="s">
        <v>437</v>
      </c>
      <c r="C16" s="6"/>
      <c r="D16" s="11" t="s">
        <v>202</v>
      </c>
      <c r="E16" s="6" t="s">
        <v>218</v>
      </c>
      <c r="F16" s="6"/>
      <c r="G16" s="6"/>
      <c r="H16" s="6"/>
      <c r="I16" s="6"/>
      <c r="J16" s="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6"/>
      <c r="AF16" s="6"/>
      <c r="AG16" s="11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11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6"/>
      <c r="CJ16" s="6">
        <f>166.9/2</f>
        <v>83.45</v>
      </c>
      <c r="CK16" s="11">
        <v>48</v>
      </c>
      <c r="CL16" s="11">
        <v>56</v>
      </c>
      <c r="CM16" s="11">
        <v>54</v>
      </c>
      <c r="CN16" s="11">
        <v>48</v>
      </c>
      <c r="CO16" s="11">
        <v>40</v>
      </c>
      <c r="CP16" s="11">
        <v>39</v>
      </c>
      <c r="CQ16" s="6">
        <f>SUM(CJ16:CP16)</f>
        <v>368.45</v>
      </c>
      <c r="CR16" s="6">
        <f>(CQ16-CJ16)/2</f>
        <v>142.5</v>
      </c>
      <c r="CS16" s="11">
        <v>36</v>
      </c>
      <c r="CT16" s="11">
        <v>40</v>
      </c>
      <c r="CU16" s="11">
        <v>33.6</v>
      </c>
      <c r="CV16" s="11"/>
      <c r="CW16" s="6"/>
      <c r="CX16" s="6"/>
      <c r="CY16" s="6">
        <f>SUM(CR16:CX16)</f>
        <v>252.1</v>
      </c>
      <c r="DA16" s="6"/>
      <c r="DB16" s="6"/>
      <c r="DC16" s="6"/>
      <c r="DD16" s="6"/>
      <c r="DE16" s="6"/>
      <c r="DF16" s="11"/>
      <c r="DG16" s="11"/>
      <c r="DH16" s="11"/>
      <c r="DI16" s="11"/>
      <c r="DJ16" s="11"/>
      <c r="DK16" s="11"/>
      <c r="DL16" s="11"/>
      <c r="DM16" s="6"/>
      <c r="DN16" s="6"/>
      <c r="DO16" s="11"/>
      <c r="DP16" s="11"/>
      <c r="DQ16" s="11"/>
      <c r="DR16" s="11"/>
      <c r="DS16" s="6">
        <f>SUM(DN16:DP16)</f>
        <v>0</v>
      </c>
      <c r="DT16" s="6">
        <f>(DS16-DN16)/2</f>
        <v>0</v>
      </c>
      <c r="DU16" s="6"/>
      <c r="DV16" s="11"/>
      <c r="DW16" s="6">
        <f>SUM(DT16:DV16)</f>
        <v>0</v>
      </c>
    </row>
    <row r="17" spans="1:127" x14ac:dyDescent="0.25">
      <c r="A17">
        <v>7</v>
      </c>
      <c r="B17" s="11" t="s">
        <v>725</v>
      </c>
      <c r="C17" s="6"/>
      <c r="D17" s="11" t="s">
        <v>108</v>
      </c>
      <c r="E17" s="6" t="s">
        <v>27</v>
      </c>
      <c r="F17" s="6"/>
      <c r="G17" s="6"/>
      <c r="H17" s="6"/>
      <c r="I17" s="6"/>
      <c r="J17" s="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6"/>
      <c r="AF17" s="6"/>
      <c r="AG17" s="11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11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6"/>
      <c r="CJ17" s="6"/>
      <c r="CK17" s="11"/>
      <c r="CL17" s="11"/>
      <c r="CM17" s="11"/>
      <c r="CN17" s="11"/>
      <c r="CO17" s="11"/>
      <c r="CP17" s="11"/>
      <c r="CQ17" s="6"/>
      <c r="CR17" s="6">
        <f>329/2</f>
        <v>164.5</v>
      </c>
      <c r="CS17" s="11">
        <v>42</v>
      </c>
      <c r="CT17" s="11">
        <v>28.8</v>
      </c>
      <c r="CU17" s="11"/>
      <c r="CV17" s="11"/>
      <c r="CW17" s="6"/>
      <c r="CX17" s="6"/>
      <c r="CY17" s="6">
        <f>SUM(CR17:CX17)</f>
        <v>235.3</v>
      </c>
      <c r="DA17" s="6"/>
      <c r="DB17" s="6"/>
      <c r="DC17" s="6"/>
      <c r="DD17" s="6"/>
      <c r="DE17" s="6"/>
      <c r="DF17" s="11"/>
      <c r="DG17" s="11"/>
      <c r="DH17" s="11"/>
      <c r="DI17" s="11"/>
      <c r="DJ17" s="11"/>
      <c r="DK17" s="11"/>
      <c r="DL17" s="11"/>
      <c r="DM17" s="6"/>
      <c r="DN17" s="6"/>
      <c r="DO17" s="11"/>
      <c r="DP17" s="11"/>
      <c r="DQ17" s="11"/>
      <c r="DR17" s="11"/>
      <c r="DS17" s="6">
        <f>SUM(DN17:DR17)</f>
        <v>0</v>
      </c>
      <c r="DT17" s="6">
        <f>(DS17-DN17)/2</f>
        <v>0</v>
      </c>
      <c r="DU17" s="6"/>
      <c r="DV17" s="11"/>
      <c r="DW17" s="6">
        <f>SUM(DT17:DV17)</f>
        <v>0</v>
      </c>
    </row>
    <row r="18" spans="1:127" x14ac:dyDescent="0.25">
      <c r="A18" s="52">
        <v>8</v>
      </c>
      <c r="B18" s="11" t="s">
        <v>494</v>
      </c>
      <c r="C18" s="6"/>
      <c r="D18" s="11" t="s">
        <v>108</v>
      </c>
      <c r="E18" s="6" t="s">
        <v>21</v>
      </c>
      <c r="F18" s="6"/>
      <c r="G18" s="6"/>
      <c r="H18" s="6"/>
      <c r="I18" s="6"/>
      <c r="J18" s="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6"/>
      <c r="AF18" s="6"/>
      <c r="AG18" s="11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11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6"/>
      <c r="CJ18" s="6"/>
      <c r="CK18" s="11"/>
      <c r="CL18" s="11"/>
      <c r="CM18" s="11"/>
      <c r="CN18" s="11"/>
      <c r="CO18" s="11"/>
      <c r="CP18" s="11"/>
      <c r="CQ18" s="6"/>
      <c r="CR18" s="6">
        <f>170.4/2</f>
        <v>85.2</v>
      </c>
      <c r="CS18" s="11">
        <v>48</v>
      </c>
      <c r="CT18" s="11">
        <v>4</v>
      </c>
      <c r="CU18" s="11">
        <v>75</v>
      </c>
      <c r="CV18" s="11"/>
      <c r="CW18" s="6"/>
      <c r="CX18" s="6"/>
      <c r="CY18" s="6">
        <f>SUM(CR18:CX18)</f>
        <v>212.2</v>
      </c>
      <c r="DA18" s="6"/>
      <c r="DB18" s="6"/>
      <c r="DC18" s="6"/>
      <c r="DD18" s="6"/>
      <c r="DE18" s="6"/>
      <c r="DF18" s="11"/>
      <c r="DG18" s="11"/>
      <c r="DH18" s="11"/>
      <c r="DI18" s="11"/>
      <c r="DJ18" s="11"/>
      <c r="DK18" s="11"/>
      <c r="DL18" s="11"/>
      <c r="DM18" s="6"/>
      <c r="DN18" s="6"/>
      <c r="DO18" s="11"/>
      <c r="DP18" s="11"/>
      <c r="DQ18" s="11"/>
      <c r="DR18" s="11"/>
      <c r="DS18" s="6">
        <f>SUM(DN18:DR18)</f>
        <v>0</v>
      </c>
      <c r="DT18" s="6">
        <f>(DS18-DN18)/2</f>
        <v>0</v>
      </c>
      <c r="DU18" s="6"/>
      <c r="DV18" s="11"/>
      <c r="DW18" s="6">
        <f>SUM(DT18:DV18)</f>
        <v>0</v>
      </c>
    </row>
    <row r="19" spans="1:127" x14ac:dyDescent="0.25">
      <c r="A19">
        <v>9</v>
      </c>
      <c r="B19" s="11" t="s">
        <v>98</v>
      </c>
      <c r="C19" s="6"/>
      <c r="D19" s="11" t="s">
        <v>726</v>
      </c>
      <c r="E19" s="6" t="s">
        <v>27</v>
      </c>
      <c r="F19" s="6"/>
      <c r="G19" s="6"/>
      <c r="H19" s="6"/>
      <c r="I19" s="6"/>
      <c r="J19" s="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6"/>
      <c r="AF19" s="6"/>
      <c r="AG19" s="11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11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6"/>
      <c r="CJ19" s="6"/>
      <c r="CK19" s="11"/>
      <c r="CL19" s="11"/>
      <c r="CM19" s="11"/>
      <c r="CN19" s="11"/>
      <c r="CO19" s="11"/>
      <c r="CP19" s="11"/>
      <c r="CQ19" s="6"/>
      <c r="CR19" s="6">
        <f>248.8/2</f>
        <v>124.4</v>
      </c>
      <c r="CS19" s="11">
        <v>21.6</v>
      </c>
      <c r="CT19" s="11">
        <v>4</v>
      </c>
      <c r="CU19" s="11">
        <v>39</v>
      </c>
      <c r="CV19" s="11"/>
      <c r="CW19" s="6"/>
      <c r="CX19" s="6"/>
      <c r="CY19" s="6">
        <f>SUM(CR19:CX19)</f>
        <v>189</v>
      </c>
      <c r="DA19" s="6"/>
      <c r="DB19" s="6"/>
      <c r="DC19" s="6"/>
      <c r="DD19" s="6"/>
      <c r="DE19" s="6"/>
      <c r="DF19" s="11"/>
      <c r="DG19" s="11"/>
      <c r="DH19" s="11"/>
      <c r="DI19" s="11"/>
      <c r="DJ19" s="11"/>
      <c r="DK19" s="11"/>
      <c r="DL19" s="11"/>
      <c r="DM19" s="6"/>
      <c r="DN19" s="6"/>
      <c r="DO19" s="11"/>
      <c r="DP19" s="11"/>
      <c r="DQ19" s="11"/>
      <c r="DR19" s="11"/>
      <c r="DS19" s="6">
        <f>SUM(DN19:DR19)</f>
        <v>0</v>
      </c>
      <c r="DT19" s="6">
        <f>(DS19-DN19)/2</f>
        <v>0</v>
      </c>
      <c r="DU19" s="6"/>
      <c r="DV19" s="11"/>
      <c r="DW19" s="6">
        <f>SUM(DT19:DV19)</f>
        <v>0</v>
      </c>
    </row>
    <row r="20" spans="1:127" x14ac:dyDescent="0.25">
      <c r="A20">
        <v>10</v>
      </c>
      <c r="B20" s="11" t="s">
        <v>440</v>
      </c>
      <c r="C20" s="6"/>
      <c r="D20" s="11" t="s">
        <v>365</v>
      </c>
      <c r="E20" s="6" t="s">
        <v>116</v>
      </c>
      <c r="F20" s="6"/>
      <c r="G20" s="6"/>
      <c r="H20" s="6"/>
      <c r="I20" s="6"/>
      <c r="J20" s="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6"/>
      <c r="AF20" s="6"/>
      <c r="AG20" s="11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11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6"/>
      <c r="CJ20" s="6"/>
      <c r="CK20" s="11">
        <v>2.4</v>
      </c>
      <c r="CL20" s="11"/>
      <c r="CM20" s="11">
        <v>5</v>
      </c>
      <c r="CN20" s="11">
        <v>39</v>
      </c>
      <c r="CO20" s="11">
        <v>5</v>
      </c>
      <c r="CP20" s="11"/>
      <c r="CQ20" s="6">
        <f>SUM(CJ20:CP20)</f>
        <v>51.4</v>
      </c>
      <c r="CR20" s="6">
        <f>(CQ20-CJ20)/2</f>
        <v>25.7</v>
      </c>
      <c r="CS20" s="11">
        <v>48</v>
      </c>
      <c r="CT20" s="11">
        <v>4</v>
      </c>
      <c r="CU20" s="11">
        <v>54</v>
      </c>
      <c r="CV20" s="11">
        <v>42</v>
      </c>
      <c r="CW20" s="6"/>
      <c r="CX20" s="6"/>
      <c r="CY20" s="6">
        <f>SUM(CR20:CX20)</f>
        <v>173.7</v>
      </c>
      <c r="DA20" s="6"/>
      <c r="DB20" s="6"/>
      <c r="DC20" s="6"/>
      <c r="DD20" s="6"/>
      <c r="DE20" s="6"/>
      <c r="DF20" s="11"/>
      <c r="DG20" s="11"/>
      <c r="DH20" s="11"/>
      <c r="DI20" s="11"/>
      <c r="DJ20" s="11"/>
      <c r="DK20" s="11"/>
      <c r="DL20" s="11"/>
      <c r="DM20" s="6"/>
      <c r="DN20" s="6"/>
      <c r="DO20" s="11">
        <v>10.5</v>
      </c>
      <c r="DP20" s="11"/>
      <c r="DQ20" s="11"/>
      <c r="DR20" s="11"/>
      <c r="DS20" s="6">
        <f>SUM(DN20:DR20)</f>
        <v>10.5</v>
      </c>
      <c r="DT20" s="6">
        <f>(DS20-DN20)/2</f>
        <v>5.25</v>
      </c>
      <c r="DU20" s="6"/>
      <c r="DV20" s="11"/>
      <c r="DW20" s="6">
        <f>SUM(DT20:DV20)</f>
        <v>5.25</v>
      </c>
    </row>
    <row r="21" spans="1:127" x14ac:dyDescent="0.25">
      <c r="A21">
        <v>11</v>
      </c>
      <c r="B21" s="11" t="s">
        <v>539</v>
      </c>
      <c r="C21" s="6"/>
      <c r="D21" s="11" t="s">
        <v>92</v>
      </c>
      <c r="E21" s="6" t="s">
        <v>540</v>
      </c>
      <c r="F21" s="6"/>
      <c r="G21" s="6"/>
      <c r="H21" s="6"/>
      <c r="I21" s="6"/>
      <c r="J21" s="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6"/>
      <c r="AF21" s="6"/>
      <c r="AG21" s="11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11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6"/>
      <c r="CJ21" s="6"/>
      <c r="CK21" s="11">
        <v>36</v>
      </c>
      <c r="CL21" s="11">
        <v>40</v>
      </c>
      <c r="CM21" s="11">
        <v>7.5</v>
      </c>
      <c r="CN21" s="11">
        <v>2.4</v>
      </c>
      <c r="CO21" s="11">
        <v>40</v>
      </c>
      <c r="CP21" s="11"/>
      <c r="CQ21" s="6">
        <f>SUM(CJ21:CP21)</f>
        <v>125.9</v>
      </c>
      <c r="CR21" s="6">
        <f>(CQ21-CJ21)/2</f>
        <v>62.95</v>
      </c>
      <c r="CS21" s="11">
        <v>36</v>
      </c>
      <c r="CT21" s="11">
        <v>28.8</v>
      </c>
      <c r="CU21" s="11">
        <v>7.5</v>
      </c>
      <c r="CV21" s="11">
        <v>36</v>
      </c>
      <c r="CW21" s="6"/>
      <c r="CX21" s="6"/>
      <c r="CY21" s="6">
        <f>SUM(CR21:CX21)</f>
        <v>171.25</v>
      </c>
      <c r="DA21" s="6"/>
      <c r="DB21" s="6"/>
      <c r="DC21" s="6"/>
      <c r="DD21" s="6"/>
      <c r="DE21" s="6"/>
      <c r="DF21" s="11"/>
      <c r="DG21" s="11"/>
      <c r="DH21" s="11"/>
      <c r="DI21" s="11"/>
      <c r="DJ21" s="11"/>
      <c r="DK21" s="11"/>
      <c r="DL21" s="11"/>
      <c r="DM21" s="6"/>
      <c r="DN21" s="6"/>
      <c r="DO21" s="11"/>
      <c r="DP21" s="11"/>
      <c r="DQ21" s="11"/>
      <c r="DR21" s="11"/>
      <c r="DS21" s="6">
        <f>SUM(DN21:DR21)</f>
        <v>0</v>
      </c>
      <c r="DT21" s="6">
        <f>(DS21-DN21)/2</f>
        <v>0</v>
      </c>
      <c r="DU21" s="6"/>
      <c r="DV21" s="11"/>
      <c r="DW21" s="6">
        <f>SUM(DT21:DV21)</f>
        <v>0</v>
      </c>
    </row>
    <row r="22" spans="1:127" x14ac:dyDescent="0.25">
      <c r="A22">
        <v>12</v>
      </c>
      <c r="B22" s="11" t="s">
        <v>41</v>
      </c>
      <c r="C22" s="6"/>
      <c r="D22" s="11" t="s">
        <v>564</v>
      </c>
      <c r="E22" s="6" t="s">
        <v>545</v>
      </c>
      <c r="F22" s="6"/>
      <c r="G22" s="6"/>
      <c r="H22" s="6"/>
      <c r="I22" s="6"/>
      <c r="J22" s="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6"/>
      <c r="AF22" s="6"/>
      <c r="AG22" s="11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11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6"/>
      <c r="CJ22" s="6"/>
      <c r="CK22" s="11">
        <v>2.4</v>
      </c>
      <c r="CL22" s="11">
        <v>4</v>
      </c>
      <c r="CM22" s="11">
        <v>5</v>
      </c>
      <c r="CN22" s="11">
        <v>7.5</v>
      </c>
      <c r="CO22" s="11">
        <v>39</v>
      </c>
      <c r="CP22" s="11"/>
      <c r="CQ22" s="6">
        <f>SUM(CJ22:CP22)</f>
        <v>57.9</v>
      </c>
      <c r="CR22" s="6">
        <f>(CQ22-CJ22)/2</f>
        <v>28.95</v>
      </c>
      <c r="CS22" s="11">
        <v>60</v>
      </c>
      <c r="CT22" s="11">
        <v>4</v>
      </c>
      <c r="CU22" s="11">
        <v>24</v>
      </c>
      <c r="CV22" s="11">
        <v>50</v>
      </c>
      <c r="CW22" s="6"/>
      <c r="CX22" s="6"/>
      <c r="CY22" s="6">
        <f>SUM(CR22:CX22)</f>
        <v>166.95</v>
      </c>
      <c r="DA22" s="6"/>
      <c r="DB22" s="6"/>
      <c r="DC22" s="6"/>
      <c r="DD22" s="6"/>
      <c r="DE22" s="6"/>
      <c r="DF22" s="11"/>
      <c r="DG22" s="11"/>
      <c r="DH22" s="11"/>
      <c r="DI22" s="11"/>
      <c r="DJ22" s="11"/>
      <c r="DK22" s="11"/>
      <c r="DL22" s="11"/>
      <c r="DM22" s="6">
        <f>SUM(DE22:DG22)</f>
        <v>0</v>
      </c>
      <c r="DN22" s="6">
        <f>(DM22-DE22)/2</f>
        <v>0</v>
      </c>
      <c r="DO22" s="11"/>
      <c r="DP22" s="11"/>
      <c r="DQ22" s="11"/>
      <c r="DR22" s="11"/>
      <c r="DS22" s="6">
        <f>SUM(DN22:DR22)</f>
        <v>0</v>
      </c>
      <c r="DT22" s="6">
        <f>(DS22-DN22)/2</f>
        <v>0</v>
      </c>
      <c r="DU22" s="6"/>
      <c r="DV22" s="11"/>
      <c r="DW22" s="6">
        <f>SUM(DT22:DV22)</f>
        <v>0</v>
      </c>
    </row>
    <row r="23" spans="1:127" x14ac:dyDescent="0.25">
      <c r="A23">
        <v>13</v>
      </c>
      <c r="B23" s="6" t="s">
        <v>739</v>
      </c>
      <c r="C23" s="6"/>
      <c r="D23" s="6" t="s">
        <v>92</v>
      </c>
      <c r="E23" s="6" t="s">
        <v>21</v>
      </c>
      <c r="F23" s="6"/>
      <c r="G23" s="6"/>
      <c r="H23" s="6"/>
      <c r="I23" s="6"/>
      <c r="J23" s="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6"/>
      <c r="AF23" s="6"/>
      <c r="AG23" s="11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1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6"/>
      <c r="CJ23" s="6"/>
      <c r="CK23" s="11"/>
      <c r="CL23" s="11"/>
      <c r="CM23" s="11"/>
      <c r="CN23" s="11"/>
      <c r="CO23" s="11"/>
      <c r="CP23" s="11"/>
      <c r="CQ23" s="6"/>
      <c r="CR23" s="6">
        <f>244.5/2</f>
        <v>122.25</v>
      </c>
      <c r="CS23" s="11">
        <v>36</v>
      </c>
      <c r="CT23" s="11"/>
      <c r="CU23" s="11">
        <v>2.4</v>
      </c>
      <c r="CV23" s="11"/>
      <c r="CW23" s="6"/>
      <c r="CX23" s="6"/>
      <c r="CY23" s="6">
        <f>SUM(CR23:CX23)</f>
        <v>160.65</v>
      </c>
      <c r="DA23" s="6"/>
      <c r="DB23" s="6"/>
      <c r="DC23" s="6"/>
      <c r="DD23" s="6"/>
      <c r="DE23" s="6"/>
      <c r="DF23" s="11"/>
      <c r="DG23" s="11"/>
      <c r="DH23" s="11"/>
      <c r="DI23" s="11"/>
      <c r="DJ23" s="11"/>
      <c r="DK23" s="11"/>
      <c r="DL23" s="11"/>
      <c r="DM23" s="6"/>
      <c r="DN23" s="6"/>
      <c r="DO23" s="11"/>
      <c r="DP23" s="11"/>
      <c r="DQ23" s="11"/>
      <c r="DR23" s="11"/>
      <c r="DS23" s="6">
        <f>SUM(DN23:DR23)</f>
        <v>0</v>
      </c>
      <c r="DT23" s="6">
        <f>(DS23-DN23)/2</f>
        <v>0</v>
      </c>
      <c r="DU23" s="6"/>
      <c r="DV23" s="11"/>
      <c r="DW23" s="6">
        <f>SUM(DT23:DV23)</f>
        <v>0</v>
      </c>
    </row>
    <row r="24" spans="1:127" x14ac:dyDescent="0.25">
      <c r="A24">
        <v>14</v>
      </c>
      <c r="B24" s="22" t="s">
        <v>638</v>
      </c>
      <c r="C24" s="23"/>
      <c r="D24" s="22" t="s">
        <v>639</v>
      </c>
      <c r="E24" s="23" t="s">
        <v>83</v>
      </c>
      <c r="F24" s="6"/>
      <c r="G24" s="6"/>
      <c r="H24" s="6"/>
      <c r="I24" s="6"/>
      <c r="J24" s="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6"/>
      <c r="AF24" s="6"/>
      <c r="AG24" s="11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1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6"/>
      <c r="CJ24" s="6"/>
      <c r="CK24" s="11"/>
      <c r="CL24" s="11"/>
      <c r="CM24" s="11"/>
      <c r="CN24" s="11"/>
      <c r="CO24" s="11"/>
      <c r="CP24" s="11"/>
      <c r="CQ24" s="6"/>
      <c r="CR24" s="6"/>
      <c r="CS24" s="11">
        <v>48</v>
      </c>
      <c r="CT24" s="11">
        <v>56</v>
      </c>
      <c r="CU24" s="11">
        <v>48</v>
      </c>
      <c r="CV24" s="11"/>
      <c r="CW24" s="6"/>
      <c r="CX24" s="6"/>
      <c r="CY24" s="6">
        <f>SUM(CR24:CX24)</f>
        <v>152</v>
      </c>
      <c r="DA24" s="6"/>
      <c r="DB24" s="6"/>
      <c r="DC24" s="6"/>
      <c r="DD24" s="6"/>
      <c r="DE24" s="6"/>
      <c r="DF24" s="11"/>
      <c r="DG24" s="11"/>
      <c r="DH24" s="11"/>
      <c r="DI24" s="11"/>
      <c r="DJ24" s="11"/>
      <c r="DK24" s="11"/>
      <c r="DL24" s="11"/>
      <c r="DM24" s="6"/>
      <c r="DN24" s="6"/>
      <c r="DO24" s="11"/>
      <c r="DP24" s="11"/>
      <c r="DQ24" s="11"/>
      <c r="DR24" s="11"/>
      <c r="DS24" s="6">
        <f>SUM(DN24:DR24)</f>
        <v>0</v>
      </c>
      <c r="DT24" s="6">
        <f>(DS24-DN24)/2</f>
        <v>0</v>
      </c>
      <c r="DU24" s="6">
        <v>7.5</v>
      </c>
      <c r="DV24" s="11">
        <v>36</v>
      </c>
      <c r="DW24" s="23">
        <f>SUM(DT24:DV24)</f>
        <v>43.5</v>
      </c>
    </row>
    <row r="25" spans="1:127" x14ac:dyDescent="0.25">
      <c r="A25">
        <v>15</v>
      </c>
      <c r="B25" s="11" t="s">
        <v>515</v>
      </c>
      <c r="C25" s="6"/>
      <c r="D25" s="11" t="s">
        <v>516</v>
      </c>
      <c r="E25" s="6" t="s">
        <v>273</v>
      </c>
      <c r="F25" s="6"/>
      <c r="G25" s="6"/>
      <c r="H25" s="6"/>
      <c r="I25" s="6"/>
      <c r="J25" s="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6"/>
      <c r="AF25" s="6"/>
      <c r="AG25" s="11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11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6"/>
      <c r="CJ25" s="6"/>
      <c r="CK25" s="11">
        <v>30</v>
      </c>
      <c r="CL25" s="11"/>
      <c r="CM25" s="11">
        <v>24</v>
      </c>
      <c r="CN25" s="11"/>
      <c r="CO25" s="11"/>
      <c r="CP25" s="11"/>
      <c r="CQ25" s="6">
        <f>SUM(CJ25:CP25)</f>
        <v>54</v>
      </c>
      <c r="CR25" s="6">
        <f>(CQ25-CJ25)/2</f>
        <v>27</v>
      </c>
      <c r="CS25" s="11">
        <v>36</v>
      </c>
      <c r="CT25" s="11">
        <v>28.8</v>
      </c>
      <c r="CU25" s="11">
        <v>24</v>
      </c>
      <c r="CV25" s="11">
        <v>33.6</v>
      </c>
      <c r="CW25" s="6"/>
      <c r="CX25" s="6"/>
      <c r="CY25" s="6">
        <f>SUM(CR25:CX25)</f>
        <v>149.4</v>
      </c>
      <c r="DA25" s="6"/>
      <c r="DB25" s="6"/>
      <c r="DC25" s="6"/>
      <c r="DD25" s="6"/>
      <c r="DE25" s="6"/>
      <c r="DF25" s="11"/>
      <c r="DG25" s="11"/>
      <c r="DH25" s="11"/>
      <c r="DI25" s="11"/>
      <c r="DJ25" s="11"/>
      <c r="DK25" s="11"/>
      <c r="DL25" s="11"/>
      <c r="DM25" s="6">
        <f>SUM(DE25:DG25)</f>
        <v>0</v>
      </c>
      <c r="DN25" s="6">
        <f>(DM25-DE25)/2</f>
        <v>0</v>
      </c>
      <c r="DO25" s="11"/>
      <c r="DP25" s="11"/>
      <c r="DQ25" s="11"/>
      <c r="DR25" s="11"/>
      <c r="DS25" s="6">
        <f>SUM(DN25:DR25)</f>
        <v>0</v>
      </c>
      <c r="DT25" s="6">
        <f>(DS25-DN25)/2</f>
        <v>0</v>
      </c>
      <c r="DU25" s="6"/>
      <c r="DV25" s="11"/>
      <c r="DW25" s="6">
        <f>SUM(DT25:DV25)</f>
        <v>0</v>
      </c>
    </row>
    <row r="26" spans="1:127" x14ac:dyDescent="0.25">
      <c r="A26">
        <v>16</v>
      </c>
      <c r="B26" s="11" t="s">
        <v>301</v>
      </c>
      <c r="C26" s="6"/>
      <c r="D26" s="11" t="s">
        <v>302</v>
      </c>
      <c r="E26" s="6" t="s">
        <v>303</v>
      </c>
      <c r="F26" s="6"/>
      <c r="G26" s="6"/>
      <c r="H26" s="6"/>
      <c r="I26" s="6"/>
      <c r="J26" s="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6"/>
      <c r="AF26" s="6"/>
      <c r="AG26" s="11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11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6"/>
      <c r="CJ26" s="6"/>
      <c r="CK26" s="11"/>
      <c r="CL26" s="11"/>
      <c r="CM26" s="11"/>
      <c r="CN26" s="11"/>
      <c r="CO26" s="11"/>
      <c r="CP26" s="11"/>
      <c r="CQ26" s="6"/>
      <c r="CR26" s="6"/>
      <c r="CS26" s="11">
        <v>33.6</v>
      </c>
      <c r="CT26" s="11">
        <v>56</v>
      </c>
      <c r="CU26" s="11">
        <v>24</v>
      </c>
      <c r="CV26" s="11">
        <v>30</v>
      </c>
      <c r="CW26" s="6"/>
      <c r="CX26" s="6"/>
      <c r="CY26" s="6">
        <f>SUM(CR26:CX26)</f>
        <v>143.6</v>
      </c>
      <c r="DA26" s="6"/>
      <c r="DB26" s="6"/>
      <c r="DC26" s="6"/>
      <c r="DD26" s="6"/>
      <c r="DE26" s="6"/>
      <c r="DF26" s="11"/>
      <c r="DG26" s="11"/>
      <c r="DH26" s="11"/>
      <c r="DI26" s="11"/>
      <c r="DJ26" s="11"/>
      <c r="DK26" s="11"/>
      <c r="DL26" s="11"/>
      <c r="DM26" s="6"/>
      <c r="DN26" s="6"/>
      <c r="DO26" s="11"/>
      <c r="DP26" s="11"/>
      <c r="DQ26" s="11"/>
      <c r="DR26" s="11"/>
      <c r="DS26" s="6">
        <f>SUM(DN26:DR26)</f>
        <v>0</v>
      </c>
      <c r="DT26" s="6">
        <f>(DS26-DN26)/2</f>
        <v>0</v>
      </c>
      <c r="DU26" s="6"/>
      <c r="DV26" s="11"/>
      <c r="DW26" s="6">
        <f>SUM(DT26:DV26)</f>
        <v>0</v>
      </c>
    </row>
    <row r="27" spans="1:127" x14ac:dyDescent="0.25">
      <c r="A27">
        <v>17</v>
      </c>
      <c r="B27" s="11" t="s">
        <v>434</v>
      </c>
      <c r="C27" s="6"/>
      <c r="D27" s="11" t="s">
        <v>122</v>
      </c>
      <c r="E27" s="6" t="s">
        <v>111</v>
      </c>
      <c r="F27" s="6"/>
      <c r="G27" s="6"/>
      <c r="H27" s="6"/>
      <c r="I27" s="6"/>
      <c r="J27" s="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6"/>
      <c r="AF27" s="6"/>
      <c r="AG27" s="11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11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6"/>
      <c r="CJ27" s="6">
        <f>112.45/2</f>
        <v>56.225000000000001</v>
      </c>
      <c r="CK27" s="11">
        <v>42</v>
      </c>
      <c r="CL27" s="11">
        <v>28.8</v>
      </c>
      <c r="CM27" s="11">
        <v>24</v>
      </c>
      <c r="CN27" s="11">
        <v>50</v>
      </c>
      <c r="CO27" s="11">
        <v>28.8</v>
      </c>
      <c r="CP27" s="11"/>
      <c r="CQ27" s="6">
        <f>SUM(CJ27:CP27)</f>
        <v>229.82499999999999</v>
      </c>
      <c r="CR27" s="6">
        <f>(CQ27-CJ27)/2</f>
        <v>86.8</v>
      </c>
      <c r="CS27" s="11">
        <v>30</v>
      </c>
      <c r="CT27" s="11"/>
      <c r="CU27" s="11">
        <v>24</v>
      </c>
      <c r="CV27" s="11"/>
      <c r="CW27" s="6"/>
      <c r="CX27" s="6"/>
      <c r="CY27" s="6">
        <f>SUM(CR27:CX27)</f>
        <v>140.80000000000001</v>
      </c>
      <c r="DA27" s="6"/>
      <c r="DB27" s="6"/>
      <c r="DC27" s="6"/>
      <c r="DD27" s="6"/>
      <c r="DE27" s="6"/>
      <c r="DF27" s="11"/>
      <c r="DG27" s="11"/>
      <c r="DH27" s="11"/>
      <c r="DI27" s="11"/>
      <c r="DJ27" s="11"/>
      <c r="DK27" s="11"/>
      <c r="DL27" s="11"/>
      <c r="DM27" s="6">
        <f>SUM(DE27:DG27)</f>
        <v>0</v>
      </c>
      <c r="DN27" s="6">
        <f>(DM27-DE27)/2</f>
        <v>0</v>
      </c>
      <c r="DO27" s="11"/>
      <c r="DP27" s="11"/>
      <c r="DQ27" s="11"/>
      <c r="DR27" s="11">
        <v>2.5</v>
      </c>
      <c r="DS27" s="6">
        <f>SUM(DN27:DR27)</f>
        <v>2.5</v>
      </c>
      <c r="DT27" s="6">
        <f>(DS27-DN27)/2</f>
        <v>1.25</v>
      </c>
      <c r="DU27" s="6"/>
      <c r="DV27" s="11"/>
      <c r="DW27" s="6">
        <f>SUM(DT27:DV27)</f>
        <v>1.25</v>
      </c>
    </row>
    <row r="28" spans="1:127" x14ac:dyDescent="0.25">
      <c r="A28">
        <v>18</v>
      </c>
      <c r="B28" s="11" t="s">
        <v>279</v>
      </c>
      <c r="C28" s="6"/>
      <c r="D28" s="11" t="s">
        <v>90</v>
      </c>
      <c r="E28" s="6" t="s">
        <v>57</v>
      </c>
      <c r="F28" s="6"/>
      <c r="G28" s="6"/>
      <c r="H28" s="6"/>
      <c r="I28" s="6"/>
      <c r="J28" s="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6"/>
      <c r="AF28" s="6"/>
      <c r="AG28" s="11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11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2.4</v>
      </c>
      <c r="BP28" s="6"/>
      <c r="BQ28" s="11">
        <v>39</v>
      </c>
      <c r="BR28" s="11"/>
      <c r="BS28" s="11"/>
      <c r="BT28" s="11"/>
      <c r="BU28" s="11"/>
      <c r="BV28" s="11">
        <v>40</v>
      </c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6">
        <f>SUM(BF28:CH28)</f>
        <v>81.400000000000006</v>
      </c>
      <c r="CJ28" s="6">
        <f>(CI28-BF28)/2</f>
        <v>40.700000000000003</v>
      </c>
      <c r="CK28" s="11">
        <v>48</v>
      </c>
      <c r="CL28" s="11">
        <v>80</v>
      </c>
      <c r="CM28" s="11">
        <v>7.5</v>
      </c>
      <c r="CN28" s="11">
        <v>54</v>
      </c>
      <c r="CO28" s="11">
        <v>48</v>
      </c>
      <c r="CP28" s="11">
        <v>40</v>
      </c>
      <c r="CQ28" s="6">
        <f>SUM(CJ28:CP28)</f>
        <v>318.2</v>
      </c>
      <c r="CR28" s="6">
        <f>(CQ28-CJ28)/2</f>
        <v>138.75</v>
      </c>
      <c r="CS28" s="11"/>
      <c r="CT28" s="11"/>
      <c r="CU28" s="11"/>
      <c r="CV28" s="11"/>
      <c r="CW28" s="6"/>
      <c r="CX28" s="6"/>
      <c r="CY28" s="6">
        <f>SUM(CR28:CX28)</f>
        <v>138.75</v>
      </c>
      <c r="DA28" s="6"/>
      <c r="DB28" s="6"/>
      <c r="DC28" s="6"/>
      <c r="DD28" s="6"/>
      <c r="DE28" s="6">
        <f>DD28/2</f>
        <v>0</v>
      </c>
      <c r="DF28" s="11">
        <f>CI28/4</f>
        <v>20.350000000000001</v>
      </c>
      <c r="DG28" s="11"/>
      <c r="DH28" s="11"/>
      <c r="DI28" s="11"/>
      <c r="DJ28" s="11"/>
      <c r="DK28" s="11"/>
      <c r="DL28" s="11"/>
      <c r="DM28" s="6">
        <f>SUM(DE28:DL28)</f>
        <v>20.350000000000001</v>
      </c>
      <c r="DN28" s="6">
        <f>(DM28-DE28)/2</f>
        <v>10.175000000000001</v>
      </c>
      <c r="DO28" s="11"/>
      <c r="DP28" s="11"/>
      <c r="DQ28" s="11"/>
      <c r="DR28" s="11">
        <v>35</v>
      </c>
      <c r="DS28" s="6">
        <f>SUM(DN28:DR28)</f>
        <v>45.174999999999997</v>
      </c>
      <c r="DT28" s="6">
        <f>(DS28-DN28)/2</f>
        <v>17.5</v>
      </c>
      <c r="DU28" s="6"/>
      <c r="DV28" s="11"/>
      <c r="DW28" s="6">
        <f>SUM(DT28:DV28)</f>
        <v>17.5</v>
      </c>
    </row>
    <row r="29" spans="1:127" x14ac:dyDescent="0.25">
      <c r="A29">
        <v>19</v>
      </c>
      <c r="B29" s="11" t="s">
        <v>435</v>
      </c>
      <c r="C29" s="6"/>
      <c r="D29" s="11" t="s">
        <v>674</v>
      </c>
      <c r="E29" s="6" t="s">
        <v>673</v>
      </c>
      <c r="F29" s="6"/>
      <c r="G29" s="6"/>
      <c r="H29" s="6"/>
      <c r="I29" s="6"/>
      <c r="J29" s="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6"/>
      <c r="AF29" s="6"/>
      <c r="AG29" s="11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11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6"/>
      <c r="CJ29" s="6"/>
      <c r="CK29" s="11"/>
      <c r="CL29" s="11"/>
      <c r="CM29" s="11"/>
      <c r="CN29" s="11"/>
      <c r="CO29" s="11"/>
      <c r="CP29" s="11"/>
      <c r="CQ29" s="6"/>
      <c r="CR29" s="6"/>
      <c r="CS29" s="11">
        <v>48</v>
      </c>
      <c r="CT29" s="11">
        <v>80</v>
      </c>
      <c r="CU29" s="11">
        <v>7.5</v>
      </c>
      <c r="CV29" s="11"/>
      <c r="CW29" s="6"/>
      <c r="CX29" s="6"/>
      <c r="CY29" s="6">
        <f>SUM(CR29:CX29)</f>
        <v>135.5</v>
      </c>
      <c r="DA29" s="6"/>
      <c r="DB29" s="6"/>
      <c r="DC29" s="6"/>
      <c r="DD29" s="6"/>
      <c r="DE29" s="6"/>
      <c r="DF29" s="11"/>
      <c r="DG29" s="11"/>
      <c r="DH29" s="11"/>
      <c r="DI29" s="11"/>
      <c r="DJ29" s="11"/>
      <c r="DK29" s="11"/>
      <c r="DL29" s="11"/>
      <c r="DM29" s="6"/>
      <c r="DN29" s="6"/>
      <c r="DO29" s="11"/>
      <c r="DP29" s="11"/>
      <c r="DQ29" s="11"/>
      <c r="DR29" s="11"/>
      <c r="DS29" s="6">
        <f>SUM(DN29:DR29)</f>
        <v>0</v>
      </c>
      <c r="DT29" s="6">
        <f>(DS29-DN29)/2</f>
        <v>0</v>
      </c>
      <c r="DU29" s="6"/>
      <c r="DV29" s="11"/>
      <c r="DW29" s="6">
        <f>SUM(DT29:DV29)</f>
        <v>0</v>
      </c>
    </row>
    <row r="30" spans="1:127" x14ac:dyDescent="0.25">
      <c r="A30">
        <v>20</v>
      </c>
      <c r="B30" s="11" t="s">
        <v>354</v>
      </c>
      <c r="C30" s="6"/>
      <c r="D30" s="11" t="s">
        <v>33</v>
      </c>
      <c r="E30" s="6" t="s">
        <v>126</v>
      </c>
      <c r="F30" s="6"/>
      <c r="G30" s="6"/>
      <c r="H30" s="6"/>
      <c r="I30" s="6"/>
      <c r="J30" s="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6"/>
      <c r="AF30" s="6"/>
      <c r="AG30" s="11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11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6"/>
      <c r="CJ30" s="6"/>
      <c r="CK30" s="11"/>
      <c r="CL30" s="11"/>
      <c r="CM30" s="11"/>
      <c r="CN30" s="11"/>
      <c r="CO30" s="11"/>
      <c r="CP30" s="11"/>
      <c r="CQ30" s="6"/>
      <c r="CR30" s="6"/>
      <c r="CS30" s="11">
        <v>48</v>
      </c>
      <c r="CT30" s="11">
        <v>4</v>
      </c>
      <c r="CU30" s="11">
        <v>39</v>
      </c>
      <c r="CV30" s="11">
        <v>42</v>
      </c>
      <c r="CW30" s="6"/>
      <c r="CX30" s="6"/>
      <c r="CY30" s="6">
        <f>SUM(CR30:CX30)</f>
        <v>133</v>
      </c>
      <c r="DA30" s="6"/>
      <c r="DB30" s="6"/>
      <c r="DC30" s="6"/>
      <c r="DD30" s="6"/>
      <c r="DE30" s="6"/>
      <c r="DF30" s="11"/>
      <c r="DG30" s="11"/>
      <c r="DH30" s="11"/>
      <c r="DI30" s="11"/>
      <c r="DJ30" s="11"/>
      <c r="DK30" s="11"/>
      <c r="DL30" s="11"/>
      <c r="DM30" s="6"/>
      <c r="DN30" s="6"/>
      <c r="DO30" s="11"/>
      <c r="DP30" s="11"/>
      <c r="DQ30" s="11"/>
      <c r="DR30" s="11"/>
      <c r="DS30" s="6">
        <f>SUM(DN30:DR30)</f>
        <v>0</v>
      </c>
      <c r="DT30" s="6">
        <f>(DS30-DN30)/2</f>
        <v>0</v>
      </c>
      <c r="DU30" s="6"/>
      <c r="DV30" s="11"/>
      <c r="DW30" s="6">
        <f>SUM(DT30:DU30)</f>
        <v>0</v>
      </c>
    </row>
    <row r="31" spans="1:127" x14ac:dyDescent="0.25">
      <c r="A31">
        <v>21</v>
      </c>
      <c r="B31" s="11" t="s">
        <v>190</v>
      </c>
      <c r="C31" s="6"/>
      <c r="D31" s="11" t="s">
        <v>63</v>
      </c>
      <c r="E31" s="6" t="s">
        <v>9</v>
      </c>
      <c r="F31" s="6"/>
      <c r="G31" s="6"/>
      <c r="H31" s="6"/>
      <c r="I31" s="6"/>
      <c r="J31" s="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6"/>
      <c r="AF31" s="6"/>
      <c r="AG31" s="11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11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6"/>
      <c r="CJ31" s="6"/>
      <c r="CK31" s="11">
        <v>30</v>
      </c>
      <c r="CL31" s="11">
        <v>40</v>
      </c>
      <c r="CM31" s="11">
        <v>54</v>
      </c>
      <c r="CN31" s="11">
        <v>36</v>
      </c>
      <c r="CO31" s="11">
        <v>50</v>
      </c>
      <c r="CP31" s="11">
        <v>54</v>
      </c>
      <c r="CQ31" s="6">
        <f>SUM(CJ31:CP31)</f>
        <v>264</v>
      </c>
      <c r="CR31" s="6">
        <f>(CQ31-CJ31)/2</f>
        <v>132</v>
      </c>
      <c r="CS31" s="11"/>
      <c r="CT31" s="11"/>
      <c r="CU31" s="11"/>
      <c r="CV31" s="11"/>
      <c r="CW31" s="6"/>
      <c r="CX31" s="6"/>
      <c r="CY31" s="6">
        <f>SUM(CR31:CX31)</f>
        <v>132</v>
      </c>
      <c r="DA31" s="6"/>
      <c r="DB31" s="6"/>
      <c r="DC31" s="6"/>
      <c r="DD31" s="6"/>
      <c r="DE31" s="6"/>
      <c r="DF31" s="11"/>
      <c r="DG31" s="11"/>
      <c r="DH31" s="11"/>
      <c r="DI31" s="11"/>
      <c r="DJ31" s="11"/>
      <c r="DK31" s="11"/>
      <c r="DL31" s="11"/>
      <c r="DM31" s="6"/>
      <c r="DN31" s="6"/>
      <c r="DO31" s="11"/>
      <c r="DP31" s="11"/>
      <c r="DQ31" s="11"/>
      <c r="DR31" s="11"/>
      <c r="DS31" s="6">
        <f>SUM(DN31:DR31)</f>
        <v>0</v>
      </c>
      <c r="DT31" s="6">
        <f>(DS31-DN31)/2</f>
        <v>0</v>
      </c>
      <c r="DU31" s="6"/>
      <c r="DV31" s="11"/>
      <c r="DW31" s="6">
        <f>SUM(DT31:DV31)</f>
        <v>0</v>
      </c>
    </row>
    <row r="32" spans="1:127" x14ac:dyDescent="0.25">
      <c r="A32">
        <v>22</v>
      </c>
      <c r="B32" s="11" t="s">
        <v>773</v>
      </c>
      <c r="C32" s="6"/>
      <c r="D32" s="11" t="s">
        <v>446</v>
      </c>
      <c r="E32" s="6" t="s">
        <v>11</v>
      </c>
      <c r="F32" s="6"/>
      <c r="G32" s="6"/>
      <c r="H32" s="6"/>
      <c r="I32" s="6"/>
      <c r="J32" s="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6"/>
      <c r="AF32" s="6"/>
      <c r="AG32" s="11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11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6"/>
      <c r="CJ32" s="6"/>
      <c r="CK32" s="11"/>
      <c r="CL32" s="11"/>
      <c r="CM32" s="11"/>
      <c r="CN32" s="11"/>
      <c r="CO32" s="11"/>
      <c r="CP32" s="11"/>
      <c r="CQ32" s="6"/>
      <c r="CR32" s="6"/>
      <c r="CS32" s="11">
        <v>60</v>
      </c>
      <c r="CT32" s="11"/>
      <c r="CU32" s="11">
        <v>70</v>
      </c>
      <c r="CV32" s="11"/>
      <c r="CW32" s="6"/>
      <c r="CX32" s="6"/>
      <c r="CY32" s="6">
        <f>SUM(CR32:CX32)</f>
        <v>130</v>
      </c>
      <c r="DA32" s="6"/>
      <c r="DB32" s="6"/>
      <c r="DC32" s="6"/>
      <c r="DD32" s="6"/>
      <c r="DE32" s="6"/>
      <c r="DF32" s="11"/>
      <c r="DG32" s="11"/>
      <c r="DH32" s="11"/>
      <c r="DI32" s="11"/>
      <c r="DJ32" s="11"/>
      <c r="DK32" s="11"/>
      <c r="DL32" s="11"/>
      <c r="DM32" s="6"/>
      <c r="DN32" s="6"/>
      <c r="DO32" s="11"/>
      <c r="DP32" s="11"/>
      <c r="DQ32" s="11"/>
      <c r="DR32" s="11"/>
      <c r="DS32" s="6">
        <f>SUM(DN32:DR32)</f>
        <v>0</v>
      </c>
      <c r="DT32" s="6">
        <f>(DS32-DN32)/2</f>
        <v>0</v>
      </c>
      <c r="DU32" s="6"/>
      <c r="DV32" s="11"/>
      <c r="DW32" s="6">
        <f>SUM(DT32:DU32)</f>
        <v>0</v>
      </c>
    </row>
    <row r="33" spans="1:127" x14ac:dyDescent="0.25">
      <c r="A33">
        <v>23</v>
      </c>
      <c r="B33" s="11" t="s">
        <v>694</v>
      </c>
      <c r="C33" s="6"/>
      <c r="D33" s="11" t="s">
        <v>22</v>
      </c>
      <c r="E33" s="6" t="s">
        <v>695</v>
      </c>
      <c r="F33" s="65"/>
      <c r="G33" s="65"/>
      <c r="H33" s="65"/>
      <c r="I33" s="65"/>
      <c r="J33" s="65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5"/>
      <c r="AF33" s="65"/>
      <c r="AG33" s="66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6"/>
      <c r="CJ33" s="6"/>
      <c r="CK33" s="11"/>
      <c r="CL33" s="11"/>
      <c r="CM33" s="11"/>
      <c r="CN33" s="11"/>
      <c r="CO33" s="11"/>
      <c r="CP33" s="11"/>
      <c r="CQ33" s="6"/>
      <c r="CR33" s="6"/>
      <c r="CS33" s="11">
        <v>48</v>
      </c>
      <c r="CT33" s="11">
        <v>28.8</v>
      </c>
      <c r="CU33" s="11">
        <v>7.5</v>
      </c>
      <c r="CV33" s="11">
        <v>36</v>
      </c>
      <c r="CW33" s="6"/>
      <c r="CX33" s="6"/>
      <c r="CY33" s="6">
        <f>SUM(CR33:CX33)</f>
        <v>120.3</v>
      </c>
      <c r="DA33" s="65"/>
      <c r="DB33" s="65"/>
      <c r="DC33" s="65"/>
      <c r="DD33" s="65"/>
      <c r="DE33" s="6"/>
      <c r="DF33" s="11"/>
      <c r="DG33" s="11"/>
      <c r="DH33" s="11"/>
      <c r="DI33" s="11"/>
      <c r="DJ33" s="11"/>
      <c r="DK33" s="11"/>
      <c r="DL33" s="11"/>
      <c r="DM33" s="6"/>
      <c r="DN33" s="6"/>
      <c r="DO33" s="11"/>
      <c r="DP33" s="11"/>
      <c r="DQ33" s="11"/>
      <c r="DR33" s="11"/>
      <c r="DS33" s="6">
        <f>SUM(DN33:DR33)</f>
        <v>0</v>
      </c>
      <c r="DT33" s="6">
        <f>(DS33-DN33)/2</f>
        <v>0</v>
      </c>
      <c r="DU33" s="6"/>
      <c r="DV33" s="11"/>
      <c r="DW33" s="6">
        <f>SUM(DT33:DU33)</f>
        <v>0</v>
      </c>
    </row>
    <row r="34" spans="1:127" x14ac:dyDescent="0.25">
      <c r="A34">
        <v>24</v>
      </c>
      <c r="B34" s="11" t="s">
        <v>649</v>
      </c>
      <c r="C34" s="6"/>
      <c r="D34" s="11" t="s">
        <v>746</v>
      </c>
      <c r="E34" s="6" t="s">
        <v>747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6"/>
      <c r="CJ34" s="6"/>
      <c r="CK34" s="11"/>
      <c r="CL34" s="11"/>
      <c r="CM34" s="11"/>
      <c r="CN34" s="11"/>
      <c r="CO34" s="11"/>
      <c r="CP34" s="11"/>
      <c r="CQ34" s="6"/>
      <c r="CR34" s="6"/>
      <c r="CS34" s="11">
        <v>30</v>
      </c>
      <c r="CT34" s="11">
        <v>40</v>
      </c>
      <c r="CU34" s="11">
        <v>50</v>
      </c>
      <c r="CV34" s="11"/>
      <c r="CW34" s="6"/>
      <c r="CX34" s="6"/>
      <c r="CY34" s="6">
        <f>SUM(CR34:CX34)</f>
        <v>120</v>
      </c>
      <c r="DE34" s="6"/>
      <c r="DF34" s="11"/>
      <c r="DG34" s="11"/>
      <c r="DH34" s="11"/>
      <c r="DI34" s="11"/>
      <c r="DJ34" s="11"/>
      <c r="DK34" s="11"/>
      <c r="DL34" s="11"/>
      <c r="DM34" s="6"/>
      <c r="DN34" s="6"/>
      <c r="DO34" s="11"/>
      <c r="DP34" s="11"/>
      <c r="DQ34" s="11"/>
      <c r="DR34" s="11"/>
      <c r="DS34" s="6">
        <f>SUM(DN34:DR34)</f>
        <v>0</v>
      </c>
      <c r="DT34" s="6">
        <f>(DS34-DN34)/2</f>
        <v>0</v>
      </c>
      <c r="DU34" s="6"/>
      <c r="DV34" s="11"/>
      <c r="DW34" s="6">
        <f>SUM(DT34:DU34)</f>
        <v>0</v>
      </c>
    </row>
    <row r="35" spans="1:127" x14ac:dyDescent="0.25">
      <c r="A35">
        <v>25</v>
      </c>
      <c r="B35" s="11" t="s">
        <v>56</v>
      </c>
      <c r="C35" s="6"/>
      <c r="D35" s="11" t="s">
        <v>69</v>
      </c>
      <c r="E35" s="6" t="s">
        <v>269</v>
      </c>
      <c r="F35" s="6"/>
      <c r="G35" s="6"/>
      <c r="H35" s="6"/>
      <c r="I35" s="6"/>
      <c r="J35" s="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6"/>
      <c r="AF35" s="6"/>
      <c r="AG35" s="11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11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6"/>
      <c r="CJ35" s="6"/>
      <c r="CK35" s="11">
        <v>48</v>
      </c>
      <c r="CL35" s="11">
        <v>32</v>
      </c>
      <c r="CM35" s="11">
        <v>7.5</v>
      </c>
      <c r="CN35" s="11">
        <v>5</v>
      </c>
      <c r="CO35" s="11">
        <v>24</v>
      </c>
      <c r="CP35" s="11">
        <v>36</v>
      </c>
      <c r="CQ35" s="6">
        <f>SUM(CJ35:CP35)</f>
        <v>152.5</v>
      </c>
      <c r="CR35" s="6">
        <f>(CQ35-CJ35)/2</f>
        <v>76.25</v>
      </c>
      <c r="CS35" s="11"/>
      <c r="CT35" s="11">
        <v>40</v>
      </c>
      <c r="CU35" s="11"/>
      <c r="CV35" s="11"/>
      <c r="CW35" s="6"/>
      <c r="CX35" s="6"/>
      <c r="CY35" s="6">
        <f>SUM(CR35:CX35)</f>
        <v>116.25</v>
      </c>
      <c r="DE35" s="6"/>
      <c r="DF35" s="11"/>
      <c r="DG35" s="11"/>
      <c r="DH35" s="11"/>
      <c r="DI35" s="11"/>
      <c r="DJ35" s="11"/>
      <c r="DK35" s="11"/>
      <c r="DL35" s="11"/>
      <c r="DM35" s="6"/>
      <c r="DN35" s="6"/>
      <c r="DO35" s="11"/>
      <c r="DP35" s="11"/>
      <c r="DQ35" s="11"/>
      <c r="DR35" s="11"/>
      <c r="DS35" s="6">
        <f>SUM(DN35:DR35)</f>
        <v>0</v>
      </c>
      <c r="DT35" s="6">
        <f>(DS35-DN35)/2</f>
        <v>0</v>
      </c>
      <c r="DU35" s="6"/>
      <c r="DV35" s="11"/>
      <c r="DW35" s="6">
        <f>SUM(DT35:DV35)</f>
        <v>0</v>
      </c>
    </row>
    <row r="36" spans="1:127" x14ac:dyDescent="0.25">
      <c r="A36">
        <v>26</v>
      </c>
      <c r="B36" s="11" t="s">
        <v>299</v>
      </c>
      <c r="C36" s="6"/>
      <c r="D36" s="11" t="s">
        <v>300</v>
      </c>
      <c r="E36" s="6" t="s">
        <v>27</v>
      </c>
      <c r="F36" s="6"/>
      <c r="G36" s="6"/>
      <c r="H36" s="6"/>
      <c r="I36" s="6"/>
      <c r="J36" s="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6"/>
      <c r="AF36" s="6"/>
      <c r="AG36" s="11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11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6"/>
      <c r="CJ36" s="6"/>
      <c r="CK36" s="11"/>
      <c r="CL36" s="11"/>
      <c r="CM36" s="11"/>
      <c r="CN36" s="11"/>
      <c r="CO36" s="11"/>
      <c r="CP36" s="11"/>
      <c r="CQ36" s="6"/>
      <c r="CR36" s="6"/>
      <c r="CS36" s="11">
        <v>60</v>
      </c>
      <c r="CT36" s="11">
        <v>56</v>
      </c>
      <c r="CU36" s="11"/>
      <c r="CV36" s="11"/>
      <c r="CW36" s="6"/>
      <c r="CX36" s="6"/>
      <c r="CY36" s="6">
        <f>SUM(CR36:CX36)</f>
        <v>116</v>
      </c>
      <c r="DE36" s="6"/>
      <c r="DF36" s="11"/>
      <c r="DG36" s="11"/>
      <c r="DH36" s="11"/>
      <c r="DI36" s="11"/>
      <c r="DJ36" s="11"/>
      <c r="DK36" s="11"/>
      <c r="DL36" s="11"/>
      <c r="DM36" s="6"/>
      <c r="DN36" s="6"/>
      <c r="DO36" s="11"/>
      <c r="DP36" s="11"/>
      <c r="DQ36" s="11"/>
      <c r="DR36" s="11"/>
      <c r="DS36" s="6">
        <f>SUM(DN36:DR36)</f>
        <v>0</v>
      </c>
      <c r="DT36" s="6">
        <f>(DS36-DN36)/2</f>
        <v>0</v>
      </c>
      <c r="DU36" s="6"/>
      <c r="DV36" s="11">
        <v>5</v>
      </c>
      <c r="DW36" s="6">
        <f>SUM(DT36:DV36)</f>
        <v>5</v>
      </c>
    </row>
    <row r="37" spans="1:127" x14ac:dyDescent="0.25">
      <c r="A37">
        <v>27</v>
      </c>
      <c r="B37" s="11" t="s">
        <v>87</v>
      </c>
      <c r="C37" s="6" t="s">
        <v>249</v>
      </c>
      <c r="D37" s="11" t="s">
        <v>195</v>
      </c>
      <c r="E37" s="6" t="s">
        <v>111</v>
      </c>
      <c r="F37" s="6"/>
      <c r="G37" s="6"/>
      <c r="H37" s="6"/>
      <c r="I37" s="6"/>
      <c r="J37" s="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6"/>
      <c r="AF37" s="6"/>
      <c r="AG37" s="11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11"/>
      <c r="BE37" s="6"/>
      <c r="BF37" s="6"/>
      <c r="BG37" s="6"/>
      <c r="BH37" s="6"/>
      <c r="BI37" s="6"/>
      <c r="BJ37" s="6"/>
      <c r="BK37" s="6"/>
      <c r="BL37" s="6"/>
      <c r="BM37" s="6">
        <v>33.6</v>
      </c>
      <c r="BN37" s="6"/>
      <c r="BO37" s="6"/>
      <c r="BP37" s="6"/>
      <c r="BQ37" s="11">
        <v>7.5</v>
      </c>
      <c r="BR37" s="11"/>
      <c r="BS37" s="11"/>
      <c r="BT37" s="11"/>
      <c r="BU37" s="11"/>
      <c r="BV37" s="11">
        <v>28.8</v>
      </c>
      <c r="BW37" s="11">
        <v>7.5</v>
      </c>
      <c r="BX37" s="11"/>
      <c r="BY37" s="11"/>
      <c r="BZ37" s="11"/>
      <c r="CA37" s="11"/>
      <c r="CB37" s="11"/>
      <c r="CC37" s="11"/>
      <c r="CD37" s="11"/>
      <c r="CE37" s="11">
        <v>2.4</v>
      </c>
      <c r="CF37" s="11"/>
      <c r="CG37" s="11">
        <v>54</v>
      </c>
      <c r="CH37" s="11"/>
      <c r="CI37" s="6">
        <f>SUM(BF37:CH37)</f>
        <v>133.80000000000001</v>
      </c>
      <c r="CJ37" s="6">
        <f>(CI37-BF37)/2</f>
        <v>66.900000000000006</v>
      </c>
      <c r="CK37" s="11">
        <v>60</v>
      </c>
      <c r="CL37" s="11">
        <v>28.8</v>
      </c>
      <c r="CM37" s="11">
        <v>52</v>
      </c>
      <c r="CN37" s="11">
        <v>24</v>
      </c>
      <c r="CO37" s="11">
        <v>48</v>
      </c>
      <c r="CP37" s="11">
        <v>7.5</v>
      </c>
      <c r="CQ37" s="6">
        <f>SUM(CJ37:CP37)</f>
        <v>287.20000000000005</v>
      </c>
      <c r="CR37" s="6">
        <f>(CQ37-CJ37)/2</f>
        <v>110.15000000000002</v>
      </c>
      <c r="CS37" s="11"/>
      <c r="CT37" s="11"/>
      <c r="CU37" s="11"/>
      <c r="CV37" s="11"/>
      <c r="CW37" s="6"/>
      <c r="CX37" s="6"/>
      <c r="CY37" s="6">
        <f>SUM(CR37:CX37)</f>
        <v>110.15000000000002</v>
      </c>
      <c r="DE37" s="6">
        <f>DD37/2</f>
        <v>0</v>
      </c>
      <c r="DF37" s="11">
        <f>CI37/4</f>
        <v>33.450000000000003</v>
      </c>
      <c r="DG37" s="11"/>
      <c r="DH37" s="11"/>
      <c r="DI37" s="11"/>
      <c r="DJ37" s="11"/>
      <c r="DK37" s="11"/>
      <c r="DL37" s="11"/>
      <c r="DM37" s="6">
        <f>SUM(DE37:DL37)</f>
        <v>33.450000000000003</v>
      </c>
      <c r="DN37" s="6">
        <f>(DM37-DE37)/2</f>
        <v>16.725000000000001</v>
      </c>
      <c r="DO37" s="11"/>
      <c r="DP37" s="11"/>
      <c r="DQ37" s="11"/>
      <c r="DR37" s="11"/>
      <c r="DS37" s="6">
        <f>SUM(DN37:DR37)</f>
        <v>16.725000000000001</v>
      </c>
      <c r="DT37" s="6">
        <f>(DS37-DN37)/2</f>
        <v>0</v>
      </c>
      <c r="DU37" s="6"/>
      <c r="DV37" s="11"/>
      <c r="DW37" s="6">
        <f>SUM(DT37:DV37)</f>
        <v>0</v>
      </c>
    </row>
    <row r="38" spans="1:127" x14ac:dyDescent="0.25">
      <c r="A38">
        <v>28</v>
      </c>
      <c r="B38" s="11" t="s">
        <v>97</v>
      </c>
      <c r="C38" s="6"/>
      <c r="D38" s="11" t="s">
        <v>327</v>
      </c>
      <c r="E38" s="6" t="s">
        <v>197</v>
      </c>
      <c r="F38" s="6"/>
      <c r="G38" s="6"/>
      <c r="H38" s="6"/>
      <c r="I38" s="6"/>
      <c r="J38" s="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6"/>
      <c r="AF38" s="6"/>
      <c r="AG38" s="11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11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6"/>
      <c r="CJ38" s="6"/>
      <c r="CK38" s="11"/>
      <c r="CL38" s="11"/>
      <c r="CM38" s="11"/>
      <c r="CN38" s="11"/>
      <c r="CO38" s="11"/>
      <c r="CP38" s="11"/>
      <c r="CQ38" s="6"/>
      <c r="CR38" s="6">
        <f>43.8/2</f>
        <v>21.9</v>
      </c>
      <c r="CS38" s="11">
        <v>24</v>
      </c>
      <c r="CT38" s="11">
        <v>4</v>
      </c>
      <c r="CU38" s="11">
        <v>54</v>
      </c>
      <c r="CV38" s="11"/>
      <c r="CW38" s="6"/>
      <c r="CX38" s="6"/>
      <c r="CY38" s="6">
        <f>SUM(CR38:CX38)</f>
        <v>103.9</v>
      </c>
      <c r="DE38" s="6"/>
      <c r="DF38" s="11"/>
      <c r="DG38" s="11"/>
      <c r="DH38" s="11"/>
      <c r="DI38" s="11"/>
      <c r="DJ38" s="11"/>
      <c r="DK38" s="11"/>
      <c r="DL38" s="11"/>
      <c r="DM38" s="6"/>
      <c r="DN38" s="6"/>
      <c r="DO38" s="11"/>
      <c r="DP38" s="11"/>
      <c r="DQ38" s="11"/>
      <c r="DR38" s="11"/>
      <c r="DS38" s="6">
        <f>SUM(DN38:DR38)</f>
        <v>0</v>
      </c>
      <c r="DT38" s="6">
        <f>(DS38-DN38)/2</f>
        <v>0</v>
      </c>
      <c r="DU38" s="6"/>
      <c r="DV38" s="11"/>
      <c r="DW38" s="6">
        <f>SUM(DT38:DV38)</f>
        <v>0</v>
      </c>
    </row>
    <row r="39" spans="1:127" x14ac:dyDescent="0.25">
      <c r="A39">
        <v>29</v>
      </c>
      <c r="B39" s="11" t="s">
        <v>109</v>
      </c>
      <c r="C39" s="6"/>
      <c r="D39" s="11" t="s">
        <v>122</v>
      </c>
      <c r="E39" s="6" t="s">
        <v>201</v>
      </c>
      <c r="F39" s="6"/>
      <c r="G39" s="6"/>
      <c r="H39" s="6"/>
      <c r="I39" s="6"/>
      <c r="J39" s="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6"/>
      <c r="AF39" s="6"/>
      <c r="AG39" s="11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11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6"/>
      <c r="CJ39" s="6"/>
      <c r="CK39" s="11"/>
      <c r="CL39" s="11"/>
      <c r="CM39" s="11"/>
      <c r="CN39" s="11"/>
      <c r="CO39" s="11"/>
      <c r="CP39" s="11"/>
      <c r="CQ39" s="6"/>
      <c r="CR39" s="6"/>
      <c r="CS39" s="11">
        <v>30</v>
      </c>
      <c r="CT39" s="11">
        <v>4</v>
      </c>
      <c r="CU39" s="11">
        <v>7.5</v>
      </c>
      <c r="CV39" s="11">
        <v>36</v>
      </c>
      <c r="CW39" s="6">
        <f>36*60/100</f>
        <v>21.6</v>
      </c>
      <c r="CX39" s="6"/>
      <c r="CY39" s="6">
        <f>SUM(CR39:CX39)</f>
        <v>99.1</v>
      </c>
      <c r="DE39" s="6"/>
      <c r="DF39" s="11"/>
      <c r="DG39" s="11"/>
      <c r="DH39" s="11"/>
      <c r="DI39" s="11"/>
      <c r="DJ39" s="11"/>
      <c r="DK39" s="11"/>
      <c r="DL39" s="11"/>
      <c r="DM39" s="6"/>
      <c r="DN39" s="6"/>
      <c r="DO39" s="11"/>
      <c r="DP39" s="11"/>
      <c r="DQ39" s="11"/>
      <c r="DR39" s="11"/>
      <c r="DS39" s="6">
        <f>SUM(DN39:DR39)</f>
        <v>0</v>
      </c>
      <c r="DT39" s="6">
        <f>(DS39-DN39)/2</f>
        <v>0</v>
      </c>
      <c r="DU39" s="6"/>
      <c r="DV39" s="11"/>
      <c r="DW39" s="6">
        <f>SUM(DT39:DU39)</f>
        <v>0</v>
      </c>
    </row>
    <row r="40" spans="1:127" x14ac:dyDescent="0.25">
      <c r="A40">
        <v>30</v>
      </c>
      <c r="B40" s="11" t="s">
        <v>384</v>
      </c>
      <c r="C40" s="6"/>
      <c r="D40" s="11" t="s">
        <v>385</v>
      </c>
      <c r="E40" s="6" t="s">
        <v>383</v>
      </c>
      <c r="F40" s="6"/>
      <c r="G40" s="6"/>
      <c r="H40" s="6"/>
      <c r="I40" s="6"/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6"/>
      <c r="AF40" s="6"/>
      <c r="AG40" s="11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11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11"/>
      <c r="BR40" s="11"/>
      <c r="BS40" s="11"/>
      <c r="BT40" s="11"/>
      <c r="BU40" s="11">
        <v>40</v>
      </c>
      <c r="BV40" s="11"/>
      <c r="BW40" s="11"/>
      <c r="BX40" s="11"/>
      <c r="BY40" s="11">
        <v>33.6</v>
      </c>
      <c r="BZ40" s="11"/>
      <c r="CA40" s="11"/>
      <c r="CB40" s="11"/>
      <c r="CC40" s="11"/>
      <c r="CD40" s="11"/>
      <c r="CE40" s="11"/>
      <c r="CF40" s="11"/>
      <c r="CG40" s="11"/>
      <c r="CH40" s="11"/>
      <c r="CI40" s="6">
        <f>SUM(BF40:CH40)</f>
        <v>73.599999999999994</v>
      </c>
      <c r="CJ40" s="6">
        <f>(CI40-BF40)/2</f>
        <v>36.799999999999997</v>
      </c>
      <c r="CK40" s="11">
        <v>42</v>
      </c>
      <c r="CL40" s="11">
        <v>40</v>
      </c>
      <c r="CM40" s="11">
        <v>18</v>
      </c>
      <c r="CN40" s="11">
        <v>50</v>
      </c>
      <c r="CO40" s="11">
        <v>21.6</v>
      </c>
      <c r="CP40" s="11"/>
      <c r="CQ40" s="6">
        <f>SUM(CJ40:CP40)</f>
        <v>208.4</v>
      </c>
      <c r="CR40" s="6">
        <f>(CQ40-CJ40)/2</f>
        <v>85.800000000000011</v>
      </c>
      <c r="CS40" s="11"/>
      <c r="CT40" s="11"/>
      <c r="CU40" s="11"/>
      <c r="CV40" s="11"/>
      <c r="CW40" s="6"/>
      <c r="CX40" s="6"/>
      <c r="CY40" s="6">
        <f>SUM(CR40:CX40)</f>
        <v>85.800000000000011</v>
      </c>
      <c r="DE40" s="6">
        <f>DD40/2</f>
        <v>0</v>
      </c>
      <c r="DF40" s="11">
        <f>CI40/4</f>
        <v>18.399999999999999</v>
      </c>
      <c r="DG40" s="11"/>
      <c r="DH40" s="11"/>
      <c r="DI40" s="11"/>
      <c r="DJ40" s="11"/>
      <c r="DK40" s="11"/>
      <c r="DL40" s="11">
        <v>2.5</v>
      </c>
      <c r="DM40" s="6">
        <f>SUM(DE40:DL40)</f>
        <v>20.9</v>
      </c>
      <c r="DN40" s="6">
        <f>(DM40-DE40)/2</f>
        <v>10.45</v>
      </c>
      <c r="DO40" s="11">
        <v>21</v>
      </c>
      <c r="DP40" s="11"/>
      <c r="DQ40" s="11"/>
      <c r="DR40" s="11">
        <v>25</v>
      </c>
      <c r="DS40" s="6">
        <f>SUM(DN40:DR40)</f>
        <v>56.45</v>
      </c>
      <c r="DT40" s="6">
        <f>(DS40-DN40)/2</f>
        <v>23</v>
      </c>
      <c r="DU40" s="6"/>
      <c r="DV40" s="11"/>
      <c r="DW40" s="6">
        <f>SUM(DT40:DU40)</f>
        <v>23</v>
      </c>
    </row>
    <row r="41" spans="1:127" x14ac:dyDescent="0.25">
      <c r="A41">
        <v>31</v>
      </c>
      <c r="B41" s="6" t="s">
        <v>99</v>
      </c>
      <c r="C41" s="6"/>
      <c r="D41" s="6" t="s">
        <v>392</v>
      </c>
      <c r="E41" s="6" t="s">
        <v>393</v>
      </c>
      <c r="F41" s="6"/>
      <c r="G41" s="6"/>
      <c r="H41" s="6"/>
      <c r="I41" s="6"/>
      <c r="J41" s="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6"/>
      <c r="AF41" s="6"/>
      <c r="AG41" s="11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11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6"/>
      <c r="CJ41" s="6"/>
      <c r="CK41" s="11"/>
      <c r="CL41" s="11">
        <v>4</v>
      </c>
      <c r="CM41" s="11"/>
      <c r="CN41" s="11"/>
      <c r="CO41" s="11"/>
      <c r="CP41" s="11"/>
      <c r="CQ41" s="6">
        <f>SUM(CJ41:CP41)</f>
        <v>4</v>
      </c>
      <c r="CR41" s="6">
        <f>(CQ41-CJ41)/2</f>
        <v>2</v>
      </c>
      <c r="CS41" s="11">
        <v>60</v>
      </c>
      <c r="CT41" s="11">
        <v>20.8</v>
      </c>
      <c r="CU41" s="11"/>
      <c r="CV41" s="11"/>
      <c r="CW41" s="6"/>
      <c r="CX41" s="6"/>
      <c r="CY41" s="6">
        <f>SUM(CR41:CX41)</f>
        <v>82.8</v>
      </c>
      <c r="DM41" s="6">
        <f>SUM(DE41:DG41)</f>
        <v>0</v>
      </c>
      <c r="DN41" s="6">
        <f>(DM41-DE41)/2</f>
        <v>0</v>
      </c>
      <c r="DO41" s="11"/>
      <c r="DP41" s="11"/>
      <c r="DQ41" s="11"/>
      <c r="DR41" s="11">
        <v>18</v>
      </c>
      <c r="DS41" s="6">
        <f>SUM(DN41:DR41)</f>
        <v>18</v>
      </c>
      <c r="DT41" s="6">
        <f>(DS41-DN41)/2</f>
        <v>9</v>
      </c>
      <c r="DU41" s="6"/>
      <c r="DV41" s="11"/>
      <c r="DW41" s="6">
        <f>SUM(DT41:DU41)</f>
        <v>9</v>
      </c>
    </row>
    <row r="42" spans="1:127" x14ac:dyDescent="0.25">
      <c r="A42">
        <v>32</v>
      </c>
      <c r="B42" s="11" t="s">
        <v>77</v>
      </c>
      <c r="C42" s="6"/>
      <c r="D42" s="11" t="s">
        <v>227</v>
      </c>
      <c r="E42" s="6" t="s">
        <v>525</v>
      </c>
      <c r="F42" s="6"/>
      <c r="G42" s="6"/>
      <c r="H42" s="6"/>
      <c r="I42" s="6"/>
      <c r="J42" s="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6"/>
      <c r="AF42" s="6"/>
      <c r="AG42" s="11"/>
      <c r="AH42" s="6"/>
      <c r="AI42" s="6"/>
      <c r="AJ42" s="6"/>
      <c r="AK42" s="6"/>
      <c r="AL42" s="6"/>
      <c r="AM42" s="6"/>
      <c r="AN42" s="6">
        <v>40</v>
      </c>
      <c r="AO42" s="6"/>
      <c r="AP42" s="6"/>
      <c r="AQ42" s="6"/>
      <c r="AR42" s="6">
        <v>5</v>
      </c>
      <c r="AS42" s="6"/>
      <c r="AT42" s="6"/>
      <c r="AU42" s="6"/>
      <c r="AV42" s="6"/>
      <c r="AW42" s="6"/>
      <c r="AX42" s="6"/>
      <c r="AY42" s="6"/>
      <c r="AZ42" s="6"/>
      <c r="BA42" s="6"/>
      <c r="BB42" s="6">
        <v>48</v>
      </c>
      <c r="BC42" s="6"/>
      <c r="BD42" s="11">
        <v>7.5</v>
      </c>
      <c r="BE42" s="6">
        <f>SUM(AF42:BD42)</f>
        <v>100.5</v>
      </c>
      <c r="BF42" s="6">
        <f>(BE42-AF42)/2</f>
        <v>50.25</v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11"/>
      <c r="BR42" s="11">
        <v>60</v>
      </c>
      <c r="BS42" s="11"/>
      <c r="BT42" s="11">
        <v>80</v>
      </c>
      <c r="BU42" s="11"/>
      <c r="BV42" s="11"/>
      <c r="BW42" s="11">
        <v>54</v>
      </c>
      <c r="BX42" s="11"/>
      <c r="BY42" s="11"/>
      <c r="BZ42" s="11"/>
      <c r="CA42" s="11"/>
      <c r="CB42" s="11"/>
      <c r="CC42" s="11"/>
      <c r="CD42" s="11"/>
      <c r="CE42" s="11"/>
      <c r="CF42" s="11">
        <v>48</v>
      </c>
      <c r="CG42" s="11"/>
      <c r="CH42" s="11">
        <v>10</v>
      </c>
      <c r="CI42" s="6">
        <f>SUM(BF42:CH42)</f>
        <v>302.25</v>
      </c>
      <c r="CJ42" s="6">
        <f>(CI42-BF42)/2</f>
        <v>126</v>
      </c>
      <c r="CK42" s="11">
        <v>36</v>
      </c>
      <c r="CL42" s="11">
        <v>56</v>
      </c>
      <c r="CM42" s="11">
        <v>7.5</v>
      </c>
      <c r="CN42" s="11">
        <v>7.5</v>
      </c>
      <c r="CO42" s="11">
        <v>10</v>
      </c>
      <c r="CP42" s="11">
        <v>36</v>
      </c>
      <c r="CQ42" s="6">
        <f>SUM(CJ42:CP42)</f>
        <v>279</v>
      </c>
      <c r="CR42" s="6">
        <f>(CQ42-CJ42)/2</f>
        <v>76.5</v>
      </c>
      <c r="CS42" s="11"/>
      <c r="CT42" s="11"/>
      <c r="CU42" s="11"/>
      <c r="CV42" s="11"/>
      <c r="CW42" s="6"/>
      <c r="CX42" s="6"/>
      <c r="CY42" s="6">
        <f>SUM(CR42:CX42)</f>
        <v>76.5</v>
      </c>
      <c r="DA42" s="8">
        <f>BE42/4</f>
        <v>25.125</v>
      </c>
      <c r="DB42" s="8"/>
      <c r="DC42" s="8"/>
      <c r="DD42" s="8">
        <f>SUM(DA42:DB42)</f>
        <v>25.125</v>
      </c>
      <c r="DE42">
        <f>DD42/2</f>
        <v>12.5625</v>
      </c>
      <c r="DF42" s="8">
        <f>CI42/4</f>
        <v>75.5625</v>
      </c>
      <c r="DM42" s="6">
        <f>SUM(DE42:DG42)</f>
        <v>88.125</v>
      </c>
      <c r="DN42" s="6">
        <f>(DM42-DE42)/2</f>
        <v>37.78125</v>
      </c>
      <c r="DO42" s="11"/>
      <c r="DP42" s="11"/>
      <c r="DQ42" s="11"/>
      <c r="DR42" s="11"/>
      <c r="DS42" s="6">
        <f>SUM(DN42:DR42)</f>
        <v>37.78125</v>
      </c>
      <c r="DT42" s="6">
        <f>(DS42-DN42)/2</f>
        <v>0</v>
      </c>
      <c r="DU42" s="6"/>
      <c r="DV42" s="11"/>
      <c r="DW42" s="6">
        <f>SUM(DT42:DU42)</f>
        <v>0</v>
      </c>
    </row>
    <row r="43" spans="1:127" x14ac:dyDescent="0.25">
      <c r="A43">
        <v>33</v>
      </c>
      <c r="B43" s="11" t="s">
        <v>377</v>
      </c>
      <c r="C43" s="6"/>
      <c r="D43" s="11" t="s">
        <v>63</v>
      </c>
      <c r="E43" s="6" t="s">
        <v>374</v>
      </c>
      <c r="F43" s="6"/>
      <c r="G43" s="6"/>
      <c r="H43" s="6"/>
      <c r="I43" s="6"/>
      <c r="J43" s="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6"/>
      <c r="AF43" s="6"/>
      <c r="AG43" s="11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11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6"/>
      <c r="CJ43" s="6"/>
      <c r="CK43" s="11"/>
      <c r="CL43" s="11"/>
      <c r="CM43" s="11"/>
      <c r="CN43" s="11"/>
      <c r="CO43" s="11"/>
      <c r="CP43" s="11"/>
      <c r="CQ43" s="6"/>
      <c r="CR43" s="6"/>
      <c r="CS43" s="11">
        <v>36</v>
      </c>
      <c r="CT43" s="11">
        <v>40</v>
      </c>
      <c r="CU43" s="11"/>
      <c r="CV43" s="11"/>
      <c r="CW43" s="6"/>
      <c r="CX43" s="6"/>
      <c r="CY43" s="6">
        <f>SUM(CR43:CX43)</f>
        <v>76</v>
      </c>
      <c r="DM43" s="6"/>
      <c r="DN43" s="6"/>
      <c r="DO43" s="11"/>
      <c r="DP43" s="11"/>
      <c r="DQ43" s="11"/>
      <c r="DR43" s="11"/>
      <c r="DS43" s="6">
        <f>SUM(DN43:DR43)</f>
        <v>0</v>
      </c>
      <c r="DT43" s="6">
        <f>(DS43-DN43)/2</f>
        <v>0</v>
      </c>
      <c r="DU43" s="6"/>
      <c r="DV43" s="11"/>
      <c r="DW43" s="6">
        <f>SUM(DT43:DU43)</f>
        <v>0</v>
      </c>
    </row>
    <row r="44" spans="1:127" x14ac:dyDescent="0.25">
      <c r="A44">
        <v>34</v>
      </c>
      <c r="B44" s="11" t="s">
        <v>624</v>
      </c>
      <c r="C44" s="6"/>
      <c r="D44" s="11" t="s">
        <v>625</v>
      </c>
      <c r="E44" s="6" t="s">
        <v>116</v>
      </c>
      <c r="F44" s="6"/>
      <c r="G44" s="6"/>
      <c r="H44" s="6"/>
      <c r="I44" s="6"/>
      <c r="J44" s="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6"/>
      <c r="AF44" s="6"/>
      <c r="AG44" s="11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11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6"/>
      <c r="CJ44" s="6"/>
      <c r="CK44" s="11"/>
      <c r="CL44" s="11"/>
      <c r="CM44" s="11"/>
      <c r="CN44" s="11"/>
      <c r="CO44" s="11"/>
      <c r="CP44" s="11"/>
      <c r="CQ44" s="6"/>
      <c r="CR44" s="6"/>
      <c r="CS44" s="11">
        <v>30</v>
      </c>
      <c r="CT44" s="11">
        <v>28.8</v>
      </c>
      <c r="CU44" s="11">
        <v>5</v>
      </c>
      <c r="CV44" s="11">
        <v>2.4</v>
      </c>
      <c r="CW44" s="6"/>
      <c r="CX44" s="6"/>
      <c r="CY44" s="6">
        <f>SUM(CR44:CX44)</f>
        <v>66.2</v>
      </c>
      <c r="DM44" s="6"/>
      <c r="DN44" s="6"/>
      <c r="DO44" s="11"/>
      <c r="DP44" s="11"/>
      <c r="DQ44" s="11"/>
      <c r="DR44" s="11"/>
      <c r="DS44" s="6">
        <f>SUM(DN44:DR44)</f>
        <v>0</v>
      </c>
      <c r="DT44" s="6">
        <f>(DS44-DN44)/2</f>
        <v>0</v>
      </c>
      <c r="DU44" s="6"/>
      <c r="DV44" s="11"/>
      <c r="DW44" s="6">
        <f>SUM(DT44:DU44)</f>
        <v>0</v>
      </c>
    </row>
    <row r="45" spans="1:127" x14ac:dyDescent="0.25">
      <c r="A45">
        <v>35</v>
      </c>
      <c r="B45" s="11" t="s">
        <v>329</v>
      </c>
      <c r="C45" s="6"/>
      <c r="D45" s="11" t="s">
        <v>22</v>
      </c>
      <c r="E45" s="6" t="s">
        <v>328</v>
      </c>
      <c r="F45" s="6"/>
      <c r="G45" s="6"/>
      <c r="H45" s="6"/>
      <c r="I45" s="6"/>
      <c r="J45" s="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6"/>
      <c r="AF45" s="6"/>
      <c r="AG45" s="11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11"/>
      <c r="BE45" s="6"/>
      <c r="BF45" s="6"/>
      <c r="BG45" s="6"/>
      <c r="BH45" s="6"/>
      <c r="BI45" s="6">
        <v>36</v>
      </c>
      <c r="BJ45" s="6"/>
      <c r="BK45" s="6"/>
      <c r="BL45" s="6"/>
      <c r="BM45" s="6"/>
      <c r="BN45" s="6"/>
      <c r="BO45" s="6"/>
      <c r="BP45" s="6"/>
      <c r="BQ45" s="11"/>
      <c r="BR45" s="11"/>
      <c r="BS45" s="11">
        <v>5</v>
      </c>
      <c r="BT45" s="11">
        <v>40</v>
      </c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>
        <v>33.6</v>
      </c>
      <c r="CG45" s="11">
        <v>7.5</v>
      </c>
      <c r="CH45" s="11"/>
      <c r="CI45" s="6">
        <f>SUM(BF45:CH45)</f>
        <v>122.1</v>
      </c>
      <c r="CJ45" s="6">
        <f>(CI45-BF45)/2</f>
        <v>61.05</v>
      </c>
      <c r="CK45" s="11">
        <v>36</v>
      </c>
      <c r="CL45" s="11">
        <v>56</v>
      </c>
      <c r="CM45" s="11">
        <v>33.6</v>
      </c>
      <c r="CN45" s="11"/>
      <c r="CO45" s="11"/>
      <c r="CP45" s="11"/>
      <c r="CQ45" s="6">
        <f>SUM(CJ45:CP45)</f>
        <v>186.65</v>
      </c>
      <c r="CR45" s="6">
        <f>(CQ45-CJ45)/2</f>
        <v>62.800000000000004</v>
      </c>
      <c r="CS45" s="11"/>
      <c r="CT45" s="11"/>
      <c r="CU45" s="11"/>
      <c r="CV45" s="11"/>
      <c r="CW45" s="6"/>
      <c r="CX45" s="6"/>
      <c r="CY45" s="6">
        <f>SUM(CR45:CX45)</f>
        <v>62.800000000000004</v>
      </c>
      <c r="DE45">
        <f>DD45/2</f>
        <v>0</v>
      </c>
      <c r="DF45" s="8">
        <f>CI45/4</f>
        <v>30.524999999999999</v>
      </c>
      <c r="DL45" s="8">
        <v>18</v>
      </c>
      <c r="DM45" s="6">
        <f>SUM(DE45:DL45)</f>
        <v>48.524999999999999</v>
      </c>
      <c r="DN45" s="6">
        <f>(DM45-DE45)/2</f>
        <v>24.262499999999999</v>
      </c>
      <c r="DO45" s="11">
        <v>1.75</v>
      </c>
      <c r="DP45" s="11"/>
      <c r="DQ45" s="11"/>
      <c r="DR45" s="11"/>
      <c r="DS45" s="6">
        <f>SUM(DN45:DR45)</f>
        <v>26.012499999999999</v>
      </c>
      <c r="DT45" s="6">
        <f>(DS45-DN45)/2</f>
        <v>0.875</v>
      </c>
      <c r="DU45" s="6"/>
      <c r="DV45" s="11"/>
      <c r="DW45" s="6">
        <f>SUM(DT45:DU45)</f>
        <v>0.875</v>
      </c>
    </row>
    <row r="46" spans="1:127" x14ac:dyDescent="0.25">
      <c r="A46">
        <v>36</v>
      </c>
      <c r="B46" s="11" t="s">
        <v>438</v>
      </c>
      <c r="C46" s="6"/>
      <c r="D46" s="11" t="s">
        <v>63</v>
      </c>
      <c r="E46" s="6" t="s">
        <v>11</v>
      </c>
      <c r="F46" s="6"/>
      <c r="G46" s="6"/>
      <c r="H46" s="6"/>
      <c r="I46" s="6"/>
      <c r="J46" s="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6"/>
      <c r="AF46" s="6"/>
      <c r="AG46" s="11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11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6"/>
      <c r="CJ46" s="6"/>
      <c r="CK46" s="11">
        <v>30</v>
      </c>
      <c r="CL46" s="11">
        <v>40</v>
      </c>
      <c r="CM46" s="11">
        <v>7.5</v>
      </c>
      <c r="CN46" s="11">
        <v>7.5</v>
      </c>
      <c r="CO46" s="11">
        <v>7.5</v>
      </c>
      <c r="CP46" s="11">
        <v>20.8</v>
      </c>
      <c r="CQ46" s="6">
        <f>SUM(CJ46:CP46)</f>
        <v>113.3</v>
      </c>
      <c r="CR46" s="6">
        <f>(CQ46-CJ46)/2</f>
        <v>56.65</v>
      </c>
      <c r="CS46" s="11"/>
      <c r="CT46" s="11"/>
      <c r="CU46" s="11"/>
      <c r="CV46" s="11"/>
      <c r="CW46" s="6"/>
      <c r="CX46" s="6"/>
      <c r="CY46" s="6">
        <f>SUM(CR46:CX46)</f>
        <v>56.65</v>
      </c>
      <c r="DM46" s="6"/>
      <c r="DN46" s="6"/>
      <c r="DO46" s="11">
        <v>1.75</v>
      </c>
      <c r="DP46" s="11"/>
      <c r="DQ46" s="11"/>
      <c r="DR46" s="11">
        <v>18</v>
      </c>
      <c r="DS46" s="6">
        <f>SUM(DN46:DR46)</f>
        <v>19.75</v>
      </c>
      <c r="DT46" s="6">
        <f>(DS46-DN46)/2</f>
        <v>9.875</v>
      </c>
      <c r="DU46" s="6"/>
      <c r="DV46" s="11"/>
      <c r="DW46" s="6">
        <f>SUM(DT46:DU46)</f>
        <v>9.875</v>
      </c>
    </row>
    <row r="47" spans="1:127" x14ac:dyDescent="0.25">
      <c r="A47">
        <v>37</v>
      </c>
      <c r="B47" s="11" t="s">
        <v>410</v>
      </c>
      <c r="C47" s="6"/>
      <c r="D47" s="11" t="s">
        <v>69</v>
      </c>
      <c r="E47" s="6" t="s">
        <v>411</v>
      </c>
      <c r="F47" s="6"/>
      <c r="G47" s="6"/>
      <c r="H47" s="6"/>
      <c r="I47" s="6"/>
      <c r="J47" s="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6"/>
      <c r="AF47" s="6"/>
      <c r="AG47" s="11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11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11"/>
      <c r="BR47" s="11"/>
      <c r="BS47" s="11"/>
      <c r="BT47" s="11"/>
      <c r="BU47" s="11"/>
      <c r="BV47" s="11"/>
      <c r="BW47" s="11"/>
      <c r="BX47" s="11"/>
      <c r="BY47" s="11">
        <v>2.4</v>
      </c>
      <c r="BZ47" s="11"/>
      <c r="CA47" s="11"/>
      <c r="CB47" s="11"/>
      <c r="CC47" s="11"/>
      <c r="CD47" s="11"/>
      <c r="CE47" s="11"/>
      <c r="CF47" s="11"/>
      <c r="CG47" s="11"/>
      <c r="CH47" s="11"/>
      <c r="CI47" s="6">
        <f>SUM(BF47:CH47)</f>
        <v>2.4</v>
      </c>
      <c r="CJ47" s="6">
        <f>(CI47-BF47)/2</f>
        <v>1.2</v>
      </c>
      <c r="CK47" s="11">
        <v>3</v>
      </c>
      <c r="CL47" s="11">
        <v>4</v>
      </c>
      <c r="CM47" s="11">
        <v>26</v>
      </c>
      <c r="CN47" s="11">
        <v>7.5</v>
      </c>
      <c r="CO47" s="11"/>
      <c r="CP47" s="11"/>
      <c r="CQ47" s="6">
        <f>SUM(CJ47:CP47)</f>
        <v>41.7</v>
      </c>
      <c r="CR47" s="6">
        <f>(CQ47-CJ47)/2</f>
        <v>20.25</v>
      </c>
      <c r="CS47" s="11">
        <v>30</v>
      </c>
      <c r="CT47" s="11"/>
      <c r="CU47" s="11">
        <v>5</v>
      </c>
      <c r="CV47" s="11"/>
      <c r="CW47" s="6"/>
      <c r="CX47" s="6"/>
      <c r="CY47" s="6">
        <f>SUM(CR47:CX47)</f>
        <v>55.25</v>
      </c>
      <c r="DE47">
        <f>DD47/2</f>
        <v>0</v>
      </c>
      <c r="DF47" s="8">
        <f>CI47/4</f>
        <v>0.6</v>
      </c>
      <c r="DL47" s="8">
        <v>2.5</v>
      </c>
      <c r="DM47" s="6">
        <f>SUM(DE47:DG47)</f>
        <v>0.6</v>
      </c>
      <c r="DN47" s="6">
        <f>(DM47-DE47)/2</f>
        <v>0.3</v>
      </c>
      <c r="DO47" s="11"/>
      <c r="DP47" s="11"/>
      <c r="DQ47" s="11"/>
      <c r="DR47" s="11"/>
      <c r="DS47" s="6">
        <f>SUM(DN47:DR47)</f>
        <v>0.3</v>
      </c>
      <c r="DT47" s="6">
        <f>(DS47-DN47)/2</f>
        <v>0</v>
      </c>
      <c r="DU47" s="6"/>
      <c r="DV47" s="11"/>
      <c r="DW47" s="6">
        <f>SUM(DT47:DU47)</f>
        <v>0</v>
      </c>
    </row>
    <row r="48" spans="1:127" x14ac:dyDescent="0.25">
      <c r="A48">
        <v>38</v>
      </c>
      <c r="B48" s="11" t="s">
        <v>271</v>
      </c>
      <c r="C48" s="6"/>
      <c r="D48" s="11" t="s">
        <v>92</v>
      </c>
      <c r="E48" s="6" t="s">
        <v>149</v>
      </c>
      <c r="F48" s="6"/>
      <c r="G48" s="6"/>
      <c r="H48" s="6"/>
      <c r="I48" s="6"/>
      <c r="J48" s="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6"/>
      <c r="AF48" s="6"/>
      <c r="AG48" s="11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11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6"/>
      <c r="CJ48" s="6"/>
      <c r="CK48" s="11">
        <v>33.6</v>
      </c>
      <c r="CL48" s="11">
        <v>4</v>
      </c>
      <c r="CM48" s="11">
        <v>7.5</v>
      </c>
      <c r="CN48" s="11">
        <v>7.5</v>
      </c>
      <c r="CO48" s="11">
        <v>24</v>
      </c>
      <c r="CP48" s="11">
        <v>33.6</v>
      </c>
      <c r="CQ48" s="6">
        <f>SUM(CJ48:CP48)</f>
        <v>110.19999999999999</v>
      </c>
      <c r="CR48" s="6">
        <f>(CQ48-CJ48)/2</f>
        <v>55.099999999999994</v>
      </c>
      <c r="CS48" s="11"/>
      <c r="CT48" s="11"/>
      <c r="CU48" s="11"/>
      <c r="CV48" s="11"/>
      <c r="CW48" s="6"/>
      <c r="CX48" s="6"/>
      <c r="CY48" s="6">
        <f>SUM(CR48:CX48)</f>
        <v>55.099999999999994</v>
      </c>
      <c r="DM48" s="6"/>
      <c r="DN48" s="6"/>
      <c r="DO48" s="11">
        <v>1.75</v>
      </c>
      <c r="DP48" s="11"/>
      <c r="DQ48" s="11"/>
      <c r="DR48" s="11">
        <v>25</v>
      </c>
      <c r="DS48" s="6">
        <f>SUM(DN48:DR48)</f>
        <v>26.75</v>
      </c>
      <c r="DT48" s="6">
        <f>(DS48-DN48)/2</f>
        <v>13.375</v>
      </c>
      <c r="DU48" s="6"/>
      <c r="DV48" s="11"/>
      <c r="DW48" s="6">
        <f>SUM(DT48:DU48)</f>
        <v>13.375</v>
      </c>
    </row>
    <row r="49" spans="1:127" x14ac:dyDescent="0.25">
      <c r="A49">
        <v>39</v>
      </c>
      <c r="B49" s="11" t="s">
        <v>502</v>
      </c>
      <c r="C49" s="6"/>
      <c r="D49" s="11" t="s">
        <v>342</v>
      </c>
      <c r="E49" s="6" t="s">
        <v>12</v>
      </c>
      <c r="F49" s="6"/>
      <c r="G49" s="6"/>
      <c r="H49" s="6"/>
      <c r="I49" s="6"/>
      <c r="J49" s="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6"/>
      <c r="AF49" s="6"/>
      <c r="AG49" s="11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11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6"/>
      <c r="CJ49" s="6"/>
      <c r="CK49" s="11"/>
      <c r="CL49" s="11"/>
      <c r="CM49" s="11"/>
      <c r="CN49" s="11"/>
      <c r="CO49" s="11"/>
      <c r="CP49" s="11"/>
      <c r="CQ49" s="6"/>
      <c r="CR49" s="6"/>
      <c r="CS49" s="11">
        <v>21.6</v>
      </c>
      <c r="CT49" s="11">
        <v>20.8</v>
      </c>
      <c r="CU49" s="11">
        <v>7.5</v>
      </c>
      <c r="CV49" s="11"/>
      <c r="CW49" s="6"/>
      <c r="CX49" s="6"/>
      <c r="CY49" s="6">
        <f>SUM(CR49:CX49)</f>
        <v>49.900000000000006</v>
      </c>
      <c r="DM49" s="6"/>
      <c r="DN49" s="6"/>
      <c r="DO49" s="11"/>
      <c r="DP49" s="11"/>
      <c r="DQ49" s="11"/>
      <c r="DR49" s="11"/>
      <c r="DS49" s="6">
        <f>SUM(DN49:DR49)</f>
        <v>0</v>
      </c>
      <c r="DT49" s="6">
        <f>(DS49-DN49)/2</f>
        <v>0</v>
      </c>
      <c r="DU49" s="6"/>
      <c r="DV49" s="11"/>
      <c r="DW49" s="6">
        <f>SUM(DT49:DU49)</f>
        <v>0</v>
      </c>
    </row>
    <row r="50" spans="1:127" x14ac:dyDescent="0.25">
      <c r="A50">
        <v>40</v>
      </c>
      <c r="B50" s="11" t="s">
        <v>334</v>
      </c>
      <c r="C50" s="6"/>
      <c r="D50" s="11" t="s">
        <v>335</v>
      </c>
      <c r="E50" s="6" t="s">
        <v>107</v>
      </c>
      <c r="F50" s="6"/>
      <c r="G50" s="6"/>
      <c r="H50" s="6"/>
      <c r="I50" s="6"/>
      <c r="J50" s="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6"/>
      <c r="AF50" s="6"/>
      <c r="AG50" s="11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11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6"/>
      <c r="CJ50" s="6"/>
      <c r="CK50" s="11"/>
      <c r="CL50" s="11"/>
      <c r="CM50" s="11">
        <v>39</v>
      </c>
      <c r="CN50" s="11">
        <v>7.5</v>
      </c>
      <c r="CO50" s="11"/>
      <c r="CP50" s="11"/>
      <c r="CQ50" s="6">
        <f>SUM(CJ50:CP50)</f>
        <v>46.5</v>
      </c>
      <c r="CR50" s="6">
        <f>(CQ50-CJ50)/2</f>
        <v>23.25</v>
      </c>
      <c r="CS50" s="11"/>
      <c r="CT50" s="11">
        <v>20.8</v>
      </c>
      <c r="CU50" s="11"/>
      <c r="CV50" s="11"/>
      <c r="CW50" s="6"/>
      <c r="CX50" s="6"/>
      <c r="CY50" s="6">
        <f>SUM(CR50:CX50)</f>
        <v>44.05</v>
      </c>
      <c r="DM50" s="6"/>
      <c r="DN50" s="6"/>
      <c r="DO50" s="11"/>
      <c r="DP50" s="11"/>
      <c r="DQ50" s="11"/>
      <c r="DR50" s="11"/>
      <c r="DS50" s="6">
        <f>SUM(DN50:DR50)</f>
        <v>0</v>
      </c>
      <c r="DT50" s="6">
        <f>(DS50-DN50)/2</f>
        <v>0</v>
      </c>
      <c r="DU50" s="6"/>
      <c r="DV50" s="11"/>
      <c r="DW50" s="6">
        <f>SUM(DT50:DU50)</f>
        <v>0</v>
      </c>
    </row>
    <row r="51" spans="1:127" x14ac:dyDescent="0.25">
      <c r="A51">
        <v>41</v>
      </c>
      <c r="B51" s="11" t="s">
        <v>194</v>
      </c>
      <c r="C51" s="6" t="s">
        <v>320</v>
      </c>
      <c r="D51" s="11" t="s">
        <v>32</v>
      </c>
      <c r="E51" s="6" t="s">
        <v>604</v>
      </c>
      <c r="F51" s="6"/>
      <c r="G51" s="6"/>
      <c r="H51" s="6"/>
      <c r="I51" s="6"/>
      <c r="J51" s="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6"/>
      <c r="AF51" s="6"/>
      <c r="AG51" s="11"/>
      <c r="AH51" s="6"/>
      <c r="AI51" s="6"/>
      <c r="AJ51" s="6"/>
      <c r="AK51" s="6">
        <v>26</v>
      </c>
      <c r="AL51" s="6"/>
      <c r="AM51" s="6"/>
      <c r="AN51" s="6"/>
      <c r="AO51" s="6"/>
      <c r="AP51" s="6">
        <v>4</v>
      </c>
      <c r="AQ51" s="6"/>
      <c r="AR51" s="6">
        <v>5</v>
      </c>
      <c r="AS51" s="6">
        <v>36</v>
      </c>
      <c r="AT51" s="6"/>
      <c r="AU51" s="6"/>
      <c r="AV51" s="6"/>
      <c r="AW51" s="6"/>
      <c r="AX51" s="6"/>
      <c r="AY51" s="6"/>
      <c r="AZ51" s="6">
        <v>5</v>
      </c>
      <c r="BA51" s="6"/>
      <c r="BB51" s="6"/>
      <c r="BC51" s="6"/>
      <c r="BD51" s="11"/>
      <c r="BE51" s="6">
        <f>SUM(AF51:BD51)</f>
        <v>76</v>
      </c>
      <c r="BF51" s="6">
        <f>(BE51-AF51)/2</f>
        <v>38</v>
      </c>
      <c r="BG51" s="6"/>
      <c r="BH51" s="6"/>
      <c r="BI51" s="6"/>
      <c r="BJ51" s="6"/>
      <c r="BK51" s="6"/>
      <c r="BL51" s="6">
        <v>33.6</v>
      </c>
      <c r="BM51" s="6"/>
      <c r="BN51" s="6"/>
      <c r="BO51" s="6"/>
      <c r="BP51" s="6"/>
      <c r="BQ51" s="11">
        <v>54</v>
      </c>
      <c r="BR51" s="11"/>
      <c r="BS51" s="11">
        <v>100</v>
      </c>
      <c r="BT51" s="11"/>
      <c r="BU51" s="11">
        <v>56</v>
      </c>
      <c r="BV51" s="11"/>
      <c r="BW51" s="11">
        <v>39</v>
      </c>
      <c r="BX51" s="11"/>
      <c r="BY51" s="11"/>
      <c r="BZ51" s="11"/>
      <c r="CA51" s="11">
        <v>33.6</v>
      </c>
      <c r="CB51" s="11"/>
      <c r="CC51" s="11"/>
      <c r="CD51" s="11"/>
      <c r="CE51" s="11"/>
      <c r="CF51" s="11"/>
      <c r="CG51" s="11"/>
      <c r="CH51" s="11"/>
      <c r="CI51" s="6">
        <f>SUM(BF51:CH51)</f>
        <v>354.20000000000005</v>
      </c>
      <c r="CJ51" s="6">
        <f>(CI51-BF51)/2</f>
        <v>158.10000000000002</v>
      </c>
      <c r="CK51" s="11"/>
      <c r="CL51" s="11">
        <v>28.8</v>
      </c>
      <c r="CM51" s="11">
        <v>7.5</v>
      </c>
      <c r="CN51" s="11">
        <v>39</v>
      </c>
      <c r="CO51" s="11">
        <v>7.5</v>
      </c>
      <c r="CP51" s="11"/>
      <c r="CQ51" s="6">
        <f>SUM(CJ51:CP51)</f>
        <v>240.90000000000003</v>
      </c>
      <c r="CR51" s="6">
        <f>(CQ51-CJ51)/2</f>
        <v>41.400000000000006</v>
      </c>
      <c r="CS51" s="11"/>
      <c r="CT51" s="11"/>
      <c r="CU51" s="11"/>
      <c r="CV51" s="11"/>
      <c r="CW51" s="6"/>
      <c r="CX51" s="6"/>
      <c r="CY51" s="6">
        <f>SUM(CR51:CX51)</f>
        <v>41.400000000000006</v>
      </c>
      <c r="DA51" s="8">
        <f>BE51/4</f>
        <v>19</v>
      </c>
      <c r="DB51" s="8"/>
      <c r="DC51" s="8"/>
      <c r="DD51" s="8">
        <f>SUM(DA51:DB51)</f>
        <v>19</v>
      </c>
      <c r="DE51">
        <f>DD51/2</f>
        <v>9.5</v>
      </c>
      <c r="DF51" s="8">
        <f>CI51/4</f>
        <v>88.550000000000011</v>
      </c>
      <c r="DG51" s="8">
        <v>1.75</v>
      </c>
      <c r="DM51" s="6">
        <f>SUM(DE51:DG51)</f>
        <v>99.800000000000011</v>
      </c>
      <c r="DN51" s="6">
        <f>(DM51-DE51)/2</f>
        <v>45.150000000000006</v>
      </c>
      <c r="DO51" s="11"/>
      <c r="DP51" s="11"/>
      <c r="DQ51" s="11"/>
      <c r="DR51" s="11"/>
      <c r="DS51" s="6">
        <f>SUM(DN51:DR51)</f>
        <v>45.150000000000006</v>
      </c>
      <c r="DT51" s="6">
        <f>(DS51-DN51)/2</f>
        <v>0</v>
      </c>
      <c r="DU51" s="6"/>
      <c r="DV51" s="11"/>
      <c r="DW51" s="6">
        <f>SUM(DT51:DU51)</f>
        <v>0</v>
      </c>
    </row>
    <row r="52" spans="1:127" x14ac:dyDescent="0.25">
      <c r="A52">
        <v>42</v>
      </c>
      <c r="B52" s="11" t="s">
        <v>259</v>
      </c>
      <c r="C52" s="6"/>
      <c r="D52" s="11" t="s">
        <v>352</v>
      </c>
      <c r="E52" s="6" t="s">
        <v>126</v>
      </c>
      <c r="F52" s="6"/>
      <c r="G52" s="6"/>
      <c r="H52" s="6"/>
      <c r="I52" s="6"/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6"/>
      <c r="AF52" s="6"/>
      <c r="AG52" s="11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11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6"/>
      <c r="CJ52" s="6"/>
      <c r="CK52" s="11">
        <v>30</v>
      </c>
      <c r="CL52" s="11">
        <v>20.8</v>
      </c>
      <c r="CM52" s="11">
        <v>24</v>
      </c>
      <c r="CN52" s="11">
        <v>7.5</v>
      </c>
      <c r="CO52" s="11"/>
      <c r="CP52" s="11"/>
      <c r="CQ52" s="6">
        <f>SUM(CJ52:CP52)</f>
        <v>82.3</v>
      </c>
      <c r="CR52" s="6">
        <f>(CQ52-CJ52)/2</f>
        <v>41.15</v>
      </c>
      <c r="CS52" s="11"/>
      <c r="CT52" s="11"/>
      <c r="CU52" s="11"/>
      <c r="CV52" s="11"/>
      <c r="CW52" s="6"/>
      <c r="CX52" s="6"/>
      <c r="CY52" s="6">
        <f>SUM(CR52:CX52)</f>
        <v>41.15</v>
      </c>
      <c r="DM52" s="6">
        <f>SUM(DE52:DG52)</f>
        <v>0</v>
      </c>
      <c r="DN52" s="6">
        <f>(DM52-DE52)/2</f>
        <v>0</v>
      </c>
      <c r="DO52" s="11"/>
      <c r="DP52" s="11"/>
      <c r="DQ52" s="11"/>
      <c r="DR52" s="11"/>
      <c r="DS52" s="6">
        <f>SUM(DN52:DR52)</f>
        <v>0</v>
      </c>
      <c r="DT52" s="6">
        <f>(DS52-DN52)/2</f>
        <v>0</v>
      </c>
      <c r="DU52" s="6"/>
      <c r="DV52" s="11"/>
      <c r="DW52" s="6">
        <f>SUM(DT52:DU52)</f>
        <v>0</v>
      </c>
    </row>
    <row r="53" spans="1:127" x14ac:dyDescent="0.25">
      <c r="A53">
        <v>43</v>
      </c>
      <c r="B53" s="11" t="s">
        <v>444</v>
      </c>
      <c r="C53" s="6"/>
      <c r="D53" s="11" t="s">
        <v>766</v>
      </c>
      <c r="E53" s="6" t="s">
        <v>218</v>
      </c>
      <c r="F53" s="6"/>
      <c r="G53" s="6"/>
      <c r="H53" s="6"/>
      <c r="I53" s="6"/>
      <c r="J53" s="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6"/>
      <c r="AF53" s="6"/>
      <c r="AG53" s="11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11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6"/>
      <c r="CJ53" s="6"/>
      <c r="CK53" s="11"/>
      <c r="CL53" s="11"/>
      <c r="CM53" s="11"/>
      <c r="CN53" s="11"/>
      <c r="CO53" s="11"/>
      <c r="CP53" s="11"/>
      <c r="CQ53" s="6"/>
      <c r="CR53" s="6"/>
      <c r="CS53" s="11"/>
      <c r="CT53" s="11">
        <v>40</v>
      </c>
      <c r="CU53" s="11"/>
      <c r="CV53" s="11"/>
      <c r="CW53" s="6"/>
      <c r="CX53" s="6"/>
      <c r="CY53" s="6">
        <f>SUM(CR53:CX53)</f>
        <v>40</v>
      </c>
      <c r="DM53" s="6"/>
      <c r="DN53" s="6"/>
      <c r="DO53" s="11"/>
      <c r="DP53" s="11"/>
      <c r="DQ53" s="11"/>
      <c r="DR53" s="11"/>
      <c r="DS53" s="6">
        <f>SUM(DN53:DR53)</f>
        <v>0</v>
      </c>
      <c r="DT53" s="6">
        <f>(DS53-DN53)/2</f>
        <v>0</v>
      </c>
      <c r="DU53" s="6"/>
      <c r="DV53" s="11"/>
      <c r="DW53" s="6">
        <f>SUM(DT53:DU53)</f>
        <v>0</v>
      </c>
    </row>
    <row r="54" spans="1:127" x14ac:dyDescent="0.25">
      <c r="A54">
        <v>44</v>
      </c>
      <c r="B54" s="11" t="s">
        <v>353</v>
      </c>
      <c r="C54" s="6"/>
      <c r="D54" s="11" t="s">
        <v>554</v>
      </c>
      <c r="E54" s="6" t="s">
        <v>111</v>
      </c>
      <c r="F54" s="6"/>
      <c r="G54" s="6"/>
      <c r="H54" s="6"/>
      <c r="I54" s="6"/>
      <c r="J54" s="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6"/>
      <c r="AF54" s="6"/>
      <c r="AG54" s="11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11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6"/>
      <c r="CJ54" s="6"/>
      <c r="CK54" s="11"/>
      <c r="CL54" s="11">
        <v>40</v>
      </c>
      <c r="CM54" s="11">
        <v>39</v>
      </c>
      <c r="CN54" s="11"/>
      <c r="CO54" s="11"/>
      <c r="CP54" s="11"/>
      <c r="CQ54" s="6">
        <f>SUM(CJ54:CP54)</f>
        <v>79</v>
      </c>
      <c r="CR54" s="6">
        <f>(CQ54-CJ54)/2</f>
        <v>39.5</v>
      </c>
      <c r="CS54" s="11"/>
      <c r="CT54" s="11"/>
      <c r="CU54" s="11"/>
      <c r="CV54" s="11"/>
      <c r="CW54" s="6"/>
      <c r="CX54" s="6"/>
      <c r="CY54" s="6">
        <f>SUM(CR54:CX54)</f>
        <v>39.5</v>
      </c>
      <c r="DM54" s="6"/>
      <c r="DN54" s="6"/>
      <c r="DO54" s="11"/>
      <c r="DP54" s="11"/>
      <c r="DQ54" s="11"/>
      <c r="DR54" s="11"/>
      <c r="DS54" s="6">
        <f>SUM(DN54:DR54)</f>
        <v>0</v>
      </c>
      <c r="DT54" s="6">
        <f>(DS54-DN54)/2</f>
        <v>0</v>
      </c>
      <c r="DU54" s="6"/>
      <c r="DV54" s="11"/>
      <c r="DW54" s="6">
        <f>SUM(DT54:DU54)</f>
        <v>0</v>
      </c>
    </row>
    <row r="55" spans="1:127" x14ac:dyDescent="0.25">
      <c r="A55">
        <v>45</v>
      </c>
      <c r="B55" s="11" t="s">
        <v>285</v>
      </c>
      <c r="C55" s="6"/>
      <c r="D55" s="11" t="s">
        <v>108</v>
      </c>
      <c r="E55" s="6" t="s">
        <v>596</v>
      </c>
      <c r="F55" s="6"/>
      <c r="G55" s="6"/>
      <c r="H55" s="6"/>
      <c r="I55" s="6"/>
      <c r="J55" s="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6"/>
      <c r="AF55" s="6"/>
      <c r="AG55" s="11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11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6"/>
      <c r="CJ55" s="6"/>
      <c r="CK55" s="11">
        <v>3</v>
      </c>
      <c r="CL55" s="11"/>
      <c r="CM55" s="11"/>
      <c r="CN55" s="11"/>
      <c r="CO55" s="11"/>
      <c r="CP55" s="11"/>
      <c r="CQ55" s="6">
        <f>SUM(CJ55:CP55)</f>
        <v>3</v>
      </c>
      <c r="CR55" s="6">
        <f>(CQ55-CJ55)/2</f>
        <v>1.5</v>
      </c>
      <c r="CS55" s="11">
        <v>21.6</v>
      </c>
      <c r="CT55" s="11">
        <v>4</v>
      </c>
      <c r="CU55" s="11">
        <v>7.5</v>
      </c>
      <c r="CV55" s="11">
        <v>2.4</v>
      </c>
      <c r="CW55" s="6"/>
      <c r="CX55" s="6"/>
      <c r="CY55" s="6">
        <f>SUM(CR55:CX55)</f>
        <v>37</v>
      </c>
      <c r="DM55" s="6">
        <f>SUM(DE55:DG55)</f>
        <v>0</v>
      </c>
      <c r="DN55" s="6">
        <f>(DM55-DE55)/2</f>
        <v>0</v>
      </c>
      <c r="DO55" s="11"/>
      <c r="DP55" s="11"/>
      <c r="DQ55" s="11"/>
      <c r="DR55" s="11"/>
      <c r="DS55" s="6">
        <f>SUM(DN55:DR55)</f>
        <v>0</v>
      </c>
      <c r="DT55" s="6">
        <f>(DS55-DN55)/2</f>
        <v>0</v>
      </c>
      <c r="DU55" s="6"/>
      <c r="DV55" s="11"/>
      <c r="DW55" s="6">
        <f>SUM(DT55:DU55)</f>
        <v>0</v>
      </c>
    </row>
    <row r="56" spans="1:127" x14ac:dyDescent="0.25">
      <c r="A56">
        <v>46</v>
      </c>
      <c r="B56" s="11" t="s">
        <v>337</v>
      </c>
      <c r="C56" s="6"/>
      <c r="D56" s="11" t="s">
        <v>338</v>
      </c>
      <c r="E56" s="6" t="s">
        <v>339</v>
      </c>
      <c r="F56" s="6"/>
      <c r="G56" s="6"/>
      <c r="H56" s="6"/>
      <c r="I56" s="6"/>
      <c r="J56" s="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6"/>
      <c r="AF56" s="6"/>
      <c r="AG56" s="11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11"/>
      <c r="BE56" s="6"/>
      <c r="BF56" s="6"/>
      <c r="BG56" s="6"/>
      <c r="BH56" s="6"/>
      <c r="BI56" s="6"/>
      <c r="BJ56" s="6"/>
      <c r="BK56" s="6">
        <v>3</v>
      </c>
      <c r="BL56" s="6"/>
      <c r="BM56" s="6"/>
      <c r="BN56" s="6"/>
      <c r="BO56" s="6"/>
      <c r="BP56" s="6"/>
      <c r="BQ56" s="11"/>
      <c r="BR56" s="11"/>
      <c r="BS56" s="11">
        <v>36</v>
      </c>
      <c r="BT56" s="11"/>
      <c r="BU56" s="11">
        <v>4</v>
      </c>
      <c r="BV56" s="11"/>
      <c r="BW56" s="11">
        <v>7.5</v>
      </c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6">
        <f>SUM(BF56:CH56)</f>
        <v>50.5</v>
      </c>
      <c r="CJ56" s="6">
        <f>(CI56-BF56)/2</f>
        <v>25.25</v>
      </c>
      <c r="CK56" s="11">
        <v>60</v>
      </c>
      <c r="CL56" s="11"/>
      <c r="CM56" s="11">
        <v>5</v>
      </c>
      <c r="CN56" s="11">
        <v>7.5</v>
      </c>
      <c r="CO56" s="11"/>
      <c r="CP56" s="11"/>
      <c r="CQ56" s="6">
        <f>SUM(CJ56:CP56)</f>
        <v>97.75</v>
      </c>
      <c r="CR56" s="6">
        <f>(CQ56-CJ56)/2</f>
        <v>36.25</v>
      </c>
      <c r="CS56" s="11"/>
      <c r="CT56" s="11"/>
      <c r="CU56" s="11"/>
      <c r="CV56" s="11"/>
      <c r="CW56" s="6"/>
      <c r="CX56" s="6"/>
      <c r="CY56" s="6">
        <f>SUM(CR56:CX56)</f>
        <v>36.25</v>
      </c>
      <c r="DE56">
        <f>DD56/2</f>
        <v>0</v>
      </c>
      <c r="DF56" s="8">
        <f>CI56/4</f>
        <v>12.625</v>
      </c>
      <c r="DM56" s="6">
        <f>SUM(DE56:DG56)</f>
        <v>12.625</v>
      </c>
      <c r="DN56" s="6">
        <f>(DM56-DE56)/2</f>
        <v>6.3125</v>
      </c>
      <c r="DO56" s="11"/>
      <c r="DP56" s="11"/>
      <c r="DQ56" s="11"/>
      <c r="DR56" s="11"/>
      <c r="DS56" s="6">
        <f>SUM(DN56:DR56)</f>
        <v>6.3125</v>
      </c>
      <c r="DT56" s="6">
        <f>(DS56-DN56)/2</f>
        <v>0</v>
      </c>
      <c r="DU56" s="6"/>
      <c r="DV56" s="11"/>
      <c r="DW56" s="6">
        <f>SUM(DT56:DU56)</f>
        <v>0</v>
      </c>
    </row>
    <row r="57" spans="1:127" x14ac:dyDescent="0.25">
      <c r="A57">
        <v>47</v>
      </c>
      <c r="B57" s="11" t="s">
        <v>361</v>
      </c>
      <c r="C57" s="6"/>
      <c r="D57" s="11" t="s">
        <v>431</v>
      </c>
      <c r="E57" s="6" t="s">
        <v>27</v>
      </c>
      <c r="F57" s="6"/>
      <c r="G57" s="6"/>
      <c r="H57" s="6"/>
      <c r="I57" s="6"/>
      <c r="J57" s="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6"/>
      <c r="AF57" s="6"/>
      <c r="AG57" s="11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11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6"/>
      <c r="CJ57" s="6"/>
      <c r="CK57" s="11"/>
      <c r="CL57" s="11"/>
      <c r="CM57" s="11"/>
      <c r="CN57" s="11"/>
      <c r="CO57" s="11"/>
      <c r="CP57" s="11"/>
      <c r="CQ57" s="6"/>
      <c r="CR57" s="6"/>
      <c r="CS57" s="11">
        <v>30</v>
      </c>
      <c r="CT57" s="11">
        <v>4</v>
      </c>
      <c r="CU57" s="11"/>
      <c r="CV57" s="11"/>
      <c r="CW57" s="6"/>
      <c r="CX57" s="6"/>
      <c r="CY57" s="6">
        <f>SUM(CR57:CX57)</f>
        <v>34</v>
      </c>
      <c r="DM57" s="6"/>
      <c r="DN57" s="6"/>
      <c r="DO57" s="11"/>
      <c r="DP57" s="11"/>
      <c r="DQ57" s="11"/>
      <c r="DR57" s="11"/>
      <c r="DS57" s="6">
        <f>SUM(DN57:DR57)</f>
        <v>0</v>
      </c>
      <c r="DT57" s="6">
        <f>(DS57-DN57)/2</f>
        <v>0</v>
      </c>
      <c r="DU57" s="6"/>
      <c r="DV57" s="11"/>
      <c r="DW57" s="6">
        <f>SUM(DT57:DU57)</f>
        <v>0</v>
      </c>
    </row>
    <row r="58" spans="1:127" x14ac:dyDescent="0.25">
      <c r="A58">
        <v>48</v>
      </c>
      <c r="B58" s="11" t="s">
        <v>628</v>
      </c>
      <c r="C58" s="6"/>
      <c r="D58" s="11" t="s">
        <v>195</v>
      </c>
      <c r="E58" s="6" t="s">
        <v>269</v>
      </c>
      <c r="F58" s="6"/>
      <c r="G58" s="6"/>
      <c r="H58" s="6"/>
      <c r="I58" s="6"/>
      <c r="J58" s="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6"/>
      <c r="AF58" s="6"/>
      <c r="AG58" s="11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11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6"/>
      <c r="CJ58" s="6"/>
      <c r="CK58" s="11"/>
      <c r="CL58" s="11"/>
      <c r="CM58" s="11"/>
      <c r="CN58" s="11"/>
      <c r="CO58" s="11"/>
      <c r="CP58" s="11"/>
      <c r="CQ58" s="6"/>
      <c r="CR58" s="6">
        <f>38.45/2</f>
        <v>19.225000000000001</v>
      </c>
      <c r="CS58" s="11">
        <v>2.4</v>
      </c>
      <c r="CT58" s="11">
        <v>4</v>
      </c>
      <c r="CU58" s="11">
        <v>7.5</v>
      </c>
      <c r="CV58" s="11"/>
      <c r="CW58" s="6"/>
      <c r="CX58" s="6"/>
      <c r="CY58" s="6">
        <f t="shared" ref="CY43:CY74" si="0">SUM(CR58:CX58)</f>
        <v>33.125</v>
      </c>
      <c r="DM58" s="6"/>
      <c r="DN58" s="6"/>
      <c r="DO58" s="11"/>
      <c r="DP58" s="11"/>
      <c r="DQ58" s="11"/>
      <c r="DR58" s="11"/>
      <c r="DS58" s="6">
        <f t="shared" ref="DS49:DS80" si="1">SUM(DN58:DR58)</f>
        <v>0</v>
      </c>
      <c r="DT58" s="6">
        <f t="shared" ref="DT43:DT74" si="2">(DS58-DN58)/2</f>
        <v>0</v>
      </c>
      <c r="DU58" s="6"/>
      <c r="DV58" s="11"/>
      <c r="DW58" s="6">
        <f t="shared" ref="DW39:DW70" si="3">SUM(DT58:DU58)</f>
        <v>0</v>
      </c>
    </row>
    <row r="59" spans="1:127" x14ac:dyDescent="0.25">
      <c r="A59">
        <v>49</v>
      </c>
      <c r="B59" s="11" t="s">
        <v>317</v>
      </c>
      <c r="C59" s="6"/>
      <c r="D59" s="11" t="s">
        <v>170</v>
      </c>
      <c r="E59" s="6" t="s">
        <v>575</v>
      </c>
      <c r="F59" s="6"/>
      <c r="G59" s="6"/>
      <c r="H59" s="6"/>
      <c r="I59" s="6"/>
      <c r="J59" s="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6"/>
      <c r="AF59" s="6"/>
      <c r="AG59" s="11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11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6"/>
      <c r="CJ59" s="6"/>
      <c r="CK59" s="11">
        <v>30</v>
      </c>
      <c r="CL59" s="11">
        <v>20.8</v>
      </c>
      <c r="CM59" s="11">
        <v>7.5</v>
      </c>
      <c r="CN59" s="11">
        <v>7.5</v>
      </c>
      <c r="CO59" s="11"/>
      <c r="CP59" s="11"/>
      <c r="CQ59" s="6">
        <f>SUM(CJ59:CP59)</f>
        <v>65.8</v>
      </c>
      <c r="CR59" s="6">
        <f>(CQ59-CJ59)/2</f>
        <v>32.9</v>
      </c>
      <c r="CS59" s="11"/>
      <c r="CT59" s="11"/>
      <c r="CU59" s="11"/>
      <c r="CV59" s="11"/>
      <c r="CW59" s="6"/>
      <c r="CX59" s="6"/>
      <c r="CY59" s="6">
        <f t="shared" si="0"/>
        <v>32.9</v>
      </c>
      <c r="DM59" s="6">
        <f>SUM(DE59:DG59)</f>
        <v>0</v>
      </c>
      <c r="DN59" s="6">
        <f>(DM59-DE59)/2</f>
        <v>0</v>
      </c>
      <c r="DO59" s="11"/>
      <c r="DP59" s="11"/>
      <c r="DQ59" s="11"/>
      <c r="DR59" s="11"/>
      <c r="DS59" s="6">
        <f t="shared" si="1"/>
        <v>0</v>
      </c>
      <c r="DT59" s="6">
        <f t="shared" si="2"/>
        <v>0</v>
      </c>
      <c r="DU59" s="6"/>
      <c r="DV59" s="11"/>
      <c r="DW59" s="6">
        <f t="shared" si="3"/>
        <v>0</v>
      </c>
    </row>
    <row r="60" spans="1:127" x14ac:dyDescent="0.25">
      <c r="A60">
        <v>50</v>
      </c>
      <c r="B60" s="11" t="s">
        <v>500</v>
      </c>
      <c r="C60" s="6"/>
      <c r="D60" s="11" t="s">
        <v>501</v>
      </c>
      <c r="E60" s="6" t="s">
        <v>27</v>
      </c>
      <c r="F60" s="6"/>
      <c r="G60" s="6"/>
      <c r="H60" s="6"/>
      <c r="I60" s="6"/>
      <c r="J60" s="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6"/>
      <c r="AF60" s="6"/>
      <c r="AG60" s="11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11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6"/>
      <c r="CJ60" s="6"/>
      <c r="CK60" s="11"/>
      <c r="CL60" s="11"/>
      <c r="CM60" s="11"/>
      <c r="CN60" s="11"/>
      <c r="CO60" s="11"/>
      <c r="CP60" s="11"/>
      <c r="CQ60" s="6"/>
      <c r="CR60" s="6"/>
      <c r="CS60" s="11">
        <v>30</v>
      </c>
      <c r="CT60" s="11"/>
      <c r="CU60" s="11"/>
      <c r="CV60" s="11"/>
      <c r="CW60" s="6"/>
      <c r="CX60" s="6"/>
      <c r="CY60" s="6">
        <f t="shared" si="0"/>
        <v>30</v>
      </c>
      <c r="DM60" s="6"/>
      <c r="DN60" s="6"/>
      <c r="DO60" s="11"/>
      <c r="DP60" s="11"/>
      <c r="DQ60" s="11"/>
      <c r="DR60" s="11"/>
      <c r="DS60" s="6">
        <f t="shared" si="1"/>
        <v>0</v>
      </c>
      <c r="DT60" s="6">
        <f t="shared" si="2"/>
        <v>0</v>
      </c>
      <c r="DU60" s="6"/>
      <c r="DV60" s="11"/>
      <c r="DW60" s="6">
        <f t="shared" si="3"/>
        <v>0</v>
      </c>
    </row>
    <row r="61" spans="1:127" x14ac:dyDescent="0.25">
      <c r="A61">
        <v>51</v>
      </c>
      <c r="B61" s="11" t="s">
        <v>34</v>
      </c>
      <c r="C61" s="6"/>
      <c r="D61" s="11" t="s">
        <v>327</v>
      </c>
      <c r="E61" s="6" t="s">
        <v>328</v>
      </c>
      <c r="F61" s="6"/>
      <c r="G61" s="6"/>
      <c r="H61" s="6"/>
      <c r="I61" s="6"/>
      <c r="J61" s="6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6"/>
      <c r="AF61" s="6"/>
      <c r="AG61" s="11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11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6"/>
      <c r="CJ61" s="6"/>
      <c r="CK61" s="11">
        <v>48</v>
      </c>
      <c r="CL61" s="11">
        <v>4</v>
      </c>
      <c r="CM61" s="11">
        <v>7.5</v>
      </c>
      <c r="CN61" s="11"/>
      <c r="CO61" s="11"/>
      <c r="CP61" s="11"/>
      <c r="CQ61" s="6">
        <f>SUM(CJ61:CP61)</f>
        <v>59.5</v>
      </c>
      <c r="CR61" s="6">
        <f>(CQ61-CJ61)/2</f>
        <v>29.75</v>
      </c>
      <c r="CS61" s="11"/>
      <c r="CT61" s="11"/>
      <c r="CU61" s="11"/>
      <c r="CV61" s="11"/>
      <c r="CW61" s="6"/>
      <c r="CX61" s="6"/>
      <c r="CY61" s="6">
        <f t="shared" si="0"/>
        <v>29.75</v>
      </c>
      <c r="DM61" s="6"/>
      <c r="DN61" s="6"/>
      <c r="DO61" s="11">
        <v>14</v>
      </c>
      <c r="DP61" s="11"/>
      <c r="DQ61" s="11"/>
      <c r="DR61" s="11"/>
      <c r="DS61" s="6">
        <f t="shared" si="1"/>
        <v>14</v>
      </c>
      <c r="DT61" s="6">
        <f t="shared" si="2"/>
        <v>7</v>
      </c>
      <c r="DU61" s="6"/>
      <c r="DV61" s="11"/>
      <c r="DW61" s="6">
        <f t="shared" si="3"/>
        <v>7</v>
      </c>
    </row>
    <row r="62" spans="1:127" x14ac:dyDescent="0.25">
      <c r="A62">
        <v>52</v>
      </c>
      <c r="B62" s="11" t="s">
        <v>52</v>
      </c>
      <c r="C62" s="6"/>
      <c r="D62" s="11" t="s">
        <v>229</v>
      </c>
      <c r="E62" s="6" t="s">
        <v>189</v>
      </c>
      <c r="F62" s="6"/>
      <c r="G62" s="6"/>
      <c r="H62" s="6"/>
      <c r="I62" s="6"/>
      <c r="J62" s="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6"/>
      <c r="AF62" s="6"/>
      <c r="AG62" s="11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11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6"/>
      <c r="CJ62" s="6"/>
      <c r="CK62" s="11">
        <v>21.6</v>
      </c>
      <c r="CL62" s="11">
        <v>28.8</v>
      </c>
      <c r="CM62" s="11">
        <v>7.5</v>
      </c>
      <c r="CN62" s="11"/>
      <c r="CO62" s="11"/>
      <c r="CP62" s="11"/>
      <c r="CQ62" s="6">
        <f>SUM(CJ62:CP62)</f>
        <v>57.900000000000006</v>
      </c>
      <c r="CR62" s="6">
        <f>(CQ62-CJ62)/2</f>
        <v>28.950000000000003</v>
      </c>
      <c r="CS62" s="11"/>
      <c r="CT62" s="11"/>
      <c r="CU62" s="11"/>
      <c r="CV62" s="11"/>
      <c r="CW62" s="6"/>
      <c r="CX62" s="6"/>
      <c r="CY62" s="6">
        <f t="shared" si="0"/>
        <v>28.950000000000003</v>
      </c>
      <c r="DM62" s="6"/>
      <c r="DN62" s="6"/>
      <c r="DO62" s="11"/>
      <c r="DP62" s="11"/>
      <c r="DQ62" s="11"/>
      <c r="DR62" s="11"/>
      <c r="DS62" s="6">
        <f t="shared" si="1"/>
        <v>0</v>
      </c>
      <c r="DT62" s="6">
        <f t="shared" si="2"/>
        <v>0</v>
      </c>
      <c r="DU62" s="6"/>
      <c r="DV62" s="11"/>
      <c r="DW62" s="6">
        <f t="shared" si="3"/>
        <v>0</v>
      </c>
    </row>
    <row r="63" spans="1:127" x14ac:dyDescent="0.25">
      <c r="A63">
        <v>53</v>
      </c>
      <c r="B63" s="11" t="s">
        <v>58</v>
      </c>
      <c r="C63" s="6"/>
      <c r="D63" s="11" t="s">
        <v>173</v>
      </c>
      <c r="E63" s="6" t="s">
        <v>61</v>
      </c>
      <c r="F63" s="6"/>
      <c r="G63" s="6"/>
      <c r="H63" s="6"/>
      <c r="I63" s="6"/>
      <c r="J63" s="6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6"/>
      <c r="AF63" s="6"/>
      <c r="AG63" s="11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11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6"/>
      <c r="CJ63" s="6"/>
      <c r="CK63" s="11">
        <v>2.4</v>
      </c>
      <c r="CL63" s="11">
        <v>20.8</v>
      </c>
      <c r="CM63" s="11">
        <v>26</v>
      </c>
      <c r="CN63" s="11">
        <v>7.5</v>
      </c>
      <c r="CO63" s="11"/>
      <c r="CP63" s="11"/>
      <c r="CQ63" s="6">
        <f>SUM(CJ63:CP63)</f>
        <v>56.7</v>
      </c>
      <c r="CR63" s="6">
        <f>(CQ63-CJ63)/2</f>
        <v>28.35</v>
      </c>
      <c r="CS63" s="11"/>
      <c r="CT63" s="11"/>
      <c r="CU63" s="11"/>
      <c r="CV63" s="11"/>
      <c r="CW63" s="6"/>
      <c r="CX63" s="6"/>
      <c r="CY63" s="6">
        <f t="shared" si="0"/>
        <v>28.35</v>
      </c>
      <c r="DM63" s="6"/>
      <c r="DN63" s="6"/>
      <c r="DO63" s="11"/>
      <c r="DP63" s="11"/>
      <c r="DQ63" s="11"/>
      <c r="DR63" s="11"/>
      <c r="DS63" s="6">
        <f t="shared" si="1"/>
        <v>0</v>
      </c>
      <c r="DT63" s="6">
        <f t="shared" si="2"/>
        <v>0</v>
      </c>
      <c r="DU63" s="6"/>
      <c r="DV63" s="11"/>
      <c r="DW63" s="6">
        <f t="shared" si="3"/>
        <v>0</v>
      </c>
    </row>
    <row r="64" spans="1:127" x14ac:dyDescent="0.25">
      <c r="A64">
        <v>54</v>
      </c>
      <c r="B64" s="11" t="s">
        <v>655</v>
      </c>
      <c r="C64" s="6"/>
      <c r="D64" s="11" t="s">
        <v>656</v>
      </c>
      <c r="E64" s="6" t="s">
        <v>657</v>
      </c>
      <c r="F64" s="6"/>
      <c r="G64" s="6"/>
      <c r="H64" s="6"/>
      <c r="I64" s="6"/>
      <c r="J64" s="6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6"/>
      <c r="AF64" s="6"/>
      <c r="AG64" s="11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11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6"/>
      <c r="CJ64" s="6"/>
      <c r="CK64" s="11"/>
      <c r="CL64" s="11"/>
      <c r="CM64" s="11"/>
      <c r="CN64" s="11"/>
      <c r="CO64" s="11"/>
      <c r="CP64" s="11"/>
      <c r="CQ64" s="6"/>
      <c r="CR64" s="6"/>
      <c r="CS64" s="11">
        <v>3</v>
      </c>
      <c r="CT64" s="11"/>
      <c r="CU64" s="11">
        <v>24</v>
      </c>
      <c r="CV64" s="11"/>
      <c r="CW64" s="6"/>
      <c r="CX64" s="6"/>
      <c r="CY64" s="6">
        <f t="shared" si="0"/>
        <v>27</v>
      </c>
      <c r="DS64" s="6">
        <f t="shared" si="1"/>
        <v>0</v>
      </c>
      <c r="DT64" s="6">
        <f t="shared" si="2"/>
        <v>0</v>
      </c>
      <c r="DU64" s="6"/>
      <c r="DV64" s="11"/>
      <c r="DW64" s="6">
        <f t="shared" si="3"/>
        <v>0</v>
      </c>
    </row>
    <row r="65" spans="1:127" x14ac:dyDescent="0.25">
      <c r="A65">
        <v>55</v>
      </c>
      <c r="B65" s="11" t="s">
        <v>123</v>
      </c>
      <c r="C65" s="6"/>
      <c r="D65" s="11" t="s">
        <v>108</v>
      </c>
      <c r="E65" s="6" t="s">
        <v>303</v>
      </c>
      <c r="F65" s="6"/>
      <c r="G65" s="6"/>
      <c r="H65" s="6"/>
      <c r="I65" s="6"/>
      <c r="J65" s="6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6"/>
      <c r="AF65" s="6"/>
      <c r="AG65" s="11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11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6"/>
      <c r="CJ65" s="6"/>
      <c r="CK65" s="11">
        <v>33.6</v>
      </c>
      <c r="CL65" s="11"/>
      <c r="CM65" s="11">
        <v>18</v>
      </c>
      <c r="CN65" s="11"/>
      <c r="CO65" s="11"/>
      <c r="CP65" s="11"/>
      <c r="CQ65" s="6">
        <f>SUM(CJ65:CP65)</f>
        <v>51.6</v>
      </c>
      <c r="CR65" s="6">
        <f>(CQ65-CJ65)/2</f>
        <v>25.8</v>
      </c>
      <c r="CS65" s="11"/>
      <c r="CT65" s="11"/>
      <c r="CU65" s="11"/>
      <c r="CV65" s="11"/>
      <c r="CW65" s="6"/>
      <c r="CX65" s="6"/>
      <c r="CY65" s="6">
        <f t="shared" si="0"/>
        <v>25.8</v>
      </c>
      <c r="DO65" s="8">
        <v>1.75</v>
      </c>
      <c r="DS65" s="6">
        <f t="shared" si="1"/>
        <v>1.75</v>
      </c>
      <c r="DT65" s="6">
        <f t="shared" si="2"/>
        <v>0.875</v>
      </c>
      <c r="DU65" s="6"/>
      <c r="DV65" s="11"/>
      <c r="DW65" s="6">
        <f t="shared" si="3"/>
        <v>0.875</v>
      </c>
    </row>
    <row r="66" spans="1:127" x14ac:dyDescent="0.25">
      <c r="A66">
        <v>56</v>
      </c>
      <c r="B66" s="11" t="s">
        <v>50</v>
      </c>
      <c r="C66" s="6"/>
      <c r="D66" s="11" t="s">
        <v>327</v>
      </c>
      <c r="E66" s="6" t="s">
        <v>13</v>
      </c>
      <c r="F66" s="6"/>
      <c r="G66" s="6"/>
      <c r="H66" s="6"/>
      <c r="I66" s="6"/>
      <c r="J66" s="6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6"/>
      <c r="AF66" s="6"/>
      <c r="AG66" s="11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11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6"/>
      <c r="CJ66" s="6"/>
      <c r="CK66" s="11">
        <v>21.6</v>
      </c>
      <c r="CL66" s="11"/>
      <c r="CM66" s="11">
        <v>24</v>
      </c>
      <c r="CN66" s="11"/>
      <c r="CO66" s="11"/>
      <c r="CP66" s="11"/>
      <c r="CQ66" s="6">
        <f>SUM(CJ66:CP66)</f>
        <v>45.6</v>
      </c>
      <c r="CR66" s="6">
        <f>(CQ66-CJ66)/2</f>
        <v>22.8</v>
      </c>
      <c r="CS66" s="11">
        <v>3</v>
      </c>
      <c r="CT66" s="11"/>
      <c r="CU66" s="11"/>
      <c r="CV66" s="11"/>
      <c r="CW66" s="6"/>
      <c r="CX66" s="6"/>
      <c r="CY66" s="6">
        <f t="shared" si="0"/>
        <v>25.8</v>
      </c>
      <c r="DM66">
        <f>SUM(DE66:DG66)</f>
        <v>0</v>
      </c>
      <c r="DN66">
        <f>(DM66-DE66)/2</f>
        <v>0</v>
      </c>
      <c r="DS66" s="6">
        <f t="shared" si="1"/>
        <v>0</v>
      </c>
      <c r="DT66" s="6">
        <f t="shared" si="2"/>
        <v>0</v>
      </c>
      <c r="DU66" s="6"/>
      <c r="DV66" s="11"/>
      <c r="DW66" s="6">
        <f t="shared" si="3"/>
        <v>0</v>
      </c>
    </row>
    <row r="67" spans="1:127" x14ac:dyDescent="0.25">
      <c r="A67">
        <v>57</v>
      </c>
      <c r="B67" s="11" t="s">
        <v>38</v>
      </c>
      <c r="C67" s="6"/>
      <c r="D67" s="11" t="s">
        <v>74</v>
      </c>
      <c r="E67" s="6" t="s">
        <v>73</v>
      </c>
      <c r="F67" s="6"/>
      <c r="G67" s="6"/>
      <c r="H67" s="6"/>
      <c r="I67" s="6"/>
      <c r="J67" s="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6"/>
      <c r="AF67" s="6"/>
      <c r="AG67" s="11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11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11"/>
      <c r="BR67" s="11"/>
      <c r="BS67" s="11"/>
      <c r="BT67" s="11"/>
      <c r="BU67" s="11"/>
      <c r="BV67" s="11"/>
      <c r="BW67" s="11">
        <v>7.5</v>
      </c>
      <c r="BX67" s="11"/>
      <c r="BY67" s="11"/>
      <c r="BZ67" s="11"/>
      <c r="CA67" s="11"/>
      <c r="CB67" s="11"/>
      <c r="CC67" s="11"/>
      <c r="CD67" s="11">
        <v>36</v>
      </c>
      <c r="CE67" s="11"/>
      <c r="CF67" s="11"/>
      <c r="CG67" s="11"/>
      <c r="CH67" s="11"/>
      <c r="CI67" s="6">
        <f>SUM(BF67:CH67)</f>
        <v>43.5</v>
      </c>
      <c r="CJ67" s="6">
        <f>(CI67-BF67)/2</f>
        <v>21.75</v>
      </c>
      <c r="CK67" s="11">
        <v>48</v>
      </c>
      <c r="CL67" s="11"/>
      <c r="CM67" s="11"/>
      <c r="CN67" s="11"/>
      <c r="CO67" s="11"/>
      <c r="CP67" s="11"/>
      <c r="CQ67" s="6">
        <f>SUM(CJ67:CP67)</f>
        <v>69.75</v>
      </c>
      <c r="CR67" s="6">
        <f>(CQ67-CJ67)/2</f>
        <v>24</v>
      </c>
      <c r="CS67" s="11"/>
      <c r="CT67" s="11"/>
      <c r="CU67" s="11"/>
      <c r="CV67" s="11"/>
      <c r="CW67" s="6"/>
      <c r="CX67" s="6"/>
      <c r="CY67" s="6">
        <f t="shared" si="0"/>
        <v>24</v>
      </c>
      <c r="DE67">
        <f>DD67/2</f>
        <v>0</v>
      </c>
      <c r="DF67" s="8">
        <f>CI67/4</f>
        <v>10.875</v>
      </c>
      <c r="DM67">
        <f>SUM(DE67:DG67)</f>
        <v>10.875</v>
      </c>
      <c r="DN67">
        <f>(DM67-DE67)/2</f>
        <v>5.4375</v>
      </c>
      <c r="DS67" s="6">
        <f t="shared" si="1"/>
        <v>5.4375</v>
      </c>
      <c r="DT67" s="6">
        <f t="shared" si="2"/>
        <v>0</v>
      </c>
      <c r="DU67" s="6"/>
      <c r="DV67" s="11"/>
      <c r="DW67" s="6">
        <f t="shared" si="3"/>
        <v>0</v>
      </c>
    </row>
    <row r="68" spans="1:127" x14ac:dyDescent="0.25">
      <c r="A68">
        <v>58</v>
      </c>
      <c r="B68" s="11" t="s">
        <v>785</v>
      </c>
      <c r="C68" s="6"/>
      <c r="D68" s="11" t="s">
        <v>364</v>
      </c>
      <c r="E68" s="6" t="s">
        <v>107</v>
      </c>
      <c r="F68" s="6"/>
      <c r="G68" s="6"/>
      <c r="H68" s="6"/>
      <c r="I68" s="6"/>
      <c r="J68" s="6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6"/>
      <c r="AF68" s="6"/>
      <c r="AG68" s="11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11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6"/>
      <c r="CJ68" s="6"/>
      <c r="CK68" s="11"/>
      <c r="CL68" s="11"/>
      <c r="CM68" s="11"/>
      <c r="CN68" s="11"/>
      <c r="CO68" s="11"/>
      <c r="CP68" s="11"/>
      <c r="CQ68" s="6"/>
      <c r="CR68" s="6"/>
      <c r="CS68" s="11">
        <v>21.6</v>
      </c>
      <c r="CT68" s="11"/>
      <c r="CU68" s="11"/>
      <c r="CV68" s="11"/>
      <c r="CW68" s="6"/>
      <c r="CX68" s="6"/>
      <c r="CY68" s="6">
        <f t="shared" si="0"/>
        <v>21.6</v>
      </c>
      <c r="DS68" s="6">
        <f t="shared" si="1"/>
        <v>0</v>
      </c>
      <c r="DT68" s="6">
        <f t="shared" si="2"/>
        <v>0</v>
      </c>
      <c r="DU68" s="6"/>
      <c r="DV68" s="11"/>
      <c r="DW68" s="6">
        <f t="shared" si="3"/>
        <v>0</v>
      </c>
    </row>
    <row r="69" spans="1:127" x14ac:dyDescent="0.25">
      <c r="A69">
        <v>59</v>
      </c>
      <c r="B69" s="11" t="s">
        <v>134</v>
      </c>
      <c r="C69" s="6"/>
      <c r="D69" s="11" t="s">
        <v>530</v>
      </c>
      <c r="E69" s="6" t="s">
        <v>531</v>
      </c>
      <c r="F69" s="6"/>
      <c r="G69" s="6"/>
      <c r="H69" s="6"/>
      <c r="I69" s="6"/>
      <c r="J69" s="6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6"/>
      <c r="AF69" s="6"/>
      <c r="AG69" s="11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11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6"/>
      <c r="CJ69" s="6">
        <f>31.4/2</f>
        <v>15.7</v>
      </c>
      <c r="CK69" s="11">
        <v>2.4</v>
      </c>
      <c r="CL69" s="11">
        <v>4</v>
      </c>
      <c r="CM69" s="11">
        <v>36</v>
      </c>
      <c r="CN69" s="11"/>
      <c r="CO69" s="11"/>
      <c r="CP69" s="11"/>
      <c r="CQ69" s="6">
        <f>SUM(CJ69:CP69)</f>
        <v>58.099999999999994</v>
      </c>
      <c r="CR69" s="6">
        <f>(CQ69-CJ69)/2</f>
        <v>21.199999999999996</v>
      </c>
      <c r="CS69" s="11"/>
      <c r="CT69" s="11"/>
      <c r="CU69" s="11"/>
      <c r="CV69" s="11"/>
      <c r="CW69" s="6"/>
      <c r="CX69" s="6"/>
      <c r="CY69" s="6">
        <f t="shared" si="0"/>
        <v>21.199999999999996</v>
      </c>
      <c r="DS69" s="6">
        <f t="shared" si="1"/>
        <v>0</v>
      </c>
      <c r="DT69" s="6">
        <f t="shared" si="2"/>
        <v>0</v>
      </c>
      <c r="DU69" s="6"/>
      <c r="DV69" s="11"/>
      <c r="DW69" s="6">
        <f t="shared" si="3"/>
        <v>0</v>
      </c>
    </row>
    <row r="70" spans="1:127" x14ac:dyDescent="0.25">
      <c r="A70">
        <v>60</v>
      </c>
      <c r="B70" s="11" t="s">
        <v>490</v>
      </c>
      <c r="C70" s="6"/>
      <c r="D70" s="11" t="s">
        <v>491</v>
      </c>
      <c r="E70" s="6" t="s">
        <v>8</v>
      </c>
      <c r="F70" s="6"/>
      <c r="G70" s="6"/>
      <c r="H70" s="6"/>
      <c r="I70" s="6"/>
      <c r="J70" s="6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6"/>
      <c r="AF70" s="6"/>
      <c r="AG70" s="11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11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6"/>
      <c r="CJ70" s="6"/>
      <c r="CK70" s="11">
        <v>33.6</v>
      </c>
      <c r="CL70" s="11"/>
      <c r="CM70" s="11"/>
      <c r="CN70" s="11"/>
      <c r="CO70" s="11"/>
      <c r="CP70" s="11"/>
      <c r="CQ70" s="6">
        <f>SUM(CJ70:CP70)</f>
        <v>33.6</v>
      </c>
      <c r="CR70" s="6">
        <f>(CQ70-CJ70)/2</f>
        <v>16.8</v>
      </c>
      <c r="CS70" s="11"/>
      <c r="CT70" s="11"/>
      <c r="CU70" s="11"/>
      <c r="CV70" s="11"/>
      <c r="CW70" s="6"/>
      <c r="CX70" s="6"/>
      <c r="CY70" s="6">
        <f t="shared" si="0"/>
        <v>16.8</v>
      </c>
      <c r="DS70" s="6">
        <f t="shared" si="1"/>
        <v>0</v>
      </c>
      <c r="DT70" s="6">
        <f t="shared" si="2"/>
        <v>0</v>
      </c>
      <c r="DU70" s="6"/>
      <c r="DV70" s="11"/>
      <c r="DW70" s="6">
        <f t="shared" si="3"/>
        <v>0</v>
      </c>
    </row>
    <row r="71" spans="1:127" x14ac:dyDescent="0.25">
      <c r="A71">
        <v>61</v>
      </c>
      <c r="B71" s="11" t="s">
        <v>238</v>
      </c>
      <c r="C71" s="6"/>
      <c r="D71" s="11" t="s">
        <v>10</v>
      </c>
      <c r="E71" s="6" t="s">
        <v>107</v>
      </c>
      <c r="F71" s="6"/>
      <c r="G71" s="6"/>
      <c r="H71" s="6"/>
      <c r="I71" s="6"/>
      <c r="J71" s="6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6"/>
      <c r="AF71" s="6"/>
      <c r="AG71" s="11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11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6"/>
      <c r="CJ71" s="6"/>
      <c r="CK71" s="11">
        <v>3</v>
      </c>
      <c r="CL71" s="11">
        <v>4</v>
      </c>
      <c r="CM71" s="11">
        <v>5</v>
      </c>
      <c r="CN71" s="11">
        <v>7.5</v>
      </c>
      <c r="CO71" s="11">
        <v>5</v>
      </c>
      <c r="CP71" s="11">
        <v>4</v>
      </c>
      <c r="CQ71" s="6">
        <f>SUM(CJ71:CP71)</f>
        <v>28.5</v>
      </c>
      <c r="CR71" s="6">
        <f>(CQ71-CJ71)/2</f>
        <v>14.25</v>
      </c>
      <c r="CS71" s="11"/>
      <c r="CT71" s="11"/>
      <c r="CU71" s="11"/>
      <c r="CV71" s="11"/>
      <c r="CW71" s="6"/>
      <c r="CX71" s="6"/>
      <c r="CY71" s="6">
        <f t="shared" si="0"/>
        <v>14.25</v>
      </c>
      <c r="DM71">
        <f>SUM(DE71:DG71)</f>
        <v>0</v>
      </c>
      <c r="DN71">
        <f>(DM71-DE71)/2</f>
        <v>0</v>
      </c>
      <c r="DR71" s="8">
        <v>2.5</v>
      </c>
      <c r="DS71" s="6">
        <f t="shared" si="1"/>
        <v>2.5</v>
      </c>
      <c r="DT71" s="6">
        <f t="shared" si="2"/>
        <v>1.25</v>
      </c>
      <c r="DU71" s="6"/>
      <c r="DV71" s="11"/>
      <c r="DW71" s="6">
        <f t="shared" ref="DW71:DW96" si="4">SUM(DT71:DU71)</f>
        <v>1.25</v>
      </c>
    </row>
    <row r="72" spans="1:127" x14ac:dyDescent="0.25">
      <c r="A72">
        <v>62</v>
      </c>
      <c r="B72" s="11" t="s">
        <v>614</v>
      </c>
      <c r="C72" s="6"/>
      <c r="D72" s="11" t="s">
        <v>431</v>
      </c>
      <c r="E72" s="6" t="s">
        <v>111</v>
      </c>
      <c r="F72" s="6"/>
      <c r="G72" s="6"/>
      <c r="H72" s="6"/>
      <c r="I72" s="6"/>
      <c r="J72" s="6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6"/>
      <c r="AF72" s="6"/>
      <c r="AG72" s="11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11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6"/>
      <c r="CJ72" s="6"/>
      <c r="CK72" s="11"/>
      <c r="CL72" s="11"/>
      <c r="CM72" s="11"/>
      <c r="CN72" s="11"/>
      <c r="CO72" s="11"/>
      <c r="CP72" s="11"/>
      <c r="CQ72" s="6"/>
      <c r="CR72" s="6"/>
      <c r="CS72" s="11">
        <v>3</v>
      </c>
      <c r="CT72" s="11"/>
      <c r="CU72" s="11">
        <v>7.5</v>
      </c>
      <c r="CV72" s="11"/>
      <c r="CW72" s="6"/>
      <c r="CX72" s="6"/>
      <c r="CY72" s="6">
        <f t="shared" si="0"/>
        <v>10.5</v>
      </c>
      <c r="DS72" s="6">
        <f t="shared" si="1"/>
        <v>0</v>
      </c>
      <c r="DT72" s="6">
        <f t="shared" si="2"/>
        <v>0</v>
      </c>
      <c r="DU72" s="6"/>
      <c r="DV72" s="11"/>
      <c r="DW72" s="6">
        <f t="shared" si="4"/>
        <v>0</v>
      </c>
    </row>
    <row r="73" spans="1:127" x14ac:dyDescent="0.25">
      <c r="A73">
        <v>63</v>
      </c>
      <c r="B73" s="11" t="s">
        <v>555</v>
      </c>
      <c r="C73" s="6"/>
      <c r="D73" s="11" t="s">
        <v>43</v>
      </c>
      <c r="E73" s="6" t="s">
        <v>107</v>
      </c>
      <c r="F73" s="6"/>
      <c r="G73" s="6"/>
      <c r="H73" s="6"/>
      <c r="I73" s="6"/>
      <c r="J73" s="6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6"/>
      <c r="AF73" s="6"/>
      <c r="AG73" s="11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11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6"/>
      <c r="CJ73" s="6"/>
      <c r="CK73" s="11"/>
      <c r="CL73" s="11"/>
      <c r="CM73" s="11">
        <v>7.5</v>
      </c>
      <c r="CN73" s="11">
        <v>7.5</v>
      </c>
      <c r="CO73" s="11"/>
      <c r="CP73" s="11"/>
      <c r="CQ73" s="6">
        <f>SUM(CJ73:CP73)</f>
        <v>15</v>
      </c>
      <c r="CR73" s="6">
        <f>(CQ73-CJ73)/2</f>
        <v>7.5</v>
      </c>
      <c r="CS73" s="11"/>
      <c r="CT73" s="11"/>
      <c r="CU73" s="11"/>
      <c r="CV73" s="11"/>
      <c r="CW73" s="6"/>
      <c r="CX73" s="6"/>
      <c r="CY73" s="6">
        <f t="shared" si="0"/>
        <v>7.5</v>
      </c>
      <c r="DS73" s="6">
        <f t="shared" si="1"/>
        <v>0</v>
      </c>
      <c r="DT73" s="6">
        <f t="shared" si="2"/>
        <v>0</v>
      </c>
      <c r="DU73" s="6"/>
      <c r="DV73" s="11"/>
      <c r="DW73" s="6">
        <f t="shared" si="4"/>
        <v>0</v>
      </c>
    </row>
    <row r="74" spans="1:127" x14ac:dyDescent="0.25">
      <c r="A74">
        <v>64</v>
      </c>
      <c r="B74" s="11" t="s">
        <v>576</v>
      </c>
      <c r="C74" s="6"/>
      <c r="D74" s="11" t="s">
        <v>727</v>
      </c>
      <c r="E74" s="6" t="s">
        <v>275</v>
      </c>
      <c r="F74" s="6"/>
      <c r="G74" s="6"/>
      <c r="H74" s="6"/>
      <c r="I74" s="6"/>
      <c r="J74" s="6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6"/>
      <c r="AF74" s="6"/>
      <c r="AG74" s="11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11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6"/>
      <c r="CJ74" s="6"/>
      <c r="CK74" s="11"/>
      <c r="CL74" s="11"/>
      <c r="CM74" s="11"/>
      <c r="CN74" s="11"/>
      <c r="CO74" s="11"/>
      <c r="CP74" s="11"/>
      <c r="CQ74" s="6"/>
      <c r="CR74" s="6"/>
      <c r="CS74" s="11">
        <v>3</v>
      </c>
      <c r="CT74" s="11">
        <v>4</v>
      </c>
      <c r="CU74" s="11"/>
      <c r="CV74" s="11"/>
      <c r="CW74" s="6"/>
      <c r="CX74" s="6"/>
      <c r="CY74" s="6">
        <f t="shared" si="0"/>
        <v>7</v>
      </c>
      <c r="DS74" s="6">
        <f t="shared" si="1"/>
        <v>0</v>
      </c>
      <c r="DT74" s="6">
        <f t="shared" si="2"/>
        <v>0</v>
      </c>
      <c r="DU74" s="6"/>
      <c r="DV74" s="11"/>
      <c r="DW74" s="6">
        <f t="shared" si="4"/>
        <v>0</v>
      </c>
    </row>
    <row r="75" spans="1:127" x14ac:dyDescent="0.25">
      <c r="A75">
        <v>65</v>
      </c>
      <c r="B75" s="11" t="s">
        <v>504</v>
      </c>
      <c r="C75" s="6"/>
      <c r="D75" s="11" t="s">
        <v>89</v>
      </c>
      <c r="E75" s="6" t="s">
        <v>149</v>
      </c>
      <c r="F75" s="6"/>
      <c r="G75" s="6"/>
      <c r="H75" s="6"/>
      <c r="I75" s="6"/>
      <c r="J75" s="6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6"/>
      <c r="AF75" s="6"/>
      <c r="AG75" s="11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11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6"/>
      <c r="CJ75" s="6"/>
      <c r="CK75" s="11"/>
      <c r="CL75" s="11">
        <v>4</v>
      </c>
      <c r="CM75" s="11">
        <v>7.5</v>
      </c>
      <c r="CN75" s="11"/>
      <c r="CO75" s="11"/>
      <c r="CP75" s="11"/>
      <c r="CQ75" s="6">
        <f>SUM(CJ75:CP75)</f>
        <v>11.5</v>
      </c>
      <c r="CR75" s="6">
        <f>(CQ75-CJ75)/2</f>
        <v>5.75</v>
      </c>
      <c r="CS75" s="11"/>
      <c r="CT75" s="11"/>
      <c r="CU75" s="11"/>
      <c r="CV75" s="11"/>
      <c r="CW75" s="6"/>
      <c r="CX75" s="6"/>
      <c r="CY75" s="6">
        <f t="shared" ref="CY75:CY106" si="5">SUM(CR75:CX75)</f>
        <v>5.75</v>
      </c>
      <c r="DS75" s="6">
        <f t="shared" si="1"/>
        <v>0</v>
      </c>
      <c r="DT75" s="6">
        <f t="shared" ref="DT75:DT106" si="6">(DS75-DN75)/2</f>
        <v>0</v>
      </c>
      <c r="DU75" s="6"/>
      <c r="DV75" s="11"/>
      <c r="DW75" s="6">
        <f t="shared" si="4"/>
        <v>0</v>
      </c>
    </row>
    <row r="76" spans="1:127" x14ac:dyDescent="0.25">
      <c r="A76">
        <v>66</v>
      </c>
      <c r="B76" s="11" t="s">
        <v>169</v>
      </c>
      <c r="C76" s="6"/>
      <c r="D76" s="11" t="s">
        <v>223</v>
      </c>
      <c r="E76" s="6" t="s">
        <v>49</v>
      </c>
      <c r="F76" s="6"/>
      <c r="G76" s="6"/>
      <c r="H76" s="6"/>
      <c r="I76" s="6"/>
      <c r="J76" s="6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6"/>
      <c r="AF76" s="6"/>
      <c r="AG76" s="11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11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6"/>
      <c r="CJ76" s="6"/>
      <c r="CK76" s="11">
        <v>3</v>
      </c>
      <c r="CL76" s="11"/>
      <c r="CM76" s="11">
        <v>7.5</v>
      </c>
      <c r="CN76" s="11"/>
      <c r="CO76" s="11"/>
      <c r="CP76" s="11"/>
      <c r="CQ76" s="6">
        <f>SUM(CJ76:CP76)</f>
        <v>10.5</v>
      </c>
      <c r="CR76" s="6">
        <f>(CQ76-CJ76)/2</f>
        <v>5.25</v>
      </c>
      <c r="CS76" s="11"/>
      <c r="CT76" s="11"/>
      <c r="CU76" s="11"/>
      <c r="CV76" s="11"/>
      <c r="CW76" s="6"/>
      <c r="CX76" s="6"/>
      <c r="CY76" s="6">
        <f t="shared" si="5"/>
        <v>5.25</v>
      </c>
      <c r="DM76">
        <f>SUM(DE76:DG76)</f>
        <v>0</v>
      </c>
      <c r="DN76">
        <f>(DM76-DE76)/2</f>
        <v>0</v>
      </c>
      <c r="DS76" s="6">
        <f t="shared" si="1"/>
        <v>0</v>
      </c>
      <c r="DT76" s="6">
        <f t="shared" si="6"/>
        <v>0</v>
      </c>
      <c r="DU76" s="6"/>
      <c r="DV76" s="11"/>
      <c r="DW76" s="6">
        <f t="shared" si="4"/>
        <v>0</v>
      </c>
    </row>
    <row r="77" spans="1:127" x14ac:dyDescent="0.25">
      <c r="A77">
        <v>67</v>
      </c>
      <c r="B77" s="11" t="s">
        <v>528</v>
      </c>
      <c r="C77" s="6"/>
      <c r="D77" s="11" t="s">
        <v>529</v>
      </c>
      <c r="E77" s="6" t="s">
        <v>132</v>
      </c>
      <c r="F77" s="6"/>
      <c r="G77" s="6"/>
      <c r="H77" s="6"/>
      <c r="I77" s="6"/>
      <c r="J77" s="6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6"/>
      <c r="AF77" s="6"/>
      <c r="AG77" s="11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11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6"/>
      <c r="CJ77" s="6"/>
      <c r="CK77" s="11">
        <v>2.4</v>
      </c>
      <c r="CL77" s="11"/>
      <c r="CM77" s="11"/>
      <c r="CN77" s="11"/>
      <c r="CO77" s="11"/>
      <c r="CP77" s="11"/>
      <c r="CQ77" s="6">
        <f>SUM(CJ77:CP77)</f>
        <v>2.4</v>
      </c>
      <c r="CR77" s="6">
        <f>(CQ77-CJ77)/2</f>
        <v>1.2</v>
      </c>
      <c r="CS77" s="11"/>
      <c r="CT77" s="11">
        <v>4</v>
      </c>
      <c r="CU77" s="11"/>
      <c r="CV77" s="11"/>
      <c r="CW77" s="6"/>
      <c r="CX77" s="6"/>
      <c r="CY77" s="6">
        <f t="shared" si="5"/>
        <v>5.2</v>
      </c>
      <c r="DM77">
        <f>SUM(DE77:DG77)</f>
        <v>0</v>
      </c>
      <c r="DN77">
        <f>(DM77-DE77)/2</f>
        <v>0</v>
      </c>
      <c r="DS77" s="6">
        <f t="shared" si="1"/>
        <v>0</v>
      </c>
      <c r="DT77" s="6">
        <f t="shared" si="6"/>
        <v>0</v>
      </c>
      <c r="DU77" s="6"/>
      <c r="DV77" s="11"/>
      <c r="DW77" s="6">
        <f t="shared" si="4"/>
        <v>0</v>
      </c>
    </row>
    <row r="78" spans="1:127" x14ac:dyDescent="0.25">
      <c r="A78">
        <v>68</v>
      </c>
      <c r="B78" s="11" t="s">
        <v>774</v>
      </c>
      <c r="C78" s="6"/>
      <c r="D78" s="11" t="s">
        <v>775</v>
      </c>
      <c r="E78" s="6" t="s">
        <v>776</v>
      </c>
      <c r="F78" s="6"/>
      <c r="G78" s="6"/>
      <c r="H78" s="6"/>
      <c r="I78" s="6"/>
      <c r="J78" s="6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6"/>
      <c r="AF78" s="6"/>
      <c r="AG78" s="11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11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6"/>
      <c r="CJ78" s="6"/>
      <c r="CK78" s="11"/>
      <c r="CL78" s="11"/>
      <c r="CM78" s="11"/>
      <c r="CN78" s="11"/>
      <c r="CO78" s="11"/>
      <c r="CP78" s="11"/>
      <c r="CQ78" s="6"/>
      <c r="CR78" s="6"/>
      <c r="CS78" s="11"/>
      <c r="CT78" s="11"/>
      <c r="CU78" s="11">
        <v>5</v>
      </c>
      <c r="CV78" s="11"/>
      <c r="CW78" s="6"/>
      <c r="CX78" s="6"/>
      <c r="CY78" s="6">
        <f t="shared" si="5"/>
        <v>5</v>
      </c>
      <c r="DS78" s="6">
        <f t="shared" si="1"/>
        <v>0</v>
      </c>
      <c r="DT78" s="6">
        <f t="shared" si="6"/>
        <v>0</v>
      </c>
      <c r="DU78" s="6"/>
      <c r="DV78" s="11"/>
      <c r="DW78" s="6">
        <f t="shared" si="4"/>
        <v>0</v>
      </c>
    </row>
    <row r="79" spans="1:127" x14ac:dyDescent="0.25">
      <c r="A79">
        <v>69</v>
      </c>
      <c r="B79" s="11" t="s">
        <v>551</v>
      </c>
      <c r="C79" s="6"/>
      <c r="D79" s="11" t="s">
        <v>552</v>
      </c>
      <c r="E79" s="6" t="s">
        <v>234</v>
      </c>
      <c r="F79" s="6"/>
      <c r="G79" s="6"/>
      <c r="H79" s="6"/>
      <c r="I79" s="6"/>
      <c r="J79" s="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6"/>
      <c r="AF79" s="6"/>
      <c r="AG79" s="11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11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6"/>
      <c r="CJ79" s="6"/>
      <c r="CK79" s="11"/>
      <c r="CL79" s="11"/>
      <c r="CM79" s="11"/>
      <c r="CN79" s="11"/>
      <c r="CO79" s="11"/>
      <c r="CP79" s="11"/>
      <c r="CQ79" s="6"/>
      <c r="CR79" s="6"/>
      <c r="CS79" s="11"/>
      <c r="CT79" s="11">
        <v>4</v>
      </c>
      <c r="CU79" s="11"/>
      <c r="CV79" s="11"/>
      <c r="CW79" s="6"/>
      <c r="CX79" s="6"/>
      <c r="CY79" s="6">
        <f t="shared" si="5"/>
        <v>4</v>
      </c>
      <c r="DS79" s="6">
        <f t="shared" si="1"/>
        <v>0</v>
      </c>
      <c r="DT79" s="6">
        <f t="shared" si="6"/>
        <v>0</v>
      </c>
      <c r="DU79" s="6"/>
      <c r="DV79" s="11"/>
      <c r="DW79" s="6">
        <f t="shared" si="4"/>
        <v>0</v>
      </c>
    </row>
    <row r="80" spans="1:127" x14ac:dyDescent="0.25">
      <c r="A80">
        <v>70</v>
      </c>
      <c r="B80" s="6" t="s">
        <v>438</v>
      </c>
      <c r="C80" s="6"/>
      <c r="D80" s="6" t="s">
        <v>439</v>
      </c>
      <c r="E80" s="6" t="s">
        <v>11</v>
      </c>
      <c r="F80" s="6"/>
      <c r="G80" s="6"/>
      <c r="H80" s="6"/>
      <c r="I80" s="6"/>
      <c r="J80" s="6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6"/>
      <c r="AF80" s="6"/>
      <c r="AG80" s="11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11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6"/>
      <c r="CJ80" s="6"/>
      <c r="CK80" s="11"/>
      <c r="CL80" s="11"/>
      <c r="CM80" s="11">
        <v>7.5</v>
      </c>
      <c r="CN80" s="11"/>
      <c r="CO80" s="11"/>
      <c r="CP80" s="11"/>
      <c r="CQ80" s="6">
        <f>SUM(CJ80:CP80)</f>
        <v>7.5</v>
      </c>
      <c r="CR80" s="6">
        <f>(CQ80-CJ80)/2</f>
        <v>3.75</v>
      </c>
      <c r="CS80" s="11"/>
      <c r="CT80" s="11"/>
      <c r="CU80" s="11"/>
      <c r="CV80" s="11"/>
      <c r="CW80" s="6"/>
      <c r="CX80" s="6"/>
      <c r="CY80" s="6">
        <f t="shared" si="5"/>
        <v>3.75</v>
      </c>
      <c r="DM80">
        <f>SUM(DE80:DG80)</f>
        <v>0</v>
      </c>
      <c r="DN80">
        <f>(DM80-DE80)/2</f>
        <v>0</v>
      </c>
      <c r="DS80" s="6">
        <f t="shared" si="1"/>
        <v>0</v>
      </c>
      <c r="DT80" s="6">
        <f t="shared" si="6"/>
        <v>0</v>
      </c>
      <c r="DU80" s="6"/>
      <c r="DV80" s="11"/>
      <c r="DW80" s="6">
        <f t="shared" si="4"/>
        <v>0</v>
      </c>
    </row>
    <row r="81" spans="1:127" x14ac:dyDescent="0.25">
      <c r="A81">
        <v>71</v>
      </c>
      <c r="B81" s="11" t="s">
        <v>64</v>
      </c>
      <c r="C81" s="6"/>
      <c r="D81" s="11" t="s">
        <v>60</v>
      </c>
      <c r="E81" s="6" t="s">
        <v>137</v>
      </c>
      <c r="F81" s="6"/>
      <c r="G81" s="6"/>
      <c r="H81" s="6"/>
      <c r="I81" s="6"/>
      <c r="J81" s="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6"/>
      <c r="AF81" s="6"/>
      <c r="AG81" s="11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11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6"/>
      <c r="CJ81" s="6"/>
      <c r="CK81" s="11"/>
      <c r="CL81" s="11"/>
      <c r="CM81" s="11"/>
      <c r="CN81" s="11"/>
      <c r="CO81" s="11"/>
      <c r="CP81" s="11"/>
      <c r="CQ81" s="6"/>
      <c r="CR81" s="6"/>
      <c r="CS81" s="11">
        <v>3</v>
      </c>
      <c r="CT81" s="11"/>
      <c r="CU81" s="11"/>
      <c r="CV81" s="11"/>
      <c r="CW81" s="6"/>
      <c r="CX81" s="6"/>
      <c r="CY81" s="6">
        <f t="shared" si="5"/>
        <v>3</v>
      </c>
      <c r="DS81" s="6">
        <f t="shared" ref="DS81:DS112" si="7">SUM(DN81:DR81)</f>
        <v>0</v>
      </c>
      <c r="DT81" s="6">
        <f t="shared" si="6"/>
        <v>0</v>
      </c>
      <c r="DU81" s="6"/>
      <c r="DV81" s="11"/>
      <c r="DW81" s="6">
        <f t="shared" si="4"/>
        <v>0</v>
      </c>
    </row>
    <row r="82" spans="1:127" x14ac:dyDescent="0.25">
      <c r="A82">
        <v>72</v>
      </c>
      <c r="B82" s="11" t="s">
        <v>786</v>
      </c>
      <c r="C82" s="6"/>
      <c r="D82" s="11" t="s">
        <v>122</v>
      </c>
      <c r="E82" s="6" t="s">
        <v>787</v>
      </c>
      <c r="F82" s="6"/>
      <c r="G82" s="6"/>
      <c r="H82" s="6"/>
      <c r="I82" s="6"/>
      <c r="J82" s="6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6"/>
      <c r="AF82" s="6"/>
      <c r="AG82" s="11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11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6"/>
      <c r="CJ82" s="6"/>
      <c r="CK82" s="11"/>
      <c r="CL82" s="11"/>
      <c r="CM82" s="11"/>
      <c r="CN82" s="11"/>
      <c r="CO82" s="11"/>
      <c r="CP82" s="11"/>
      <c r="CQ82" s="6"/>
      <c r="CR82" s="6"/>
      <c r="CS82" s="11">
        <v>3</v>
      </c>
      <c r="CT82" s="11"/>
      <c r="CU82" s="11"/>
      <c r="CV82" s="11"/>
      <c r="CW82" s="6"/>
      <c r="CX82" s="6"/>
      <c r="CY82" s="6">
        <f t="shared" si="5"/>
        <v>3</v>
      </c>
      <c r="DS82" s="6">
        <f t="shared" si="7"/>
        <v>0</v>
      </c>
      <c r="DT82" s="6">
        <f t="shared" si="6"/>
        <v>0</v>
      </c>
      <c r="DU82" s="6"/>
      <c r="DV82" s="11"/>
      <c r="DW82" s="6">
        <f t="shared" si="4"/>
        <v>0</v>
      </c>
    </row>
    <row r="83" spans="1:127" x14ac:dyDescent="0.25">
      <c r="A83">
        <v>73</v>
      </c>
      <c r="B83" s="11" t="s">
        <v>647</v>
      </c>
      <c r="C83" s="6"/>
      <c r="D83" s="11" t="s">
        <v>788</v>
      </c>
      <c r="E83" s="6" t="s">
        <v>93</v>
      </c>
      <c r="F83" s="6"/>
      <c r="G83" s="6"/>
      <c r="H83" s="6"/>
      <c r="I83" s="6"/>
      <c r="J83" s="6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6"/>
      <c r="AF83" s="6"/>
      <c r="AG83" s="11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11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6"/>
      <c r="CJ83" s="6"/>
      <c r="CK83" s="11"/>
      <c r="CL83" s="11"/>
      <c r="CM83" s="11"/>
      <c r="CN83" s="11"/>
      <c r="CO83" s="11"/>
      <c r="CP83" s="11"/>
      <c r="CQ83" s="6"/>
      <c r="CR83" s="6"/>
      <c r="CS83" s="11">
        <v>3</v>
      </c>
      <c r="CT83" s="11"/>
      <c r="CU83" s="11"/>
      <c r="CV83" s="11"/>
      <c r="CW83" s="6"/>
      <c r="CX83" s="6"/>
      <c r="CY83" s="6">
        <f t="shared" si="5"/>
        <v>3</v>
      </c>
      <c r="DS83" s="6">
        <f t="shared" si="7"/>
        <v>0</v>
      </c>
      <c r="DT83" s="6">
        <f t="shared" si="6"/>
        <v>0</v>
      </c>
      <c r="DU83" s="6"/>
      <c r="DV83" s="11"/>
      <c r="DW83" s="6">
        <f t="shared" si="4"/>
        <v>0</v>
      </c>
    </row>
    <row r="84" spans="1:127" x14ac:dyDescent="0.25">
      <c r="A84">
        <v>74</v>
      </c>
      <c r="B84" s="11" t="s">
        <v>349</v>
      </c>
      <c r="C84" s="6"/>
      <c r="D84" s="11" t="s">
        <v>527</v>
      </c>
      <c r="E84" s="6" t="s">
        <v>673</v>
      </c>
      <c r="F84" s="6"/>
      <c r="G84" s="6"/>
      <c r="H84" s="6"/>
      <c r="I84" s="6"/>
      <c r="J84" s="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6"/>
      <c r="AF84" s="6"/>
      <c r="AG84" s="11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11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6"/>
      <c r="CJ84" s="6"/>
      <c r="CK84" s="11"/>
      <c r="CL84" s="11"/>
      <c r="CM84" s="11"/>
      <c r="CN84" s="11"/>
      <c r="CO84" s="11"/>
      <c r="CP84" s="11"/>
      <c r="CQ84" s="6"/>
      <c r="CR84" s="6"/>
      <c r="CS84" s="11">
        <v>2.4</v>
      </c>
      <c r="CT84" s="11"/>
      <c r="CU84" s="11"/>
      <c r="CV84" s="11"/>
      <c r="CW84" s="6"/>
      <c r="CX84" s="6"/>
      <c r="CY84" s="6">
        <f t="shared" si="5"/>
        <v>2.4</v>
      </c>
      <c r="DS84" s="6">
        <f t="shared" si="7"/>
        <v>0</v>
      </c>
      <c r="DT84" s="6">
        <f t="shared" si="6"/>
        <v>0</v>
      </c>
      <c r="DU84" s="6"/>
      <c r="DV84" s="11"/>
      <c r="DW84" s="6">
        <f t="shared" si="4"/>
        <v>0</v>
      </c>
    </row>
    <row r="85" spans="1:127" x14ac:dyDescent="0.25">
      <c r="A85">
        <v>75</v>
      </c>
      <c r="B85" s="11" t="s">
        <v>795</v>
      </c>
      <c r="C85" s="6"/>
      <c r="D85" s="11" t="s">
        <v>796</v>
      </c>
      <c r="E85" s="6" t="s">
        <v>83</v>
      </c>
      <c r="F85" s="6"/>
      <c r="G85" s="6"/>
      <c r="H85" s="6"/>
      <c r="I85" s="6"/>
      <c r="J85" s="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6"/>
      <c r="AF85" s="6"/>
      <c r="AG85" s="11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11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6"/>
      <c r="CJ85" s="6"/>
      <c r="CK85" s="11"/>
      <c r="CL85" s="11"/>
      <c r="CM85" s="11"/>
      <c r="CN85" s="11"/>
      <c r="CO85" s="11"/>
      <c r="CP85" s="11"/>
      <c r="CQ85" s="6"/>
      <c r="CR85" s="6"/>
      <c r="CS85" s="11">
        <v>2.4</v>
      </c>
      <c r="CT85" s="11"/>
      <c r="CU85" s="11"/>
      <c r="CV85" s="11"/>
      <c r="CW85" s="6"/>
      <c r="CX85" s="6"/>
      <c r="CY85" s="6">
        <f t="shared" si="5"/>
        <v>2.4</v>
      </c>
      <c r="DS85" s="6">
        <f t="shared" si="7"/>
        <v>0</v>
      </c>
      <c r="DT85" s="6">
        <f t="shared" si="6"/>
        <v>0</v>
      </c>
      <c r="DU85" s="6"/>
      <c r="DV85" s="11"/>
      <c r="DW85" s="6">
        <f t="shared" si="4"/>
        <v>0</v>
      </c>
    </row>
    <row r="86" spans="1:127" x14ac:dyDescent="0.25">
      <c r="A86">
        <v>76</v>
      </c>
      <c r="B86" s="11" t="s">
        <v>576</v>
      </c>
      <c r="C86" s="6"/>
      <c r="D86" s="11" t="s">
        <v>74</v>
      </c>
      <c r="E86" s="6" t="s">
        <v>275</v>
      </c>
      <c r="F86" s="6"/>
      <c r="G86" s="6"/>
      <c r="H86" s="6"/>
      <c r="I86" s="6"/>
      <c r="J86" s="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6"/>
      <c r="AF86" s="6"/>
      <c r="AG86" s="11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11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6"/>
      <c r="CJ86" s="6"/>
      <c r="CK86" s="11"/>
      <c r="CL86" s="11">
        <v>4</v>
      </c>
      <c r="CM86" s="11"/>
      <c r="CN86" s="11"/>
      <c r="CO86" s="11"/>
      <c r="CP86" s="11"/>
      <c r="CQ86" s="6">
        <f t="shared" ref="CQ86:CQ96" si="8">SUM(CJ86:CP86)</f>
        <v>4</v>
      </c>
      <c r="CR86" s="6">
        <f t="shared" ref="CR86:CR96" si="9">(CQ86-CJ86)/2</f>
        <v>2</v>
      </c>
      <c r="CS86" s="11"/>
      <c r="CT86" s="11"/>
      <c r="CU86" s="11"/>
      <c r="CV86" s="11"/>
      <c r="CW86" s="6"/>
      <c r="CX86" s="6"/>
      <c r="CY86" s="6">
        <f t="shared" si="5"/>
        <v>2</v>
      </c>
      <c r="DM86">
        <f>SUM(DE86:DG86)</f>
        <v>0</v>
      </c>
      <c r="DN86">
        <f>(DM86-DE86)/2</f>
        <v>0</v>
      </c>
      <c r="DS86" s="6">
        <f t="shared" si="7"/>
        <v>0</v>
      </c>
      <c r="DT86" s="6">
        <f t="shared" si="6"/>
        <v>0</v>
      </c>
      <c r="DU86" s="6"/>
      <c r="DV86" s="11"/>
      <c r="DW86" s="6">
        <f t="shared" si="4"/>
        <v>0</v>
      </c>
    </row>
    <row r="87" spans="1:127" x14ac:dyDescent="0.25">
      <c r="A87">
        <v>77</v>
      </c>
      <c r="B87" s="11" t="s">
        <v>594</v>
      </c>
      <c r="C87" s="6"/>
      <c r="D87" s="11" t="s">
        <v>33</v>
      </c>
      <c r="E87" s="6" t="s">
        <v>595</v>
      </c>
      <c r="F87" s="6"/>
      <c r="G87" s="6"/>
      <c r="H87" s="6"/>
      <c r="I87" s="6"/>
      <c r="J87" s="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6"/>
      <c r="AF87" s="6"/>
      <c r="AG87" s="11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11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6"/>
      <c r="CJ87" s="6"/>
      <c r="CK87" s="11">
        <v>3</v>
      </c>
      <c r="CL87" s="11"/>
      <c r="CM87" s="11"/>
      <c r="CN87" s="11"/>
      <c r="CO87" s="11"/>
      <c r="CP87" s="11"/>
      <c r="CQ87" s="6">
        <f t="shared" si="8"/>
        <v>3</v>
      </c>
      <c r="CR87" s="6">
        <f t="shared" si="9"/>
        <v>1.5</v>
      </c>
      <c r="CS87" s="11"/>
      <c r="CT87" s="11"/>
      <c r="CU87" s="11"/>
      <c r="CV87" s="11"/>
      <c r="CW87" s="6"/>
      <c r="CX87" s="6"/>
      <c r="CY87" s="6">
        <f t="shared" si="5"/>
        <v>1.5</v>
      </c>
      <c r="DM87">
        <f>SUM(DE87:DG87)</f>
        <v>0</v>
      </c>
      <c r="DN87">
        <f>(DM87-DE87)/2</f>
        <v>0</v>
      </c>
      <c r="DS87" s="6">
        <f t="shared" si="7"/>
        <v>0</v>
      </c>
      <c r="DT87" s="6">
        <f t="shared" si="6"/>
        <v>0</v>
      </c>
      <c r="DU87" s="6"/>
      <c r="DV87" s="11"/>
      <c r="DW87" s="6">
        <f t="shared" si="4"/>
        <v>0</v>
      </c>
    </row>
    <row r="88" spans="1:127" x14ac:dyDescent="0.25">
      <c r="A88">
        <v>78</v>
      </c>
      <c r="B88" s="11" t="s">
        <v>492</v>
      </c>
      <c r="C88" s="6"/>
      <c r="D88" s="11" t="s">
        <v>108</v>
      </c>
      <c r="E88" s="6" t="s">
        <v>21</v>
      </c>
      <c r="F88" s="6"/>
      <c r="G88" s="6"/>
      <c r="H88" s="6"/>
      <c r="I88" s="6"/>
      <c r="J88" s="6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6"/>
      <c r="AF88" s="6"/>
      <c r="AG88" s="11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11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6"/>
      <c r="CJ88" s="6"/>
      <c r="CK88" s="11">
        <v>2.4</v>
      </c>
      <c r="CL88" s="11"/>
      <c r="CM88" s="11"/>
      <c r="CN88" s="11"/>
      <c r="CO88" s="11"/>
      <c r="CP88" s="11"/>
      <c r="CQ88" s="6">
        <f t="shared" si="8"/>
        <v>2.4</v>
      </c>
      <c r="CR88" s="6">
        <f t="shared" si="9"/>
        <v>1.2</v>
      </c>
      <c r="CS88" s="11"/>
      <c r="CT88" s="11"/>
      <c r="CU88" s="11"/>
      <c r="CV88" s="11"/>
      <c r="CW88" s="6"/>
      <c r="CX88" s="6"/>
      <c r="CY88" s="6">
        <f t="shared" si="5"/>
        <v>1.2</v>
      </c>
      <c r="DS88" s="6">
        <f t="shared" si="7"/>
        <v>0</v>
      </c>
      <c r="DT88" s="6">
        <f t="shared" si="6"/>
        <v>0</v>
      </c>
      <c r="DU88" s="6"/>
      <c r="DV88" s="11"/>
      <c r="DW88" s="6">
        <f t="shared" si="4"/>
        <v>0</v>
      </c>
    </row>
    <row r="89" spans="1:127" x14ac:dyDescent="0.25">
      <c r="A89">
        <v>79</v>
      </c>
      <c r="B89" s="11" t="s">
        <v>605</v>
      </c>
      <c r="C89" s="6"/>
      <c r="D89" s="11" t="s">
        <v>63</v>
      </c>
      <c r="E89" s="6" t="s">
        <v>606</v>
      </c>
      <c r="F89" s="6"/>
      <c r="G89" s="6"/>
      <c r="H89" s="6"/>
      <c r="I89" s="6"/>
      <c r="J89" s="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6"/>
      <c r="AF89" s="6"/>
      <c r="AG89" s="11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11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6"/>
      <c r="CJ89" s="6"/>
      <c r="CK89" s="11">
        <v>2.4</v>
      </c>
      <c r="CL89" s="11"/>
      <c r="CM89" s="11"/>
      <c r="CN89" s="11"/>
      <c r="CO89" s="11"/>
      <c r="CP89" s="11"/>
      <c r="CQ89" s="6">
        <f t="shared" si="8"/>
        <v>2.4</v>
      </c>
      <c r="CR89" s="6">
        <f t="shared" si="9"/>
        <v>1.2</v>
      </c>
      <c r="CS89" s="11"/>
      <c r="CT89" s="11"/>
      <c r="CU89" s="11"/>
      <c r="CV89" s="11"/>
      <c r="CW89" s="6"/>
      <c r="CX89" s="6"/>
      <c r="CY89" s="6">
        <f t="shared" si="5"/>
        <v>1.2</v>
      </c>
      <c r="DM89">
        <f>SUM(DE89:DG89)</f>
        <v>0</v>
      </c>
      <c r="DN89">
        <f t="shared" ref="DN89:DN96" si="10">(DM89-DE89)/2</f>
        <v>0</v>
      </c>
      <c r="DS89" s="6">
        <f t="shared" si="7"/>
        <v>0</v>
      </c>
      <c r="DT89" s="6">
        <f t="shared" si="6"/>
        <v>0</v>
      </c>
      <c r="DU89" s="6"/>
      <c r="DV89" s="11"/>
      <c r="DW89" s="6">
        <f t="shared" si="4"/>
        <v>0</v>
      </c>
    </row>
    <row r="90" spans="1:127" x14ac:dyDescent="0.25">
      <c r="A90">
        <v>80</v>
      </c>
      <c r="B90" s="11" t="s">
        <v>177</v>
      </c>
      <c r="C90" s="6"/>
      <c r="D90" s="11" t="s">
        <v>170</v>
      </c>
      <c r="E90" s="6" t="s">
        <v>53</v>
      </c>
      <c r="F90" s="6"/>
      <c r="G90" s="6"/>
      <c r="H90" s="6"/>
      <c r="I90" s="6"/>
      <c r="J90" s="6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6"/>
      <c r="AF90" s="6"/>
      <c r="AG90" s="11">
        <v>36</v>
      </c>
      <c r="AH90" s="6"/>
      <c r="AI90" s="6"/>
      <c r="AJ90" s="6"/>
      <c r="AK90" s="6">
        <v>36</v>
      </c>
      <c r="AL90" s="6"/>
      <c r="AM90" s="6"/>
      <c r="AN90" s="6"/>
      <c r="AO90" s="6">
        <v>40</v>
      </c>
      <c r="AP90" s="6"/>
      <c r="AQ90" s="6"/>
      <c r="AR90" s="6">
        <v>5</v>
      </c>
      <c r="AS90" s="6"/>
      <c r="AT90" s="6">
        <v>48</v>
      </c>
      <c r="AU90" s="6"/>
      <c r="AV90" s="6"/>
      <c r="AW90" s="6"/>
      <c r="AX90" s="6"/>
      <c r="AY90" s="6"/>
      <c r="AZ90" s="6">
        <v>5</v>
      </c>
      <c r="BA90" s="6"/>
      <c r="BB90" s="6"/>
      <c r="BC90" s="6"/>
      <c r="BD90" s="11">
        <v>54</v>
      </c>
      <c r="BE90" s="6">
        <f>SUM(AF90:BD90)</f>
        <v>224</v>
      </c>
      <c r="BF90" s="6">
        <f>(BE90-AF90)/2</f>
        <v>112</v>
      </c>
      <c r="BG90" s="6"/>
      <c r="BH90" s="6"/>
      <c r="BI90" s="6"/>
      <c r="BJ90" s="6"/>
      <c r="BK90" s="6"/>
      <c r="BL90" s="6"/>
      <c r="BM90" s="6"/>
      <c r="BN90" s="6"/>
      <c r="BO90" s="6">
        <v>48</v>
      </c>
      <c r="BP90" s="6"/>
      <c r="BQ90" s="11">
        <v>54</v>
      </c>
      <c r="BR90" s="11"/>
      <c r="BS90" s="11"/>
      <c r="BT90" s="11"/>
      <c r="BU90" s="11"/>
      <c r="BV90" s="11">
        <v>80</v>
      </c>
      <c r="BW90" s="11">
        <v>75</v>
      </c>
      <c r="BX90" s="11"/>
      <c r="BY90" s="11"/>
      <c r="BZ90" s="11"/>
      <c r="CA90" s="11"/>
      <c r="CB90" s="11"/>
      <c r="CC90" s="11">
        <v>36</v>
      </c>
      <c r="CD90" s="11"/>
      <c r="CE90" s="11"/>
      <c r="CF90" s="11"/>
      <c r="CG90" s="11">
        <v>75</v>
      </c>
      <c r="CH90" s="11"/>
      <c r="CI90" s="6">
        <f t="shared" ref="CI90:CI96" si="11">SUM(BF90:CH90)</f>
        <v>480</v>
      </c>
      <c r="CJ90" s="6">
        <f t="shared" ref="CJ90:CJ96" si="12">(CI90-BF90)/2</f>
        <v>184</v>
      </c>
      <c r="CK90" s="11"/>
      <c r="CL90" s="11"/>
      <c r="CM90" s="11"/>
      <c r="CN90" s="11"/>
      <c r="CO90" s="11"/>
      <c r="CP90" s="11"/>
      <c r="CQ90" s="6">
        <f t="shared" si="8"/>
        <v>184</v>
      </c>
      <c r="CR90" s="6">
        <f t="shared" si="9"/>
        <v>0</v>
      </c>
      <c r="CS90" s="11"/>
      <c r="CT90" s="11"/>
      <c r="CU90" s="11"/>
      <c r="CV90" s="11"/>
      <c r="CW90" s="6"/>
      <c r="CX90" s="6"/>
      <c r="CY90" s="6">
        <f t="shared" si="5"/>
        <v>0</v>
      </c>
      <c r="DA90" s="8">
        <f>BE90/4</f>
        <v>56</v>
      </c>
      <c r="DB90" s="8"/>
      <c r="DC90" s="8"/>
      <c r="DD90" s="8">
        <f>SUM(DA90:DC90)</f>
        <v>56</v>
      </c>
      <c r="DE90">
        <f t="shared" ref="DE90:DE96" si="13">DD90/2</f>
        <v>28</v>
      </c>
      <c r="DF90" s="8">
        <f t="shared" ref="DF90:DF96" si="14">CI90/4</f>
        <v>120</v>
      </c>
      <c r="DG90" s="8">
        <v>14</v>
      </c>
      <c r="DJ90" s="8">
        <v>75</v>
      </c>
      <c r="DK90" s="8">
        <v>36</v>
      </c>
      <c r="DM90">
        <f>SUM(DE90:DK90)</f>
        <v>273</v>
      </c>
      <c r="DN90">
        <f t="shared" si="10"/>
        <v>122.5</v>
      </c>
      <c r="DS90" s="6">
        <f t="shared" si="7"/>
        <v>122.5</v>
      </c>
      <c r="DT90" s="6">
        <f t="shared" si="6"/>
        <v>0</v>
      </c>
      <c r="DU90" s="6"/>
      <c r="DV90" s="11"/>
      <c r="DW90" s="6">
        <f t="shared" si="4"/>
        <v>0</v>
      </c>
    </row>
    <row r="91" spans="1:127" x14ac:dyDescent="0.25">
      <c r="A91">
        <v>81</v>
      </c>
      <c r="B91" s="11" t="s">
        <v>64</v>
      </c>
      <c r="C91" s="6" t="s">
        <v>97</v>
      </c>
      <c r="D91" s="11" t="s">
        <v>22</v>
      </c>
      <c r="E91" s="6" t="s">
        <v>111</v>
      </c>
      <c r="F91" s="6"/>
      <c r="G91" s="6"/>
      <c r="H91" s="6"/>
      <c r="I91" s="6"/>
      <c r="J91" s="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6"/>
      <c r="AF91" s="6"/>
      <c r="AG91" s="11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11"/>
      <c r="BE91" s="6"/>
      <c r="BF91" s="6"/>
      <c r="BG91" s="6"/>
      <c r="BH91" s="6"/>
      <c r="BI91" s="6"/>
      <c r="BJ91" s="6"/>
      <c r="BK91" s="6"/>
      <c r="BL91" s="6"/>
      <c r="BM91" s="6">
        <v>48</v>
      </c>
      <c r="BN91" s="6"/>
      <c r="BO91" s="6"/>
      <c r="BP91" s="6"/>
      <c r="BQ91" s="11">
        <v>75</v>
      </c>
      <c r="BR91" s="11"/>
      <c r="BS91" s="11"/>
      <c r="BT91" s="11"/>
      <c r="BU91" s="11"/>
      <c r="BV91" s="11">
        <v>40</v>
      </c>
      <c r="BW91" s="11">
        <v>54</v>
      </c>
      <c r="BX91" s="11"/>
      <c r="BY91" s="11"/>
      <c r="BZ91" s="11"/>
      <c r="CA91" s="11"/>
      <c r="CB91" s="11"/>
      <c r="CC91" s="11"/>
      <c r="CD91" s="11"/>
      <c r="CE91" s="11">
        <v>48</v>
      </c>
      <c r="CF91" s="11"/>
      <c r="CG91" s="11">
        <v>7.5</v>
      </c>
      <c r="CH91" s="11">
        <v>10</v>
      </c>
      <c r="CI91" s="6">
        <f t="shared" si="11"/>
        <v>282.5</v>
      </c>
      <c r="CJ91" s="6">
        <f t="shared" si="12"/>
        <v>141.25</v>
      </c>
      <c r="CK91" s="11"/>
      <c r="CL91" s="11"/>
      <c r="CM91" s="11"/>
      <c r="CN91" s="11"/>
      <c r="CO91" s="11"/>
      <c r="CP91" s="11"/>
      <c r="CQ91" s="6">
        <f t="shared" si="8"/>
        <v>141.25</v>
      </c>
      <c r="CR91" s="6">
        <f t="shared" si="9"/>
        <v>0</v>
      </c>
      <c r="CS91" s="11"/>
      <c r="CT91" s="11"/>
      <c r="CU91" s="11"/>
      <c r="CV91" s="11"/>
      <c r="CW91" s="6"/>
      <c r="CX91" s="6"/>
      <c r="CY91" s="6">
        <f t="shared" si="5"/>
        <v>0</v>
      </c>
      <c r="DE91">
        <f t="shared" si="13"/>
        <v>0</v>
      </c>
      <c r="DF91" s="8">
        <f t="shared" si="14"/>
        <v>70.625</v>
      </c>
      <c r="DM91">
        <f>SUM(DE91:DG91)</f>
        <v>70.625</v>
      </c>
      <c r="DN91">
        <f t="shared" si="10"/>
        <v>35.3125</v>
      </c>
      <c r="DS91" s="6">
        <f t="shared" si="7"/>
        <v>35.3125</v>
      </c>
      <c r="DT91" s="6">
        <f t="shared" si="6"/>
        <v>0</v>
      </c>
      <c r="DU91" s="6"/>
      <c r="DV91" s="11"/>
      <c r="DW91" s="6">
        <f t="shared" si="4"/>
        <v>0</v>
      </c>
    </row>
    <row r="92" spans="1:127" x14ac:dyDescent="0.25">
      <c r="A92">
        <v>82</v>
      </c>
      <c r="B92" s="11" t="s">
        <v>109</v>
      </c>
      <c r="C92" s="11"/>
      <c r="D92" s="11" t="s">
        <v>59</v>
      </c>
      <c r="E92" s="6" t="s">
        <v>104</v>
      </c>
      <c r="F92" s="6"/>
      <c r="G92" s="6"/>
      <c r="H92" s="6"/>
      <c r="I92" s="11">
        <v>5</v>
      </c>
      <c r="J92" s="11"/>
      <c r="K92" s="11"/>
      <c r="L92" s="11"/>
      <c r="M92" s="11"/>
      <c r="N92" s="11"/>
      <c r="O92" s="11"/>
      <c r="P92" s="11"/>
      <c r="Q92" s="11">
        <v>42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7">
        <f>SUM(F92:AD92)</f>
        <v>47</v>
      </c>
      <c r="AF92" s="6">
        <f>AE92/2</f>
        <v>23.5</v>
      </c>
      <c r="AG92" s="11"/>
      <c r="AH92" s="6"/>
      <c r="AI92" s="6"/>
      <c r="AJ92" s="6"/>
      <c r="AK92" s="6"/>
      <c r="AL92" s="6"/>
      <c r="AM92" s="6"/>
      <c r="AN92" s="6">
        <v>80</v>
      </c>
      <c r="AO92" s="6"/>
      <c r="AP92" s="6"/>
      <c r="AQ92" s="6"/>
      <c r="AR92" s="6">
        <v>16</v>
      </c>
      <c r="AS92" s="6"/>
      <c r="AT92" s="6"/>
      <c r="AU92" s="6"/>
      <c r="AV92" s="6"/>
      <c r="AW92" s="6"/>
      <c r="AX92" s="6"/>
      <c r="AY92" s="6">
        <v>48</v>
      </c>
      <c r="AZ92" s="6"/>
      <c r="BA92" s="6"/>
      <c r="BB92" s="6"/>
      <c r="BC92" s="6"/>
      <c r="BD92" s="11">
        <v>54</v>
      </c>
      <c r="BE92" s="6">
        <f>SUM(AF92:BD92)</f>
        <v>221.5</v>
      </c>
      <c r="BF92" s="6">
        <f>(BE92-AF92)/2</f>
        <v>99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11"/>
      <c r="BR92" s="11"/>
      <c r="BS92" s="11">
        <v>70</v>
      </c>
      <c r="BT92" s="11"/>
      <c r="BU92" s="11"/>
      <c r="BV92" s="11"/>
      <c r="BW92" s="11">
        <v>18</v>
      </c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6">
        <f t="shared" si="11"/>
        <v>187</v>
      </c>
      <c r="CJ92" s="6">
        <f t="shared" si="12"/>
        <v>44</v>
      </c>
      <c r="CK92" s="11"/>
      <c r="CL92" s="11"/>
      <c r="CM92" s="11"/>
      <c r="CN92" s="11"/>
      <c r="CO92" s="11"/>
      <c r="CP92" s="11"/>
      <c r="CQ92" s="6">
        <f t="shared" si="8"/>
        <v>44</v>
      </c>
      <c r="CR92" s="6">
        <f t="shared" si="9"/>
        <v>0</v>
      </c>
      <c r="CS92" s="11"/>
      <c r="CT92" s="11"/>
      <c r="CU92" s="11"/>
      <c r="CV92" s="11"/>
      <c r="CW92" s="6"/>
      <c r="CX92" s="6"/>
      <c r="CY92" s="6">
        <f t="shared" si="5"/>
        <v>0</v>
      </c>
      <c r="DA92" s="8">
        <f>BE92/4</f>
        <v>55.375</v>
      </c>
      <c r="DB92" s="8"/>
      <c r="DC92" s="8"/>
      <c r="DD92" s="8">
        <f>SUM(DA92:DB92)</f>
        <v>55.375</v>
      </c>
      <c r="DE92">
        <f t="shared" si="13"/>
        <v>27.6875</v>
      </c>
      <c r="DF92" s="8">
        <f t="shared" si="14"/>
        <v>46.75</v>
      </c>
      <c r="DM92">
        <f>SUM(DE92:DL92)</f>
        <v>74.4375</v>
      </c>
      <c r="DN92">
        <f t="shared" si="10"/>
        <v>23.375</v>
      </c>
      <c r="DS92" s="6">
        <f t="shared" si="7"/>
        <v>23.375</v>
      </c>
      <c r="DT92" s="6">
        <f t="shared" si="6"/>
        <v>0</v>
      </c>
      <c r="DU92" s="6"/>
      <c r="DV92" s="11"/>
      <c r="DW92" s="6">
        <f t="shared" si="4"/>
        <v>0</v>
      </c>
    </row>
    <row r="93" spans="1:127" x14ac:dyDescent="0.25">
      <c r="A93">
        <v>83</v>
      </c>
      <c r="B93" s="11" t="s">
        <v>87</v>
      </c>
      <c r="C93" s="6"/>
      <c r="D93" s="11" t="s">
        <v>222</v>
      </c>
      <c r="E93" s="6" t="s">
        <v>196</v>
      </c>
      <c r="F93" s="6"/>
      <c r="G93" s="6"/>
      <c r="H93" s="6"/>
      <c r="I93" s="6"/>
      <c r="J93" s="6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6"/>
      <c r="AF93" s="6"/>
      <c r="AG93" s="11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11"/>
      <c r="BE93" s="6"/>
      <c r="BF93" s="6"/>
      <c r="BG93" s="6"/>
      <c r="BH93" s="6"/>
      <c r="BI93" s="6"/>
      <c r="BJ93" s="6">
        <v>36</v>
      </c>
      <c r="BK93" s="6"/>
      <c r="BL93" s="6"/>
      <c r="BM93" s="6"/>
      <c r="BN93" s="6"/>
      <c r="BO93" s="6"/>
      <c r="BP93" s="6"/>
      <c r="BQ93" s="11"/>
      <c r="BR93" s="11"/>
      <c r="BS93" s="11"/>
      <c r="BT93" s="11">
        <v>28.8</v>
      </c>
      <c r="BU93" s="11"/>
      <c r="BV93" s="11"/>
      <c r="BW93" s="11"/>
      <c r="BX93" s="11"/>
      <c r="BY93" s="11"/>
      <c r="BZ93" s="11"/>
      <c r="CA93" s="11"/>
      <c r="CB93" s="11">
        <v>2.4</v>
      </c>
      <c r="CC93" s="11"/>
      <c r="CD93" s="11"/>
      <c r="CE93" s="11"/>
      <c r="CF93" s="11"/>
      <c r="CG93" s="11"/>
      <c r="CH93" s="11"/>
      <c r="CI93" s="6">
        <f t="shared" si="11"/>
        <v>67.2</v>
      </c>
      <c r="CJ93" s="6">
        <f t="shared" si="12"/>
        <v>33.6</v>
      </c>
      <c r="CK93" s="11"/>
      <c r="CL93" s="11"/>
      <c r="CM93" s="11"/>
      <c r="CN93" s="11"/>
      <c r="CO93" s="11"/>
      <c r="CP93" s="11"/>
      <c r="CQ93" s="6">
        <f t="shared" si="8"/>
        <v>33.6</v>
      </c>
      <c r="CR93" s="6">
        <f t="shared" si="9"/>
        <v>0</v>
      </c>
      <c r="CS93" s="11"/>
      <c r="CT93" s="11"/>
      <c r="CU93" s="11"/>
      <c r="CV93" s="11"/>
      <c r="CW93" s="6"/>
      <c r="CX93" s="6"/>
      <c r="CY93" s="6">
        <f t="shared" si="5"/>
        <v>0</v>
      </c>
      <c r="DE93">
        <f t="shared" si="13"/>
        <v>0</v>
      </c>
      <c r="DF93" s="8">
        <f t="shared" si="14"/>
        <v>16.8</v>
      </c>
      <c r="DM93">
        <f>SUM(DE93:DG93)</f>
        <v>16.8</v>
      </c>
      <c r="DN93">
        <f t="shared" si="10"/>
        <v>8.4</v>
      </c>
      <c r="DS93" s="6">
        <f t="shared" si="7"/>
        <v>8.4</v>
      </c>
      <c r="DT93" s="6">
        <f t="shared" si="6"/>
        <v>0</v>
      </c>
      <c r="DU93" s="6"/>
      <c r="DV93" s="11"/>
      <c r="DW93" s="6">
        <f t="shared" si="4"/>
        <v>0</v>
      </c>
    </row>
    <row r="94" spans="1:127" x14ac:dyDescent="0.25">
      <c r="A94">
        <v>84</v>
      </c>
      <c r="B94" s="11" t="s">
        <v>379</v>
      </c>
      <c r="C94" s="6"/>
      <c r="D94" s="11" t="s">
        <v>378</v>
      </c>
      <c r="E94" s="6" t="s">
        <v>374</v>
      </c>
      <c r="F94" s="6"/>
      <c r="G94" s="6"/>
      <c r="H94" s="6"/>
      <c r="I94" s="6"/>
      <c r="J94" s="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6"/>
      <c r="AF94" s="6"/>
      <c r="AG94" s="11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11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11"/>
      <c r="BR94" s="11">
        <v>42</v>
      </c>
      <c r="BS94" s="11"/>
      <c r="BT94" s="11">
        <v>4</v>
      </c>
      <c r="BU94" s="11"/>
      <c r="BV94" s="11"/>
      <c r="BW94" s="11">
        <v>7.5</v>
      </c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6">
        <f t="shared" si="11"/>
        <v>53.5</v>
      </c>
      <c r="CJ94" s="6">
        <f t="shared" si="12"/>
        <v>26.75</v>
      </c>
      <c r="CK94" s="11"/>
      <c r="CL94" s="11"/>
      <c r="CM94" s="11"/>
      <c r="CN94" s="11"/>
      <c r="CO94" s="11"/>
      <c r="CP94" s="11"/>
      <c r="CQ94" s="6">
        <f t="shared" si="8"/>
        <v>26.75</v>
      </c>
      <c r="CR94" s="6">
        <f t="shared" si="9"/>
        <v>0</v>
      </c>
      <c r="CS94" s="11"/>
      <c r="CT94" s="11"/>
      <c r="CU94" s="11"/>
      <c r="CV94" s="11"/>
      <c r="CW94" s="6"/>
      <c r="CX94" s="6"/>
      <c r="CY94" s="6">
        <f t="shared" si="5"/>
        <v>0</v>
      </c>
      <c r="DE94">
        <f t="shared" si="13"/>
        <v>0</v>
      </c>
      <c r="DF94" s="8">
        <f t="shared" si="14"/>
        <v>13.375</v>
      </c>
      <c r="DM94">
        <f>SUM(DE94:DG94)</f>
        <v>13.375</v>
      </c>
      <c r="DN94">
        <f t="shared" si="10"/>
        <v>6.6875</v>
      </c>
      <c r="DS94" s="6">
        <f t="shared" si="7"/>
        <v>6.6875</v>
      </c>
      <c r="DT94" s="6">
        <f t="shared" si="6"/>
        <v>0</v>
      </c>
      <c r="DU94" s="6"/>
      <c r="DV94" s="11"/>
      <c r="DW94" s="6">
        <f t="shared" si="4"/>
        <v>0</v>
      </c>
    </row>
    <row r="95" spans="1:127" x14ac:dyDescent="0.25">
      <c r="A95">
        <v>85</v>
      </c>
      <c r="B95" s="11" t="s">
        <v>39</v>
      </c>
      <c r="C95" s="6"/>
      <c r="D95" s="11" t="s">
        <v>110</v>
      </c>
      <c r="E95" s="6" t="s">
        <v>374</v>
      </c>
      <c r="F95" s="6"/>
      <c r="G95" s="6"/>
      <c r="H95" s="6"/>
      <c r="I95" s="6"/>
      <c r="J95" s="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6"/>
      <c r="AF95" s="6"/>
      <c r="AG95" s="11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33.6</v>
      </c>
      <c r="BC95" s="6"/>
      <c r="BD95" s="11"/>
      <c r="BE95" s="6">
        <f>SUM(AF95:BD95)</f>
        <v>33.6</v>
      </c>
      <c r="BF95" s="6">
        <f>(BE95-AF95)/2</f>
        <v>16.8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11"/>
      <c r="BR95" s="11">
        <v>30</v>
      </c>
      <c r="BS95" s="11"/>
      <c r="BT95" s="11">
        <v>4</v>
      </c>
      <c r="BU95" s="11"/>
      <c r="BV95" s="11"/>
      <c r="BW95" s="11">
        <v>7.5</v>
      </c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6">
        <f t="shared" si="11"/>
        <v>58.3</v>
      </c>
      <c r="CJ95" s="6">
        <f t="shared" si="12"/>
        <v>20.75</v>
      </c>
      <c r="CK95" s="11"/>
      <c r="CL95" s="11"/>
      <c r="CM95" s="11"/>
      <c r="CN95" s="11"/>
      <c r="CO95" s="11"/>
      <c r="CP95" s="11"/>
      <c r="CQ95" s="6">
        <f t="shared" si="8"/>
        <v>20.75</v>
      </c>
      <c r="CR95" s="6">
        <f t="shared" si="9"/>
        <v>0</v>
      </c>
      <c r="CS95" s="11"/>
      <c r="CT95" s="11"/>
      <c r="CU95" s="11"/>
      <c r="CV95" s="11"/>
      <c r="CW95" s="6"/>
      <c r="CX95" s="6"/>
      <c r="CY95" s="6">
        <f t="shared" si="5"/>
        <v>0</v>
      </c>
      <c r="DA95" s="8">
        <f>BE95/4</f>
        <v>8.4</v>
      </c>
      <c r="DB95" s="8"/>
      <c r="DC95" s="8"/>
      <c r="DD95" s="8">
        <f>SUM(DA95:DB95)</f>
        <v>8.4</v>
      </c>
      <c r="DE95">
        <f t="shared" si="13"/>
        <v>4.2</v>
      </c>
      <c r="DF95" s="8">
        <f t="shared" si="14"/>
        <v>14.574999999999999</v>
      </c>
      <c r="DM95">
        <f>SUM(DE95:DG95)</f>
        <v>18.774999999999999</v>
      </c>
      <c r="DN95">
        <f t="shared" si="10"/>
        <v>7.2874999999999996</v>
      </c>
      <c r="DS95" s="6">
        <f t="shared" si="7"/>
        <v>7.2874999999999996</v>
      </c>
      <c r="DT95" s="6">
        <f t="shared" si="6"/>
        <v>0</v>
      </c>
      <c r="DU95" s="6"/>
      <c r="DV95" s="11"/>
      <c r="DW95" s="6">
        <f t="shared" si="4"/>
        <v>0</v>
      </c>
    </row>
    <row r="96" spans="1:127" x14ac:dyDescent="0.25">
      <c r="A96">
        <v>86</v>
      </c>
      <c r="B96" s="11" t="s">
        <v>380</v>
      </c>
      <c r="C96" s="6"/>
      <c r="D96" s="11" t="s">
        <v>386</v>
      </c>
      <c r="E96" s="6" t="s">
        <v>93</v>
      </c>
      <c r="F96" s="6"/>
      <c r="G96" s="6"/>
      <c r="H96" s="6"/>
      <c r="I96" s="6"/>
      <c r="J96" s="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6"/>
      <c r="AF96" s="6"/>
      <c r="AG96" s="11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11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11"/>
      <c r="BR96" s="11"/>
      <c r="BS96" s="11"/>
      <c r="BT96" s="11"/>
      <c r="BU96" s="11">
        <v>28.8</v>
      </c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6">
        <f t="shared" si="11"/>
        <v>28.8</v>
      </c>
      <c r="CJ96" s="6">
        <f t="shared" si="12"/>
        <v>14.4</v>
      </c>
      <c r="CK96" s="11"/>
      <c r="CL96" s="11"/>
      <c r="CM96" s="11"/>
      <c r="CN96" s="11"/>
      <c r="CO96" s="11"/>
      <c r="CP96" s="11"/>
      <c r="CQ96" s="6">
        <f t="shared" si="8"/>
        <v>14.4</v>
      </c>
      <c r="CR96" s="6">
        <f t="shared" si="9"/>
        <v>0</v>
      </c>
      <c r="CS96" s="11"/>
      <c r="CT96" s="11"/>
      <c r="CU96" s="11"/>
      <c r="CV96" s="11"/>
      <c r="CW96" s="6"/>
      <c r="CX96" s="6"/>
      <c r="CY96" s="6">
        <f t="shared" si="5"/>
        <v>0</v>
      </c>
      <c r="DE96">
        <f t="shared" si="13"/>
        <v>0</v>
      </c>
      <c r="DF96" s="8">
        <f t="shared" si="14"/>
        <v>7.2</v>
      </c>
      <c r="DM96">
        <f>SUM(DE96:DG96)</f>
        <v>7.2</v>
      </c>
      <c r="DN96">
        <f t="shared" si="10"/>
        <v>3.6</v>
      </c>
      <c r="DS96" s="6">
        <f t="shared" si="7"/>
        <v>3.6</v>
      </c>
      <c r="DT96" s="6">
        <f t="shared" si="6"/>
        <v>0</v>
      </c>
      <c r="DU96" s="6"/>
      <c r="DV96" s="11"/>
      <c r="DW96" s="6">
        <f t="shared" si="4"/>
        <v>0</v>
      </c>
    </row>
  </sheetData>
  <sortState xmlns:xlrd2="http://schemas.microsoft.com/office/spreadsheetml/2017/richdata2" ref="B11:DW57">
    <sortCondition descending="1" ref="CY11:CY57"/>
  </sortState>
  <mergeCells count="6">
    <mergeCell ref="B1:DW1"/>
    <mergeCell ref="B8:C10"/>
    <mergeCell ref="CM9:CP9"/>
    <mergeCell ref="CU9:CX9"/>
    <mergeCell ref="D4:CY5"/>
    <mergeCell ref="DA4:DW5"/>
  </mergeCells>
  <conditionalFormatting sqref="D11">
    <cfRule type="expression" dxfId="2" priority="2" stopIfTrue="1">
      <formula>#REF!&lt;&gt;#REF!</formula>
    </cfRule>
  </conditionalFormatting>
  <conditionalFormatting sqref="D13:D14">
    <cfRule type="expression" dxfId="1" priority="1" stopIfTrue="1">
      <formula>C12&lt;&gt;#REF!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W84"/>
  <sheetViews>
    <sheetView zoomScale="80" zoomScaleNormal="80" workbookViewId="0">
      <selection activeCell="DZ20" sqref="DZ20"/>
    </sheetView>
  </sheetViews>
  <sheetFormatPr baseColWidth="10" defaultRowHeight="15" x14ac:dyDescent="0.25"/>
  <cols>
    <col min="1" max="1" width="3.28515625" bestFit="1" customWidth="1"/>
    <col min="2" max="2" width="15" bestFit="1" customWidth="1"/>
    <col min="3" max="3" width="13.5703125" bestFit="1" customWidth="1"/>
    <col min="4" max="4" width="14.28515625" bestFit="1" customWidth="1"/>
    <col min="5" max="5" width="22.42578125" bestFit="1" customWidth="1"/>
    <col min="6" max="6" width="6.7109375" style="8" hidden="1" customWidth="1"/>
    <col min="7" max="9" width="6.42578125" hidden="1" customWidth="1"/>
    <col min="10" max="11" width="7.28515625" hidden="1" customWidth="1"/>
    <col min="12" max="13" width="7.28515625" style="8" hidden="1" customWidth="1"/>
    <col min="14" max="21" width="6.28515625" style="8" hidden="1" customWidth="1"/>
    <col min="22" max="25" width="7" style="8" hidden="1" customWidth="1"/>
    <col min="26" max="27" width="6" style="8" hidden="1" customWidth="1"/>
    <col min="28" max="29" width="6.5703125" style="8" hidden="1" customWidth="1"/>
    <col min="30" max="31" width="0" hidden="1" customWidth="1"/>
    <col min="32" max="48" width="6" hidden="1" customWidth="1"/>
    <col min="49" max="49" width="10.5703125" hidden="1" customWidth="1"/>
    <col min="50" max="54" width="6" hidden="1" customWidth="1"/>
    <col min="55" max="55" width="6" style="8" hidden="1" customWidth="1"/>
    <col min="56" max="56" width="6.28515625" hidden="1" customWidth="1"/>
    <col min="57" max="58" width="6.85546875" hidden="1" customWidth="1"/>
    <col min="59" max="59" width="10.5703125" hidden="1" customWidth="1"/>
    <col min="60" max="62" width="6" hidden="1" customWidth="1"/>
    <col min="63" max="73" width="6.28515625" hidden="1" customWidth="1"/>
    <col min="74" max="77" width="6.28515625" style="8" hidden="1" customWidth="1"/>
    <col min="78" max="78" width="10.85546875" style="8" hidden="1" customWidth="1"/>
    <col min="79" max="85" width="6.140625" style="8" hidden="1" customWidth="1"/>
    <col min="86" max="86" width="6.28515625" hidden="1" customWidth="1"/>
    <col min="87" max="87" width="7.85546875" hidden="1" customWidth="1"/>
    <col min="88" max="93" width="6.28515625" style="8" hidden="1" customWidth="1"/>
    <col min="94" max="94" width="7.7109375" bestFit="1" customWidth="1"/>
    <col min="95" max="95" width="7.85546875" bestFit="1" customWidth="1"/>
    <col min="96" max="100" width="6.28515625" style="8" customWidth="1"/>
    <col min="101" max="101" width="6.28515625" customWidth="1"/>
    <col min="102" max="102" width="7.42578125" bestFit="1" customWidth="1"/>
    <col min="104" max="105" width="0" hidden="1" customWidth="1"/>
    <col min="106" max="106" width="7.140625" hidden="1" customWidth="1"/>
    <col min="107" max="107" width="7.5703125" hidden="1" customWidth="1"/>
    <col min="108" max="108" width="7.140625" hidden="1" customWidth="1"/>
    <col min="109" max="111" width="0" hidden="1" customWidth="1"/>
    <col min="112" max="116" width="6" hidden="1" customWidth="1"/>
    <col min="117" max="118" width="0" hidden="1" customWidth="1"/>
    <col min="119" max="119" width="6.7109375" style="8" hidden="1" customWidth="1"/>
    <col min="120" max="123" width="6" style="8" hidden="1" customWidth="1"/>
    <col min="126" max="126" width="9.28515625" style="8" bestFit="1" customWidth="1"/>
  </cols>
  <sheetData>
    <row r="1" spans="1:127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</row>
    <row r="2" spans="1:127" ht="15.75" thickBot="1" x14ac:dyDescent="0.3">
      <c r="C2" s="8"/>
      <c r="D2" s="8"/>
      <c r="E2" s="8"/>
      <c r="CZ2" s="8"/>
      <c r="DE2" s="8"/>
    </row>
    <row r="3" spans="1:127" ht="15.75" thickTop="1" x14ac:dyDescent="0.25">
      <c r="B3" s="1" t="s">
        <v>0</v>
      </c>
      <c r="C3" s="4" t="s">
        <v>18</v>
      </c>
      <c r="CZ3" s="8"/>
      <c r="DE3" s="8"/>
    </row>
    <row r="4" spans="1:127" ht="14.6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Z4" s="32" t="s">
        <v>286</v>
      </c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64" t="s">
        <v>617</v>
      </c>
      <c r="DN4" s="64"/>
      <c r="DO4" s="64"/>
      <c r="DP4" s="64"/>
      <c r="DQ4" s="64"/>
      <c r="DR4" s="64"/>
      <c r="DS4" s="64"/>
      <c r="DT4" s="64"/>
      <c r="DU4" s="64"/>
      <c r="DV4" s="64"/>
      <c r="DW4" s="64"/>
    </row>
    <row r="5" spans="1:127" ht="15" customHeight="1" thickBot="1" x14ac:dyDescent="0.3">
      <c r="B5" s="3" t="s">
        <v>2</v>
      </c>
      <c r="C5" s="33">
        <v>-66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</row>
    <row r="6" spans="1:127" ht="15.75" thickTop="1" x14ac:dyDescent="0.25">
      <c r="CZ6" s="8"/>
      <c r="DE6" s="8"/>
    </row>
    <row r="7" spans="1:127" ht="15.75" thickBot="1" x14ac:dyDescent="0.3">
      <c r="CZ7" s="8"/>
      <c r="DE7" s="8"/>
    </row>
    <row r="8" spans="1:127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25</v>
      </c>
      <c r="H8" s="4" t="s">
        <v>15</v>
      </c>
      <c r="I8" s="4" t="s">
        <v>79</v>
      </c>
      <c r="J8" s="4" t="s">
        <v>100</v>
      </c>
      <c r="K8" s="4" t="s">
        <v>102</v>
      </c>
      <c r="L8" s="4" t="s">
        <v>15</v>
      </c>
      <c r="M8" s="4" t="s">
        <v>15</v>
      </c>
      <c r="N8" s="4" t="s">
        <v>136</v>
      </c>
      <c r="O8" s="4" t="s">
        <v>139</v>
      </c>
      <c r="P8" s="4" t="s">
        <v>142</v>
      </c>
      <c r="Q8" s="4" t="s">
        <v>145</v>
      </c>
      <c r="R8" s="4" t="s">
        <v>15</v>
      </c>
      <c r="S8" s="4" t="s">
        <v>15</v>
      </c>
      <c r="T8" s="4" t="s">
        <v>15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159</v>
      </c>
      <c r="Z8" s="4" t="s">
        <v>15</v>
      </c>
      <c r="AA8" s="4" t="s">
        <v>15</v>
      </c>
      <c r="AB8" s="4" t="s">
        <v>163</v>
      </c>
      <c r="AC8" s="4" t="s">
        <v>164</v>
      </c>
      <c r="AD8" s="1"/>
      <c r="AE8" s="12">
        <v>44927</v>
      </c>
      <c r="AF8" s="4" t="s">
        <v>15</v>
      </c>
      <c r="AG8" s="13" t="s">
        <v>15</v>
      </c>
      <c r="AH8" s="4" t="s">
        <v>15</v>
      </c>
      <c r="AI8" s="4" t="s">
        <v>184</v>
      </c>
      <c r="AJ8" s="4" t="s">
        <v>15</v>
      </c>
      <c r="AK8" s="4" t="s">
        <v>15</v>
      </c>
      <c r="AL8" s="4" t="s">
        <v>15</v>
      </c>
      <c r="AM8" s="4" t="s">
        <v>224</v>
      </c>
      <c r="AN8" s="4" t="s">
        <v>224</v>
      </c>
      <c r="AO8" s="4" t="s">
        <v>224</v>
      </c>
      <c r="AP8" s="4" t="s">
        <v>15</v>
      </c>
      <c r="AQ8" s="4" t="s">
        <v>164</v>
      </c>
      <c r="AR8" s="4" t="s">
        <v>15</v>
      </c>
      <c r="AS8" s="4" t="s">
        <v>15</v>
      </c>
      <c r="AT8" s="4" t="s">
        <v>15</v>
      </c>
      <c r="AU8" s="4" t="s">
        <v>15</v>
      </c>
      <c r="AV8" s="4" t="s">
        <v>15</v>
      </c>
      <c r="AW8" s="4" t="s">
        <v>15</v>
      </c>
      <c r="AX8" s="4" t="s">
        <v>164</v>
      </c>
      <c r="AY8" s="4" t="s">
        <v>15</v>
      </c>
      <c r="AZ8" s="4" t="s">
        <v>15</v>
      </c>
      <c r="BA8" s="4" t="s">
        <v>15</v>
      </c>
      <c r="BB8" s="4" t="s">
        <v>15</v>
      </c>
      <c r="BC8" s="4" t="s">
        <v>165</v>
      </c>
      <c r="BD8" s="4" t="s">
        <v>6</v>
      </c>
      <c r="BE8" s="28">
        <v>45292</v>
      </c>
      <c r="BF8" s="28" t="s">
        <v>15</v>
      </c>
      <c r="BG8" s="28" t="s">
        <v>15</v>
      </c>
      <c r="BH8" s="28" t="s">
        <v>15</v>
      </c>
      <c r="BI8" s="28" t="s">
        <v>15</v>
      </c>
      <c r="BJ8" s="28" t="s">
        <v>15</v>
      </c>
      <c r="BK8" s="28" t="s">
        <v>15</v>
      </c>
      <c r="BL8" s="28" t="s">
        <v>15</v>
      </c>
      <c r="BM8" s="28" t="s">
        <v>15</v>
      </c>
      <c r="BN8" s="28" t="s">
        <v>15</v>
      </c>
      <c r="BO8" s="28" t="s">
        <v>15</v>
      </c>
      <c r="BP8" s="28" t="s">
        <v>164</v>
      </c>
      <c r="BQ8" s="28" t="s">
        <v>15</v>
      </c>
      <c r="BR8" s="28" t="s">
        <v>164</v>
      </c>
      <c r="BS8" s="28" t="s">
        <v>224</v>
      </c>
      <c r="BT8" s="28" t="s">
        <v>224</v>
      </c>
      <c r="BU8" s="28" t="s">
        <v>224</v>
      </c>
      <c r="BV8" s="28" t="s">
        <v>164</v>
      </c>
      <c r="BW8" s="28" t="s">
        <v>15</v>
      </c>
      <c r="BX8" s="28" t="s">
        <v>15</v>
      </c>
      <c r="BY8" s="28" t="s">
        <v>15</v>
      </c>
      <c r="BZ8" s="28" t="s">
        <v>15</v>
      </c>
      <c r="CA8" s="28" t="s">
        <v>15</v>
      </c>
      <c r="CB8" s="28" t="s">
        <v>15</v>
      </c>
      <c r="CC8" s="28" t="s">
        <v>15</v>
      </c>
      <c r="CD8" s="28" t="s">
        <v>15</v>
      </c>
      <c r="CE8" s="28" t="s">
        <v>15</v>
      </c>
      <c r="CF8" s="28" t="s">
        <v>164</v>
      </c>
      <c r="CG8" s="28" t="s">
        <v>165</v>
      </c>
      <c r="CH8" s="28" t="s">
        <v>6</v>
      </c>
      <c r="CI8" s="28">
        <v>45658</v>
      </c>
      <c r="CJ8" s="28"/>
      <c r="CK8" s="28"/>
      <c r="CL8" s="35"/>
      <c r="CM8" s="36"/>
      <c r="CN8" s="36"/>
      <c r="CO8" s="37"/>
      <c r="CP8" s="28" t="s">
        <v>6</v>
      </c>
      <c r="CQ8" s="28">
        <v>46023</v>
      </c>
      <c r="CR8" s="28"/>
      <c r="CS8" s="28"/>
      <c r="CT8" s="35"/>
      <c r="CU8" s="36"/>
      <c r="CV8" s="36"/>
      <c r="CW8" s="37"/>
      <c r="CX8" s="28" t="s">
        <v>213</v>
      </c>
      <c r="CZ8" s="4" t="s">
        <v>212</v>
      </c>
      <c r="DA8" s="1" t="s">
        <v>215</v>
      </c>
      <c r="DB8" s="13" t="s">
        <v>163</v>
      </c>
      <c r="DC8" s="13" t="s">
        <v>265</v>
      </c>
      <c r="DD8" s="13" t="s">
        <v>282</v>
      </c>
      <c r="DE8" s="4" t="s">
        <v>213</v>
      </c>
      <c r="DF8" s="28">
        <v>45292</v>
      </c>
      <c r="DG8" s="4" t="s">
        <v>212</v>
      </c>
      <c r="DH8" s="4" t="s">
        <v>287</v>
      </c>
      <c r="DI8" s="4" t="s">
        <v>25</v>
      </c>
      <c r="DJ8" s="4" t="s">
        <v>156</v>
      </c>
      <c r="DK8" s="4" t="s">
        <v>397</v>
      </c>
      <c r="DL8" s="4" t="s">
        <v>282</v>
      </c>
      <c r="DM8" s="1" t="s">
        <v>6</v>
      </c>
      <c r="DN8" s="28">
        <v>45658</v>
      </c>
      <c r="DO8" s="4" t="s">
        <v>287</v>
      </c>
      <c r="DP8" s="4" t="s">
        <v>156</v>
      </c>
      <c r="DQ8" s="4" t="s">
        <v>25</v>
      </c>
      <c r="DR8" s="4" t="s">
        <v>163</v>
      </c>
      <c r="DS8" s="4" t="s">
        <v>282</v>
      </c>
      <c r="DT8" s="4" t="s">
        <v>213</v>
      </c>
      <c r="DU8" s="28">
        <v>46023</v>
      </c>
      <c r="DV8" s="4" t="s">
        <v>740</v>
      </c>
      <c r="DW8" s="1" t="s">
        <v>6</v>
      </c>
    </row>
    <row r="9" spans="1:127" x14ac:dyDescent="0.25">
      <c r="B9" s="58"/>
      <c r="C9" s="59"/>
      <c r="D9" s="2"/>
      <c r="E9" s="2"/>
      <c r="F9" s="5" t="s">
        <v>80</v>
      </c>
      <c r="G9" s="5" t="s">
        <v>28</v>
      </c>
      <c r="H9" s="9" t="s">
        <v>70</v>
      </c>
      <c r="I9" s="9" t="s">
        <v>80</v>
      </c>
      <c r="J9" s="9" t="s">
        <v>101</v>
      </c>
      <c r="K9" s="9" t="s">
        <v>103</v>
      </c>
      <c r="L9" s="9" t="s">
        <v>119</v>
      </c>
      <c r="M9" s="9" t="s">
        <v>120</v>
      </c>
      <c r="N9" s="9" t="s">
        <v>138</v>
      </c>
      <c r="O9" s="9" t="s">
        <v>140</v>
      </c>
      <c r="P9" s="9" t="s">
        <v>143</v>
      </c>
      <c r="Q9" s="9" t="s">
        <v>80</v>
      </c>
      <c r="R9" s="9" t="s">
        <v>148</v>
      </c>
      <c r="S9" s="9" t="s">
        <v>54</v>
      </c>
      <c r="T9" s="9" t="s">
        <v>40</v>
      </c>
      <c r="U9" s="9" t="s">
        <v>153</v>
      </c>
      <c r="V9" s="9" t="s">
        <v>148</v>
      </c>
      <c r="W9" s="9" t="s">
        <v>120</v>
      </c>
      <c r="X9" s="9" t="s">
        <v>155</v>
      </c>
      <c r="Y9" s="9" t="s">
        <v>160</v>
      </c>
      <c r="Z9" s="9" t="s">
        <v>119</v>
      </c>
      <c r="AA9" s="9" t="s">
        <v>155</v>
      </c>
      <c r="AB9" s="9" t="s">
        <v>101</v>
      </c>
      <c r="AC9" s="9" t="s">
        <v>165</v>
      </c>
      <c r="AD9" s="2" t="s">
        <v>6</v>
      </c>
      <c r="AE9" s="2"/>
      <c r="AF9" s="9" t="s">
        <v>54</v>
      </c>
      <c r="AG9" s="14" t="s">
        <v>148</v>
      </c>
      <c r="AH9" s="5" t="s">
        <v>40</v>
      </c>
      <c r="AI9" s="9" t="s">
        <v>136</v>
      </c>
      <c r="AJ9" s="9" t="s">
        <v>130</v>
      </c>
      <c r="AK9" s="9" t="s">
        <v>155</v>
      </c>
      <c r="AL9" s="9" t="s">
        <v>70</v>
      </c>
      <c r="AM9" s="9" t="s">
        <v>139</v>
      </c>
      <c r="AN9" s="9" t="s">
        <v>142</v>
      </c>
      <c r="AO9" s="9" t="s">
        <v>136</v>
      </c>
      <c r="AP9" s="9" t="s">
        <v>120</v>
      </c>
      <c r="AQ9" s="9" t="s">
        <v>139</v>
      </c>
      <c r="AR9" s="9" t="s">
        <v>256</v>
      </c>
      <c r="AS9" s="9" t="s">
        <v>54</v>
      </c>
      <c r="AT9" s="9" t="s">
        <v>155</v>
      </c>
      <c r="AU9" s="9" t="s">
        <v>130</v>
      </c>
      <c r="AV9" s="9" t="s">
        <v>40</v>
      </c>
      <c r="AW9" s="9" t="s">
        <v>268</v>
      </c>
      <c r="AX9" s="9" t="s">
        <v>142</v>
      </c>
      <c r="AY9" s="9" t="s">
        <v>120</v>
      </c>
      <c r="AZ9" s="9" t="s">
        <v>16</v>
      </c>
      <c r="BA9" s="9" t="s">
        <v>153</v>
      </c>
      <c r="BB9" s="9" t="s">
        <v>256</v>
      </c>
      <c r="BC9" s="9"/>
      <c r="BD9" s="2"/>
      <c r="BE9" s="5"/>
      <c r="BF9" s="5" t="s">
        <v>130</v>
      </c>
      <c r="BG9" s="5" t="s">
        <v>268</v>
      </c>
      <c r="BH9" s="5" t="s">
        <v>16</v>
      </c>
      <c r="BI9" s="5" t="s">
        <v>148</v>
      </c>
      <c r="BJ9" s="5" t="s">
        <v>333</v>
      </c>
      <c r="BK9" s="5" t="s">
        <v>256</v>
      </c>
      <c r="BL9" s="5" t="s">
        <v>120</v>
      </c>
      <c r="BM9" s="5" t="s">
        <v>153</v>
      </c>
      <c r="BN9" s="5" t="s">
        <v>40</v>
      </c>
      <c r="BO9" s="5" t="s">
        <v>54</v>
      </c>
      <c r="BP9" s="5" t="s">
        <v>139</v>
      </c>
      <c r="BQ9" s="5" t="s">
        <v>166</v>
      </c>
      <c r="BR9" s="5" t="s">
        <v>372</v>
      </c>
      <c r="BS9" s="5" t="s">
        <v>139</v>
      </c>
      <c r="BT9" s="5" t="s">
        <v>136</v>
      </c>
      <c r="BU9" s="5" t="s">
        <v>142</v>
      </c>
      <c r="BV9" s="5" t="s">
        <v>136</v>
      </c>
      <c r="BW9" s="5" t="s">
        <v>40</v>
      </c>
      <c r="BX9" s="5" t="s">
        <v>256</v>
      </c>
      <c r="BY9" s="5" t="s">
        <v>333</v>
      </c>
      <c r="BZ9" s="5" t="s">
        <v>268</v>
      </c>
      <c r="CA9" s="5" t="s">
        <v>54</v>
      </c>
      <c r="CB9" s="5" t="s">
        <v>153</v>
      </c>
      <c r="CC9" s="5" t="s">
        <v>16</v>
      </c>
      <c r="CD9" s="5" t="s">
        <v>120</v>
      </c>
      <c r="CE9" s="5" t="s">
        <v>417</v>
      </c>
      <c r="CF9" s="5" t="s">
        <v>142</v>
      </c>
      <c r="CG9" s="5" t="s">
        <v>427</v>
      </c>
      <c r="CH9" s="5"/>
      <c r="CI9" s="5"/>
      <c r="CJ9" s="9" t="s">
        <v>15</v>
      </c>
      <c r="CK9" s="9" t="s">
        <v>224</v>
      </c>
      <c r="CL9" s="60" t="s">
        <v>429</v>
      </c>
      <c r="CM9" s="61"/>
      <c r="CN9" s="61"/>
      <c r="CO9" s="62"/>
      <c r="CP9" s="5"/>
      <c r="CQ9" s="5"/>
      <c r="CR9" s="9" t="s">
        <v>15</v>
      </c>
      <c r="CS9" s="9" t="s">
        <v>224</v>
      </c>
      <c r="CT9" s="60" t="s">
        <v>429</v>
      </c>
      <c r="CU9" s="61"/>
      <c r="CV9" s="61"/>
      <c r="CW9" s="62"/>
      <c r="CX9" s="9"/>
      <c r="CZ9" s="5" t="s">
        <v>214</v>
      </c>
      <c r="DA9" s="2"/>
      <c r="DB9" s="14" t="s">
        <v>260</v>
      </c>
      <c r="DC9" s="14" t="s">
        <v>266</v>
      </c>
      <c r="DD9" s="14" t="s">
        <v>283</v>
      </c>
      <c r="DE9" s="5"/>
      <c r="DF9" s="5"/>
      <c r="DG9" s="5" t="s">
        <v>214</v>
      </c>
      <c r="DH9" s="5"/>
      <c r="DI9" s="5" t="s">
        <v>343</v>
      </c>
      <c r="DJ9" s="5" t="s">
        <v>28</v>
      </c>
      <c r="DK9" s="5" t="s">
        <v>28</v>
      </c>
      <c r="DL9" s="5" t="s">
        <v>80</v>
      </c>
      <c r="DM9" s="2"/>
      <c r="DN9" s="5"/>
      <c r="DO9" s="5"/>
      <c r="DP9" s="5" t="s">
        <v>103</v>
      </c>
      <c r="DQ9" s="5" t="s">
        <v>28</v>
      </c>
      <c r="DR9" s="5" t="s">
        <v>260</v>
      </c>
      <c r="DS9" s="5" t="s">
        <v>80</v>
      </c>
      <c r="DT9" s="5"/>
      <c r="DU9" s="5"/>
      <c r="DV9" s="5" t="s">
        <v>741</v>
      </c>
      <c r="DW9" s="2"/>
    </row>
    <row r="10" spans="1:127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44660</v>
      </c>
      <c r="H10" s="10">
        <v>44674</v>
      </c>
      <c r="I10" s="10">
        <v>44681</v>
      </c>
      <c r="J10" s="10">
        <v>44684</v>
      </c>
      <c r="K10" s="10">
        <v>44695</v>
      </c>
      <c r="L10" s="10">
        <v>44709</v>
      </c>
      <c r="M10" s="10">
        <v>44709</v>
      </c>
      <c r="N10" s="10">
        <v>44730</v>
      </c>
      <c r="O10" s="10">
        <v>44730</v>
      </c>
      <c r="P10" s="10">
        <v>44737</v>
      </c>
      <c r="Q10" s="10">
        <v>44759</v>
      </c>
      <c r="R10" s="10">
        <v>44765</v>
      </c>
      <c r="S10" s="10">
        <v>44779</v>
      </c>
      <c r="T10" s="10">
        <v>44793</v>
      </c>
      <c r="U10" s="10">
        <v>44800</v>
      </c>
      <c r="V10" s="10">
        <v>44814</v>
      </c>
      <c r="W10" s="10">
        <v>44814</v>
      </c>
      <c r="X10" s="10">
        <v>44814</v>
      </c>
      <c r="Y10" s="10">
        <v>44829</v>
      </c>
      <c r="Z10" s="10">
        <v>44849</v>
      </c>
      <c r="AA10" s="10">
        <v>44856</v>
      </c>
      <c r="AB10" s="10">
        <v>44866</v>
      </c>
      <c r="AC10" s="10">
        <v>44906</v>
      </c>
      <c r="AD10" s="2">
        <v>2022</v>
      </c>
      <c r="AE10" s="2"/>
      <c r="AF10" s="2" t="s">
        <v>171</v>
      </c>
      <c r="AG10" s="14" t="s">
        <v>179</v>
      </c>
      <c r="AH10" s="5" t="s">
        <v>180</v>
      </c>
      <c r="AI10" s="2" t="s">
        <v>185</v>
      </c>
      <c r="AJ10" s="2" t="s">
        <v>216</v>
      </c>
      <c r="AK10" s="2" t="s">
        <v>210</v>
      </c>
      <c r="AL10" s="2" t="s">
        <v>221</v>
      </c>
      <c r="AM10" s="2" t="s">
        <v>225</v>
      </c>
      <c r="AN10" s="2" t="s">
        <v>232</v>
      </c>
      <c r="AO10" s="5" t="s">
        <v>239</v>
      </c>
      <c r="AP10" s="5" t="s">
        <v>247</v>
      </c>
      <c r="AQ10" s="5" t="s">
        <v>250</v>
      </c>
      <c r="AR10" s="5" t="s">
        <v>257</v>
      </c>
      <c r="AS10" s="5" t="s">
        <v>258</v>
      </c>
      <c r="AT10" s="5" t="s">
        <v>261</v>
      </c>
      <c r="AU10" s="5" t="s">
        <v>261</v>
      </c>
      <c r="AV10" s="5" t="s">
        <v>262</v>
      </c>
      <c r="AW10" s="5" t="s">
        <v>267</v>
      </c>
      <c r="AX10" s="5" t="s">
        <v>270</v>
      </c>
      <c r="AY10" s="5" t="s">
        <v>276</v>
      </c>
      <c r="AZ10" s="5" t="s">
        <v>278</v>
      </c>
      <c r="BA10" s="5" t="s">
        <v>278</v>
      </c>
      <c r="BB10" s="5" t="s">
        <v>280</v>
      </c>
      <c r="BC10" s="5" t="s">
        <v>284</v>
      </c>
      <c r="BD10" s="2">
        <v>2023</v>
      </c>
      <c r="BE10" s="17"/>
      <c r="BF10" s="17" t="s">
        <v>319</v>
      </c>
      <c r="BG10" s="17" t="s">
        <v>319</v>
      </c>
      <c r="BH10" s="17" t="s">
        <v>319</v>
      </c>
      <c r="BI10" s="17" t="s">
        <v>319</v>
      </c>
      <c r="BJ10" s="17" t="s">
        <v>319</v>
      </c>
      <c r="BK10" s="17" t="s">
        <v>319</v>
      </c>
      <c r="BL10" s="17" t="s">
        <v>319</v>
      </c>
      <c r="BM10" s="17" t="s">
        <v>319</v>
      </c>
      <c r="BN10" s="17" t="s">
        <v>345</v>
      </c>
      <c r="BO10" s="17" t="s">
        <v>362</v>
      </c>
      <c r="BP10" s="17" t="s">
        <v>366</v>
      </c>
      <c r="BQ10" s="17" t="s">
        <v>373</v>
      </c>
      <c r="BR10" s="17" t="s">
        <v>373</v>
      </c>
      <c r="BS10" s="17" t="s">
        <v>382</v>
      </c>
      <c r="BT10" s="17" t="s">
        <v>382</v>
      </c>
      <c r="BU10" s="17" t="s">
        <v>389</v>
      </c>
      <c r="BV10" s="17" t="s">
        <v>391</v>
      </c>
      <c r="BW10" s="17" t="s">
        <v>402</v>
      </c>
      <c r="BX10" s="17" t="s">
        <v>401</v>
      </c>
      <c r="BY10" s="17" t="s">
        <v>402</v>
      </c>
      <c r="BZ10" s="17" t="s">
        <v>403</v>
      </c>
      <c r="CA10" s="17" t="s">
        <v>403</v>
      </c>
      <c r="CB10" s="17" t="s">
        <v>403</v>
      </c>
      <c r="CC10" s="17" t="s">
        <v>413</v>
      </c>
      <c r="CD10" s="17" t="s">
        <v>416</v>
      </c>
      <c r="CE10" s="17" t="s">
        <v>418</v>
      </c>
      <c r="CF10" s="17" t="s">
        <v>420</v>
      </c>
      <c r="CG10" s="17" t="s">
        <v>428</v>
      </c>
      <c r="CH10" s="17">
        <v>2024</v>
      </c>
      <c r="CI10" s="5"/>
      <c r="CJ10" s="5"/>
      <c r="CK10" s="5"/>
      <c r="CL10" s="5">
        <v>1</v>
      </c>
      <c r="CM10" s="5">
        <v>2</v>
      </c>
      <c r="CN10" s="5">
        <v>3</v>
      </c>
      <c r="CO10" s="5">
        <v>4</v>
      </c>
      <c r="CP10" s="5">
        <v>2025</v>
      </c>
      <c r="CQ10" s="5"/>
      <c r="CR10" s="5"/>
      <c r="CS10" s="5"/>
      <c r="CT10" s="5">
        <v>1</v>
      </c>
      <c r="CU10" s="5">
        <v>2</v>
      </c>
      <c r="CV10" s="5">
        <v>3</v>
      </c>
      <c r="CW10" s="5">
        <v>4</v>
      </c>
      <c r="CX10" s="5">
        <v>2026</v>
      </c>
      <c r="CZ10" s="17"/>
      <c r="DA10" s="16">
        <v>45077</v>
      </c>
      <c r="DB10" s="25">
        <v>45153</v>
      </c>
      <c r="DC10" s="25">
        <v>45177</v>
      </c>
      <c r="DD10" s="25">
        <v>45255</v>
      </c>
      <c r="DE10" s="17">
        <v>2023</v>
      </c>
      <c r="DF10" s="5"/>
      <c r="DG10" s="5"/>
      <c r="DH10" s="5" t="s">
        <v>288</v>
      </c>
      <c r="DI10" s="5" t="s">
        <v>344</v>
      </c>
      <c r="DJ10" s="5" t="s">
        <v>390</v>
      </c>
      <c r="DK10" s="5" t="s">
        <v>399</v>
      </c>
      <c r="DL10" s="5" t="s">
        <v>425</v>
      </c>
      <c r="DM10" s="2">
        <v>2024</v>
      </c>
      <c r="DN10" s="5"/>
      <c r="DO10" s="5" t="s">
        <v>430</v>
      </c>
      <c r="DP10" s="5" t="s">
        <v>508</v>
      </c>
      <c r="DQ10" s="5" t="s">
        <v>518</v>
      </c>
      <c r="DR10" s="5" t="s">
        <v>607</v>
      </c>
      <c r="DS10" s="5" t="s">
        <v>425</v>
      </c>
      <c r="DT10" s="5">
        <v>2025</v>
      </c>
      <c r="DU10" s="5"/>
      <c r="DV10" s="5" t="s">
        <v>743</v>
      </c>
      <c r="DW10" s="2">
        <v>2026</v>
      </c>
    </row>
    <row r="11" spans="1:127" x14ac:dyDescent="0.25">
      <c r="A11">
        <v>1</v>
      </c>
      <c r="B11" s="11" t="s">
        <v>475</v>
      </c>
      <c r="C11" s="6"/>
      <c r="D11" s="6" t="s">
        <v>60</v>
      </c>
      <c r="E11" s="6" t="s">
        <v>57</v>
      </c>
      <c r="F11" s="11"/>
      <c r="G11" s="6"/>
      <c r="H11" s="6"/>
      <c r="I11" s="6"/>
      <c r="J11" s="6"/>
      <c r="K11" s="6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11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6"/>
      <c r="CI11" s="6">
        <v>141.80000000000001</v>
      </c>
      <c r="CJ11" s="11">
        <v>42</v>
      </c>
      <c r="CK11" s="11">
        <v>40</v>
      </c>
      <c r="CL11" s="11">
        <v>75</v>
      </c>
      <c r="CM11" s="11">
        <v>75</v>
      </c>
      <c r="CN11" s="11">
        <v>200</v>
      </c>
      <c r="CO11" s="11">
        <v>40</v>
      </c>
      <c r="CP11" s="6">
        <f>SUM(CI11:CO11)</f>
        <v>613.79999999999995</v>
      </c>
      <c r="CQ11" s="6">
        <f>(CP11-CI11)/2</f>
        <v>235.99999999999997</v>
      </c>
      <c r="CR11" s="11">
        <v>42</v>
      </c>
      <c r="CS11" s="11">
        <v>80</v>
      </c>
      <c r="CT11" s="11">
        <v>75</v>
      </c>
      <c r="CU11" s="11"/>
      <c r="CV11" s="11"/>
      <c r="CW11" s="6"/>
      <c r="CX11" s="6">
        <f t="shared" ref="CX11:CX42" si="0">SUM(CQ11:CW11)</f>
        <v>433</v>
      </c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11"/>
      <c r="DP11" s="11"/>
      <c r="DQ11" s="11"/>
      <c r="DR11" s="11"/>
      <c r="DS11" s="11">
        <v>50</v>
      </c>
      <c r="DT11" s="6">
        <f>SUM(DN11:DS11)</f>
        <v>50</v>
      </c>
      <c r="DU11" s="6">
        <f t="shared" ref="DU11:DU42" si="1">(DT11-DN11)/2</f>
        <v>25</v>
      </c>
      <c r="DV11" s="11"/>
      <c r="DW11" s="6">
        <f t="shared" ref="DW11:DW42" si="2">SUM(DU11:DV11)</f>
        <v>25</v>
      </c>
    </row>
    <row r="12" spans="1:127" x14ac:dyDescent="0.25">
      <c r="A12">
        <v>2</v>
      </c>
      <c r="B12" s="11" t="s">
        <v>728</v>
      </c>
      <c r="C12" s="6"/>
      <c r="D12" s="6" t="s">
        <v>729</v>
      </c>
      <c r="E12" s="6" t="s">
        <v>12</v>
      </c>
      <c r="F12" s="11"/>
      <c r="G12" s="6"/>
      <c r="H12" s="6"/>
      <c r="I12" s="6"/>
      <c r="J12" s="6"/>
      <c r="K12" s="6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11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6"/>
      <c r="CI12" s="6"/>
      <c r="CJ12" s="11"/>
      <c r="CK12" s="11"/>
      <c r="CL12" s="11"/>
      <c r="CM12" s="11"/>
      <c r="CN12" s="11"/>
      <c r="CO12" s="11"/>
      <c r="CP12" s="6"/>
      <c r="CQ12" s="6">
        <f>345/2</f>
        <v>172.5</v>
      </c>
      <c r="CR12" s="11">
        <v>60</v>
      </c>
      <c r="CS12" s="11">
        <v>40</v>
      </c>
      <c r="CT12" s="11">
        <v>150</v>
      </c>
      <c r="CU12" s="11"/>
      <c r="CV12" s="11"/>
      <c r="CW12" s="6"/>
      <c r="CX12" s="6">
        <f t="shared" si="0"/>
        <v>422.5</v>
      </c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11"/>
      <c r="DP12" s="11"/>
      <c r="DQ12" s="11"/>
      <c r="DR12" s="11"/>
      <c r="DS12" s="11"/>
      <c r="DT12" s="6">
        <f>SUM(DN12:DS12)</f>
        <v>0</v>
      </c>
      <c r="DU12" s="6">
        <f t="shared" si="1"/>
        <v>0</v>
      </c>
      <c r="DV12" s="11"/>
      <c r="DW12" s="6">
        <f t="shared" si="2"/>
        <v>0</v>
      </c>
    </row>
    <row r="13" spans="1:127" x14ac:dyDescent="0.25">
      <c r="A13">
        <v>3</v>
      </c>
      <c r="B13" s="11" t="s">
        <v>494</v>
      </c>
      <c r="C13" s="6"/>
      <c r="D13" s="6" t="s">
        <v>495</v>
      </c>
      <c r="E13" s="6" t="s">
        <v>21</v>
      </c>
      <c r="F13" s="11"/>
      <c r="G13" s="6"/>
      <c r="H13" s="6"/>
      <c r="I13" s="6"/>
      <c r="J13" s="6"/>
      <c r="K13" s="6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11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6"/>
      <c r="CI13" s="6"/>
      <c r="CJ13" s="11">
        <v>36</v>
      </c>
      <c r="CK13" s="11">
        <v>64</v>
      </c>
      <c r="CL13" s="11">
        <v>100</v>
      </c>
      <c r="CM13" s="11">
        <v>44.8</v>
      </c>
      <c r="CN13" s="11">
        <v>75</v>
      </c>
      <c r="CO13" s="11">
        <v>100</v>
      </c>
      <c r="CP13" s="6">
        <f t="shared" ref="CP13:CP24" si="3">SUM(CI13:CO13)</f>
        <v>419.8</v>
      </c>
      <c r="CQ13" s="6">
        <f t="shared" ref="CQ13:CQ24" si="4">(CP13-CI13)/2</f>
        <v>209.9</v>
      </c>
      <c r="CR13" s="11">
        <v>48</v>
      </c>
      <c r="CS13" s="11">
        <v>40</v>
      </c>
      <c r="CT13" s="11">
        <v>75</v>
      </c>
      <c r="CU13" s="11">
        <v>33.6</v>
      </c>
      <c r="CV13" s="11"/>
      <c r="CW13" s="6"/>
      <c r="CX13" s="6">
        <f t="shared" si="0"/>
        <v>406.5</v>
      </c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11"/>
      <c r="DP13" s="11"/>
      <c r="DQ13" s="11"/>
      <c r="DR13" s="11"/>
      <c r="DS13" s="11">
        <v>25</v>
      </c>
      <c r="DT13" s="6">
        <f>SUM(DN13:DS13)</f>
        <v>25</v>
      </c>
      <c r="DU13" s="6">
        <f t="shared" si="1"/>
        <v>12.5</v>
      </c>
      <c r="DV13" s="11"/>
      <c r="DW13" s="6">
        <f t="shared" si="2"/>
        <v>12.5</v>
      </c>
    </row>
    <row r="14" spans="1:127" x14ac:dyDescent="0.25">
      <c r="A14">
        <v>4</v>
      </c>
      <c r="B14" s="18" t="s">
        <v>109</v>
      </c>
      <c r="C14" s="19"/>
      <c r="D14" s="19" t="s">
        <v>92</v>
      </c>
      <c r="E14" s="19" t="s">
        <v>29</v>
      </c>
      <c r="F14" s="11"/>
      <c r="G14" s="6"/>
      <c r="H14" s="6"/>
      <c r="I14" s="6"/>
      <c r="J14" s="6"/>
      <c r="K14" s="6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11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6"/>
      <c r="CI14" s="6">
        <f>379.2/2</f>
        <v>189.6</v>
      </c>
      <c r="CJ14" s="11">
        <v>48</v>
      </c>
      <c r="CK14" s="11">
        <v>56</v>
      </c>
      <c r="CL14" s="11">
        <v>18</v>
      </c>
      <c r="CM14" s="11"/>
      <c r="CN14" s="11"/>
      <c r="CO14" s="11"/>
      <c r="CP14" s="6">
        <f t="shared" si="3"/>
        <v>311.60000000000002</v>
      </c>
      <c r="CQ14" s="6">
        <f t="shared" si="4"/>
        <v>61.000000000000014</v>
      </c>
      <c r="CR14" s="11">
        <v>60</v>
      </c>
      <c r="CS14" s="11"/>
      <c r="CT14" s="11">
        <v>105</v>
      </c>
      <c r="CU14" s="11">
        <v>60</v>
      </c>
      <c r="CV14" s="11"/>
      <c r="CW14" s="6"/>
      <c r="CX14" s="6">
        <f t="shared" si="0"/>
        <v>286</v>
      </c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11">
        <v>18</v>
      </c>
      <c r="DP14" s="11"/>
      <c r="DQ14" s="11"/>
      <c r="DR14" s="11"/>
      <c r="DS14" s="11"/>
      <c r="DT14" s="6">
        <f>SUM(DN14:DR14)</f>
        <v>18</v>
      </c>
      <c r="DU14" s="6">
        <f t="shared" si="1"/>
        <v>9</v>
      </c>
      <c r="DV14" s="11">
        <v>90</v>
      </c>
      <c r="DW14" s="19">
        <f t="shared" si="2"/>
        <v>99</v>
      </c>
    </row>
    <row r="15" spans="1:127" x14ac:dyDescent="0.25">
      <c r="A15">
        <v>5</v>
      </c>
      <c r="B15" s="11" t="s">
        <v>601</v>
      </c>
      <c r="C15" s="6"/>
      <c r="D15" s="6" t="s">
        <v>72</v>
      </c>
      <c r="E15" s="6" t="s">
        <v>581</v>
      </c>
      <c r="F15" s="11"/>
      <c r="G15" s="6"/>
      <c r="H15" s="6"/>
      <c r="I15" s="6"/>
      <c r="J15" s="6"/>
      <c r="K15" s="6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11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6"/>
      <c r="CI15" s="6"/>
      <c r="CJ15" s="11"/>
      <c r="CK15" s="11">
        <v>40</v>
      </c>
      <c r="CL15" s="11"/>
      <c r="CM15" s="11"/>
      <c r="CN15" s="11"/>
      <c r="CO15" s="11"/>
      <c r="CP15" s="6">
        <f t="shared" si="3"/>
        <v>40</v>
      </c>
      <c r="CQ15" s="6">
        <f t="shared" si="4"/>
        <v>20</v>
      </c>
      <c r="CR15" s="11">
        <v>48</v>
      </c>
      <c r="CS15" s="11">
        <v>56</v>
      </c>
      <c r="CT15" s="11">
        <v>39</v>
      </c>
      <c r="CU15" s="11">
        <v>70</v>
      </c>
      <c r="CV15" s="11">
        <v>36</v>
      </c>
      <c r="CW15" s="6"/>
      <c r="CX15" s="6">
        <f t="shared" si="0"/>
        <v>269</v>
      </c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11"/>
      <c r="DP15" s="11"/>
      <c r="DQ15" s="11"/>
      <c r="DR15" s="11"/>
      <c r="DS15" s="11"/>
      <c r="DT15" s="6">
        <f>SUM(DN15:DS15)</f>
        <v>0</v>
      </c>
      <c r="DU15" s="6">
        <f t="shared" si="1"/>
        <v>0</v>
      </c>
      <c r="DV15" s="11"/>
      <c r="DW15" s="6">
        <f t="shared" si="2"/>
        <v>0</v>
      </c>
    </row>
    <row r="16" spans="1:127" x14ac:dyDescent="0.25">
      <c r="A16">
        <v>6</v>
      </c>
      <c r="B16" s="11" t="s">
        <v>123</v>
      </c>
      <c r="C16" s="6"/>
      <c r="D16" s="6" t="s">
        <v>108</v>
      </c>
      <c r="E16" s="6" t="s">
        <v>303</v>
      </c>
      <c r="F16" s="11"/>
      <c r="G16" s="6"/>
      <c r="H16" s="6"/>
      <c r="I16" s="6"/>
      <c r="J16" s="6"/>
      <c r="K16" s="6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11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6"/>
      <c r="CI16" s="6"/>
      <c r="CJ16" s="11">
        <v>2.4</v>
      </c>
      <c r="CK16" s="11">
        <v>40</v>
      </c>
      <c r="CL16" s="11">
        <v>7.5</v>
      </c>
      <c r="CM16" s="11"/>
      <c r="CN16" s="11"/>
      <c r="CO16" s="11"/>
      <c r="CP16" s="6">
        <f t="shared" si="3"/>
        <v>49.9</v>
      </c>
      <c r="CQ16" s="6">
        <f t="shared" si="4"/>
        <v>24.95</v>
      </c>
      <c r="CR16" s="11">
        <v>60</v>
      </c>
      <c r="CS16" s="11">
        <v>80</v>
      </c>
      <c r="CT16" s="11">
        <v>54</v>
      </c>
      <c r="CU16" s="11">
        <v>48</v>
      </c>
      <c r="CV16" s="11"/>
      <c r="CW16" s="6"/>
      <c r="CX16" s="6">
        <f t="shared" si="0"/>
        <v>266.95</v>
      </c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11"/>
      <c r="DP16" s="11"/>
      <c r="DQ16" s="11"/>
      <c r="DR16" s="11"/>
      <c r="DS16" s="11"/>
      <c r="DT16" s="6">
        <f>SUM(DN16:DS16)</f>
        <v>0</v>
      </c>
      <c r="DU16" s="6">
        <f t="shared" si="1"/>
        <v>0</v>
      </c>
      <c r="DV16" s="11"/>
      <c r="DW16" s="6">
        <f t="shared" si="2"/>
        <v>0</v>
      </c>
    </row>
    <row r="17" spans="1:127" x14ac:dyDescent="0.25">
      <c r="A17">
        <v>7</v>
      </c>
      <c r="B17" s="11" t="s">
        <v>443</v>
      </c>
      <c r="C17" s="6"/>
      <c r="D17" s="6" t="s">
        <v>76</v>
      </c>
      <c r="E17" s="6" t="s">
        <v>9</v>
      </c>
      <c r="F17" s="11"/>
      <c r="G17" s="6"/>
      <c r="H17" s="6"/>
      <c r="I17" s="6"/>
      <c r="J17" s="6"/>
      <c r="K17" s="6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11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6"/>
      <c r="CI17" s="6"/>
      <c r="CJ17" s="11">
        <v>33.6</v>
      </c>
      <c r="CK17" s="11">
        <v>80</v>
      </c>
      <c r="CL17" s="11">
        <v>100</v>
      </c>
      <c r="CM17" s="11">
        <v>150</v>
      </c>
      <c r="CN17" s="11">
        <v>75</v>
      </c>
      <c r="CO17" s="11">
        <v>70</v>
      </c>
      <c r="CP17" s="6">
        <f t="shared" si="3"/>
        <v>508.6</v>
      </c>
      <c r="CQ17" s="6">
        <f t="shared" si="4"/>
        <v>254.3</v>
      </c>
      <c r="CR17" s="11"/>
      <c r="CS17" s="11"/>
      <c r="CT17" s="11"/>
      <c r="CU17" s="11"/>
      <c r="CV17" s="11"/>
      <c r="CW17" s="6"/>
      <c r="CX17" s="6">
        <f t="shared" si="0"/>
        <v>254.3</v>
      </c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11">
        <v>12</v>
      </c>
      <c r="DP17" s="11"/>
      <c r="DQ17" s="11"/>
      <c r="DR17" s="11">
        <v>5</v>
      </c>
      <c r="DS17" s="11">
        <v>35</v>
      </c>
      <c r="DT17" s="6">
        <f>SUM(DN17:DS17)</f>
        <v>52</v>
      </c>
      <c r="DU17" s="6">
        <f t="shared" si="1"/>
        <v>26</v>
      </c>
      <c r="DV17" s="11"/>
      <c r="DW17" s="6">
        <f t="shared" si="2"/>
        <v>26</v>
      </c>
    </row>
    <row r="18" spans="1:127" x14ac:dyDescent="0.25">
      <c r="A18" s="52">
        <v>8</v>
      </c>
      <c r="B18" s="11" t="s">
        <v>379</v>
      </c>
      <c r="C18" s="6"/>
      <c r="D18" s="11" t="s">
        <v>378</v>
      </c>
      <c r="E18" s="6" t="s">
        <v>525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11"/>
      <c r="CA18" s="11"/>
      <c r="CB18" s="11"/>
      <c r="CC18" s="11"/>
      <c r="CD18" s="11"/>
      <c r="CE18" s="11">
        <v>2.4</v>
      </c>
      <c r="CF18" s="11"/>
      <c r="CG18" s="11"/>
      <c r="CH18" s="6">
        <f>SUM(BE18:CG18)</f>
        <v>2.4</v>
      </c>
      <c r="CI18" s="6">
        <f>(CH18-BE18)/2</f>
        <v>1.2</v>
      </c>
      <c r="CJ18" s="11">
        <v>36</v>
      </c>
      <c r="CK18" s="11">
        <v>64</v>
      </c>
      <c r="CL18" s="11">
        <v>52</v>
      </c>
      <c r="CM18" s="11">
        <v>39</v>
      </c>
      <c r="CN18" s="11">
        <v>44.8</v>
      </c>
      <c r="CO18" s="11">
        <v>36</v>
      </c>
      <c r="CP18" s="6">
        <f t="shared" si="3"/>
        <v>273</v>
      </c>
      <c r="CQ18" s="6">
        <f t="shared" si="4"/>
        <v>135.9</v>
      </c>
      <c r="CR18" s="11">
        <v>48</v>
      </c>
      <c r="CS18" s="11">
        <v>28.8</v>
      </c>
      <c r="CT18" s="11">
        <v>39</v>
      </c>
      <c r="CU18" s="11"/>
      <c r="CV18" s="11"/>
      <c r="CW18" s="6"/>
      <c r="CX18" s="6">
        <f t="shared" si="0"/>
        <v>251.70000000000002</v>
      </c>
      <c r="CZ18" s="6"/>
      <c r="DA18" s="6"/>
      <c r="DB18" s="6"/>
      <c r="DC18" s="6"/>
      <c r="DD18" s="6"/>
      <c r="DE18" s="11">
        <f>SUM(CZ18:DD18)</f>
        <v>0</v>
      </c>
      <c r="DF18" s="6">
        <f>DE18/2</f>
        <v>0</v>
      </c>
      <c r="DG18" s="6">
        <f>CH18/4</f>
        <v>0.6</v>
      </c>
      <c r="DH18" s="6"/>
      <c r="DI18" s="6"/>
      <c r="DJ18" s="6"/>
      <c r="DK18" s="6"/>
      <c r="DL18" s="6"/>
      <c r="DM18" s="6">
        <f>SUM(DF18:DL18)</f>
        <v>0.6</v>
      </c>
      <c r="DN18" s="6">
        <f>(DM18-DF18)/2</f>
        <v>0.3</v>
      </c>
      <c r="DO18" s="11"/>
      <c r="DP18" s="11"/>
      <c r="DQ18" s="11"/>
      <c r="DR18" s="11"/>
      <c r="DS18" s="11">
        <v>2.5</v>
      </c>
      <c r="DT18" s="6">
        <f>SUM(DN18:DS18)</f>
        <v>2.8</v>
      </c>
      <c r="DU18" s="6">
        <f t="shared" si="1"/>
        <v>1.25</v>
      </c>
      <c r="DV18" s="11"/>
      <c r="DW18" s="6">
        <f t="shared" si="2"/>
        <v>1.25</v>
      </c>
    </row>
    <row r="19" spans="1:127" x14ac:dyDescent="0.25">
      <c r="A19">
        <v>9</v>
      </c>
      <c r="B19" s="11" t="s">
        <v>492</v>
      </c>
      <c r="C19" s="6"/>
      <c r="D19" s="6" t="s">
        <v>108</v>
      </c>
      <c r="E19" s="6" t="s">
        <v>8</v>
      </c>
      <c r="F19" s="11"/>
      <c r="G19" s="6"/>
      <c r="H19" s="6"/>
      <c r="I19" s="6"/>
      <c r="J19" s="6"/>
      <c r="K19" s="6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11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6"/>
      <c r="CI19" s="6"/>
      <c r="CJ19" s="11">
        <v>48</v>
      </c>
      <c r="CK19" s="11"/>
      <c r="CL19" s="11">
        <v>39</v>
      </c>
      <c r="CM19" s="11">
        <v>7.5</v>
      </c>
      <c r="CN19" s="11">
        <v>50</v>
      </c>
      <c r="CO19" s="11"/>
      <c r="CP19" s="6">
        <f t="shared" si="3"/>
        <v>144.5</v>
      </c>
      <c r="CQ19" s="6">
        <f t="shared" si="4"/>
        <v>72.25</v>
      </c>
      <c r="CR19" s="11">
        <v>48</v>
      </c>
      <c r="CS19" s="11">
        <v>80</v>
      </c>
      <c r="CT19" s="11">
        <v>7.5</v>
      </c>
      <c r="CU19" s="11">
        <v>33.6</v>
      </c>
      <c r="CV19" s="11"/>
      <c r="CW19" s="6"/>
      <c r="CX19" s="6">
        <f t="shared" si="0"/>
        <v>241.35</v>
      </c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11"/>
      <c r="DP19" s="11"/>
      <c r="DQ19" s="11"/>
      <c r="DR19" s="11"/>
      <c r="DS19" s="11"/>
      <c r="DT19" s="6">
        <f>SUM(DN19:DS19)</f>
        <v>0</v>
      </c>
      <c r="DU19" s="6">
        <f t="shared" si="1"/>
        <v>0</v>
      </c>
      <c r="DV19" s="11"/>
      <c r="DW19" s="6">
        <f t="shared" si="2"/>
        <v>0</v>
      </c>
    </row>
    <row r="20" spans="1:127" x14ac:dyDescent="0.25">
      <c r="A20">
        <v>10</v>
      </c>
      <c r="B20" s="11" t="s">
        <v>178</v>
      </c>
      <c r="C20" s="6"/>
      <c r="D20" s="6" t="s">
        <v>89</v>
      </c>
      <c r="E20" s="6" t="s">
        <v>61</v>
      </c>
      <c r="F20" s="11"/>
      <c r="G20" s="6"/>
      <c r="H20" s="6"/>
      <c r="I20" s="6"/>
      <c r="J20" s="6"/>
      <c r="K20" s="6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6"/>
      <c r="AE20" s="6"/>
      <c r="AF20" s="6">
        <v>48</v>
      </c>
      <c r="AG20" s="6"/>
      <c r="AH20" s="6"/>
      <c r="AI20" s="6">
        <v>50</v>
      </c>
      <c r="AJ20" s="6"/>
      <c r="AK20" s="6"/>
      <c r="AL20" s="6"/>
      <c r="AM20" s="6"/>
      <c r="AN20" s="6">
        <v>56</v>
      </c>
      <c r="AO20" s="6"/>
      <c r="AP20" s="6"/>
      <c r="AQ20" s="6">
        <v>5</v>
      </c>
      <c r="AR20" s="6"/>
      <c r="AS20" s="6">
        <v>48</v>
      </c>
      <c r="AT20" s="6"/>
      <c r="AU20" s="6"/>
      <c r="AV20" s="6"/>
      <c r="AW20" s="6"/>
      <c r="AX20" s="6">
        <v>5</v>
      </c>
      <c r="AY20" s="6"/>
      <c r="AZ20" s="6"/>
      <c r="BA20" s="6"/>
      <c r="BB20" s="6"/>
      <c r="BC20" s="11">
        <v>7.5</v>
      </c>
      <c r="BD20" s="6">
        <f>SUM(AE20:BC20)</f>
        <v>219.5</v>
      </c>
      <c r="BE20" s="6">
        <f>(BD20-AE20)/2</f>
        <v>109.75</v>
      </c>
      <c r="BF20" s="6"/>
      <c r="BG20" s="6"/>
      <c r="BH20" s="6"/>
      <c r="BI20" s="6"/>
      <c r="BJ20" s="6"/>
      <c r="BK20" s="6"/>
      <c r="BL20" s="6"/>
      <c r="BM20" s="6"/>
      <c r="BN20" s="6"/>
      <c r="BO20" s="6">
        <v>48</v>
      </c>
      <c r="BP20" s="6">
        <v>105</v>
      </c>
      <c r="BQ20" s="6"/>
      <c r="BR20" s="6"/>
      <c r="BS20" s="6"/>
      <c r="BT20" s="6"/>
      <c r="BU20" s="6">
        <v>40</v>
      </c>
      <c r="BV20" s="11">
        <v>7.5</v>
      </c>
      <c r="BW20" s="11"/>
      <c r="BX20" s="11"/>
      <c r="BY20" s="11"/>
      <c r="BZ20" s="11"/>
      <c r="CA20" s="11">
        <v>48</v>
      </c>
      <c r="CB20" s="11"/>
      <c r="CC20" s="11"/>
      <c r="CD20" s="11"/>
      <c r="CE20" s="11"/>
      <c r="CF20" s="11">
        <v>105</v>
      </c>
      <c r="CG20" s="11">
        <v>200</v>
      </c>
      <c r="CH20" s="6">
        <f>SUM(BE20:CG20)</f>
        <v>663.25</v>
      </c>
      <c r="CI20" s="6">
        <f>(CH20-BE20)/2</f>
        <v>276.75</v>
      </c>
      <c r="CJ20" s="11">
        <v>30</v>
      </c>
      <c r="CK20" s="11">
        <v>56</v>
      </c>
      <c r="CL20" s="11">
        <v>150</v>
      </c>
      <c r="CM20" s="11">
        <v>100</v>
      </c>
      <c r="CN20" s="11">
        <v>54</v>
      </c>
      <c r="CO20" s="11"/>
      <c r="CP20" s="6">
        <f t="shared" si="3"/>
        <v>666.75</v>
      </c>
      <c r="CQ20" s="6">
        <f t="shared" si="4"/>
        <v>195</v>
      </c>
      <c r="CR20" s="11"/>
      <c r="CS20" s="11"/>
      <c r="CT20" s="11"/>
      <c r="CU20" s="11"/>
      <c r="CV20" s="11"/>
      <c r="CW20" s="6"/>
      <c r="CX20" s="6">
        <f t="shared" si="0"/>
        <v>195</v>
      </c>
      <c r="CZ20" s="11">
        <f>BD20/4</f>
        <v>54.875</v>
      </c>
      <c r="DA20" s="11">
        <v>5</v>
      </c>
      <c r="DB20" s="11"/>
      <c r="DC20" s="11"/>
      <c r="DD20" s="11"/>
      <c r="DE20" s="11">
        <f>SUM(CZ20:DD20)</f>
        <v>59.875</v>
      </c>
      <c r="DF20" s="6">
        <f>DE20/2</f>
        <v>29.9375</v>
      </c>
      <c r="DG20" s="6">
        <f>CH20/4</f>
        <v>165.8125</v>
      </c>
      <c r="DH20" s="6">
        <v>18</v>
      </c>
      <c r="DI20" s="6"/>
      <c r="DJ20" s="6"/>
      <c r="DK20" s="6"/>
      <c r="DL20" s="6">
        <v>25</v>
      </c>
      <c r="DM20" s="6">
        <f>SUM(DF20:DL20)</f>
        <v>238.75</v>
      </c>
      <c r="DN20" s="6">
        <f>(DM20-DF20)/2</f>
        <v>104.40625</v>
      </c>
      <c r="DO20" s="11">
        <v>30</v>
      </c>
      <c r="DP20" s="11"/>
      <c r="DQ20" s="11">
        <v>15</v>
      </c>
      <c r="DR20" s="11"/>
      <c r="DS20" s="11"/>
      <c r="DT20" s="6">
        <f>SUM(DN20:DQ20)</f>
        <v>149.40625</v>
      </c>
      <c r="DU20" s="6">
        <f t="shared" si="1"/>
        <v>22.5</v>
      </c>
      <c r="DV20" s="11"/>
      <c r="DW20" s="6">
        <f t="shared" si="2"/>
        <v>22.5</v>
      </c>
    </row>
    <row r="21" spans="1:127" x14ac:dyDescent="0.25">
      <c r="A21">
        <v>11</v>
      </c>
      <c r="B21" s="11" t="s">
        <v>134</v>
      </c>
      <c r="C21" s="6"/>
      <c r="D21" s="6" t="s">
        <v>530</v>
      </c>
      <c r="E21" s="6" t="s">
        <v>531</v>
      </c>
      <c r="F21" s="11"/>
      <c r="G21" s="6"/>
      <c r="H21" s="6"/>
      <c r="I21" s="6"/>
      <c r="J21" s="6"/>
      <c r="K21" s="6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11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6"/>
      <c r="CI21" s="6"/>
      <c r="CJ21" s="11"/>
      <c r="CK21" s="11">
        <v>4</v>
      </c>
      <c r="CL21" s="11">
        <v>75</v>
      </c>
      <c r="CM21" s="11"/>
      <c r="CN21" s="11"/>
      <c r="CO21" s="11"/>
      <c r="CP21" s="6">
        <f t="shared" si="3"/>
        <v>79</v>
      </c>
      <c r="CQ21" s="6">
        <f t="shared" si="4"/>
        <v>39.5</v>
      </c>
      <c r="CR21" s="11">
        <v>48</v>
      </c>
      <c r="CS21" s="11">
        <v>4</v>
      </c>
      <c r="CT21" s="11">
        <v>50</v>
      </c>
      <c r="CU21" s="11">
        <v>48</v>
      </c>
      <c r="CV21" s="11"/>
      <c r="CW21" s="6"/>
      <c r="CX21" s="6">
        <f t="shared" si="0"/>
        <v>189.5</v>
      </c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11"/>
      <c r="DP21" s="11"/>
      <c r="DQ21" s="11"/>
      <c r="DR21" s="11"/>
      <c r="DS21" s="11"/>
      <c r="DT21" s="6">
        <f t="shared" ref="DT21:DT29" si="5">SUM(DN21:DS21)</f>
        <v>0</v>
      </c>
      <c r="DU21" s="6">
        <f t="shared" si="1"/>
        <v>0</v>
      </c>
      <c r="DV21" s="11"/>
      <c r="DW21" s="6">
        <f t="shared" si="2"/>
        <v>0</v>
      </c>
    </row>
    <row r="22" spans="1:127" x14ac:dyDescent="0.25">
      <c r="A22">
        <v>12</v>
      </c>
      <c r="B22" s="11" t="s">
        <v>162</v>
      </c>
      <c r="C22" s="6"/>
      <c r="D22" s="6" t="s">
        <v>89</v>
      </c>
      <c r="E22" s="6" t="s">
        <v>111</v>
      </c>
      <c r="F22" s="11"/>
      <c r="G22" s="6"/>
      <c r="H22" s="6"/>
      <c r="I22" s="6"/>
      <c r="J22" s="6"/>
      <c r="K22" s="6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11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6"/>
      <c r="CI22" s="6">
        <f>131/2</f>
        <v>65.5</v>
      </c>
      <c r="CJ22" s="11">
        <v>48</v>
      </c>
      <c r="CK22" s="11">
        <v>28.8</v>
      </c>
      <c r="CL22" s="11">
        <v>39</v>
      </c>
      <c r="CM22" s="11">
        <v>36</v>
      </c>
      <c r="CN22" s="11">
        <v>54</v>
      </c>
      <c r="CO22" s="11">
        <v>140</v>
      </c>
      <c r="CP22" s="6">
        <f t="shared" si="3"/>
        <v>411.3</v>
      </c>
      <c r="CQ22" s="6">
        <f t="shared" si="4"/>
        <v>172.9</v>
      </c>
      <c r="CR22" s="11"/>
      <c r="CS22" s="11"/>
      <c r="CT22" s="11"/>
      <c r="CU22" s="11"/>
      <c r="CV22" s="11"/>
      <c r="CW22" s="6"/>
      <c r="CX22" s="6">
        <f t="shared" si="0"/>
        <v>172.9</v>
      </c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11"/>
      <c r="DP22" s="11"/>
      <c r="DQ22" s="11"/>
      <c r="DR22" s="11"/>
      <c r="DS22" s="11">
        <v>18</v>
      </c>
      <c r="DT22" s="6">
        <f t="shared" si="5"/>
        <v>18</v>
      </c>
      <c r="DU22" s="6">
        <f t="shared" si="1"/>
        <v>9</v>
      </c>
      <c r="DV22" s="11"/>
      <c r="DW22" s="6">
        <f t="shared" si="2"/>
        <v>9</v>
      </c>
    </row>
    <row r="23" spans="1:127" x14ac:dyDescent="0.25">
      <c r="A23">
        <v>13</v>
      </c>
      <c r="B23" s="50" t="s">
        <v>271</v>
      </c>
      <c r="C23" s="51"/>
      <c r="D23" s="51" t="s">
        <v>272</v>
      </c>
      <c r="E23" s="51" t="s">
        <v>149</v>
      </c>
      <c r="F23" s="11"/>
      <c r="G23" s="6"/>
      <c r="H23" s="6"/>
      <c r="I23" s="6"/>
      <c r="J23" s="6"/>
      <c r="K23" s="6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>
        <v>5</v>
      </c>
      <c r="AY23" s="6"/>
      <c r="AZ23" s="6"/>
      <c r="BA23" s="6"/>
      <c r="BB23" s="6"/>
      <c r="BC23" s="11"/>
      <c r="BD23" s="6">
        <f>SUM(AE23:BB23)</f>
        <v>5</v>
      </c>
      <c r="BE23" s="6">
        <f>(BD23-AE23)/2</f>
        <v>2.5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2.4</v>
      </c>
      <c r="BP23" s="6"/>
      <c r="BQ23" s="6"/>
      <c r="BR23" s="6"/>
      <c r="BS23" s="6"/>
      <c r="BT23" s="6"/>
      <c r="BU23" s="6">
        <v>40</v>
      </c>
      <c r="BV23" s="11">
        <v>54</v>
      </c>
      <c r="BW23" s="11"/>
      <c r="BX23" s="11"/>
      <c r="BY23" s="11"/>
      <c r="BZ23" s="11"/>
      <c r="CA23" s="11">
        <v>2.4</v>
      </c>
      <c r="CB23" s="11"/>
      <c r="CC23" s="11"/>
      <c r="CD23" s="11"/>
      <c r="CE23" s="11"/>
      <c r="CF23" s="11">
        <v>54</v>
      </c>
      <c r="CG23" s="11">
        <v>10</v>
      </c>
      <c r="CH23" s="6">
        <f>SUM(BE23:CG23)</f>
        <v>165.3</v>
      </c>
      <c r="CI23" s="6">
        <f>(CH23-BE23)/2</f>
        <v>81.400000000000006</v>
      </c>
      <c r="CJ23" s="11">
        <v>60</v>
      </c>
      <c r="CK23" s="11">
        <v>56</v>
      </c>
      <c r="CL23" s="11">
        <v>54</v>
      </c>
      <c r="CM23" s="11">
        <v>40</v>
      </c>
      <c r="CN23" s="11">
        <v>72</v>
      </c>
      <c r="CO23" s="11">
        <v>60</v>
      </c>
      <c r="CP23" s="6">
        <f t="shared" si="3"/>
        <v>423.4</v>
      </c>
      <c r="CQ23" s="6">
        <f t="shared" si="4"/>
        <v>171</v>
      </c>
      <c r="CR23" s="11"/>
      <c r="CS23" s="11"/>
      <c r="CT23" s="11"/>
      <c r="CU23" s="11"/>
      <c r="CV23" s="11"/>
      <c r="CW23" s="6"/>
      <c r="CX23" s="6">
        <f t="shared" si="0"/>
        <v>171</v>
      </c>
      <c r="CZ23" s="11">
        <f>BD23/4</f>
        <v>1.25</v>
      </c>
      <c r="DA23" s="11"/>
      <c r="DB23" s="11"/>
      <c r="DC23" s="11"/>
      <c r="DD23" s="11"/>
      <c r="DE23" s="11">
        <f>SUM(CZ23:DD23)</f>
        <v>1.25</v>
      </c>
      <c r="DF23" s="6">
        <f>DE23/2</f>
        <v>0.625</v>
      </c>
      <c r="DG23" s="6">
        <f>CH23/4</f>
        <v>41.325000000000003</v>
      </c>
      <c r="DH23" s="6"/>
      <c r="DI23" s="6"/>
      <c r="DJ23" s="6"/>
      <c r="DK23" s="6"/>
      <c r="DL23" s="6"/>
      <c r="DM23" s="6">
        <f>SUM(DF23:DL23)</f>
        <v>41.95</v>
      </c>
      <c r="DN23" s="6">
        <f>(DM23-DF23)/2</f>
        <v>20.662500000000001</v>
      </c>
      <c r="DO23" s="11">
        <v>18</v>
      </c>
      <c r="DP23" s="11"/>
      <c r="DQ23" s="11"/>
      <c r="DR23" s="11">
        <v>16</v>
      </c>
      <c r="DS23" s="11">
        <v>25</v>
      </c>
      <c r="DT23" s="6">
        <f t="shared" si="5"/>
        <v>79.662499999999994</v>
      </c>
      <c r="DU23" s="6">
        <f t="shared" si="1"/>
        <v>29.499999999999996</v>
      </c>
      <c r="DV23" s="11"/>
      <c r="DW23" s="51">
        <f t="shared" si="2"/>
        <v>29.499999999999996</v>
      </c>
    </row>
    <row r="24" spans="1:127" x14ac:dyDescent="0.25">
      <c r="A24">
        <v>14</v>
      </c>
      <c r="B24" s="11" t="s">
        <v>38</v>
      </c>
      <c r="C24" s="6"/>
      <c r="D24" s="6" t="s">
        <v>108</v>
      </c>
      <c r="E24" s="6" t="s">
        <v>198</v>
      </c>
      <c r="F24" s="11"/>
      <c r="G24" s="6"/>
      <c r="H24" s="6"/>
      <c r="I24" s="6"/>
      <c r="J24" s="6"/>
      <c r="K24" s="6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11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6"/>
      <c r="CI24" s="6"/>
      <c r="CJ24" s="11">
        <v>2.4</v>
      </c>
      <c r="CK24" s="11">
        <v>4</v>
      </c>
      <c r="CL24" s="11">
        <v>2.4</v>
      </c>
      <c r="CM24" s="11">
        <v>7.5</v>
      </c>
      <c r="CN24" s="11"/>
      <c r="CO24" s="11"/>
      <c r="CP24" s="6">
        <f t="shared" si="3"/>
        <v>16.3</v>
      </c>
      <c r="CQ24" s="6">
        <f t="shared" si="4"/>
        <v>8.15</v>
      </c>
      <c r="CR24" s="11">
        <v>42</v>
      </c>
      <c r="CS24" s="11">
        <v>40</v>
      </c>
      <c r="CT24" s="11">
        <v>7.5</v>
      </c>
      <c r="CU24" s="11">
        <v>50</v>
      </c>
      <c r="CV24" s="11">
        <v>3</v>
      </c>
      <c r="CW24" s="6"/>
      <c r="CX24" s="6">
        <f t="shared" si="0"/>
        <v>150.65</v>
      </c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11"/>
      <c r="DP24" s="11"/>
      <c r="DQ24" s="11"/>
      <c r="DR24" s="11"/>
      <c r="DS24" s="11">
        <v>13</v>
      </c>
      <c r="DT24" s="6">
        <f t="shared" si="5"/>
        <v>13</v>
      </c>
      <c r="DU24" s="6">
        <f t="shared" si="1"/>
        <v>6.5</v>
      </c>
      <c r="DV24" s="11"/>
      <c r="DW24" s="6">
        <f t="shared" si="2"/>
        <v>6.5</v>
      </c>
    </row>
    <row r="25" spans="1:127" x14ac:dyDescent="0.25">
      <c r="A25">
        <v>15</v>
      </c>
      <c r="B25" s="11" t="s">
        <v>296</v>
      </c>
      <c r="C25" s="6"/>
      <c r="D25" s="6" t="s">
        <v>297</v>
      </c>
      <c r="E25" s="6" t="s">
        <v>86</v>
      </c>
      <c r="F25" s="11"/>
      <c r="G25" s="6"/>
      <c r="H25" s="6"/>
      <c r="I25" s="6"/>
      <c r="J25" s="6"/>
      <c r="K25" s="6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11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6"/>
      <c r="CI25" s="6"/>
      <c r="CJ25" s="11"/>
      <c r="CK25" s="11"/>
      <c r="CL25" s="11"/>
      <c r="CM25" s="11"/>
      <c r="CN25" s="11"/>
      <c r="CO25" s="11"/>
      <c r="CP25" s="6"/>
      <c r="CQ25" s="6"/>
      <c r="CR25" s="11">
        <v>30</v>
      </c>
      <c r="CS25" s="11"/>
      <c r="CT25" s="11">
        <v>100</v>
      </c>
      <c r="CU25" s="11"/>
      <c r="CV25" s="11"/>
      <c r="CW25" s="6"/>
      <c r="CX25" s="6">
        <f t="shared" si="0"/>
        <v>130</v>
      </c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11"/>
      <c r="DP25" s="11"/>
      <c r="DQ25" s="11"/>
      <c r="DR25" s="11"/>
      <c r="DS25" s="11"/>
      <c r="DT25" s="6">
        <f t="shared" si="5"/>
        <v>0</v>
      </c>
      <c r="DU25" s="6">
        <f t="shared" si="1"/>
        <v>0</v>
      </c>
      <c r="DV25" s="11"/>
      <c r="DW25" s="6">
        <f t="shared" si="2"/>
        <v>0</v>
      </c>
    </row>
    <row r="26" spans="1:127" x14ac:dyDescent="0.25">
      <c r="A26">
        <v>16</v>
      </c>
      <c r="B26" s="11" t="s">
        <v>304</v>
      </c>
      <c r="C26" s="6"/>
      <c r="D26" s="6" t="s">
        <v>659</v>
      </c>
      <c r="E26" s="6" t="s">
        <v>9</v>
      </c>
      <c r="F26" s="11"/>
      <c r="G26" s="6"/>
      <c r="H26" s="6"/>
      <c r="I26" s="6"/>
      <c r="J26" s="6"/>
      <c r="K26" s="6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11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6"/>
      <c r="CI26" s="6"/>
      <c r="CJ26" s="11"/>
      <c r="CK26" s="11"/>
      <c r="CL26" s="11"/>
      <c r="CM26" s="11"/>
      <c r="CN26" s="11"/>
      <c r="CO26" s="11"/>
      <c r="CP26" s="6"/>
      <c r="CQ26" s="6"/>
      <c r="CR26" s="11">
        <v>21.6</v>
      </c>
      <c r="CS26" s="11">
        <v>28.8</v>
      </c>
      <c r="CT26" s="11">
        <v>54</v>
      </c>
      <c r="CU26" s="11">
        <v>21.6</v>
      </c>
      <c r="CV26" s="11"/>
      <c r="CW26" s="6"/>
      <c r="CX26" s="6">
        <f t="shared" si="0"/>
        <v>126</v>
      </c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11"/>
      <c r="DP26" s="11"/>
      <c r="DQ26" s="11"/>
      <c r="DR26" s="11"/>
      <c r="DS26" s="11"/>
      <c r="DT26" s="6">
        <f t="shared" si="5"/>
        <v>0</v>
      </c>
      <c r="DU26" s="6">
        <f t="shared" si="1"/>
        <v>0</v>
      </c>
      <c r="DV26" s="11"/>
      <c r="DW26" s="6">
        <f t="shared" si="2"/>
        <v>0</v>
      </c>
    </row>
    <row r="27" spans="1:127" x14ac:dyDescent="0.25">
      <c r="A27">
        <v>17</v>
      </c>
      <c r="B27" s="11" t="s">
        <v>118</v>
      </c>
      <c r="C27" s="6" t="s">
        <v>169</v>
      </c>
      <c r="D27" s="11" t="s">
        <v>170</v>
      </c>
      <c r="E27" s="6" t="s">
        <v>8</v>
      </c>
      <c r="F27" s="11"/>
      <c r="G27" s="6"/>
      <c r="H27" s="6"/>
      <c r="I27" s="6"/>
      <c r="J27" s="6"/>
      <c r="K27" s="6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48</v>
      </c>
      <c r="BA27" s="6"/>
      <c r="BB27" s="6"/>
      <c r="BC27" s="11"/>
      <c r="BD27" s="6">
        <f>SUM(AE27:BC27)</f>
        <v>48</v>
      </c>
      <c r="BE27" s="6">
        <f>(BD27-AE27)/2</f>
        <v>24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>
        <v>75</v>
      </c>
      <c r="BQ27" s="6"/>
      <c r="BR27" s="6">
        <v>100</v>
      </c>
      <c r="BS27" s="6"/>
      <c r="BT27" s="6"/>
      <c r="BU27" s="6"/>
      <c r="BV27" s="11">
        <v>105</v>
      </c>
      <c r="BW27" s="11"/>
      <c r="BX27" s="11"/>
      <c r="BY27" s="11"/>
      <c r="BZ27" s="11"/>
      <c r="CA27" s="11"/>
      <c r="CB27" s="11"/>
      <c r="CC27" s="11">
        <v>36</v>
      </c>
      <c r="CD27" s="11"/>
      <c r="CE27" s="11"/>
      <c r="CF27" s="11" t="s">
        <v>161</v>
      </c>
      <c r="CG27" s="11"/>
      <c r="CH27" s="6">
        <f>SUM(BE27:CG27)</f>
        <v>340</v>
      </c>
      <c r="CI27" s="6">
        <f>(CH27-BE27)/2</f>
        <v>158</v>
      </c>
      <c r="CJ27" s="11"/>
      <c r="CK27" s="11"/>
      <c r="CL27" s="11">
        <v>105</v>
      </c>
      <c r="CM27" s="11">
        <v>105</v>
      </c>
      <c r="CN27" s="11">
        <v>36</v>
      </c>
      <c r="CO27" s="11"/>
      <c r="CP27" s="6">
        <f>SUM(CI27:CO27)</f>
        <v>404</v>
      </c>
      <c r="CQ27" s="6">
        <f>(CP27-CI27)/2</f>
        <v>123</v>
      </c>
      <c r="CR27" s="11"/>
      <c r="CS27" s="11"/>
      <c r="CT27" s="11"/>
      <c r="CU27" s="11"/>
      <c r="CV27" s="11"/>
      <c r="CW27" s="6"/>
      <c r="CX27" s="6">
        <f t="shared" si="0"/>
        <v>123</v>
      </c>
      <c r="CZ27" s="11">
        <f>BD27/4</f>
        <v>12</v>
      </c>
      <c r="DA27" s="11"/>
      <c r="DB27" s="11"/>
      <c r="DC27" s="11"/>
      <c r="DD27" s="11"/>
      <c r="DE27" s="11">
        <f>SUM(CZ27:DD27)</f>
        <v>12</v>
      </c>
      <c r="DF27" s="6">
        <f>DE27/2</f>
        <v>6</v>
      </c>
      <c r="DG27" s="6">
        <f>CH27/4</f>
        <v>85</v>
      </c>
      <c r="DH27" s="6">
        <v>30</v>
      </c>
      <c r="DI27" s="6">
        <v>15</v>
      </c>
      <c r="DJ27" s="6">
        <v>39</v>
      </c>
      <c r="DK27" s="6"/>
      <c r="DL27" s="6"/>
      <c r="DM27" s="6">
        <f>SUM(DF27:DL27)</f>
        <v>175</v>
      </c>
      <c r="DN27" s="6">
        <f>(DM27-DF27)/2</f>
        <v>84.5</v>
      </c>
      <c r="DO27" s="11"/>
      <c r="DP27" s="11"/>
      <c r="DQ27" s="11"/>
      <c r="DR27" s="11"/>
      <c r="DS27" s="11"/>
      <c r="DT27" s="6">
        <f t="shared" si="5"/>
        <v>84.5</v>
      </c>
      <c r="DU27" s="6">
        <f t="shared" si="1"/>
        <v>0</v>
      </c>
      <c r="DV27" s="11"/>
      <c r="DW27" s="6">
        <f t="shared" si="2"/>
        <v>0</v>
      </c>
    </row>
    <row r="28" spans="1:127" x14ac:dyDescent="0.25">
      <c r="A28">
        <v>18</v>
      </c>
      <c r="B28" s="11" t="s">
        <v>566</v>
      </c>
      <c r="C28" s="6"/>
      <c r="D28" s="6" t="s">
        <v>122</v>
      </c>
      <c r="E28" s="6" t="s">
        <v>657</v>
      </c>
      <c r="F28" s="11"/>
      <c r="G28" s="6"/>
      <c r="H28" s="6"/>
      <c r="I28" s="6"/>
      <c r="J28" s="6"/>
      <c r="K28" s="6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11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6"/>
      <c r="CI28" s="6"/>
      <c r="CJ28" s="11"/>
      <c r="CK28" s="11"/>
      <c r="CL28" s="11"/>
      <c r="CM28" s="11"/>
      <c r="CN28" s="11"/>
      <c r="CO28" s="11"/>
      <c r="CP28" s="6"/>
      <c r="CQ28" s="6"/>
      <c r="CR28" s="11">
        <v>30</v>
      </c>
      <c r="CS28" s="11">
        <v>56</v>
      </c>
      <c r="CT28" s="11">
        <v>24</v>
      </c>
      <c r="CU28" s="11"/>
      <c r="CV28" s="11"/>
      <c r="CW28" s="6"/>
      <c r="CX28" s="6">
        <f t="shared" si="0"/>
        <v>110</v>
      </c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11"/>
      <c r="DP28" s="11"/>
      <c r="DQ28" s="11"/>
      <c r="DR28" s="11"/>
      <c r="DS28" s="11"/>
      <c r="DT28" s="6">
        <f t="shared" si="5"/>
        <v>0</v>
      </c>
      <c r="DU28" s="6">
        <f t="shared" si="1"/>
        <v>0</v>
      </c>
      <c r="DV28" s="11"/>
      <c r="DW28" s="6">
        <f t="shared" si="2"/>
        <v>0</v>
      </c>
    </row>
    <row r="29" spans="1:127" x14ac:dyDescent="0.25">
      <c r="A29">
        <v>19</v>
      </c>
      <c r="B29" s="11" t="s">
        <v>350</v>
      </c>
      <c r="C29" s="6"/>
      <c r="D29" s="6" t="s">
        <v>150</v>
      </c>
      <c r="E29" s="6" t="s">
        <v>42</v>
      </c>
      <c r="F29" s="11"/>
      <c r="G29" s="6"/>
      <c r="H29" s="6"/>
      <c r="I29" s="6"/>
      <c r="J29" s="6"/>
      <c r="K29" s="6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11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6"/>
      <c r="CI29" s="6"/>
      <c r="CJ29" s="11"/>
      <c r="CK29" s="11"/>
      <c r="CL29" s="11"/>
      <c r="CM29" s="11"/>
      <c r="CN29" s="11"/>
      <c r="CO29" s="11"/>
      <c r="CP29" s="6"/>
      <c r="CQ29" s="6"/>
      <c r="CR29" s="11">
        <v>48</v>
      </c>
      <c r="CS29" s="11">
        <v>56</v>
      </c>
      <c r="CT29" s="11"/>
      <c r="CU29" s="11"/>
      <c r="CV29" s="11"/>
      <c r="CW29" s="6"/>
      <c r="CX29" s="6">
        <f t="shared" si="0"/>
        <v>104</v>
      </c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11"/>
      <c r="DP29" s="11"/>
      <c r="DQ29" s="11"/>
      <c r="DR29" s="11"/>
      <c r="DS29" s="11"/>
      <c r="DT29" s="6">
        <f t="shared" si="5"/>
        <v>0</v>
      </c>
      <c r="DU29" s="6">
        <f t="shared" si="1"/>
        <v>0</v>
      </c>
      <c r="DV29" s="11"/>
      <c r="DW29" s="6">
        <f t="shared" si="2"/>
        <v>0</v>
      </c>
    </row>
    <row r="30" spans="1:127" x14ac:dyDescent="0.25">
      <c r="A30">
        <v>20</v>
      </c>
      <c r="B30" s="11" t="s">
        <v>535</v>
      </c>
      <c r="C30" s="6"/>
      <c r="D30" s="6" t="s">
        <v>33</v>
      </c>
      <c r="E30" s="6" t="s">
        <v>218</v>
      </c>
      <c r="F30" s="11"/>
      <c r="G30" s="6"/>
      <c r="H30" s="6"/>
      <c r="I30" s="6"/>
      <c r="J30" s="6"/>
      <c r="K30" s="6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11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6"/>
      <c r="CI30" s="6"/>
      <c r="CJ30" s="11">
        <v>36</v>
      </c>
      <c r="CK30" s="11">
        <v>40</v>
      </c>
      <c r="CL30" s="11">
        <v>39</v>
      </c>
      <c r="CM30" s="11">
        <v>24</v>
      </c>
      <c r="CN30" s="11">
        <v>36</v>
      </c>
      <c r="CO30" s="11">
        <v>28.8</v>
      </c>
      <c r="CP30" s="6">
        <f>SUM(CI30:CO30)</f>
        <v>203.8</v>
      </c>
      <c r="CQ30" s="6">
        <f>(CP30-CI30)/2</f>
        <v>101.9</v>
      </c>
      <c r="CR30" s="11"/>
      <c r="CS30" s="11"/>
      <c r="CT30" s="11"/>
      <c r="CU30" s="11"/>
      <c r="CV30" s="11"/>
      <c r="CW30" s="6"/>
      <c r="CX30" s="6">
        <f t="shared" si="0"/>
        <v>101.9</v>
      </c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11"/>
      <c r="DP30" s="11"/>
      <c r="DQ30" s="11"/>
      <c r="DR30" s="11"/>
      <c r="DS30" s="11"/>
      <c r="DT30" s="6">
        <f>SUM(DN30:DP30)</f>
        <v>0</v>
      </c>
      <c r="DU30" s="6">
        <f t="shared" si="1"/>
        <v>0</v>
      </c>
      <c r="DV30" s="11"/>
      <c r="DW30" s="6">
        <f t="shared" si="2"/>
        <v>0</v>
      </c>
    </row>
    <row r="31" spans="1:127" x14ac:dyDescent="0.25">
      <c r="A31">
        <v>21</v>
      </c>
      <c r="B31" s="11" t="s">
        <v>186</v>
      </c>
      <c r="C31" s="6" t="s">
        <v>98</v>
      </c>
      <c r="D31" s="6" t="s">
        <v>69</v>
      </c>
      <c r="E31" s="6" t="s">
        <v>187</v>
      </c>
      <c r="F31" s="11"/>
      <c r="G31" s="6"/>
      <c r="H31" s="6"/>
      <c r="I31" s="6"/>
      <c r="J31" s="6"/>
      <c r="K31" s="6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11"/>
      <c r="BD31" s="6">
        <f>SUM(AE31:BB31)</f>
        <v>0</v>
      </c>
      <c r="BE31" s="6">
        <f>(BD31-AE31)/2</f>
        <v>0</v>
      </c>
      <c r="BF31" s="6"/>
      <c r="BG31" s="6"/>
      <c r="BH31" s="6"/>
      <c r="BI31" s="6"/>
      <c r="BJ31" s="6"/>
      <c r="BK31" s="6">
        <v>48</v>
      </c>
      <c r="BL31" s="6"/>
      <c r="BM31" s="6"/>
      <c r="BN31" s="6"/>
      <c r="BO31" s="6"/>
      <c r="BP31" s="6">
        <v>7.5</v>
      </c>
      <c r="BQ31" s="6"/>
      <c r="BR31" s="6"/>
      <c r="BS31" s="6"/>
      <c r="BT31" s="6"/>
      <c r="BU31" s="6"/>
      <c r="BV31" s="11"/>
      <c r="BW31" s="11"/>
      <c r="BX31" s="11">
        <v>48</v>
      </c>
      <c r="BY31" s="11"/>
      <c r="BZ31" s="11"/>
      <c r="CA31" s="11"/>
      <c r="CB31" s="11"/>
      <c r="CC31" s="11"/>
      <c r="CD31" s="11"/>
      <c r="CE31" s="11"/>
      <c r="CF31" s="11">
        <v>75</v>
      </c>
      <c r="CG31" s="11">
        <v>140</v>
      </c>
      <c r="CH31" s="6">
        <f>SUM(BE31:CG31)</f>
        <v>318.5</v>
      </c>
      <c r="CI31" s="6">
        <f>(CH31-BE31)/2</f>
        <v>159.25</v>
      </c>
      <c r="CJ31" s="11">
        <v>48</v>
      </c>
      <c r="CK31" s="11"/>
      <c r="CL31" s="11">
        <v>52</v>
      </c>
      <c r="CM31" s="11"/>
      <c r="CN31" s="11"/>
      <c r="CO31" s="11"/>
      <c r="CP31" s="6">
        <f>SUM(CI31:CO31)</f>
        <v>259.25</v>
      </c>
      <c r="CQ31" s="6">
        <f>(CP31-CI31)/2</f>
        <v>50</v>
      </c>
      <c r="CR31" s="11">
        <v>48</v>
      </c>
      <c r="CS31" s="11"/>
      <c r="CT31" s="11"/>
      <c r="CU31" s="11"/>
      <c r="CV31" s="11"/>
      <c r="CW31" s="6"/>
      <c r="CX31" s="6">
        <f t="shared" si="0"/>
        <v>98</v>
      </c>
      <c r="CZ31" s="6"/>
      <c r="DA31" s="6"/>
      <c r="DB31" s="6"/>
      <c r="DC31" s="6"/>
      <c r="DD31" s="6"/>
      <c r="DE31" s="11">
        <f>SUM(CZ31:DD31)</f>
        <v>0</v>
      </c>
      <c r="DF31" s="6">
        <f>DE31/2</f>
        <v>0</v>
      </c>
      <c r="DG31" s="6">
        <f>CH31/4</f>
        <v>79.625</v>
      </c>
      <c r="DH31" s="6">
        <v>1.5</v>
      </c>
      <c r="DI31" s="6"/>
      <c r="DJ31" s="6">
        <v>54</v>
      </c>
      <c r="DK31" s="6"/>
      <c r="DL31" s="6"/>
      <c r="DM31" s="6">
        <f>SUM(DF31:DL31)</f>
        <v>135.125</v>
      </c>
      <c r="DN31" s="6">
        <f>(DM31-DF31)/2</f>
        <v>67.5625</v>
      </c>
      <c r="DO31" s="11"/>
      <c r="DP31" s="11"/>
      <c r="DQ31" s="11"/>
      <c r="DR31" s="11">
        <v>26</v>
      </c>
      <c r="DS31" s="11"/>
      <c r="DT31" s="6">
        <f>SUM(DN31:DR31)</f>
        <v>93.5625</v>
      </c>
      <c r="DU31" s="6">
        <f t="shared" si="1"/>
        <v>13</v>
      </c>
      <c r="DV31" s="11"/>
      <c r="DW31" s="6">
        <f t="shared" si="2"/>
        <v>13</v>
      </c>
    </row>
    <row r="32" spans="1:127" x14ac:dyDescent="0.25">
      <c r="A32">
        <v>22</v>
      </c>
      <c r="B32" s="20" t="s">
        <v>177</v>
      </c>
      <c r="C32" s="21"/>
      <c r="D32" s="21" t="s">
        <v>170</v>
      </c>
      <c r="E32" s="21" t="s">
        <v>53</v>
      </c>
      <c r="F32" s="11"/>
      <c r="G32" s="6"/>
      <c r="H32" s="6"/>
      <c r="I32" s="6"/>
      <c r="J32" s="6"/>
      <c r="K32" s="6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11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6"/>
      <c r="CI32" s="6"/>
      <c r="CJ32" s="11">
        <v>42</v>
      </c>
      <c r="CK32" s="11">
        <v>20.8</v>
      </c>
      <c r="CL32" s="11">
        <v>18</v>
      </c>
      <c r="CM32" s="11">
        <v>26</v>
      </c>
      <c r="CN32" s="11">
        <v>54</v>
      </c>
      <c r="CO32" s="11">
        <v>30</v>
      </c>
      <c r="CP32" s="6">
        <f>SUM(CI32:CO32)</f>
        <v>190.8</v>
      </c>
      <c r="CQ32" s="6">
        <f>(CP32-CI32)/2</f>
        <v>95.4</v>
      </c>
      <c r="CR32" s="11"/>
      <c r="CS32" s="11"/>
      <c r="CT32" s="11"/>
      <c r="CU32" s="11"/>
      <c r="CV32" s="11"/>
      <c r="CW32" s="6"/>
      <c r="CX32" s="6">
        <f t="shared" si="0"/>
        <v>95.4</v>
      </c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11">
        <v>22.25</v>
      </c>
      <c r="DP32" s="11">
        <v>75</v>
      </c>
      <c r="DQ32" s="11">
        <v>15</v>
      </c>
      <c r="DR32" s="11"/>
      <c r="DS32" s="11"/>
      <c r="DT32" s="6">
        <f>SUM(DN32:DQ32)</f>
        <v>112.25</v>
      </c>
      <c r="DU32" s="6">
        <f t="shared" si="1"/>
        <v>56.125</v>
      </c>
      <c r="DV32" s="11"/>
      <c r="DW32" s="21">
        <f t="shared" si="2"/>
        <v>56.125</v>
      </c>
    </row>
    <row r="33" spans="1:127" x14ac:dyDescent="0.25">
      <c r="A33">
        <v>23</v>
      </c>
      <c r="B33" s="11" t="s">
        <v>557</v>
      </c>
      <c r="C33" s="6"/>
      <c r="D33" s="6" t="s">
        <v>74</v>
      </c>
      <c r="E33" s="6" t="s">
        <v>558</v>
      </c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6"/>
      <c r="CI33" s="6"/>
      <c r="CJ33" s="11">
        <v>36</v>
      </c>
      <c r="CK33" s="11"/>
      <c r="CL33" s="11">
        <v>7.5</v>
      </c>
      <c r="CM33" s="11">
        <v>7.5</v>
      </c>
      <c r="CN33" s="11">
        <v>7.5</v>
      </c>
      <c r="CO33" s="11"/>
      <c r="CP33" s="6">
        <f>SUM(CI33:CO33)</f>
        <v>58.5</v>
      </c>
      <c r="CQ33" s="6">
        <f>(CP33-CI33)/2</f>
        <v>29.25</v>
      </c>
      <c r="CR33" s="11">
        <v>36</v>
      </c>
      <c r="CS33" s="11">
        <v>28.8</v>
      </c>
      <c r="CT33" s="11"/>
      <c r="CU33" s="11"/>
      <c r="CV33" s="11"/>
      <c r="CW33" s="6"/>
      <c r="CX33" s="6">
        <f t="shared" si="0"/>
        <v>94.05</v>
      </c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11"/>
      <c r="DP33" s="11"/>
      <c r="DQ33" s="11"/>
      <c r="DR33" s="11"/>
      <c r="DS33" s="11"/>
      <c r="DT33" s="6">
        <f>SUM(DN33:DS33)</f>
        <v>0</v>
      </c>
      <c r="DU33" s="6">
        <f t="shared" si="1"/>
        <v>0</v>
      </c>
      <c r="DV33" s="11"/>
      <c r="DW33" s="6">
        <f t="shared" si="2"/>
        <v>0</v>
      </c>
    </row>
    <row r="34" spans="1:127" x14ac:dyDescent="0.25">
      <c r="A34">
        <v>24</v>
      </c>
      <c r="B34" s="11" t="s">
        <v>46</v>
      </c>
      <c r="C34" s="6"/>
      <c r="D34" s="6" t="s">
        <v>237</v>
      </c>
      <c r="E34" s="6" t="s">
        <v>42</v>
      </c>
      <c r="F34" s="11"/>
      <c r="G34" s="6"/>
      <c r="H34" s="6"/>
      <c r="I34" s="6"/>
      <c r="J34" s="6"/>
      <c r="K34" s="6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11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6"/>
      <c r="CI34" s="6">
        <v>30.3</v>
      </c>
      <c r="CJ34" s="11">
        <v>42</v>
      </c>
      <c r="CK34" s="11">
        <v>28.8</v>
      </c>
      <c r="CL34" s="11">
        <v>7.5</v>
      </c>
      <c r="CM34" s="11">
        <v>2.4</v>
      </c>
      <c r="CN34" s="11">
        <v>4</v>
      </c>
      <c r="CO34" s="11">
        <v>7.5</v>
      </c>
      <c r="CP34" s="6">
        <f>SUM(CI34:CO34)</f>
        <v>122.5</v>
      </c>
      <c r="CQ34" s="6">
        <f>(CP34-CI34)/2</f>
        <v>46.1</v>
      </c>
      <c r="CR34" s="11">
        <v>33.6</v>
      </c>
      <c r="CS34" s="11">
        <v>4</v>
      </c>
      <c r="CT34" s="11">
        <v>7.5</v>
      </c>
      <c r="CU34" s="11"/>
      <c r="CV34" s="11"/>
      <c r="CW34" s="6"/>
      <c r="CX34" s="6">
        <f t="shared" si="0"/>
        <v>91.2</v>
      </c>
      <c r="DE34" s="6"/>
      <c r="DF34" s="6"/>
      <c r="DG34" s="6"/>
      <c r="DH34" s="40"/>
      <c r="DI34" s="6"/>
      <c r="DJ34" s="6"/>
      <c r="DK34" s="6"/>
      <c r="DL34" s="6"/>
      <c r="DM34" s="6"/>
      <c r="DN34" s="6"/>
      <c r="DO34" s="11"/>
      <c r="DP34" s="11"/>
      <c r="DQ34" s="11"/>
      <c r="DR34" s="11"/>
      <c r="DS34" s="11"/>
      <c r="DT34" s="6">
        <f>SUM(DN34:DP34)</f>
        <v>0</v>
      </c>
      <c r="DU34" s="6">
        <f t="shared" si="1"/>
        <v>0</v>
      </c>
      <c r="DV34" s="11"/>
      <c r="DW34" s="6">
        <f t="shared" si="2"/>
        <v>0</v>
      </c>
    </row>
    <row r="35" spans="1:127" x14ac:dyDescent="0.25">
      <c r="A35">
        <v>25</v>
      </c>
      <c r="B35" s="11" t="s">
        <v>317</v>
      </c>
      <c r="C35" s="6"/>
      <c r="D35" s="6" t="s">
        <v>170</v>
      </c>
      <c r="E35" s="6" t="s">
        <v>575</v>
      </c>
      <c r="F35" s="11"/>
      <c r="G35" s="6"/>
      <c r="H35" s="6"/>
      <c r="I35" s="6"/>
      <c r="J35" s="6"/>
      <c r="K35" s="6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11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6"/>
      <c r="CI35" s="6"/>
      <c r="CJ35" s="11"/>
      <c r="CK35" s="11"/>
      <c r="CL35" s="11"/>
      <c r="CM35" s="11"/>
      <c r="CN35" s="11"/>
      <c r="CO35" s="11"/>
      <c r="CP35" s="6"/>
      <c r="CQ35" s="6"/>
      <c r="CR35" s="11">
        <v>48</v>
      </c>
      <c r="CS35" s="11">
        <v>40</v>
      </c>
      <c r="CT35" s="11">
        <v>2.4</v>
      </c>
      <c r="CU35" s="11"/>
      <c r="CV35" s="11"/>
      <c r="CW35" s="6"/>
      <c r="CX35" s="6">
        <f t="shared" si="0"/>
        <v>90.4</v>
      </c>
      <c r="DM35" s="6"/>
      <c r="DN35" s="6"/>
      <c r="DO35" s="11"/>
      <c r="DP35" s="11"/>
      <c r="DQ35" s="11"/>
      <c r="DR35" s="11"/>
      <c r="DS35" s="11"/>
      <c r="DT35" s="6">
        <f>SUM(DN35:DS35)</f>
        <v>0</v>
      </c>
      <c r="DU35" s="6">
        <f t="shared" si="1"/>
        <v>0</v>
      </c>
      <c r="DV35" s="11"/>
      <c r="DW35" s="6">
        <f t="shared" si="2"/>
        <v>0</v>
      </c>
    </row>
    <row r="36" spans="1:127" x14ac:dyDescent="0.25">
      <c r="A36">
        <v>26</v>
      </c>
      <c r="B36" s="11" t="s">
        <v>655</v>
      </c>
      <c r="C36" s="6"/>
      <c r="D36" s="6" t="s">
        <v>748</v>
      </c>
      <c r="E36" s="6" t="s">
        <v>595</v>
      </c>
      <c r="F36" s="11"/>
      <c r="G36" s="6"/>
      <c r="H36" s="6"/>
      <c r="I36" s="6"/>
      <c r="J36" s="6"/>
      <c r="K36" s="6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11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6"/>
      <c r="CI36" s="6"/>
      <c r="CJ36" s="11"/>
      <c r="CK36" s="11"/>
      <c r="CL36" s="11"/>
      <c r="CM36" s="11"/>
      <c r="CN36" s="11"/>
      <c r="CO36" s="11"/>
      <c r="CP36" s="6"/>
      <c r="CQ36" s="6"/>
      <c r="CR36" s="11">
        <v>30</v>
      </c>
      <c r="CS36" s="11">
        <v>20.8</v>
      </c>
      <c r="CT36" s="11">
        <v>36</v>
      </c>
      <c r="CU36" s="11"/>
      <c r="CV36" s="11"/>
      <c r="CW36" s="6"/>
      <c r="CX36" s="6">
        <f t="shared" si="0"/>
        <v>86.8</v>
      </c>
      <c r="DM36" s="6"/>
      <c r="DN36" s="6"/>
      <c r="DO36" s="11"/>
      <c r="DP36" s="11"/>
      <c r="DQ36" s="11"/>
      <c r="DR36" s="11"/>
      <c r="DS36" s="11"/>
      <c r="DT36" s="6">
        <f>SUM(DN36:DS36)</f>
        <v>0</v>
      </c>
      <c r="DU36" s="6">
        <f t="shared" si="1"/>
        <v>0</v>
      </c>
      <c r="DV36" s="11"/>
      <c r="DW36" s="6">
        <f t="shared" si="2"/>
        <v>0</v>
      </c>
    </row>
    <row r="37" spans="1:127" x14ac:dyDescent="0.25">
      <c r="A37">
        <v>27</v>
      </c>
      <c r="B37" s="11" t="s">
        <v>479</v>
      </c>
      <c r="C37" s="6"/>
      <c r="D37" s="6" t="s">
        <v>63</v>
      </c>
      <c r="E37" s="6" t="s">
        <v>137</v>
      </c>
      <c r="F37" s="11"/>
      <c r="G37" s="6"/>
      <c r="H37" s="6"/>
      <c r="I37" s="6"/>
      <c r="J37" s="6"/>
      <c r="K37" s="6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11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6"/>
      <c r="CI37" s="6"/>
      <c r="CJ37" s="11"/>
      <c r="CK37" s="11"/>
      <c r="CL37" s="11"/>
      <c r="CM37" s="11"/>
      <c r="CN37" s="11"/>
      <c r="CO37" s="11"/>
      <c r="CP37" s="6"/>
      <c r="CQ37" s="6"/>
      <c r="CR37" s="11">
        <v>33.6</v>
      </c>
      <c r="CS37" s="11">
        <v>40</v>
      </c>
      <c r="CT37" s="11">
        <v>7.5</v>
      </c>
      <c r="CU37" s="11"/>
      <c r="CV37" s="11"/>
      <c r="CW37" s="6"/>
      <c r="CX37" s="6">
        <f t="shared" si="0"/>
        <v>81.099999999999994</v>
      </c>
      <c r="DM37" s="6"/>
      <c r="DN37" s="6"/>
      <c r="DO37" s="11"/>
      <c r="DP37" s="11"/>
      <c r="DQ37" s="11"/>
      <c r="DR37" s="11"/>
      <c r="DS37" s="11"/>
      <c r="DT37" s="6">
        <f>SUM(DN37:DS37)</f>
        <v>0</v>
      </c>
      <c r="DU37" s="6">
        <f t="shared" si="1"/>
        <v>0</v>
      </c>
      <c r="DV37" s="11"/>
      <c r="DW37" s="6">
        <f t="shared" si="2"/>
        <v>0</v>
      </c>
    </row>
    <row r="38" spans="1:127" x14ac:dyDescent="0.25">
      <c r="A38">
        <v>28</v>
      </c>
      <c r="B38" s="11" t="s">
        <v>340</v>
      </c>
      <c r="C38" s="6"/>
      <c r="D38" s="6" t="s">
        <v>341</v>
      </c>
      <c r="E38" s="6" t="s">
        <v>107</v>
      </c>
      <c r="F38" s="11"/>
      <c r="G38" s="6"/>
      <c r="H38" s="6"/>
      <c r="I38" s="6"/>
      <c r="J38" s="6"/>
      <c r="K38" s="6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11"/>
      <c r="BD38" s="6"/>
      <c r="BE38" s="6"/>
      <c r="BF38" s="6"/>
      <c r="BG38" s="6"/>
      <c r="BH38" s="6"/>
      <c r="BI38" s="6"/>
      <c r="BJ38" s="6">
        <v>42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4</v>
      </c>
      <c r="BU38" s="6"/>
      <c r="BV38" s="11">
        <v>39</v>
      </c>
      <c r="BW38" s="11"/>
      <c r="BX38" s="11"/>
      <c r="BY38" s="11">
        <v>3</v>
      </c>
      <c r="BZ38" s="11"/>
      <c r="CA38" s="11"/>
      <c r="CB38" s="11"/>
      <c r="CC38" s="11"/>
      <c r="CD38" s="11"/>
      <c r="CE38" s="11"/>
      <c r="CF38" s="11"/>
      <c r="CG38" s="11"/>
      <c r="CH38" s="6">
        <f>SUM(BE38:CG38)</f>
        <v>88</v>
      </c>
      <c r="CI38" s="6">
        <f>(CH38-BE38)/2</f>
        <v>44</v>
      </c>
      <c r="CJ38" s="11">
        <v>48</v>
      </c>
      <c r="CK38" s="11">
        <v>28.8</v>
      </c>
      <c r="CL38" s="11">
        <v>70</v>
      </c>
      <c r="CM38" s="11">
        <v>5</v>
      </c>
      <c r="CN38" s="11"/>
      <c r="CO38" s="11"/>
      <c r="CP38" s="6">
        <f>SUM(CI38:CO38)</f>
        <v>195.8</v>
      </c>
      <c r="CQ38" s="6">
        <f>(CP38-CI38)/2</f>
        <v>75.900000000000006</v>
      </c>
      <c r="CR38" s="11"/>
      <c r="CS38" s="11">
        <v>4</v>
      </c>
      <c r="CT38" s="11"/>
      <c r="CU38" s="11"/>
      <c r="CV38" s="11"/>
      <c r="CW38" s="6"/>
      <c r="CX38" s="6">
        <f t="shared" si="0"/>
        <v>79.900000000000006</v>
      </c>
      <c r="DE38" s="8">
        <f>SUM(CZ38:DD38)</f>
        <v>0</v>
      </c>
      <c r="DF38">
        <f>DE38/2</f>
        <v>0</v>
      </c>
      <c r="DG38">
        <f>CH38/4</f>
        <v>22</v>
      </c>
      <c r="DM38" s="6">
        <f>SUM(DF38:DL38)</f>
        <v>22</v>
      </c>
      <c r="DN38" s="6">
        <f>(DM38-DF38)/2</f>
        <v>11</v>
      </c>
      <c r="DO38" s="11">
        <v>1.5</v>
      </c>
      <c r="DP38" s="11"/>
      <c r="DQ38" s="11"/>
      <c r="DR38" s="11"/>
      <c r="DS38" s="11"/>
      <c r="DT38" s="6">
        <f>SUM(DN38:DP38)</f>
        <v>12.5</v>
      </c>
      <c r="DU38" s="6">
        <f t="shared" si="1"/>
        <v>0.75</v>
      </c>
      <c r="DV38" s="11"/>
      <c r="DW38" s="6">
        <f t="shared" si="2"/>
        <v>0.75</v>
      </c>
    </row>
    <row r="39" spans="1:127" x14ac:dyDescent="0.25">
      <c r="A39">
        <v>29</v>
      </c>
      <c r="B39" s="11" t="s">
        <v>703</v>
      </c>
      <c r="C39" s="6"/>
      <c r="D39" s="6" t="s">
        <v>664</v>
      </c>
      <c r="E39" s="6" t="s">
        <v>704</v>
      </c>
      <c r="F39" s="11"/>
      <c r="G39" s="6"/>
      <c r="H39" s="6"/>
      <c r="I39" s="6"/>
      <c r="J39" s="6"/>
      <c r="K39" s="6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11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6"/>
      <c r="CI39" s="6"/>
      <c r="CJ39" s="11"/>
      <c r="CK39" s="11"/>
      <c r="CL39" s="11"/>
      <c r="CM39" s="11"/>
      <c r="CN39" s="11"/>
      <c r="CO39" s="11"/>
      <c r="CP39" s="6"/>
      <c r="CQ39" s="6"/>
      <c r="CR39" s="11">
        <v>36</v>
      </c>
      <c r="CS39" s="11">
        <v>40</v>
      </c>
      <c r="CT39" s="11">
        <v>2.4</v>
      </c>
      <c r="CU39" s="11"/>
      <c r="CV39" s="11"/>
      <c r="CW39" s="6"/>
      <c r="CX39" s="6">
        <f t="shared" si="0"/>
        <v>78.400000000000006</v>
      </c>
      <c r="DM39" s="6"/>
      <c r="DN39" s="6"/>
      <c r="DO39" s="11"/>
      <c r="DP39" s="11"/>
      <c r="DQ39" s="11"/>
      <c r="DR39" s="11"/>
      <c r="DS39" s="11"/>
      <c r="DT39" s="6">
        <f>SUM(DN39:DS39)</f>
        <v>0</v>
      </c>
      <c r="DU39" s="6">
        <f t="shared" si="1"/>
        <v>0</v>
      </c>
      <c r="DV39" s="11"/>
      <c r="DW39" s="6">
        <f t="shared" si="2"/>
        <v>0</v>
      </c>
    </row>
    <row r="40" spans="1:127" x14ac:dyDescent="0.25">
      <c r="A40">
        <v>30</v>
      </c>
      <c r="B40" s="26" t="s">
        <v>251</v>
      </c>
      <c r="C40" s="27"/>
      <c r="D40" s="26" t="s">
        <v>122</v>
      </c>
      <c r="E40" s="27" t="s">
        <v>104</v>
      </c>
      <c r="BI40">
        <v>36</v>
      </c>
      <c r="BR40">
        <v>40</v>
      </c>
      <c r="BS40">
        <v>64</v>
      </c>
      <c r="BV40" s="8">
        <v>7.5</v>
      </c>
      <c r="CE40" s="8">
        <v>48</v>
      </c>
      <c r="CF40" s="8">
        <v>7.5</v>
      </c>
      <c r="CG40" s="8">
        <v>72</v>
      </c>
      <c r="CH40" s="27">
        <f>SUM(BE40:CG40)</f>
        <v>275</v>
      </c>
      <c r="CI40" s="27">
        <f>(CH40-BE40)/2</f>
        <v>137.5</v>
      </c>
      <c r="CJ40" s="26">
        <v>36</v>
      </c>
      <c r="CK40" s="26">
        <v>32</v>
      </c>
      <c r="CL40" s="26">
        <v>7.5</v>
      </c>
      <c r="CM40" s="26">
        <v>7.5</v>
      </c>
      <c r="CN40" s="26">
        <v>72</v>
      </c>
      <c r="CO40" s="26"/>
      <c r="CP40" s="6">
        <f>SUM(CI40:CO40)</f>
        <v>292.5</v>
      </c>
      <c r="CQ40" s="6">
        <f>(CP40-CI40)/2</f>
        <v>77.5</v>
      </c>
      <c r="CR40" s="11"/>
      <c r="CS40" s="11"/>
      <c r="CT40" s="11"/>
      <c r="CU40" s="11"/>
      <c r="CV40" s="11"/>
      <c r="CW40" s="6"/>
      <c r="CX40" s="6">
        <f t="shared" si="0"/>
        <v>77.5</v>
      </c>
      <c r="DE40" s="8">
        <f>SUM(CZ40:DD40)</f>
        <v>0</v>
      </c>
      <c r="DF40">
        <f>DE40/2</f>
        <v>0</v>
      </c>
      <c r="DG40">
        <f>CH40/4</f>
        <v>68.75</v>
      </c>
      <c r="DM40" s="6">
        <f>SUM(DF40:DL40)</f>
        <v>68.75</v>
      </c>
      <c r="DN40" s="6">
        <f>(DM40-DF40)/2</f>
        <v>34.375</v>
      </c>
      <c r="DO40" s="11"/>
      <c r="DP40" s="11"/>
      <c r="DQ40" s="11"/>
      <c r="DR40" s="11"/>
      <c r="DS40" s="11"/>
      <c r="DT40" s="6">
        <f>SUM(DN40:DR40)</f>
        <v>34.375</v>
      </c>
      <c r="DU40" s="6">
        <f t="shared" si="1"/>
        <v>0</v>
      </c>
      <c r="DV40" s="11"/>
      <c r="DW40" s="6">
        <f t="shared" si="2"/>
        <v>0</v>
      </c>
    </row>
    <row r="41" spans="1:127" x14ac:dyDescent="0.25">
      <c r="A41">
        <v>31</v>
      </c>
      <c r="B41" s="11" t="s">
        <v>97</v>
      </c>
      <c r="C41" s="6"/>
      <c r="D41" s="6" t="s">
        <v>514</v>
      </c>
      <c r="E41" s="6" t="s">
        <v>193</v>
      </c>
      <c r="F41" s="11"/>
      <c r="G41" s="6"/>
      <c r="H41" s="6"/>
      <c r="I41" s="6"/>
      <c r="J41" s="6"/>
      <c r="K41" s="6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11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6"/>
      <c r="CI41" s="6"/>
      <c r="CJ41" s="11">
        <v>30</v>
      </c>
      <c r="CK41" s="11">
        <v>4</v>
      </c>
      <c r="CL41" s="11">
        <v>7.5</v>
      </c>
      <c r="CM41" s="11">
        <v>36</v>
      </c>
      <c r="CN41" s="11">
        <v>39</v>
      </c>
      <c r="CO41" s="11">
        <v>36</v>
      </c>
      <c r="CP41" s="6">
        <f>SUM(CI41:CO41)</f>
        <v>152.5</v>
      </c>
      <c r="CQ41" s="6">
        <f>(CP41-CI41)/2</f>
        <v>76.25</v>
      </c>
      <c r="CR41" s="11"/>
      <c r="CS41" s="11"/>
      <c r="CT41" s="11"/>
      <c r="CU41" s="11"/>
      <c r="CV41" s="11"/>
      <c r="CW41" s="6"/>
      <c r="CX41" s="6">
        <f t="shared" si="0"/>
        <v>76.25</v>
      </c>
      <c r="DM41" s="6"/>
      <c r="DN41" s="6"/>
      <c r="DO41" s="11"/>
      <c r="DP41" s="11"/>
      <c r="DQ41" s="11"/>
      <c r="DR41" s="11"/>
      <c r="DS41" s="11"/>
      <c r="DT41" s="6">
        <f>SUM(DN41:DP41)</f>
        <v>0</v>
      </c>
      <c r="DU41" s="6">
        <f t="shared" si="1"/>
        <v>0</v>
      </c>
      <c r="DV41" s="11"/>
      <c r="DW41" s="6">
        <f t="shared" si="2"/>
        <v>0</v>
      </c>
    </row>
    <row r="42" spans="1:127" x14ac:dyDescent="0.25">
      <c r="A42">
        <v>32</v>
      </c>
      <c r="B42" s="26" t="s">
        <v>96</v>
      </c>
      <c r="C42" s="27"/>
      <c r="D42" s="27" t="s">
        <v>43</v>
      </c>
      <c r="E42" s="27" t="s">
        <v>326</v>
      </c>
      <c r="CH42" s="27"/>
      <c r="CI42" s="27"/>
      <c r="CJ42" s="26"/>
      <c r="CK42" s="26"/>
      <c r="CL42" s="26"/>
      <c r="CM42" s="26"/>
      <c r="CN42" s="26"/>
      <c r="CO42" s="26"/>
      <c r="CP42" s="6"/>
      <c r="CQ42" s="6"/>
      <c r="CR42" s="11">
        <v>48</v>
      </c>
      <c r="CS42" s="11">
        <v>4</v>
      </c>
      <c r="CT42" s="11">
        <v>24</v>
      </c>
      <c r="CU42" s="11"/>
      <c r="CV42" s="11"/>
      <c r="CW42" s="6"/>
      <c r="CX42" s="6">
        <f t="shared" si="0"/>
        <v>76</v>
      </c>
      <c r="DM42" s="6"/>
      <c r="DN42" s="6"/>
      <c r="DO42" s="11"/>
      <c r="DP42" s="11"/>
      <c r="DQ42" s="11"/>
      <c r="DR42" s="11"/>
      <c r="DS42" s="11"/>
      <c r="DT42" s="6">
        <f t="shared" ref="DT42:DT58" si="6">SUM(DN42:DS42)</f>
        <v>0</v>
      </c>
      <c r="DU42" s="6">
        <f t="shared" si="1"/>
        <v>0</v>
      </c>
      <c r="DV42" s="11"/>
      <c r="DW42" s="6">
        <f t="shared" si="2"/>
        <v>0</v>
      </c>
    </row>
    <row r="43" spans="1:127" x14ac:dyDescent="0.25">
      <c r="A43">
        <v>33</v>
      </c>
      <c r="B43" s="11" t="s">
        <v>626</v>
      </c>
      <c r="C43" s="6"/>
      <c r="D43" s="6" t="s">
        <v>627</v>
      </c>
      <c r="E43" s="6" t="s">
        <v>549</v>
      </c>
      <c r="F43" s="11"/>
      <c r="G43" s="6"/>
      <c r="H43" s="6"/>
      <c r="I43" s="6"/>
      <c r="J43" s="6"/>
      <c r="K43" s="6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11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6"/>
      <c r="CI43" s="6"/>
      <c r="CJ43" s="11"/>
      <c r="CK43" s="11"/>
      <c r="CL43" s="11"/>
      <c r="CM43" s="11"/>
      <c r="CN43" s="11"/>
      <c r="CO43" s="11"/>
      <c r="CP43" s="6"/>
      <c r="CQ43" s="6"/>
      <c r="CR43" s="11">
        <v>36</v>
      </c>
      <c r="CS43" s="11">
        <v>20.8</v>
      </c>
      <c r="CT43" s="11">
        <v>7.5</v>
      </c>
      <c r="CU43" s="11">
        <v>5</v>
      </c>
      <c r="CV43" s="11">
        <v>2.4</v>
      </c>
      <c r="CW43" s="6"/>
      <c r="CX43" s="6">
        <f t="shared" ref="CX43:CX74" si="7">SUM(CQ43:CW43)</f>
        <v>71.7</v>
      </c>
      <c r="DM43" s="6"/>
      <c r="DN43" s="6"/>
      <c r="DO43" s="11"/>
      <c r="DP43" s="11"/>
      <c r="DQ43" s="11"/>
      <c r="DR43" s="11"/>
      <c r="DS43" s="11"/>
      <c r="DT43" s="6">
        <f t="shared" si="6"/>
        <v>0</v>
      </c>
      <c r="DU43" s="6">
        <f t="shared" ref="DU43:DU74" si="8">(DT43-DN43)/2</f>
        <v>0</v>
      </c>
      <c r="DV43" s="11"/>
      <c r="DW43" s="6">
        <f t="shared" ref="DW43:DW74" si="9">SUM(DU43:DV43)</f>
        <v>0</v>
      </c>
    </row>
    <row r="44" spans="1:127" x14ac:dyDescent="0.25">
      <c r="A44">
        <v>34</v>
      </c>
      <c r="B44" s="11" t="s">
        <v>87</v>
      </c>
      <c r="C44" s="6"/>
      <c r="D44" s="6" t="s">
        <v>195</v>
      </c>
      <c r="E44" s="6" t="s">
        <v>111</v>
      </c>
      <c r="F44" s="11"/>
      <c r="G44" s="6"/>
      <c r="H44" s="6"/>
      <c r="I44" s="6"/>
      <c r="J44" s="6"/>
      <c r="K44" s="6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11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6"/>
      <c r="CI44" s="6"/>
      <c r="CJ44" s="11"/>
      <c r="CK44" s="11"/>
      <c r="CL44" s="11"/>
      <c r="CM44" s="11"/>
      <c r="CN44" s="11"/>
      <c r="CO44" s="11"/>
      <c r="CP44" s="6"/>
      <c r="CQ44" s="6"/>
      <c r="CR44" s="11">
        <v>30</v>
      </c>
      <c r="CS44" s="11"/>
      <c r="CT44" s="11">
        <v>36</v>
      </c>
      <c r="CU44" s="11"/>
      <c r="CV44" s="11"/>
      <c r="CW44" s="6"/>
      <c r="CX44" s="6">
        <f t="shared" si="7"/>
        <v>66</v>
      </c>
      <c r="DM44" s="6"/>
      <c r="DN44" s="6"/>
      <c r="DO44" s="11"/>
      <c r="DP44" s="11"/>
      <c r="DQ44" s="11"/>
      <c r="DR44" s="11"/>
      <c r="DS44" s="11"/>
      <c r="DT44" s="6">
        <f t="shared" si="6"/>
        <v>0</v>
      </c>
      <c r="DU44" s="6">
        <f t="shared" si="8"/>
        <v>0</v>
      </c>
      <c r="DV44" s="11"/>
      <c r="DW44" s="6">
        <f t="shared" si="9"/>
        <v>0</v>
      </c>
    </row>
    <row r="45" spans="1:127" x14ac:dyDescent="0.25">
      <c r="A45">
        <v>35</v>
      </c>
      <c r="B45" s="11" t="s">
        <v>598</v>
      </c>
      <c r="C45" s="6"/>
      <c r="D45" s="6" t="s">
        <v>530</v>
      </c>
      <c r="E45" s="6" t="s">
        <v>273</v>
      </c>
      <c r="F45" s="11"/>
      <c r="G45" s="6"/>
      <c r="H45" s="6"/>
      <c r="I45" s="6"/>
      <c r="J45" s="6"/>
      <c r="K45" s="6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11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6"/>
      <c r="CI45" s="6"/>
      <c r="CJ45" s="11"/>
      <c r="CK45" s="11"/>
      <c r="CL45" s="11"/>
      <c r="CM45" s="11"/>
      <c r="CN45" s="11"/>
      <c r="CO45" s="11"/>
      <c r="CP45" s="6"/>
      <c r="CQ45" s="6"/>
      <c r="CR45" s="11">
        <v>33.6</v>
      </c>
      <c r="CS45" s="11">
        <v>4</v>
      </c>
      <c r="CT45" s="11">
        <v>24</v>
      </c>
      <c r="CU45" s="11">
        <v>2.4</v>
      </c>
      <c r="CV45" s="11"/>
      <c r="CW45" s="6"/>
      <c r="CX45" s="6">
        <f t="shared" si="7"/>
        <v>64</v>
      </c>
      <c r="DM45" s="6"/>
      <c r="DN45" s="6"/>
      <c r="DO45" s="11"/>
      <c r="DP45" s="11"/>
      <c r="DQ45" s="11"/>
      <c r="DR45" s="11"/>
      <c r="DS45" s="11"/>
      <c r="DT45" s="6">
        <f t="shared" si="6"/>
        <v>0</v>
      </c>
      <c r="DU45" s="6">
        <f t="shared" si="8"/>
        <v>0</v>
      </c>
      <c r="DV45" s="11"/>
      <c r="DW45" s="6">
        <f t="shared" si="9"/>
        <v>0</v>
      </c>
    </row>
    <row r="46" spans="1:127" x14ac:dyDescent="0.25">
      <c r="A46">
        <v>36</v>
      </c>
      <c r="B46" s="11" t="s">
        <v>641</v>
      </c>
      <c r="C46" s="6"/>
      <c r="D46" s="6" t="s">
        <v>642</v>
      </c>
      <c r="E46" s="6" t="s">
        <v>83</v>
      </c>
      <c r="F46" s="11"/>
      <c r="G46" s="6"/>
      <c r="H46" s="6"/>
      <c r="I46" s="6"/>
      <c r="J46" s="6"/>
      <c r="K46" s="6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11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6"/>
      <c r="CI46" s="6"/>
      <c r="CJ46" s="11"/>
      <c r="CK46" s="11"/>
      <c r="CL46" s="11"/>
      <c r="CM46" s="11"/>
      <c r="CN46" s="11"/>
      <c r="CO46" s="11"/>
      <c r="CP46" s="6"/>
      <c r="CQ46" s="6"/>
      <c r="CR46" s="11">
        <v>48</v>
      </c>
      <c r="CS46" s="11">
        <v>4</v>
      </c>
      <c r="CT46" s="11"/>
      <c r="CU46" s="11"/>
      <c r="CV46" s="11"/>
      <c r="CW46" s="6"/>
      <c r="CX46" s="6">
        <f t="shared" si="7"/>
        <v>52</v>
      </c>
      <c r="DM46" s="6"/>
      <c r="DN46" s="6"/>
      <c r="DO46" s="11"/>
      <c r="DP46" s="11"/>
      <c r="DQ46" s="11"/>
      <c r="DR46" s="11"/>
      <c r="DS46" s="11"/>
      <c r="DT46" s="6">
        <f t="shared" si="6"/>
        <v>0</v>
      </c>
      <c r="DU46" s="6">
        <f t="shared" si="8"/>
        <v>0</v>
      </c>
      <c r="DV46" s="11"/>
      <c r="DW46" s="6">
        <f t="shared" si="9"/>
        <v>0</v>
      </c>
    </row>
    <row r="47" spans="1:127" x14ac:dyDescent="0.25">
      <c r="A47">
        <v>37</v>
      </c>
      <c r="B47" s="11" t="s">
        <v>353</v>
      </c>
      <c r="C47" s="6"/>
      <c r="D47" s="6" t="s">
        <v>355</v>
      </c>
      <c r="E47" s="6" t="s">
        <v>111</v>
      </c>
      <c r="F47" s="11"/>
      <c r="G47" s="6"/>
      <c r="H47" s="6"/>
      <c r="I47" s="6"/>
      <c r="J47" s="6"/>
      <c r="K47" s="6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11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6"/>
      <c r="CI47" s="6"/>
      <c r="CJ47" s="11">
        <v>48</v>
      </c>
      <c r="CK47" s="11"/>
      <c r="CL47" s="11">
        <v>54</v>
      </c>
      <c r="CM47" s="11"/>
      <c r="CN47" s="11"/>
      <c r="CO47" s="11"/>
      <c r="CP47" s="6">
        <f>SUM(CI47:CO47)</f>
        <v>102</v>
      </c>
      <c r="CQ47" s="6">
        <f>(CP47-CI47)/2</f>
        <v>51</v>
      </c>
      <c r="CR47" s="11"/>
      <c r="CS47" s="11"/>
      <c r="CT47" s="11"/>
      <c r="CU47" s="11"/>
      <c r="CV47" s="11"/>
      <c r="CW47" s="6"/>
      <c r="CX47" s="6">
        <f t="shared" si="7"/>
        <v>51</v>
      </c>
      <c r="DM47" s="6"/>
      <c r="DN47" s="6"/>
      <c r="DO47" s="11"/>
      <c r="DP47" s="11"/>
      <c r="DQ47" s="11"/>
      <c r="DR47" s="11"/>
      <c r="DS47" s="11">
        <v>2.5</v>
      </c>
      <c r="DT47" s="6">
        <f t="shared" si="6"/>
        <v>2.5</v>
      </c>
      <c r="DU47" s="6">
        <f t="shared" si="8"/>
        <v>1.25</v>
      </c>
      <c r="DV47" s="11"/>
      <c r="DW47" s="6">
        <f t="shared" si="9"/>
        <v>1.25</v>
      </c>
    </row>
    <row r="48" spans="1:127" x14ac:dyDescent="0.25">
      <c r="A48">
        <v>38</v>
      </c>
      <c r="B48" s="11" t="s">
        <v>241</v>
      </c>
      <c r="C48" s="6"/>
      <c r="D48" s="6" t="s">
        <v>658</v>
      </c>
      <c r="E48" s="6" t="s">
        <v>86</v>
      </c>
      <c r="F48" s="11"/>
      <c r="G48" s="6"/>
      <c r="H48" s="6"/>
      <c r="I48" s="6"/>
      <c r="J48" s="6"/>
      <c r="K48" s="6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11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6"/>
      <c r="CI48" s="6"/>
      <c r="CJ48" s="11"/>
      <c r="CK48" s="11"/>
      <c r="CL48" s="11"/>
      <c r="CM48" s="11"/>
      <c r="CN48" s="11"/>
      <c r="CO48" s="11"/>
      <c r="CP48" s="6"/>
      <c r="CQ48" s="6"/>
      <c r="CR48" s="11">
        <v>42</v>
      </c>
      <c r="CS48" s="11"/>
      <c r="CT48" s="11">
        <v>7.5</v>
      </c>
      <c r="CU48" s="11"/>
      <c r="CV48" s="11"/>
      <c r="CW48" s="6"/>
      <c r="CX48" s="6">
        <f t="shared" si="7"/>
        <v>49.5</v>
      </c>
      <c r="DM48" s="6"/>
      <c r="DN48" s="6"/>
      <c r="DO48" s="11"/>
      <c r="DP48" s="11"/>
      <c r="DQ48" s="11"/>
      <c r="DR48" s="11"/>
      <c r="DS48" s="11"/>
      <c r="DT48" s="6">
        <f t="shared" si="6"/>
        <v>0</v>
      </c>
      <c r="DU48" s="6">
        <f t="shared" si="8"/>
        <v>0</v>
      </c>
      <c r="DV48" s="11"/>
      <c r="DW48" s="6">
        <f t="shared" si="9"/>
        <v>0</v>
      </c>
    </row>
    <row r="49" spans="1:127" x14ac:dyDescent="0.25">
      <c r="A49">
        <v>39</v>
      </c>
      <c r="B49" s="11" t="s">
        <v>434</v>
      </c>
      <c r="C49" s="6"/>
      <c r="D49" s="6" t="s">
        <v>122</v>
      </c>
      <c r="E49" s="6" t="s">
        <v>111</v>
      </c>
      <c r="F49" s="11"/>
      <c r="G49" s="6"/>
      <c r="H49" s="6"/>
      <c r="I49" s="6"/>
      <c r="J49" s="6"/>
      <c r="K49" s="6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1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6"/>
      <c r="CI49" s="6"/>
      <c r="CJ49" s="11"/>
      <c r="CK49" s="11"/>
      <c r="CL49" s="11"/>
      <c r="CM49" s="11"/>
      <c r="CN49" s="11"/>
      <c r="CO49" s="11"/>
      <c r="CP49" s="6"/>
      <c r="CQ49" s="6"/>
      <c r="CR49" s="11">
        <v>42</v>
      </c>
      <c r="CS49" s="11"/>
      <c r="CT49" s="11">
        <v>5</v>
      </c>
      <c r="CU49" s="11"/>
      <c r="CV49" s="11"/>
      <c r="CW49" s="6"/>
      <c r="CX49" s="6">
        <f t="shared" si="7"/>
        <v>47</v>
      </c>
      <c r="DM49" s="6"/>
      <c r="DN49" s="6"/>
      <c r="DO49" s="11"/>
      <c r="DP49" s="11"/>
      <c r="DQ49" s="11"/>
      <c r="DR49" s="11"/>
      <c r="DS49" s="11"/>
      <c r="DT49" s="6">
        <f t="shared" si="6"/>
        <v>0</v>
      </c>
      <c r="DU49" s="6">
        <f t="shared" si="8"/>
        <v>0</v>
      </c>
      <c r="DV49" s="11"/>
      <c r="DW49" s="6">
        <f t="shared" si="9"/>
        <v>0</v>
      </c>
    </row>
    <row r="50" spans="1:127" x14ac:dyDescent="0.25">
      <c r="A50">
        <v>40</v>
      </c>
      <c r="B50" s="11" t="s">
        <v>123</v>
      </c>
      <c r="C50" s="6"/>
      <c r="D50" s="6" t="s">
        <v>88</v>
      </c>
      <c r="E50" s="6" t="s">
        <v>303</v>
      </c>
      <c r="F50" s="11"/>
      <c r="G50" s="6"/>
      <c r="H50" s="6"/>
      <c r="I50" s="6"/>
      <c r="J50" s="6"/>
      <c r="K50" s="6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1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6"/>
      <c r="CI50" s="6"/>
      <c r="CJ50" s="11"/>
      <c r="CK50" s="11"/>
      <c r="CL50" s="11">
        <v>7.5</v>
      </c>
      <c r="CM50" s="11"/>
      <c r="CN50" s="11"/>
      <c r="CO50" s="11"/>
      <c r="CP50" s="6">
        <f>SUM(CI50:CO50)</f>
        <v>7.5</v>
      </c>
      <c r="CQ50" s="6">
        <f>(CP50-CI50)/2</f>
        <v>3.75</v>
      </c>
      <c r="CR50" s="11">
        <v>3</v>
      </c>
      <c r="CS50" s="11">
        <v>28.8</v>
      </c>
      <c r="CT50" s="11">
        <v>7.5</v>
      </c>
      <c r="CU50" s="11">
        <v>2.4</v>
      </c>
      <c r="CV50" s="11"/>
      <c r="CW50" s="6"/>
      <c r="CX50" s="6">
        <f t="shared" si="7"/>
        <v>45.449999999999996</v>
      </c>
      <c r="DM50" s="6"/>
      <c r="DN50" s="6"/>
      <c r="DO50" s="11"/>
      <c r="DP50" s="11"/>
      <c r="DQ50" s="11"/>
      <c r="DR50" s="11"/>
      <c r="DS50" s="11"/>
      <c r="DT50" s="6">
        <f t="shared" si="6"/>
        <v>0</v>
      </c>
      <c r="DU50" s="6">
        <f t="shared" si="8"/>
        <v>0</v>
      </c>
      <c r="DV50" s="11"/>
      <c r="DW50" s="6">
        <f t="shared" si="9"/>
        <v>0</v>
      </c>
    </row>
    <row r="51" spans="1:127" x14ac:dyDescent="0.25">
      <c r="A51">
        <v>41</v>
      </c>
      <c r="B51" s="11" t="s">
        <v>730</v>
      </c>
      <c r="C51" s="6"/>
      <c r="D51" s="6" t="s">
        <v>731</v>
      </c>
      <c r="E51" s="6" t="s">
        <v>12</v>
      </c>
      <c r="F51" s="11"/>
      <c r="G51" s="6"/>
      <c r="H51" s="6"/>
      <c r="I51" s="6"/>
      <c r="J51" s="6"/>
      <c r="K51" s="6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11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6"/>
      <c r="CI51" s="6"/>
      <c r="CJ51" s="11"/>
      <c r="CK51" s="11"/>
      <c r="CL51" s="11"/>
      <c r="CM51" s="11"/>
      <c r="CN51" s="11"/>
      <c r="CO51" s="11"/>
      <c r="CP51" s="6"/>
      <c r="CQ51" s="6">
        <f>67.55/2</f>
        <v>33.774999999999999</v>
      </c>
      <c r="CR51" s="11">
        <v>3</v>
      </c>
      <c r="CS51" s="11"/>
      <c r="CT51" s="11">
        <v>7.5</v>
      </c>
      <c r="CU51" s="11"/>
      <c r="CV51" s="11"/>
      <c r="CW51" s="6"/>
      <c r="CX51" s="6">
        <f t="shared" si="7"/>
        <v>44.274999999999999</v>
      </c>
      <c r="DM51" s="6"/>
      <c r="DN51" s="6"/>
      <c r="DO51" s="11"/>
      <c r="DP51" s="11"/>
      <c r="DQ51" s="11"/>
      <c r="DR51" s="11"/>
      <c r="DS51" s="11"/>
      <c r="DT51" s="6">
        <f t="shared" si="6"/>
        <v>0</v>
      </c>
      <c r="DU51" s="6">
        <f t="shared" si="8"/>
        <v>0</v>
      </c>
      <c r="DV51" s="11"/>
      <c r="DW51" s="6">
        <f t="shared" si="9"/>
        <v>0</v>
      </c>
    </row>
    <row r="52" spans="1:127" x14ac:dyDescent="0.25">
      <c r="A52">
        <v>42</v>
      </c>
      <c r="B52" s="11" t="s">
        <v>643</v>
      </c>
      <c r="C52" s="6"/>
      <c r="D52" s="6" t="s">
        <v>122</v>
      </c>
      <c r="E52" s="6" t="s">
        <v>636</v>
      </c>
      <c r="F52" s="11"/>
      <c r="G52" s="6"/>
      <c r="H52" s="6"/>
      <c r="I52" s="6"/>
      <c r="J52" s="6"/>
      <c r="K52" s="6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11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6"/>
      <c r="CI52" s="6"/>
      <c r="CJ52" s="11"/>
      <c r="CK52" s="11"/>
      <c r="CL52" s="11"/>
      <c r="CM52" s="11"/>
      <c r="CN52" s="11"/>
      <c r="CO52" s="11"/>
      <c r="CP52" s="6"/>
      <c r="CQ52" s="6"/>
      <c r="CR52" s="11">
        <v>36</v>
      </c>
      <c r="CS52" s="11">
        <v>4</v>
      </c>
      <c r="CT52" s="11">
        <v>2.4</v>
      </c>
      <c r="CU52" s="11"/>
      <c r="CV52" s="11"/>
      <c r="CW52" s="6"/>
      <c r="CX52" s="6">
        <f t="shared" si="7"/>
        <v>42.4</v>
      </c>
      <c r="DM52" s="6"/>
      <c r="DN52" s="6"/>
      <c r="DO52" s="11"/>
      <c r="DP52" s="11"/>
      <c r="DQ52" s="11"/>
      <c r="DR52" s="11"/>
      <c r="DS52" s="11"/>
      <c r="DT52" s="6">
        <f t="shared" si="6"/>
        <v>0</v>
      </c>
      <c r="DU52" s="6">
        <f t="shared" si="8"/>
        <v>0</v>
      </c>
      <c r="DV52" s="11"/>
      <c r="DW52" s="6">
        <f t="shared" si="9"/>
        <v>0</v>
      </c>
    </row>
    <row r="53" spans="1:127" x14ac:dyDescent="0.25">
      <c r="A53">
        <v>43</v>
      </c>
      <c r="B53" s="11" t="s">
        <v>490</v>
      </c>
      <c r="C53" s="6"/>
      <c r="D53" s="6" t="s">
        <v>491</v>
      </c>
      <c r="E53" s="6" t="s">
        <v>8</v>
      </c>
      <c r="F53" s="11"/>
      <c r="G53" s="6"/>
      <c r="H53" s="6"/>
      <c r="I53" s="6"/>
      <c r="J53" s="6"/>
      <c r="K53" s="6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11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6"/>
      <c r="CI53" s="6"/>
      <c r="CJ53" s="11"/>
      <c r="CK53" s="11"/>
      <c r="CL53" s="11">
        <v>75</v>
      </c>
      <c r="CM53" s="11">
        <v>7.5</v>
      </c>
      <c r="CN53" s="11"/>
      <c r="CO53" s="11"/>
      <c r="CP53" s="6">
        <f>SUM(CI53:CO53)</f>
        <v>82.5</v>
      </c>
      <c r="CQ53" s="6">
        <f>(CP53-CI53)/2</f>
        <v>41.25</v>
      </c>
      <c r="CR53" s="11"/>
      <c r="CS53" s="11"/>
      <c r="CT53" s="11"/>
      <c r="CU53" s="11"/>
      <c r="CV53" s="11"/>
      <c r="CW53" s="6"/>
      <c r="CX53" s="6">
        <f t="shared" si="7"/>
        <v>41.25</v>
      </c>
      <c r="DM53" s="6"/>
      <c r="DN53" s="6"/>
      <c r="DO53" s="11"/>
      <c r="DP53" s="11"/>
      <c r="DQ53" s="11"/>
      <c r="DR53" s="11"/>
      <c r="DS53" s="11"/>
      <c r="DT53" s="6">
        <f t="shared" si="6"/>
        <v>0</v>
      </c>
      <c r="DU53" s="6">
        <f t="shared" si="8"/>
        <v>0</v>
      </c>
      <c r="DV53" s="11"/>
      <c r="DW53" s="6">
        <f t="shared" si="9"/>
        <v>0</v>
      </c>
    </row>
    <row r="54" spans="1:127" x14ac:dyDescent="0.25">
      <c r="A54">
        <v>44</v>
      </c>
      <c r="B54" s="11" t="s">
        <v>409</v>
      </c>
      <c r="C54" s="6"/>
      <c r="D54" s="6" t="s">
        <v>22</v>
      </c>
      <c r="E54" s="6" t="s">
        <v>138</v>
      </c>
      <c r="F54" s="11"/>
      <c r="G54" s="6"/>
      <c r="H54" s="6"/>
      <c r="I54" s="6"/>
      <c r="J54" s="6"/>
      <c r="K54" s="6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11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6"/>
      <c r="CI54" s="6"/>
      <c r="CJ54" s="11">
        <v>36</v>
      </c>
      <c r="CK54" s="11"/>
      <c r="CL54" s="11">
        <v>5</v>
      </c>
      <c r="CM54" s="11">
        <v>7.5</v>
      </c>
      <c r="CN54" s="11">
        <v>33.6</v>
      </c>
      <c r="CO54" s="11"/>
      <c r="CP54" s="6">
        <f>SUM(CI54:CO54)</f>
        <v>82.1</v>
      </c>
      <c r="CQ54" s="6">
        <f>(CP54-CI54)/2</f>
        <v>41.05</v>
      </c>
      <c r="CR54" s="11"/>
      <c r="CS54" s="11"/>
      <c r="CT54" s="11"/>
      <c r="CU54" s="11"/>
      <c r="CV54" s="11"/>
      <c r="CW54" s="6"/>
      <c r="CX54" s="6">
        <f t="shared" si="7"/>
        <v>41.05</v>
      </c>
      <c r="DM54" s="6"/>
      <c r="DN54" s="6"/>
      <c r="DO54" s="11">
        <v>1.5</v>
      </c>
      <c r="DP54" s="11"/>
      <c r="DQ54" s="11"/>
      <c r="DR54" s="11"/>
      <c r="DS54" s="11">
        <v>13</v>
      </c>
      <c r="DT54" s="6">
        <f t="shared" si="6"/>
        <v>14.5</v>
      </c>
      <c r="DU54" s="6">
        <f t="shared" si="8"/>
        <v>7.25</v>
      </c>
      <c r="DV54" s="11"/>
      <c r="DW54" s="6">
        <f t="shared" si="9"/>
        <v>7.25</v>
      </c>
    </row>
    <row r="55" spans="1:127" x14ac:dyDescent="0.25">
      <c r="A55">
        <v>45</v>
      </c>
      <c r="B55" s="11" t="s">
        <v>594</v>
      </c>
      <c r="C55" s="6"/>
      <c r="D55" s="6" t="s">
        <v>33</v>
      </c>
      <c r="E55" s="6" t="s">
        <v>657</v>
      </c>
      <c r="F55" s="11"/>
      <c r="G55" s="6"/>
      <c r="H55" s="6"/>
      <c r="I55" s="6"/>
      <c r="J55" s="6"/>
      <c r="K55" s="6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11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6"/>
      <c r="CI55" s="6"/>
      <c r="CJ55" s="11"/>
      <c r="CK55" s="11"/>
      <c r="CL55" s="11"/>
      <c r="CM55" s="11"/>
      <c r="CN55" s="11"/>
      <c r="CO55" s="11"/>
      <c r="CP55" s="6"/>
      <c r="CQ55" s="6"/>
      <c r="CR55" s="11">
        <v>30</v>
      </c>
      <c r="CS55" s="11"/>
      <c r="CT55" s="11">
        <v>7.5</v>
      </c>
      <c r="CU55" s="11"/>
      <c r="CV55" s="11"/>
      <c r="CW55" s="6"/>
      <c r="CX55" s="6">
        <f t="shared" si="7"/>
        <v>37.5</v>
      </c>
      <c r="DM55" s="6"/>
      <c r="DN55" s="6"/>
      <c r="DO55" s="11"/>
      <c r="DP55" s="11"/>
      <c r="DQ55" s="11"/>
      <c r="DR55" s="11"/>
      <c r="DS55" s="11"/>
      <c r="DT55" s="6">
        <f t="shared" si="6"/>
        <v>0</v>
      </c>
      <c r="DU55" s="6">
        <f t="shared" si="8"/>
        <v>0</v>
      </c>
      <c r="DV55" s="11"/>
      <c r="DW55" s="6">
        <f t="shared" si="9"/>
        <v>0</v>
      </c>
    </row>
    <row r="56" spans="1:127" x14ac:dyDescent="0.25">
      <c r="A56">
        <v>46</v>
      </c>
      <c r="B56" s="11" t="s">
        <v>271</v>
      </c>
      <c r="C56" s="6"/>
      <c r="D56" s="6" t="s">
        <v>92</v>
      </c>
      <c r="E56" s="6" t="s">
        <v>149</v>
      </c>
      <c r="F56" s="11"/>
      <c r="G56" s="6"/>
      <c r="H56" s="6"/>
      <c r="I56" s="6"/>
      <c r="J56" s="6"/>
      <c r="K56" s="6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11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6"/>
      <c r="CI56" s="6"/>
      <c r="CJ56" s="11"/>
      <c r="CK56" s="11"/>
      <c r="CL56" s="11"/>
      <c r="CM56" s="11"/>
      <c r="CN56" s="11"/>
      <c r="CO56" s="11"/>
      <c r="CP56" s="6"/>
      <c r="CQ56" s="6"/>
      <c r="CR56" s="11">
        <v>30</v>
      </c>
      <c r="CS56" s="11"/>
      <c r="CT56" s="11">
        <v>7.5</v>
      </c>
      <c r="CU56" s="11"/>
      <c r="CV56" s="11"/>
      <c r="CW56" s="6"/>
      <c r="CX56" s="6">
        <f t="shared" si="7"/>
        <v>37.5</v>
      </c>
      <c r="DM56" s="6"/>
      <c r="DN56" s="6"/>
      <c r="DO56" s="11"/>
      <c r="DP56" s="11"/>
      <c r="DQ56" s="11"/>
      <c r="DR56" s="11"/>
      <c r="DS56" s="11"/>
      <c r="DT56" s="6">
        <f t="shared" si="6"/>
        <v>0</v>
      </c>
      <c r="DU56" s="6">
        <f t="shared" si="8"/>
        <v>0</v>
      </c>
      <c r="DV56" s="11"/>
      <c r="DW56" s="6">
        <f t="shared" si="9"/>
        <v>0</v>
      </c>
    </row>
    <row r="57" spans="1:127" x14ac:dyDescent="0.25">
      <c r="A57">
        <v>47</v>
      </c>
      <c r="B57" s="11" t="s">
        <v>152</v>
      </c>
      <c r="C57" s="6"/>
      <c r="D57" s="6" t="s">
        <v>235</v>
      </c>
      <c r="E57" s="6" t="s">
        <v>31</v>
      </c>
      <c r="F57" s="11"/>
      <c r="G57" s="6"/>
      <c r="H57" s="6"/>
      <c r="I57" s="6"/>
      <c r="J57" s="6"/>
      <c r="K57" s="6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11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6"/>
      <c r="CI57" s="6"/>
      <c r="CJ57" s="11"/>
      <c r="CK57" s="11"/>
      <c r="CL57" s="11">
        <v>54</v>
      </c>
      <c r="CM57" s="11"/>
      <c r="CN57" s="11"/>
      <c r="CO57" s="11"/>
      <c r="CP57" s="6">
        <f>SUM(CI57:CO57)</f>
        <v>54</v>
      </c>
      <c r="CQ57" s="6">
        <f>(CP57-CI57)/2</f>
        <v>27</v>
      </c>
      <c r="CR57" s="11"/>
      <c r="CS57" s="11"/>
      <c r="CT57" s="11"/>
      <c r="CU57" s="11"/>
      <c r="CV57" s="11"/>
      <c r="CW57" s="6"/>
      <c r="CX57" s="6">
        <f t="shared" si="7"/>
        <v>27</v>
      </c>
      <c r="DT57" s="6">
        <f t="shared" si="6"/>
        <v>0</v>
      </c>
      <c r="DU57" s="6">
        <f t="shared" si="8"/>
        <v>0</v>
      </c>
      <c r="DV57" s="11"/>
      <c r="DW57" s="6">
        <f t="shared" si="9"/>
        <v>0</v>
      </c>
    </row>
    <row r="58" spans="1:127" x14ac:dyDescent="0.25">
      <c r="A58">
        <v>48</v>
      </c>
      <c r="B58" s="11" t="s">
        <v>663</v>
      </c>
      <c r="C58" s="6"/>
      <c r="D58" s="6" t="s">
        <v>664</v>
      </c>
      <c r="E58" s="6" t="s">
        <v>269</v>
      </c>
      <c r="F58" s="11"/>
      <c r="G58" s="6"/>
      <c r="H58" s="6"/>
      <c r="I58" s="6"/>
      <c r="J58" s="6"/>
      <c r="K58" s="6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11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6"/>
      <c r="CI58" s="6"/>
      <c r="CJ58" s="11"/>
      <c r="CK58" s="11"/>
      <c r="CL58" s="11"/>
      <c r="CM58" s="11"/>
      <c r="CN58" s="11"/>
      <c r="CO58" s="11"/>
      <c r="CP58" s="6"/>
      <c r="CQ58" s="6"/>
      <c r="CR58" s="11">
        <v>26.875</v>
      </c>
      <c r="CS58" s="11"/>
      <c r="CT58" s="11"/>
      <c r="CU58" s="11"/>
      <c r="CV58" s="11"/>
      <c r="CW58" s="6"/>
      <c r="CX58" s="6">
        <f t="shared" si="7"/>
        <v>26.875</v>
      </c>
      <c r="DT58" s="6">
        <f t="shared" si="6"/>
        <v>0</v>
      </c>
      <c r="DU58" s="6">
        <f t="shared" si="8"/>
        <v>0</v>
      </c>
      <c r="DV58" s="11"/>
      <c r="DW58" s="6">
        <f t="shared" si="9"/>
        <v>0</v>
      </c>
    </row>
    <row r="59" spans="1:127" x14ac:dyDescent="0.25">
      <c r="A59">
        <v>49</v>
      </c>
      <c r="B59" s="11" t="s">
        <v>162</v>
      </c>
      <c r="C59" s="6"/>
      <c r="D59" s="6" t="s">
        <v>69</v>
      </c>
      <c r="E59" s="6" t="s">
        <v>81</v>
      </c>
      <c r="F59" s="11"/>
      <c r="G59" s="6"/>
      <c r="H59" s="6"/>
      <c r="I59" s="6"/>
      <c r="J59" s="6"/>
      <c r="K59" s="6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11"/>
      <c r="BD59" s="6"/>
      <c r="BE59" s="6"/>
      <c r="BF59" s="6"/>
      <c r="BG59" s="6"/>
      <c r="BH59" s="6"/>
      <c r="BI59" s="6"/>
      <c r="BJ59" s="6">
        <v>60</v>
      </c>
      <c r="BK59" s="6"/>
      <c r="BL59" s="6"/>
      <c r="BM59" s="6"/>
      <c r="BN59" s="6"/>
      <c r="BO59" s="6"/>
      <c r="BP59" s="6">
        <v>7.5</v>
      </c>
      <c r="BQ59" s="6"/>
      <c r="BR59" s="6">
        <v>50</v>
      </c>
      <c r="BS59" s="6"/>
      <c r="BT59" s="6">
        <v>80</v>
      </c>
      <c r="BU59" s="6"/>
      <c r="BV59" s="11">
        <v>75</v>
      </c>
      <c r="BW59" s="11"/>
      <c r="BX59" s="11"/>
      <c r="BY59" s="11">
        <v>42</v>
      </c>
      <c r="BZ59" s="11"/>
      <c r="CA59" s="11"/>
      <c r="CB59" s="11"/>
      <c r="CC59" s="11"/>
      <c r="CD59" s="11"/>
      <c r="CE59" s="11"/>
      <c r="CF59" s="11"/>
      <c r="CG59" s="11">
        <v>10</v>
      </c>
      <c r="CH59" s="6">
        <f>SUM(BE59:CG59)</f>
        <v>324.5</v>
      </c>
      <c r="CI59" s="6">
        <f>(CH59-BE59)/2</f>
        <v>162.25</v>
      </c>
      <c r="CJ59" s="11"/>
      <c r="CK59" s="11"/>
      <c r="CL59" s="11">
        <v>50</v>
      </c>
      <c r="CM59" s="11"/>
      <c r="CN59" s="11"/>
      <c r="CO59" s="11"/>
      <c r="CP59" s="6">
        <f t="shared" ref="CP59:CP64" si="10">SUM(CI59:CO59)</f>
        <v>212.25</v>
      </c>
      <c r="CQ59" s="6">
        <f t="shared" ref="CQ59:CQ64" si="11">(CP59-CI59)/2</f>
        <v>25</v>
      </c>
      <c r="CR59" s="11"/>
      <c r="CS59" s="11"/>
      <c r="CT59" s="11"/>
      <c r="CU59" s="11"/>
      <c r="CV59" s="11"/>
      <c r="CW59" s="6"/>
      <c r="CX59" s="6">
        <f t="shared" si="7"/>
        <v>25</v>
      </c>
      <c r="DE59" s="8">
        <f>SUM(CZ59:DD59)</f>
        <v>0</v>
      </c>
      <c r="DF59">
        <f>DE59/2</f>
        <v>0</v>
      </c>
      <c r="DG59">
        <f>CH59/4</f>
        <v>81.125</v>
      </c>
      <c r="DL59">
        <v>18</v>
      </c>
      <c r="DM59">
        <f>SUM(DF59:DL59)</f>
        <v>99.125</v>
      </c>
      <c r="DN59">
        <f>(DM59-DF59)/2</f>
        <v>49.5625</v>
      </c>
      <c r="DT59" s="6">
        <f>SUM(DN59:DR59)</f>
        <v>49.5625</v>
      </c>
      <c r="DU59" s="6">
        <f t="shared" si="8"/>
        <v>0</v>
      </c>
      <c r="DV59" s="11"/>
      <c r="DW59" s="6">
        <f t="shared" si="9"/>
        <v>0</v>
      </c>
    </row>
    <row r="60" spans="1:127" x14ac:dyDescent="0.25">
      <c r="A60">
        <v>50</v>
      </c>
      <c r="B60" s="11" t="s">
        <v>77</v>
      </c>
      <c r="C60" s="6"/>
      <c r="D60" s="6" t="s">
        <v>69</v>
      </c>
      <c r="E60" s="6" t="s">
        <v>158</v>
      </c>
      <c r="F60" s="11"/>
      <c r="G60" s="6"/>
      <c r="H60" s="6"/>
      <c r="I60" s="6"/>
      <c r="J60" s="6"/>
      <c r="K60" s="6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11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6"/>
      <c r="CI60" s="6"/>
      <c r="CJ60" s="11">
        <v>36</v>
      </c>
      <c r="CK60" s="11"/>
      <c r="CL60" s="11">
        <v>7.5</v>
      </c>
      <c r="CM60" s="11"/>
      <c r="CN60" s="11"/>
      <c r="CO60" s="11"/>
      <c r="CP60" s="6">
        <f t="shared" si="10"/>
        <v>43.5</v>
      </c>
      <c r="CQ60" s="6">
        <f t="shared" si="11"/>
        <v>21.75</v>
      </c>
      <c r="CR60" s="11"/>
      <c r="CS60" s="11"/>
      <c r="CT60" s="11"/>
      <c r="CU60" s="11"/>
      <c r="CV60" s="11"/>
      <c r="CW60" s="6"/>
      <c r="CX60" s="6">
        <f t="shared" si="7"/>
        <v>21.75</v>
      </c>
      <c r="DT60" s="6">
        <f t="shared" ref="DT60:DT84" si="12">SUM(DN60:DS60)</f>
        <v>0</v>
      </c>
      <c r="DU60" s="6">
        <f t="shared" si="8"/>
        <v>0</v>
      </c>
      <c r="DV60" s="11"/>
      <c r="DW60" s="6">
        <f t="shared" si="9"/>
        <v>0</v>
      </c>
    </row>
    <row r="61" spans="1:127" x14ac:dyDescent="0.25">
      <c r="A61">
        <v>51</v>
      </c>
      <c r="B61" s="11" t="s">
        <v>594</v>
      </c>
      <c r="C61" s="6"/>
      <c r="D61" s="6" t="s">
        <v>33</v>
      </c>
      <c r="E61" s="6" t="s">
        <v>789</v>
      </c>
      <c r="F61" s="11"/>
      <c r="G61" s="6"/>
      <c r="H61" s="6"/>
      <c r="I61" s="6"/>
      <c r="J61" s="6"/>
      <c r="K61" s="6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11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6"/>
      <c r="CI61" s="6"/>
      <c r="CJ61" s="11"/>
      <c r="CK61" s="11"/>
      <c r="CL61" s="11"/>
      <c r="CM61" s="11"/>
      <c r="CN61" s="11"/>
      <c r="CO61" s="11"/>
      <c r="CP61" s="6">
        <f t="shared" si="10"/>
        <v>0</v>
      </c>
      <c r="CQ61" s="6">
        <f t="shared" si="11"/>
        <v>0</v>
      </c>
      <c r="CR61" s="11">
        <v>21.6</v>
      </c>
      <c r="CS61" s="11"/>
      <c r="CT61" s="11"/>
      <c r="CU61" s="11"/>
      <c r="CV61" s="11"/>
      <c r="CW61" s="6"/>
      <c r="CX61" s="6">
        <f t="shared" si="7"/>
        <v>21.6</v>
      </c>
      <c r="DS61" s="8">
        <v>18</v>
      </c>
      <c r="DT61" s="6">
        <f t="shared" si="12"/>
        <v>18</v>
      </c>
      <c r="DU61" s="6">
        <f t="shared" si="8"/>
        <v>9</v>
      </c>
      <c r="DV61" s="11"/>
      <c r="DW61" s="6">
        <f t="shared" si="9"/>
        <v>9</v>
      </c>
    </row>
    <row r="62" spans="1:127" x14ac:dyDescent="0.25">
      <c r="A62">
        <v>52</v>
      </c>
      <c r="B62" s="11" t="s">
        <v>520</v>
      </c>
      <c r="C62" s="6"/>
      <c r="D62" s="6" t="s">
        <v>521</v>
      </c>
      <c r="E62" s="6" t="s">
        <v>695</v>
      </c>
      <c r="F62" s="11"/>
      <c r="G62" s="6"/>
      <c r="H62" s="6"/>
      <c r="I62" s="6"/>
      <c r="J62" s="6"/>
      <c r="K62" s="6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11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6"/>
      <c r="CI62" s="6"/>
      <c r="CJ62" s="11"/>
      <c r="CK62" s="11"/>
      <c r="CL62" s="11">
        <v>7.5</v>
      </c>
      <c r="CM62" s="11">
        <v>5</v>
      </c>
      <c r="CN62" s="11"/>
      <c r="CO62" s="11"/>
      <c r="CP62" s="6">
        <f t="shared" si="10"/>
        <v>12.5</v>
      </c>
      <c r="CQ62" s="6">
        <f t="shared" si="11"/>
        <v>6.25</v>
      </c>
      <c r="CR62" s="11">
        <v>2.4</v>
      </c>
      <c r="CS62" s="11">
        <v>4</v>
      </c>
      <c r="CT62" s="11">
        <v>7.5</v>
      </c>
      <c r="CU62" s="11"/>
      <c r="CV62" s="11"/>
      <c r="CW62" s="6"/>
      <c r="CX62" s="6">
        <f t="shared" si="7"/>
        <v>20.149999999999999</v>
      </c>
      <c r="DT62" s="6">
        <f t="shared" si="12"/>
        <v>0</v>
      </c>
      <c r="DU62" s="6">
        <f t="shared" si="8"/>
        <v>0</v>
      </c>
      <c r="DV62" s="11"/>
      <c r="DW62" s="6">
        <f t="shared" si="9"/>
        <v>0</v>
      </c>
    </row>
    <row r="63" spans="1:127" x14ac:dyDescent="0.25">
      <c r="A63">
        <v>53</v>
      </c>
      <c r="B63" s="11" t="s">
        <v>384</v>
      </c>
      <c r="C63" s="6"/>
      <c r="D63" s="6" t="s">
        <v>385</v>
      </c>
      <c r="E63" s="6" t="s">
        <v>383</v>
      </c>
      <c r="F63" s="11"/>
      <c r="G63" s="6"/>
      <c r="H63" s="6"/>
      <c r="I63" s="6"/>
      <c r="J63" s="6"/>
      <c r="K63" s="6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11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6"/>
      <c r="CI63" s="6"/>
      <c r="CJ63" s="11"/>
      <c r="CK63" s="11">
        <v>40</v>
      </c>
      <c r="CL63" s="11"/>
      <c r="CM63" s="11"/>
      <c r="CN63" s="11"/>
      <c r="CO63" s="11"/>
      <c r="CP63" s="6">
        <f t="shared" si="10"/>
        <v>40</v>
      </c>
      <c r="CQ63" s="6">
        <f t="shared" si="11"/>
        <v>20</v>
      </c>
      <c r="CR63" s="11"/>
      <c r="CS63" s="11"/>
      <c r="CT63" s="11"/>
      <c r="CU63" s="11"/>
      <c r="CV63" s="11"/>
      <c r="CW63" s="6"/>
      <c r="CX63" s="6">
        <f t="shared" si="7"/>
        <v>20</v>
      </c>
      <c r="DT63" s="6">
        <f t="shared" si="12"/>
        <v>0</v>
      </c>
      <c r="DU63" s="6">
        <f t="shared" si="8"/>
        <v>0</v>
      </c>
      <c r="DV63" s="11"/>
      <c r="DW63" s="6">
        <f t="shared" si="9"/>
        <v>0</v>
      </c>
    </row>
    <row r="64" spans="1:127" x14ac:dyDescent="0.25">
      <c r="A64">
        <v>54</v>
      </c>
      <c r="B64" s="11" t="s">
        <v>52</v>
      </c>
      <c r="C64" s="6"/>
      <c r="D64" s="6" t="s">
        <v>229</v>
      </c>
      <c r="E64" s="6" t="s">
        <v>189</v>
      </c>
      <c r="F64" s="11"/>
      <c r="G64" s="6"/>
      <c r="H64" s="6"/>
      <c r="I64" s="6"/>
      <c r="J64" s="6"/>
      <c r="K64" s="6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11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6"/>
      <c r="CI64" s="6"/>
      <c r="CJ64" s="11"/>
      <c r="CK64" s="11"/>
      <c r="CL64" s="11">
        <v>39</v>
      </c>
      <c r="CM64" s="11"/>
      <c r="CN64" s="11"/>
      <c r="CO64" s="11"/>
      <c r="CP64" s="6">
        <f t="shared" si="10"/>
        <v>39</v>
      </c>
      <c r="CQ64" s="6">
        <f t="shared" si="11"/>
        <v>19.5</v>
      </c>
      <c r="CR64" s="11"/>
      <c r="CS64" s="11"/>
      <c r="CT64" s="11"/>
      <c r="CU64" s="11"/>
      <c r="CV64" s="11"/>
      <c r="CW64" s="6"/>
      <c r="CX64" s="6">
        <f t="shared" si="7"/>
        <v>19.5</v>
      </c>
      <c r="DT64" s="6">
        <f t="shared" si="12"/>
        <v>0</v>
      </c>
      <c r="DU64" s="6">
        <f t="shared" si="8"/>
        <v>0</v>
      </c>
      <c r="DV64" s="11"/>
      <c r="DW64" s="6">
        <f t="shared" si="9"/>
        <v>0</v>
      </c>
    </row>
    <row r="65" spans="1:127" x14ac:dyDescent="0.25">
      <c r="A65">
        <v>55</v>
      </c>
      <c r="B65" s="11" t="s">
        <v>660</v>
      </c>
      <c r="C65" s="6"/>
      <c r="D65" s="6" t="s">
        <v>22</v>
      </c>
      <c r="E65" s="6" t="s">
        <v>737</v>
      </c>
      <c r="F65" s="11"/>
      <c r="G65" s="6"/>
      <c r="H65" s="6"/>
      <c r="I65" s="6"/>
      <c r="J65" s="6"/>
      <c r="K65" s="6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11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6"/>
      <c r="CI65" s="6"/>
      <c r="CJ65" s="11"/>
      <c r="CK65" s="11"/>
      <c r="CL65" s="11"/>
      <c r="CM65" s="11"/>
      <c r="CN65" s="11"/>
      <c r="CO65" s="11"/>
      <c r="CP65" s="6"/>
      <c r="CQ65" s="6"/>
      <c r="CR65" s="11"/>
      <c r="CS65" s="11">
        <v>4</v>
      </c>
      <c r="CT65" s="11">
        <v>7.5</v>
      </c>
      <c r="CU65" s="11">
        <v>5</v>
      </c>
      <c r="CV65" s="11"/>
      <c r="CW65" s="6"/>
      <c r="CX65" s="6">
        <f t="shared" si="7"/>
        <v>16.5</v>
      </c>
      <c r="DT65" s="6">
        <f t="shared" si="12"/>
        <v>0</v>
      </c>
      <c r="DU65" s="6">
        <f t="shared" si="8"/>
        <v>0</v>
      </c>
      <c r="DV65" s="11"/>
      <c r="DW65" s="6">
        <f t="shared" si="9"/>
        <v>0</v>
      </c>
    </row>
    <row r="66" spans="1:127" x14ac:dyDescent="0.25">
      <c r="A66">
        <v>56</v>
      </c>
      <c r="B66" s="11" t="s">
        <v>556</v>
      </c>
      <c r="C66" s="6"/>
      <c r="D66" s="6" t="s">
        <v>22</v>
      </c>
      <c r="E66" s="6" t="s">
        <v>218</v>
      </c>
      <c r="F66" s="11"/>
      <c r="G66" s="6"/>
      <c r="H66" s="6"/>
      <c r="I66" s="6"/>
      <c r="J66" s="6"/>
      <c r="K66" s="6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11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6"/>
      <c r="CI66" s="6"/>
      <c r="CJ66" s="11"/>
      <c r="CK66" s="11"/>
      <c r="CL66" s="11">
        <v>7.5</v>
      </c>
      <c r="CM66" s="11">
        <v>7.5</v>
      </c>
      <c r="CN66" s="11"/>
      <c r="CO66" s="11"/>
      <c r="CP66" s="6">
        <f>SUM(CI66:CO66)</f>
        <v>15</v>
      </c>
      <c r="CQ66" s="6">
        <f>(CP66-CI66)/2</f>
        <v>7.5</v>
      </c>
      <c r="CR66" s="11">
        <v>2.4</v>
      </c>
      <c r="CS66" s="11"/>
      <c r="CT66" s="11"/>
      <c r="CU66" s="11"/>
      <c r="CV66" s="11"/>
      <c r="CW66" s="6"/>
      <c r="CX66" s="6">
        <f t="shared" si="7"/>
        <v>9.9</v>
      </c>
      <c r="DT66" s="6">
        <f t="shared" si="12"/>
        <v>0</v>
      </c>
      <c r="DU66" s="6">
        <f t="shared" si="8"/>
        <v>0</v>
      </c>
      <c r="DV66" s="11"/>
      <c r="DW66" s="6">
        <f t="shared" si="9"/>
        <v>0</v>
      </c>
    </row>
    <row r="67" spans="1:127" x14ac:dyDescent="0.25">
      <c r="A67">
        <v>57</v>
      </c>
      <c r="B67" s="11" t="s">
        <v>598</v>
      </c>
      <c r="C67" s="6"/>
      <c r="D67" s="6" t="s">
        <v>599</v>
      </c>
      <c r="E67" s="6" t="s">
        <v>273</v>
      </c>
      <c r="F67" s="11"/>
      <c r="G67" s="6"/>
      <c r="H67" s="6"/>
      <c r="I67" s="6"/>
      <c r="J67" s="6"/>
      <c r="K67" s="6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11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6"/>
      <c r="CI67" s="6"/>
      <c r="CJ67" s="11"/>
      <c r="CK67" s="11">
        <v>4</v>
      </c>
      <c r="CL67" s="11">
        <v>7.5</v>
      </c>
      <c r="CM67" s="11"/>
      <c r="CN67" s="11"/>
      <c r="CO67" s="11"/>
      <c r="CP67" s="6">
        <f>SUM(CI67:CO67)</f>
        <v>11.5</v>
      </c>
      <c r="CQ67" s="6">
        <f>(CP67-CI67)/2</f>
        <v>5.75</v>
      </c>
      <c r="CR67" s="11"/>
      <c r="CS67" s="11"/>
      <c r="CT67" s="11"/>
      <c r="CU67" s="11"/>
      <c r="CV67" s="11"/>
      <c r="CW67" s="6"/>
      <c r="CX67" s="6">
        <f t="shared" si="7"/>
        <v>5.75</v>
      </c>
      <c r="DT67" s="6">
        <f t="shared" si="12"/>
        <v>0</v>
      </c>
      <c r="DU67" s="6">
        <f t="shared" si="8"/>
        <v>0</v>
      </c>
      <c r="DV67" s="11"/>
      <c r="DW67" s="6">
        <f t="shared" si="9"/>
        <v>0</v>
      </c>
    </row>
    <row r="68" spans="1:127" x14ac:dyDescent="0.25">
      <c r="A68">
        <v>58</v>
      </c>
      <c r="B68" s="11" t="s">
        <v>191</v>
      </c>
      <c r="C68" s="6"/>
      <c r="D68" s="6" t="s">
        <v>146</v>
      </c>
      <c r="E68" s="6" t="s">
        <v>137</v>
      </c>
      <c r="F68" s="11"/>
      <c r="G68" s="6"/>
      <c r="H68" s="6"/>
      <c r="I68" s="6"/>
      <c r="J68" s="6"/>
      <c r="K68" s="6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11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6"/>
      <c r="CI68" s="6"/>
      <c r="CJ68" s="11">
        <v>2.4</v>
      </c>
      <c r="CK68" s="11">
        <v>3.2</v>
      </c>
      <c r="CL68" s="11">
        <v>5</v>
      </c>
      <c r="CM68" s="11"/>
      <c r="CN68" s="11"/>
      <c r="CO68" s="11"/>
      <c r="CP68" s="6">
        <f>SUM(CI68:CO68)</f>
        <v>10.6</v>
      </c>
      <c r="CQ68" s="6">
        <f>(CP68-CI68)/2</f>
        <v>5.3</v>
      </c>
      <c r="CR68" s="11"/>
      <c r="CS68" s="11"/>
      <c r="CT68" s="11"/>
      <c r="CU68" s="11"/>
      <c r="CV68" s="11"/>
      <c r="CW68" s="6"/>
      <c r="CX68" s="6">
        <f t="shared" si="7"/>
        <v>5.3</v>
      </c>
      <c r="DT68" s="6">
        <f t="shared" si="12"/>
        <v>0</v>
      </c>
      <c r="DU68" s="6">
        <f t="shared" si="8"/>
        <v>0</v>
      </c>
      <c r="DV68" s="11"/>
      <c r="DW68" s="6">
        <f t="shared" si="9"/>
        <v>0</v>
      </c>
    </row>
    <row r="69" spans="1:127" x14ac:dyDescent="0.25">
      <c r="A69">
        <v>59</v>
      </c>
      <c r="B69" s="11" t="s">
        <v>349</v>
      </c>
      <c r="C69" s="6"/>
      <c r="D69" s="6" t="s">
        <v>92</v>
      </c>
      <c r="E69" s="6" t="s">
        <v>31</v>
      </c>
      <c r="F69" s="11"/>
      <c r="G69" s="6"/>
      <c r="H69" s="6"/>
      <c r="I69" s="6"/>
      <c r="J69" s="6"/>
      <c r="K69" s="6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11"/>
      <c r="BD69" s="6"/>
      <c r="BE69" s="6">
        <v>45.1</v>
      </c>
      <c r="BF69" s="6"/>
      <c r="BG69" s="6"/>
      <c r="BH69" s="6"/>
      <c r="BI69" s="6"/>
      <c r="BJ69" s="6"/>
      <c r="BK69" s="6"/>
      <c r="BL69" s="6"/>
      <c r="BM69" s="6"/>
      <c r="BN69" s="6">
        <v>30</v>
      </c>
      <c r="BO69" s="6"/>
      <c r="BP69" s="6"/>
      <c r="BQ69" s="6"/>
      <c r="BR69" s="6"/>
      <c r="BS69" s="6"/>
      <c r="BT69" s="6"/>
      <c r="BU69" s="6">
        <v>28.8</v>
      </c>
      <c r="BV69" s="11"/>
      <c r="BW69" s="11">
        <v>2.4</v>
      </c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6">
        <f>SUM(BE69:CG69)</f>
        <v>106.3</v>
      </c>
      <c r="CI69" s="6">
        <f>(CH69-BE69)/2</f>
        <v>30.599999999999998</v>
      </c>
      <c r="CJ69" s="11">
        <v>3</v>
      </c>
      <c r="CK69" s="11"/>
      <c r="CL69" s="11">
        <v>7.5</v>
      </c>
      <c r="CM69" s="11"/>
      <c r="CN69" s="11"/>
      <c r="CO69" s="11"/>
      <c r="CP69" s="6">
        <f>SUM(CI69:CO69)</f>
        <v>41.099999999999994</v>
      </c>
      <c r="CQ69" s="6">
        <f>(CP69-CI69)/2</f>
        <v>5.2499999999999982</v>
      </c>
      <c r="CR69" s="11"/>
      <c r="CS69" s="11"/>
      <c r="CT69" s="11"/>
      <c r="CU69" s="11"/>
      <c r="CV69" s="11"/>
      <c r="CW69" s="6"/>
      <c r="CX69" s="6">
        <f t="shared" si="7"/>
        <v>5.2499999999999982</v>
      </c>
      <c r="DE69" s="8">
        <f>SUM(CZ69:DD69)</f>
        <v>0</v>
      </c>
      <c r="DF69">
        <f>DE69/2</f>
        <v>0</v>
      </c>
      <c r="DG69">
        <f>CH69/4</f>
        <v>26.574999999999999</v>
      </c>
      <c r="DM69">
        <f>SUM(DF69:DL69)</f>
        <v>26.574999999999999</v>
      </c>
      <c r="DN69">
        <f>(DM69-DF69)/2</f>
        <v>13.2875</v>
      </c>
      <c r="DT69" s="6">
        <f t="shared" si="12"/>
        <v>13.2875</v>
      </c>
      <c r="DU69" s="6">
        <f t="shared" si="8"/>
        <v>0</v>
      </c>
      <c r="DV69" s="11"/>
      <c r="DW69" s="6">
        <f t="shared" si="9"/>
        <v>0</v>
      </c>
    </row>
    <row r="70" spans="1:127" x14ac:dyDescent="0.25">
      <c r="A70">
        <v>60</v>
      </c>
      <c r="B70" s="11" t="s">
        <v>356</v>
      </c>
      <c r="C70" s="6" t="s">
        <v>127</v>
      </c>
      <c r="D70" s="6" t="s">
        <v>108</v>
      </c>
      <c r="E70" s="6" t="s">
        <v>126</v>
      </c>
      <c r="F70" s="11"/>
      <c r="G70" s="6"/>
      <c r="H70" s="6"/>
      <c r="I70" s="6"/>
      <c r="J70" s="6"/>
      <c r="K70" s="6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11"/>
      <c r="BD70" s="6"/>
      <c r="BE70" s="6"/>
      <c r="BF70" s="6"/>
      <c r="BG70" s="6"/>
      <c r="BH70" s="6"/>
      <c r="BI70" s="6"/>
      <c r="BJ70" s="6"/>
      <c r="BK70" s="6"/>
      <c r="BL70" s="6">
        <v>2.4</v>
      </c>
      <c r="BM70" s="6"/>
      <c r="BN70" s="6"/>
      <c r="BO70" s="6"/>
      <c r="BP70" s="6">
        <v>39</v>
      </c>
      <c r="BQ70" s="6"/>
      <c r="BR70" s="6"/>
      <c r="BS70" s="6"/>
      <c r="BT70" s="6"/>
      <c r="BU70" s="6"/>
      <c r="BV70" s="11">
        <v>7.5</v>
      </c>
      <c r="BW70" s="11"/>
      <c r="BX70" s="11"/>
      <c r="BY70" s="11"/>
      <c r="BZ70" s="11"/>
      <c r="CA70" s="11"/>
      <c r="CB70" s="11"/>
      <c r="CC70" s="11"/>
      <c r="CD70" s="11">
        <v>2.4</v>
      </c>
      <c r="CE70" s="11"/>
      <c r="CF70" s="11">
        <v>7.5</v>
      </c>
      <c r="CG70" s="11"/>
      <c r="CH70" s="6">
        <f>SUM(BE70:CG70)</f>
        <v>58.8</v>
      </c>
      <c r="CI70" s="6">
        <f>(CH70-BE70)/2</f>
        <v>29.4</v>
      </c>
      <c r="CJ70" s="11">
        <v>2.4</v>
      </c>
      <c r="CK70" s="11"/>
      <c r="CL70" s="11">
        <v>7.5</v>
      </c>
      <c r="CM70" s="11"/>
      <c r="CN70" s="11"/>
      <c r="CO70" s="11"/>
      <c r="CP70" s="6">
        <f>SUM(CI70:CO70)</f>
        <v>39.299999999999997</v>
      </c>
      <c r="CQ70" s="6">
        <f>(CP70-CI70)/2</f>
        <v>4.9499999999999993</v>
      </c>
      <c r="CR70" s="11"/>
      <c r="CS70" s="11"/>
      <c r="CT70" s="11"/>
      <c r="CU70" s="11"/>
      <c r="CV70" s="11"/>
      <c r="CW70" s="6"/>
      <c r="CX70" s="6">
        <f t="shared" si="7"/>
        <v>4.9499999999999993</v>
      </c>
      <c r="DE70" s="8">
        <f>SUM(CZ70:DD70)</f>
        <v>0</v>
      </c>
      <c r="DF70">
        <f>DE70/2</f>
        <v>0</v>
      </c>
      <c r="DG70">
        <f>CH70/4</f>
        <v>14.7</v>
      </c>
      <c r="DM70">
        <f>SUM(DF70:DL70)</f>
        <v>14.7</v>
      </c>
      <c r="DN70">
        <f>(DM70-DF70)/2</f>
        <v>7.35</v>
      </c>
      <c r="DT70" s="6">
        <f t="shared" si="12"/>
        <v>7.35</v>
      </c>
      <c r="DU70" s="6">
        <f t="shared" si="8"/>
        <v>0</v>
      </c>
      <c r="DV70" s="11"/>
      <c r="DW70" s="6">
        <f t="shared" si="9"/>
        <v>0</v>
      </c>
    </row>
    <row r="71" spans="1:127" x14ac:dyDescent="0.25">
      <c r="A71">
        <v>61</v>
      </c>
      <c r="B71" s="11" t="s">
        <v>169</v>
      </c>
      <c r="C71" s="6"/>
      <c r="D71" s="6" t="s">
        <v>223</v>
      </c>
      <c r="E71" s="6" t="s">
        <v>749</v>
      </c>
      <c r="F71" s="11"/>
      <c r="G71" s="6"/>
      <c r="H71" s="6"/>
      <c r="I71" s="6"/>
      <c r="J71" s="6"/>
      <c r="K71" s="6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11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6"/>
      <c r="CI71" s="6"/>
      <c r="CJ71" s="11"/>
      <c r="CK71" s="11"/>
      <c r="CL71" s="11"/>
      <c r="CM71" s="11"/>
      <c r="CN71" s="11"/>
      <c r="CO71" s="11"/>
      <c r="CP71" s="6"/>
      <c r="CQ71" s="6"/>
      <c r="CR71" s="11"/>
      <c r="CS71" s="11">
        <v>4</v>
      </c>
      <c r="CT71" s="11"/>
      <c r="CU71" s="11"/>
      <c r="CV71" s="11"/>
      <c r="CW71" s="6"/>
      <c r="CX71" s="6">
        <f t="shared" si="7"/>
        <v>4</v>
      </c>
      <c r="DT71" s="6">
        <f t="shared" si="12"/>
        <v>0</v>
      </c>
      <c r="DU71" s="6">
        <f t="shared" si="8"/>
        <v>0</v>
      </c>
      <c r="DV71" s="11"/>
      <c r="DW71" s="6">
        <f t="shared" si="9"/>
        <v>0</v>
      </c>
    </row>
    <row r="72" spans="1:127" x14ac:dyDescent="0.25">
      <c r="A72">
        <v>62</v>
      </c>
      <c r="B72" s="11" t="s">
        <v>504</v>
      </c>
      <c r="C72" s="6"/>
      <c r="D72" s="6" t="s">
        <v>89</v>
      </c>
      <c r="E72" s="6" t="s">
        <v>149</v>
      </c>
      <c r="F72" s="11"/>
      <c r="G72" s="6"/>
      <c r="H72" s="6"/>
      <c r="I72" s="6"/>
      <c r="J72" s="6"/>
      <c r="K72" s="6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11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6"/>
      <c r="CI72" s="6"/>
      <c r="CJ72" s="11">
        <v>3</v>
      </c>
      <c r="CK72" s="11"/>
      <c r="CL72" s="11">
        <v>3</v>
      </c>
      <c r="CM72" s="11"/>
      <c r="CN72" s="11"/>
      <c r="CO72" s="11"/>
      <c r="CP72" s="6">
        <f>SUM(CI72:CO72)</f>
        <v>6</v>
      </c>
      <c r="CQ72" s="6">
        <f>(CP72-CI72)/2</f>
        <v>3</v>
      </c>
      <c r="CR72" s="11"/>
      <c r="CS72" s="11"/>
      <c r="CT72" s="11"/>
      <c r="CU72" s="11"/>
      <c r="CV72" s="11"/>
      <c r="CW72" s="6"/>
      <c r="CX72" s="6">
        <f t="shared" si="7"/>
        <v>3</v>
      </c>
      <c r="DT72" s="6">
        <f t="shared" si="12"/>
        <v>0</v>
      </c>
      <c r="DU72" s="6">
        <f t="shared" si="8"/>
        <v>0</v>
      </c>
      <c r="DV72" s="11"/>
      <c r="DW72" s="6">
        <f t="shared" si="9"/>
        <v>0</v>
      </c>
    </row>
    <row r="73" spans="1:127" x14ac:dyDescent="0.25">
      <c r="A73">
        <v>63</v>
      </c>
      <c r="B73" s="11" t="s">
        <v>444</v>
      </c>
      <c r="C73" s="6"/>
      <c r="D73" s="6" t="s">
        <v>92</v>
      </c>
      <c r="E73" s="6" t="s">
        <v>383</v>
      </c>
      <c r="F73" s="11"/>
      <c r="G73" s="6"/>
      <c r="H73" s="6"/>
      <c r="I73" s="6"/>
      <c r="J73" s="6"/>
      <c r="K73" s="6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11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6"/>
      <c r="CI73" s="6"/>
      <c r="CJ73" s="11"/>
      <c r="CK73" s="11"/>
      <c r="CL73" s="11"/>
      <c r="CM73" s="11"/>
      <c r="CN73" s="11"/>
      <c r="CO73" s="11"/>
      <c r="CP73" s="6"/>
      <c r="CQ73" s="6"/>
      <c r="CR73" s="11">
        <v>3</v>
      </c>
      <c r="CS73" s="11"/>
      <c r="CT73" s="11"/>
      <c r="CU73" s="11"/>
      <c r="CV73" s="11"/>
      <c r="CW73" s="6"/>
      <c r="CX73" s="6">
        <f t="shared" si="7"/>
        <v>3</v>
      </c>
      <c r="DT73" s="6">
        <f t="shared" si="12"/>
        <v>0</v>
      </c>
      <c r="DU73" s="6">
        <f t="shared" si="8"/>
        <v>0</v>
      </c>
      <c r="DV73" s="11"/>
      <c r="DW73" s="6">
        <f t="shared" si="9"/>
        <v>0</v>
      </c>
    </row>
    <row r="74" spans="1:127" x14ac:dyDescent="0.25">
      <c r="A74">
        <v>64</v>
      </c>
      <c r="B74" s="11" t="s">
        <v>380</v>
      </c>
      <c r="C74" s="6"/>
      <c r="D74" s="6" t="s">
        <v>386</v>
      </c>
      <c r="E74" s="6" t="s">
        <v>93</v>
      </c>
      <c r="F74" s="11"/>
      <c r="G74" s="6"/>
      <c r="H74" s="6"/>
      <c r="I74" s="6"/>
      <c r="J74" s="6"/>
      <c r="K74" s="6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11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6"/>
      <c r="CI74" s="6"/>
      <c r="CJ74" s="11"/>
      <c r="CK74" s="11"/>
      <c r="CL74" s="11"/>
      <c r="CM74" s="11"/>
      <c r="CN74" s="11"/>
      <c r="CO74" s="11"/>
      <c r="CP74" s="6"/>
      <c r="CQ74" s="6"/>
      <c r="CR74" s="11">
        <v>3</v>
      </c>
      <c r="CS74" s="11"/>
      <c r="CT74" s="11"/>
      <c r="CU74" s="11"/>
      <c r="CV74" s="11"/>
      <c r="CW74" s="6"/>
      <c r="CX74" s="6">
        <f t="shared" si="7"/>
        <v>3</v>
      </c>
      <c r="DT74" s="6">
        <f t="shared" si="12"/>
        <v>0</v>
      </c>
      <c r="DU74" s="6">
        <f t="shared" si="8"/>
        <v>0</v>
      </c>
      <c r="DV74" s="11"/>
      <c r="DW74" s="6">
        <f t="shared" si="9"/>
        <v>0</v>
      </c>
    </row>
    <row r="75" spans="1:127" x14ac:dyDescent="0.25">
      <c r="A75">
        <v>65</v>
      </c>
      <c r="B75" s="11" t="s">
        <v>790</v>
      </c>
      <c r="C75" s="6"/>
      <c r="D75" s="6" t="s">
        <v>791</v>
      </c>
      <c r="E75" s="6" t="s">
        <v>792</v>
      </c>
      <c r="F75" s="11"/>
      <c r="G75" s="6"/>
      <c r="H75" s="6"/>
      <c r="I75" s="6"/>
      <c r="J75" s="6"/>
      <c r="K75" s="6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11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6"/>
      <c r="CI75" s="6"/>
      <c r="CJ75" s="11"/>
      <c r="CK75" s="11"/>
      <c r="CL75" s="11"/>
      <c r="CM75" s="11"/>
      <c r="CN75" s="11"/>
      <c r="CO75" s="11"/>
      <c r="CP75" s="6"/>
      <c r="CQ75" s="6"/>
      <c r="CR75" s="11">
        <v>3</v>
      </c>
      <c r="CS75" s="11"/>
      <c r="CT75" s="11"/>
      <c r="CU75" s="11"/>
      <c r="CV75" s="11"/>
      <c r="CW75" s="6"/>
      <c r="CX75" s="6">
        <f t="shared" ref="CX75:CX106" si="13">SUM(CQ75:CW75)</f>
        <v>3</v>
      </c>
      <c r="DT75" s="6">
        <f t="shared" si="12"/>
        <v>0</v>
      </c>
      <c r="DU75" s="6">
        <f t="shared" ref="DU75:DU106" si="14">(DT75-DN75)/2</f>
        <v>0</v>
      </c>
      <c r="DV75" s="11"/>
      <c r="DW75" s="6">
        <f t="shared" ref="DW75:DW106" si="15">SUM(DU75:DV75)</f>
        <v>0</v>
      </c>
    </row>
    <row r="76" spans="1:127" x14ac:dyDescent="0.25">
      <c r="A76">
        <v>66</v>
      </c>
      <c r="B76" s="11" t="s">
        <v>228</v>
      </c>
      <c r="C76" s="6"/>
      <c r="D76" s="6" t="s">
        <v>229</v>
      </c>
      <c r="E76" s="6" t="s">
        <v>158</v>
      </c>
      <c r="F76" s="11"/>
      <c r="G76" s="6"/>
      <c r="H76" s="6"/>
      <c r="I76" s="6"/>
      <c r="J76" s="6"/>
      <c r="K76" s="6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36</v>
      </c>
      <c r="AX76" s="6"/>
      <c r="AY76" s="6"/>
      <c r="AZ76" s="6"/>
      <c r="BA76" s="6"/>
      <c r="BB76" s="6"/>
      <c r="BC76" s="11"/>
      <c r="BD76" s="6">
        <f>SUM(AE76:BC76)</f>
        <v>36</v>
      </c>
      <c r="BE76" s="6">
        <f>(BD76-AE76)/2</f>
        <v>18</v>
      </c>
      <c r="BF76" s="6"/>
      <c r="BG76" s="6">
        <v>36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6">
        <f>SUM(BE76:CG76)</f>
        <v>54</v>
      </c>
      <c r="CI76" s="6">
        <f>(CH76-BE76)/2</f>
        <v>18</v>
      </c>
      <c r="CJ76" s="11"/>
      <c r="CK76" s="11"/>
      <c r="CL76" s="11">
        <v>5</v>
      </c>
      <c r="CM76" s="11"/>
      <c r="CN76" s="11"/>
      <c r="CO76" s="11"/>
      <c r="CP76" s="6">
        <f>SUM(CI76:CO76)</f>
        <v>23</v>
      </c>
      <c r="CQ76" s="6">
        <f>(CP76-CI76)/2</f>
        <v>2.5</v>
      </c>
      <c r="CR76" s="11"/>
      <c r="CS76" s="11"/>
      <c r="CT76" s="11"/>
      <c r="CU76" s="11"/>
      <c r="CV76" s="11"/>
      <c r="CW76" s="6"/>
      <c r="CX76" s="6">
        <f t="shared" si="13"/>
        <v>2.5</v>
      </c>
      <c r="CZ76" s="8">
        <f>BD76/4</f>
        <v>9</v>
      </c>
      <c r="DA76" s="8"/>
      <c r="DB76" s="8"/>
      <c r="DC76" s="8"/>
      <c r="DD76" s="8"/>
      <c r="DE76" s="8">
        <f>SUM(CZ76:DD76)</f>
        <v>9</v>
      </c>
      <c r="DF76">
        <f>DE76/2</f>
        <v>4.5</v>
      </c>
      <c r="DG76">
        <f>CH76/4</f>
        <v>13.5</v>
      </c>
      <c r="DM76">
        <f>SUM(DF76:DL76)</f>
        <v>18</v>
      </c>
      <c r="DN76">
        <f>(DM76-DF76)/2</f>
        <v>6.75</v>
      </c>
      <c r="DT76" s="6">
        <f t="shared" si="12"/>
        <v>6.75</v>
      </c>
      <c r="DU76" s="6">
        <f t="shared" si="14"/>
        <v>0</v>
      </c>
      <c r="DV76" s="11"/>
      <c r="DW76" s="6">
        <f t="shared" si="15"/>
        <v>0</v>
      </c>
    </row>
    <row r="77" spans="1:127" x14ac:dyDescent="0.25">
      <c r="A77">
        <v>67</v>
      </c>
      <c r="B77" s="11" t="s">
        <v>626</v>
      </c>
      <c r="C77" s="6"/>
      <c r="D77" s="6" t="s">
        <v>133</v>
      </c>
      <c r="E77" s="6" t="s">
        <v>538</v>
      </c>
      <c r="F77" s="11"/>
      <c r="G77" s="6"/>
      <c r="H77" s="6"/>
      <c r="I77" s="6"/>
      <c r="J77" s="6"/>
      <c r="K77" s="6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11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6"/>
      <c r="CI77" s="6"/>
      <c r="CJ77" s="11"/>
      <c r="CK77" s="11"/>
      <c r="CL77" s="11"/>
      <c r="CM77" s="11"/>
      <c r="CN77" s="11"/>
      <c r="CO77" s="11"/>
      <c r="CP77" s="6"/>
      <c r="CQ77" s="6"/>
      <c r="CR77" s="11">
        <v>2.4</v>
      </c>
      <c r="CS77" s="11"/>
      <c r="CT77" s="11"/>
      <c r="CU77" s="11"/>
      <c r="CV77" s="11"/>
      <c r="CW77" s="6"/>
      <c r="CX77" s="6">
        <f t="shared" si="13"/>
        <v>2.4</v>
      </c>
      <c r="DT77" s="6">
        <f t="shared" si="12"/>
        <v>0</v>
      </c>
      <c r="DU77" s="6">
        <f t="shared" si="14"/>
        <v>0</v>
      </c>
      <c r="DV77" s="11"/>
      <c r="DW77" s="6">
        <f t="shared" si="15"/>
        <v>0</v>
      </c>
    </row>
    <row r="78" spans="1:127" x14ac:dyDescent="0.25">
      <c r="A78">
        <v>68</v>
      </c>
      <c r="B78" s="11" t="s">
        <v>551</v>
      </c>
      <c r="C78" s="6"/>
      <c r="D78" s="6" t="s">
        <v>552</v>
      </c>
      <c r="E78" s="6" t="s">
        <v>234</v>
      </c>
      <c r="F78" s="11"/>
      <c r="G78" s="6"/>
      <c r="H78" s="6"/>
      <c r="I78" s="6"/>
      <c r="J78" s="6"/>
      <c r="K78" s="6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11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6"/>
      <c r="CI78" s="6"/>
      <c r="CJ78" s="11"/>
      <c r="CK78" s="11"/>
      <c r="CL78" s="11"/>
      <c r="CM78" s="11"/>
      <c r="CN78" s="11"/>
      <c r="CO78" s="11"/>
      <c r="CP78" s="6"/>
      <c r="CQ78" s="6"/>
      <c r="CR78" s="11">
        <v>2.4</v>
      </c>
      <c r="CS78" s="11"/>
      <c r="CT78" s="11"/>
      <c r="CU78" s="11"/>
      <c r="CV78" s="11"/>
      <c r="CW78" s="6"/>
      <c r="CX78" s="6">
        <f t="shared" si="13"/>
        <v>2.4</v>
      </c>
      <c r="DO78"/>
      <c r="DP78"/>
      <c r="DQ78"/>
      <c r="DR78"/>
      <c r="DS78"/>
      <c r="DT78" s="6">
        <f t="shared" si="12"/>
        <v>0</v>
      </c>
      <c r="DU78" s="6">
        <f t="shared" si="14"/>
        <v>0</v>
      </c>
      <c r="DV78" s="11"/>
      <c r="DW78" s="6">
        <f t="shared" si="15"/>
        <v>0</v>
      </c>
    </row>
    <row r="79" spans="1:127" x14ac:dyDescent="0.25">
      <c r="A79">
        <v>69</v>
      </c>
      <c r="B79" s="11" t="s">
        <v>597</v>
      </c>
      <c r="C79" s="6"/>
      <c r="D79" s="6" t="s">
        <v>516</v>
      </c>
      <c r="E79" s="6" t="s">
        <v>531</v>
      </c>
      <c r="F79" s="11"/>
      <c r="G79" s="6"/>
      <c r="H79" s="6"/>
      <c r="I79" s="6"/>
      <c r="J79" s="6"/>
      <c r="K79" s="6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11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6"/>
      <c r="CI79" s="6"/>
      <c r="CJ79" s="11"/>
      <c r="CK79" s="11">
        <v>4</v>
      </c>
      <c r="CL79" s="11"/>
      <c r="CM79" s="11"/>
      <c r="CN79" s="11"/>
      <c r="CO79" s="11"/>
      <c r="CP79" s="6">
        <f t="shared" ref="CP79:CP84" si="16">SUM(CI79:CO79)</f>
        <v>4</v>
      </c>
      <c r="CQ79" s="6">
        <f t="shared" ref="CQ79:CQ84" si="17">(CP79-CI79)/2</f>
        <v>2</v>
      </c>
      <c r="CR79" s="11"/>
      <c r="CS79" s="11"/>
      <c r="CT79" s="11"/>
      <c r="CU79" s="11"/>
      <c r="CV79" s="11"/>
      <c r="CW79" s="6"/>
      <c r="CX79" s="6">
        <f t="shared" si="13"/>
        <v>2</v>
      </c>
      <c r="DT79" s="6">
        <f t="shared" si="12"/>
        <v>0</v>
      </c>
      <c r="DU79" s="6">
        <f t="shared" si="14"/>
        <v>0</v>
      </c>
      <c r="DV79" s="11"/>
      <c r="DW79" s="6">
        <f t="shared" si="15"/>
        <v>0</v>
      </c>
    </row>
    <row r="80" spans="1:127" x14ac:dyDescent="0.25">
      <c r="A80">
        <v>70</v>
      </c>
      <c r="B80" s="11" t="s">
        <v>503</v>
      </c>
      <c r="C80" s="6"/>
      <c r="D80" s="6" t="s">
        <v>170</v>
      </c>
      <c r="E80" s="6" t="s">
        <v>12</v>
      </c>
      <c r="F80" s="11"/>
      <c r="G80" s="6"/>
      <c r="H80" s="6"/>
      <c r="I80" s="6"/>
      <c r="J80" s="6"/>
      <c r="K80" s="6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11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6"/>
      <c r="CI80" s="6"/>
      <c r="CJ80" s="11">
        <v>3</v>
      </c>
      <c r="CK80" s="11"/>
      <c r="CL80" s="11"/>
      <c r="CM80" s="11"/>
      <c r="CN80" s="11"/>
      <c r="CO80" s="11"/>
      <c r="CP80" s="6">
        <f t="shared" si="16"/>
        <v>3</v>
      </c>
      <c r="CQ80" s="6">
        <f t="shared" si="17"/>
        <v>1.5</v>
      </c>
      <c r="CR80" s="11"/>
      <c r="CS80" s="11"/>
      <c r="CT80" s="11"/>
      <c r="CU80" s="11"/>
      <c r="CV80" s="11"/>
      <c r="CW80" s="6"/>
      <c r="CX80" s="6">
        <f t="shared" si="13"/>
        <v>1.5</v>
      </c>
      <c r="DT80" s="6">
        <f t="shared" si="12"/>
        <v>0</v>
      </c>
      <c r="DU80" s="6">
        <f t="shared" si="14"/>
        <v>0</v>
      </c>
      <c r="DV80" s="11"/>
      <c r="DW80" s="6">
        <f t="shared" si="15"/>
        <v>0</v>
      </c>
    </row>
    <row r="81" spans="1:127" x14ac:dyDescent="0.25">
      <c r="A81">
        <v>71</v>
      </c>
      <c r="B81" s="11" t="s">
        <v>464</v>
      </c>
      <c r="C81" s="6"/>
      <c r="D81" s="6" t="s">
        <v>59</v>
      </c>
      <c r="E81" s="6" t="s">
        <v>21</v>
      </c>
      <c r="F81" s="11"/>
      <c r="G81" s="6"/>
      <c r="H81" s="6"/>
      <c r="I81" s="6"/>
      <c r="J81" s="6"/>
      <c r="K81" s="6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11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6"/>
      <c r="CI81" s="6"/>
      <c r="CJ81" s="11">
        <v>2.4</v>
      </c>
      <c r="CK81" s="11"/>
      <c r="CL81" s="11"/>
      <c r="CM81" s="11"/>
      <c r="CN81" s="11"/>
      <c r="CO81" s="11"/>
      <c r="CP81" s="6">
        <f t="shared" si="16"/>
        <v>2.4</v>
      </c>
      <c r="CQ81" s="6">
        <f t="shared" si="17"/>
        <v>1.2</v>
      </c>
      <c r="CR81" s="11"/>
      <c r="CS81" s="11"/>
      <c r="CT81" s="11"/>
      <c r="CU81" s="11"/>
      <c r="CV81" s="11"/>
      <c r="CW81" s="6"/>
      <c r="CX81" s="6">
        <f t="shared" si="13"/>
        <v>1.2</v>
      </c>
      <c r="DT81" s="6">
        <f t="shared" si="12"/>
        <v>0</v>
      </c>
      <c r="DU81" s="6">
        <f t="shared" si="14"/>
        <v>0</v>
      </c>
      <c r="DV81" s="11"/>
      <c r="DW81" s="6">
        <f t="shared" si="15"/>
        <v>0</v>
      </c>
    </row>
    <row r="82" spans="1:127" x14ac:dyDescent="0.25">
      <c r="A82">
        <v>72</v>
      </c>
      <c r="B82" s="11" t="s">
        <v>381</v>
      </c>
      <c r="C82" s="6" t="s">
        <v>62</v>
      </c>
      <c r="D82" s="6" t="s">
        <v>78</v>
      </c>
      <c r="E82" s="6" t="s">
        <v>374</v>
      </c>
      <c r="F82" s="11"/>
      <c r="G82" s="6"/>
      <c r="H82" s="6"/>
      <c r="I82" s="6"/>
      <c r="J82" s="6"/>
      <c r="K82" s="6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11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>
        <v>36</v>
      </c>
      <c r="BR82" s="6"/>
      <c r="BS82" s="6">
        <v>3.2</v>
      </c>
      <c r="BT82" s="6"/>
      <c r="BU82" s="6"/>
      <c r="BV82" s="11">
        <v>7.5</v>
      </c>
      <c r="BW82" s="11"/>
      <c r="BX82" s="11"/>
      <c r="BY82" s="11"/>
      <c r="BZ82" s="11"/>
      <c r="CA82" s="11"/>
      <c r="CB82" s="11"/>
      <c r="CC82" s="11"/>
      <c r="CD82" s="11"/>
      <c r="CE82" s="11">
        <v>33.6</v>
      </c>
      <c r="CF82" s="11"/>
      <c r="CG82" s="11"/>
      <c r="CH82" s="6">
        <f>SUM(BE82:CG82)</f>
        <v>80.300000000000011</v>
      </c>
      <c r="CI82" s="6">
        <f>(CH82-BE82)/2</f>
        <v>40.150000000000006</v>
      </c>
      <c r="CJ82" s="11"/>
      <c r="CK82" s="11"/>
      <c r="CL82" s="11"/>
      <c r="CM82" s="11"/>
      <c r="CN82" s="11"/>
      <c r="CO82" s="11"/>
      <c r="CP82" s="6">
        <f t="shared" si="16"/>
        <v>40.150000000000006</v>
      </c>
      <c r="CQ82" s="6">
        <f t="shared" si="17"/>
        <v>0</v>
      </c>
      <c r="CR82" s="11"/>
      <c r="CS82" s="11"/>
      <c r="CT82" s="11"/>
      <c r="CU82" s="11"/>
      <c r="CV82" s="11"/>
      <c r="CW82" s="6"/>
      <c r="CX82" s="6">
        <f t="shared" si="13"/>
        <v>0</v>
      </c>
      <c r="DE82" s="8">
        <f>SUM(CZ82:DD82)</f>
        <v>0</v>
      </c>
      <c r="DF82">
        <f>DE82/2</f>
        <v>0</v>
      </c>
      <c r="DG82">
        <f>CH82/4</f>
        <v>20.075000000000003</v>
      </c>
      <c r="DM82">
        <f>SUM(DF82:DL82)</f>
        <v>20.075000000000003</v>
      </c>
      <c r="DN82">
        <f>(DM82-DF82)/2</f>
        <v>10.037500000000001</v>
      </c>
      <c r="DT82" s="6">
        <f t="shared" si="12"/>
        <v>10.037500000000001</v>
      </c>
      <c r="DU82" s="6">
        <f t="shared" si="14"/>
        <v>0</v>
      </c>
      <c r="DV82" s="11"/>
      <c r="DW82" s="6">
        <f t="shared" si="15"/>
        <v>0</v>
      </c>
    </row>
    <row r="83" spans="1:127" x14ac:dyDescent="0.25">
      <c r="A83">
        <v>73</v>
      </c>
      <c r="B83" s="11" t="s">
        <v>192</v>
      </c>
      <c r="C83" s="6"/>
      <c r="D83" s="6" t="s">
        <v>63</v>
      </c>
      <c r="E83" s="6" t="s">
        <v>29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>
        <v>30</v>
      </c>
      <c r="BZ83" s="11"/>
      <c r="CA83" s="11"/>
      <c r="CB83" s="11"/>
      <c r="CC83" s="11"/>
      <c r="CD83" s="11"/>
      <c r="CE83" s="11"/>
      <c r="CF83" s="11"/>
      <c r="CG83" s="11"/>
      <c r="CH83" s="6">
        <f>SUM(BE83:CG83)</f>
        <v>30</v>
      </c>
      <c r="CI83" s="6">
        <f>(CH83-BE83)/2</f>
        <v>15</v>
      </c>
      <c r="CJ83" s="11"/>
      <c r="CK83" s="11"/>
      <c r="CL83" s="11"/>
      <c r="CM83" s="11"/>
      <c r="CN83" s="11"/>
      <c r="CO83" s="11"/>
      <c r="CP83" s="6">
        <f t="shared" si="16"/>
        <v>15</v>
      </c>
      <c r="CQ83" s="6">
        <f t="shared" si="17"/>
        <v>0</v>
      </c>
      <c r="CR83" s="11"/>
      <c r="CS83" s="11"/>
      <c r="CT83" s="11"/>
      <c r="CU83" s="11"/>
      <c r="CV83" s="11"/>
      <c r="CW83" s="6"/>
      <c r="CX83" s="6">
        <f t="shared" si="13"/>
        <v>0</v>
      </c>
      <c r="DE83" s="8">
        <f>SUM(CZ83:DD83)</f>
        <v>0</v>
      </c>
      <c r="DF83">
        <f>DE83/2</f>
        <v>0</v>
      </c>
      <c r="DG83">
        <f>CH83/4</f>
        <v>7.5</v>
      </c>
      <c r="DL83">
        <v>2.5</v>
      </c>
      <c r="DM83">
        <f>SUM(DF83:DL83)</f>
        <v>10</v>
      </c>
      <c r="DN83">
        <f>(DM83-DF83)/2</f>
        <v>5</v>
      </c>
      <c r="DT83" s="6">
        <f t="shared" si="12"/>
        <v>5</v>
      </c>
      <c r="DU83" s="6">
        <f t="shared" si="14"/>
        <v>0</v>
      </c>
      <c r="DV83" s="11"/>
      <c r="DW83" s="6">
        <f t="shared" si="15"/>
        <v>0</v>
      </c>
    </row>
    <row r="84" spans="1:127" x14ac:dyDescent="0.25">
      <c r="A84">
        <v>74</v>
      </c>
      <c r="B84" s="11" t="s">
        <v>610</v>
      </c>
      <c r="C84" s="6"/>
      <c r="D84" s="6" t="s">
        <v>33</v>
      </c>
      <c r="E84" s="6" t="s">
        <v>611</v>
      </c>
      <c r="F84" s="11"/>
      <c r="G84" s="6"/>
      <c r="H84" s="6"/>
      <c r="I84" s="6"/>
      <c r="J84" s="6"/>
      <c r="K84" s="6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11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6"/>
      <c r="CI84" s="6"/>
      <c r="CJ84" s="11"/>
      <c r="CK84" s="11"/>
      <c r="CL84" s="11"/>
      <c r="CM84" s="11"/>
      <c r="CN84" s="11"/>
      <c r="CO84" s="11"/>
      <c r="CP84" s="6">
        <f t="shared" si="16"/>
        <v>0</v>
      </c>
      <c r="CQ84" s="6">
        <f t="shared" si="17"/>
        <v>0</v>
      </c>
      <c r="CR84" s="11"/>
      <c r="CS84" s="11"/>
      <c r="CT84" s="11"/>
      <c r="CU84" s="11"/>
      <c r="CV84" s="11"/>
      <c r="CW84" s="6"/>
      <c r="CX84" s="6">
        <f t="shared" si="13"/>
        <v>0</v>
      </c>
      <c r="DS84" s="8">
        <v>2.5</v>
      </c>
      <c r="DT84" s="6">
        <f t="shared" si="12"/>
        <v>2.5</v>
      </c>
      <c r="DU84" s="6">
        <f t="shared" si="14"/>
        <v>1.25</v>
      </c>
      <c r="DV84" s="11"/>
      <c r="DW84" s="6">
        <f t="shared" si="15"/>
        <v>1.25</v>
      </c>
    </row>
  </sheetData>
  <sortState xmlns:xlrd2="http://schemas.microsoft.com/office/spreadsheetml/2017/richdata2" ref="B11:DW84">
    <sortCondition descending="1" ref="CX11:CX84"/>
  </sortState>
  <mergeCells count="6">
    <mergeCell ref="B1:DW1"/>
    <mergeCell ref="B8:C10"/>
    <mergeCell ref="CL9:CO9"/>
    <mergeCell ref="CT9:CW9"/>
    <mergeCell ref="D4:CX5"/>
    <mergeCell ref="DM4:DW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Z55"/>
  <sheetViews>
    <sheetView topLeftCell="A10" zoomScale="80" zoomScaleNormal="80" workbookViewId="0">
      <selection activeCell="ED26" sqref="ED26"/>
    </sheetView>
  </sheetViews>
  <sheetFormatPr baseColWidth="10" defaultRowHeight="15" x14ac:dyDescent="0.25"/>
  <cols>
    <col min="1" max="1" width="3.140625" bestFit="1" customWidth="1"/>
    <col min="2" max="2" width="17.42578125" bestFit="1" customWidth="1"/>
    <col min="3" max="3" width="12.28515625" bestFit="1" customWidth="1"/>
    <col min="4" max="4" width="13.7109375" bestFit="1" customWidth="1"/>
    <col min="5" max="5" width="23.140625" bestFit="1" customWidth="1"/>
    <col min="6" max="6" width="6.7109375" style="8" hidden="1" customWidth="1"/>
    <col min="7" max="9" width="6.7109375" hidden="1" customWidth="1"/>
    <col min="10" max="12" width="6.42578125" hidden="1" customWidth="1"/>
    <col min="13" max="13" width="7.28515625" hidden="1" customWidth="1"/>
    <col min="14" max="15" width="7.28515625" style="8" hidden="1" customWidth="1"/>
    <col min="16" max="20" width="6.28515625" style="8" hidden="1" customWidth="1"/>
    <col min="21" max="23" width="6.7109375" style="8" hidden="1" customWidth="1"/>
    <col min="24" max="30" width="7" style="8" hidden="1" customWidth="1"/>
    <col min="31" max="31" width="0" hidden="1" customWidth="1"/>
    <col min="32" max="32" width="7.7109375" hidden="1" customWidth="1"/>
    <col min="33" max="49" width="6" style="8" hidden="1" customWidth="1"/>
    <col min="50" max="50" width="10.5703125" style="8" hidden="1" customWidth="1"/>
    <col min="51" max="57" width="6" style="8" hidden="1" customWidth="1"/>
    <col min="58" max="58" width="6.28515625" style="8" hidden="1" customWidth="1"/>
    <col min="59" max="60" width="6.85546875" style="8" hidden="1" customWidth="1"/>
    <col min="61" max="61" width="10.5703125" style="8" hidden="1" customWidth="1"/>
    <col min="62" max="64" width="6" style="8" hidden="1" customWidth="1"/>
    <col min="65" max="80" width="6.28515625" style="8" hidden="1" customWidth="1"/>
    <col min="81" max="81" width="10.85546875" style="8" hidden="1" customWidth="1"/>
    <col min="82" max="88" width="6.140625" style="8" hidden="1" customWidth="1"/>
    <col min="89" max="89" width="6.28515625" style="8" hidden="1" customWidth="1"/>
    <col min="90" max="90" width="7.85546875" style="8" hidden="1" customWidth="1"/>
    <col min="91" max="96" width="6.28515625" style="8" hidden="1" customWidth="1"/>
    <col min="97" max="97" width="7.7109375" style="8" bestFit="1" customWidth="1"/>
    <col min="98" max="98" width="7.85546875" style="8" bestFit="1" customWidth="1"/>
    <col min="99" max="104" width="6.28515625" style="8" customWidth="1"/>
    <col min="105" max="105" width="7.42578125" style="8" bestFit="1" customWidth="1"/>
    <col min="107" max="107" width="0" hidden="1" customWidth="1"/>
    <col min="108" max="108" width="8.5703125" hidden="1" customWidth="1"/>
    <col min="109" max="110" width="7.140625" hidden="1" customWidth="1"/>
    <col min="111" max="111" width="0" hidden="1" customWidth="1"/>
    <col min="112" max="113" width="0" style="8" hidden="1" customWidth="1"/>
    <col min="114" max="120" width="6" style="8" hidden="1" customWidth="1"/>
    <col min="121" max="121" width="0" hidden="1" customWidth="1"/>
    <col min="122" max="122" width="11.140625" hidden="1" customWidth="1"/>
    <col min="123" max="123" width="5.5703125" style="8" hidden="1" customWidth="1"/>
    <col min="124" max="126" width="6" style="8" hidden="1" customWidth="1"/>
    <col min="129" max="129" width="7" style="8" customWidth="1"/>
  </cols>
  <sheetData>
    <row r="1" spans="1:130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</row>
    <row r="2" spans="1:130" ht="15.75" thickBot="1" x14ac:dyDescent="0.3">
      <c r="C2" s="8"/>
      <c r="D2" s="8"/>
      <c r="E2" s="8"/>
      <c r="DC2" s="8"/>
      <c r="DG2" s="8"/>
    </row>
    <row r="3" spans="1:130" ht="15.75" thickTop="1" x14ac:dyDescent="0.25">
      <c r="B3" s="1" t="s">
        <v>0</v>
      </c>
      <c r="C3" s="4" t="s">
        <v>18</v>
      </c>
      <c r="DC3" s="8"/>
      <c r="DG3" s="8"/>
    </row>
    <row r="4" spans="1:130" ht="14.6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C4" s="64" t="s">
        <v>617</v>
      </c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</row>
    <row r="5" spans="1:130" ht="15" customHeight="1" thickBot="1" x14ac:dyDescent="0.3">
      <c r="B5" s="3" t="s">
        <v>2</v>
      </c>
      <c r="C5" s="33">
        <v>-73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</row>
    <row r="6" spans="1:130" ht="15.75" thickTop="1" x14ac:dyDescent="0.25">
      <c r="DC6" s="8"/>
      <c r="DG6" s="8"/>
    </row>
    <row r="7" spans="1:130" ht="15.75" thickBot="1" x14ac:dyDescent="0.3">
      <c r="DC7" s="8"/>
      <c r="DG7" s="8"/>
    </row>
    <row r="8" spans="1:130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15</v>
      </c>
      <c r="J8" s="4" t="s">
        <v>25</v>
      </c>
      <c r="K8" s="4" t="s">
        <v>15</v>
      </c>
      <c r="L8" s="4" t="s">
        <v>79</v>
      </c>
      <c r="M8" s="4" t="s">
        <v>102</v>
      </c>
      <c r="N8" s="4" t="s">
        <v>15</v>
      </c>
      <c r="O8" s="4" t="s">
        <v>15</v>
      </c>
      <c r="P8" s="4" t="s">
        <v>136</v>
      </c>
      <c r="Q8" s="4" t="s">
        <v>139</v>
      </c>
      <c r="R8" s="4" t="s">
        <v>142</v>
      </c>
      <c r="S8" s="4" t="s">
        <v>145</v>
      </c>
      <c r="T8" s="4" t="s">
        <v>15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</v>
      </c>
      <c r="Z8" s="4" t="s">
        <v>15</v>
      </c>
      <c r="AA8" s="4" t="s">
        <v>159</v>
      </c>
      <c r="AB8" s="4" t="s">
        <v>15</v>
      </c>
      <c r="AC8" s="4" t="s">
        <v>163</v>
      </c>
      <c r="AD8" s="4" t="s">
        <v>164</v>
      </c>
      <c r="AE8" s="1"/>
      <c r="AF8" s="12">
        <v>44927</v>
      </c>
      <c r="AG8" s="4" t="s">
        <v>15</v>
      </c>
      <c r="AH8" s="4" t="s">
        <v>15</v>
      </c>
      <c r="AI8" s="4" t="s">
        <v>15</v>
      </c>
      <c r="AJ8" s="4" t="s">
        <v>184</v>
      </c>
      <c r="AK8" s="4" t="s">
        <v>15</v>
      </c>
      <c r="AL8" s="4" t="s">
        <v>15</v>
      </c>
      <c r="AM8" s="4" t="s">
        <v>15</v>
      </c>
      <c r="AN8" s="4" t="s">
        <v>224</v>
      </c>
      <c r="AO8" s="4" t="s">
        <v>224</v>
      </c>
      <c r="AP8" s="4" t="s">
        <v>224</v>
      </c>
      <c r="AQ8" s="4" t="s">
        <v>15</v>
      </c>
      <c r="AR8" s="4" t="s">
        <v>164</v>
      </c>
      <c r="AS8" s="4" t="s">
        <v>15</v>
      </c>
      <c r="AT8" s="4" t="s">
        <v>15</v>
      </c>
      <c r="AU8" s="4" t="s">
        <v>15</v>
      </c>
      <c r="AV8" s="4" t="s">
        <v>15</v>
      </c>
      <c r="AW8" s="4" t="s">
        <v>15</v>
      </c>
      <c r="AX8" s="4" t="s">
        <v>15</v>
      </c>
      <c r="AY8" s="4" t="s">
        <v>15</v>
      </c>
      <c r="AZ8" s="4" t="s">
        <v>164</v>
      </c>
      <c r="BA8" s="4" t="s">
        <v>15</v>
      </c>
      <c r="BB8" s="4" t="s">
        <v>15</v>
      </c>
      <c r="BC8" s="4" t="s">
        <v>15</v>
      </c>
      <c r="BD8" s="4" t="s">
        <v>15</v>
      </c>
      <c r="BE8" s="4" t="s">
        <v>165</v>
      </c>
      <c r="BF8" s="4" t="s">
        <v>6</v>
      </c>
      <c r="BG8" s="28">
        <v>45292</v>
      </c>
      <c r="BH8" s="28" t="s">
        <v>15</v>
      </c>
      <c r="BI8" s="28" t="s">
        <v>15</v>
      </c>
      <c r="BJ8" s="28" t="s">
        <v>15</v>
      </c>
      <c r="BK8" s="28" t="s">
        <v>15</v>
      </c>
      <c r="BL8" s="28" t="s">
        <v>15</v>
      </c>
      <c r="BM8" s="28" t="s">
        <v>15</v>
      </c>
      <c r="BN8" s="28" t="s">
        <v>15</v>
      </c>
      <c r="BO8" s="28" t="s">
        <v>15</v>
      </c>
      <c r="BP8" s="28" t="s">
        <v>15</v>
      </c>
      <c r="BQ8" s="28" t="s">
        <v>15</v>
      </c>
      <c r="BR8" s="28" t="s">
        <v>15</v>
      </c>
      <c r="BS8" s="28" t="s">
        <v>164</v>
      </c>
      <c r="BT8" s="28" t="s">
        <v>15</v>
      </c>
      <c r="BU8" s="28" t="s">
        <v>164</v>
      </c>
      <c r="BV8" s="28" t="s">
        <v>224</v>
      </c>
      <c r="BW8" s="28" t="s">
        <v>224</v>
      </c>
      <c r="BX8" s="28" t="s">
        <v>224</v>
      </c>
      <c r="BY8" s="28" t="s">
        <v>164</v>
      </c>
      <c r="BZ8" s="28" t="s">
        <v>15</v>
      </c>
      <c r="CA8" s="28" t="s">
        <v>15</v>
      </c>
      <c r="CB8" s="28" t="s">
        <v>15</v>
      </c>
      <c r="CC8" s="28" t="s">
        <v>15</v>
      </c>
      <c r="CD8" s="28" t="s">
        <v>15</v>
      </c>
      <c r="CE8" s="28" t="s">
        <v>15</v>
      </c>
      <c r="CF8" s="28" t="s">
        <v>15</v>
      </c>
      <c r="CG8" s="28" t="s">
        <v>15</v>
      </c>
      <c r="CH8" s="28" t="s">
        <v>15</v>
      </c>
      <c r="CI8" s="28" t="s">
        <v>164</v>
      </c>
      <c r="CJ8" s="28" t="s">
        <v>165</v>
      </c>
      <c r="CK8" s="28" t="s">
        <v>6</v>
      </c>
      <c r="CL8" s="28">
        <v>45658</v>
      </c>
      <c r="CM8" s="28"/>
      <c r="CN8" s="28"/>
      <c r="CO8" s="29"/>
      <c r="CP8" s="30"/>
      <c r="CQ8" s="30"/>
      <c r="CR8" s="31"/>
      <c r="CS8" s="28" t="s">
        <v>6</v>
      </c>
      <c r="CT8" s="28">
        <v>46023</v>
      </c>
      <c r="CU8" s="28"/>
      <c r="CV8" s="28"/>
      <c r="CW8" s="35"/>
      <c r="CX8" s="36"/>
      <c r="CY8" s="36"/>
      <c r="CZ8" s="37"/>
      <c r="DA8" s="28" t="s">
        <v>213</v>
      </c>
      <c r="DC8" s="4" t="s">
        <v>212</v>
      </c>
      <c r="DD8" s="1" t="s">
        <v>215</v>
      </c>
      <c r="DE8" s="13" t="s">
        <v>163</v>
      </c>
      <c r="DF8" s="13" t="s">
        <v>282</v>
      </c>
      <c r="DG8" s="4" t="s">
        <v>213</v>
      </c>
      <c r="DH8" s="28">
        <v>45292</v>
      </c>
      <c r="DI8" s="4" t="s">
        <v>212</v>
      </c>
      <c r="DJ8" s="4" t="s">
        <v>287</v>
      </c>
      <c r="DK8" s="4" t="s">
        <v>25</v>
      </c>
      <c r="DL8" s="4" t="s">
        <v>156</v>
      </c>
      <c r="DM8" s="4" t="s">
        <v>397</v>
      </c>
      <c r="DN8" s="4" t="s">
        <v>156</v>
      </c>
      <c r="DO8" s="4" t="s">
        <v>163</v>
      </c>
      <c r="DP8" s="4" t="s">
        <v>282</v>
      </c>
      <c r="DQ8" s="1" t="s">
        <v>6</v>
      </c>
      <c r="DR8" s="28">
        <v>45658</v>
      </c>
      <c r="DS8" s="4" t="s">
        <v>287</v>
      </c>
      <c r="DT8" s="4" t="s">
        <v>25</v>
      </c>
      <c r="DU8" s="4" t="s">
        <v>163</v>
      </c>
      <c r="DV8" s="4" t="s">
        <v>282</v>
      </c>
      <c r="DW8" s="4" t="s">
        <v>213</v>
      </c>
      <c r="DX8" s="28">
        <v>46023</v>
      </c>
      <c r="DY8" s="4" t="s">
        <v>163</v>
      </c>
      <c r="DZ8" s="1" t="s">
        <v>6</v>
      </c>
    </row>
    <row r="9" spans="1:130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9" t="s">
        <v>40</v>
      </c>
      <c r="J9" s="5" t="s">
        <v>28</v>
      </c>
      <c r="K9" s="5" t="s">
        <v>70</v>
      </c>
      <c r="L9" s="9" t="s">
        <v>80</v>
      </c>
      <c r="M9" s="9" t="s">
        <v>103</v>
      </c>
      <c r="N9" s="9" t="s">
        <v>130</v>
      </c>
      <c r="O9" s="9" t="s">
        <v>120</v>
      </c>
      <c r="P9" s="9" t="s">
        <v>138</v>
      </c>
      <c r="Q9" s="9" t="s">
        <v>140</v>
      </c>
      <c r="R9" s="9" t="s">
        <v>143</v>
      </c>
      <c r="S9" s="9" t="s">
        <v>80</v>
      </c>
      <c r="T9" s="9" t="s">
        <v>148</v>
      </c>
      <c r="U9" s="9" t="s">
        <v>54</v>
      </c>
      <c r="V9" s="9" t="s">
        <v>40</v>
      </c>
      <c r="W9" s="9" t="s">
        <v>130</v>
      </c>
      <c r="X9" s="9" t="s">
        <v>148</v>
      </c>
      <c r="Y9" s="9" t="s">
        <v>16</v>
      </c>
      <c r="Z9" s="9" t="s">
        <v>155</v>
      </c>
      <c r="AA9" s="9" t="s">
        <v>160</v>
      </c>
      <c r="AB9" s="9" t="s">
        <v>155</v>
      </c>
      <c r="AC9" s="9" t="s">
        <v>101</v>
      </c>
      <c r="AD9" s="9" t="s">
        <v>165</v>
      </c>
      <c r="AE9" s="2" t="s">
        <v>6</v>
      </c>
      <c r="AF9" s="2"/>
      <c r="AG9" s="9" t="s">
        <v>54</v>
      </c>
      <c r="AH9" s="5" t="s">
        <v>16</v>
      </c>
      <c r="AI9" s="5" t="s">
        <v>40</v>
      </c>
      <c r="AJ9" s="9" t="s">
        <v>136</v>
      </c>
      <c r="AK9" s="9" t="s">
        <v>130</v>
      </c>
      <c r="AL9" s="9" t="s">
        <v>155</v>
      </c>
      <c r="AM9" s="9" t="s">
        <v>70</v>
      </c>
      <c r="AN9" s="9" t="s">
        <v>139</v>
      </c>
      <c r="AO9" s="9" t="s">
        <v>142</v>
      </c>
      <c r="AP9" s="9" t="s">
        <v>136</v>
      </c>
      <c r="AQ9" s="9" t="s">
        <v>120</v>
      </c>
      <c r="AR9" s="9" t="s">
        <v>139</v>
      </c>
      <c r="AS9" s="9" t="s">
        <v>256</v>
      </c>
      <c r="AT9" s="9" t="s">
        <v>54</v>
      </c>
      <c r="AU9" s="9" t="s">
        <v>155</v>
      </c>
      <c r="AV9" s="9" t="s">
        <v>130</v>
      </c>
      <c r="AW9" s="9" t="s">
        <v>40</v>
      </c>
      <c r="AX9" s="9" t="s">
        <v>268</v>
      </c>
      <c r="AY9" s="9" t="s">
        <v>148</v>
      </c>
      <c r="AZ9" s="9" t="s">
        <v>142</v>
      </c>
      <c r="BA9" s="9" t="s">
        <v>120</v>
      </c>
      <c r="BB9" s="9" t="s">
        <v>70</v>
      </c>
      <c r="BC9" s="9" t="s">
        <v>16</v>
      </c>
      <c r="BD9" s="9" t="s">
        <v>256</v>
      </c>
      <c r="BE9" s="9"/>
      <c r="BF9" s="5"/>
      <c r="BG9" s="5"/>
      <c r="BH9" s="5" t="s">
        <v>130</v>
      </c>
      <c r="BI9" s="5" t="s">
        <v>268</v>
      </c>
      <c r="BJ9" s="5" t="s">
        <v>16</v>
      </c>
      <c r="BK9" s="5" t="s">
        <v>148</v>
      </c>
      <c r="BL9" s="5" t="s">
        <v>333</v>
      </c>
      <c r="BM9" s="5" t="s">
        <v>256</v>
      </c>
      <c r="BN9" s="5" t="s">
        <v>120</v>
      </c>
      <c r="BO9" s="5" t="s">
        <v>153</v>
      </c>
      <c r="BP9" s="5" t="s">
        <v>40</v>
      </c>
      <c r="BQ9" s="5" t="s">
        <v>54</v>
      </c>
      <c r="BR9" s="5" t="s">
        <v>70</v>
      </c>
      <c r="BS9" s="5" t="s">
        <v>139</v>
      </c>
      <c r="BT9" s="5" t="s">
        <v>166</v>
      </c>
      <c r="BU9" s="5" t="s">
        <v>372</v>
      </c>
      <c r="BV9" s="5" t="s">
        <v>139</v>
      </c>
      <c r="BW9" s="5" t="s">
        <v>136</v>
      </c>
      <c r="BX9" s="5" t="s">
        <v>142</v>
      </c>
      <c r="BY9" s="5" t="s">
        <v>136</v>
      </c>
      <c r="BZ9" s="5" t="s">
        <v>130</v>
      </c>
      <c r="CA9" s="5" t="s">
        <v>333</v>
      </c>
      <c r="CB9" s="5" t="s">
        <v>40</v>
      </c>
      <c r="CC9" s="5" t="s">
        <v>268</v>
      </c>
      <c r="CD9" s="5" t="s">
        <v>153</v>
      </c>
      <c r="CE9" s="5" t="s">
        <v>54</v>
      </c>
      <c r="CF9" s="5" t="s">
        <v>16</v>
      </c>
      <c r="CG9" s="5" t="s">
        <v>120</v>
      </c>
      <c r="CH9" s="5" t="s">
        <v>417</v>
      </c>
      <c r="CI9" s="5" t="s">
        <v>142</v>
      </c>
      <c r="CJ9" s="5" t="s">
        <v>427</v>
      </c>
      <c r="CK9" s="5"/>
      <c r="CL9" s="5"/>
      <c r="CM9" s="9" t="s">
        <v>15</v>
      </c>
      <c r="CN9" s="9" t="s">
        <v>224</v>
      </c>
      <c r="CO9" s="60" t="s">
        <v>429</v>
      </c>
      <c r="CP9" s="61"/>
      <c r="CQ9" s="61"/>
      <c r="CR9" s="62"/>
      <c r="CS9" s="5"/>
      <c r="CT9" s="5"/>
      <c r="CU9" s="9" t="s">
        <v>15</v>
      </c>
      <c r="CV9" s="9" t="s">
        <v>224</v>
      </c>
      <c r="CW9" s="60" t="s">
        <v>429</v>
      </c>
      <c r="CX9" s="61"/>
      <c r="CY9" s="61"/>
      <c r="CZ9" s="62"/>
      <c r="DA9" s="9"/>
      <c r="DC9" s="5" t="s">
        <v>214</v>
      </c>
      <c r="DD9" s="2"/>
      <c r="DE9" s="14" t="s">
        <v>260</v>
      </c>
      <c r="DF9" s="14" t="s">
        <v>283</v>
      </c>
      <c r="DG9" s="5"/>
      <c r="DH9" s="5"/>
      <c r="DI9" s="5" t="s">
        <v>214</v>
      </c>
      <c r="DJ9" s="5"/>
      <c r="DK9" s="5" t="s">
        <v>343</v>
      </c>
      <c r="DL9" s="5" t="s">
        <v>28</v>
      </c>
      <c r="DM9" s="5" t="s">
        <v>28</v>
      </c>
      <c r="DN9" s="5" t="s">
        <v>260</v>
      </c>
      <c r="DO9" s="5" t="s">
        <v>260</v>
      </c>
      <c r="DP9" s="5" t="s">
        <v>80</v>
      </c>
      <c r="DQ9" s="2"/>
      <c r="DR9" s="5"/>
      <c r="DS9" s="5"/>
      <c r="DT9" s="5" t="s">
        <v>28</v>
      </c>
      <c r="DU9" s="5" t="s">
        <v>260</v>
      </c>
      <c r="DV9" s="5" t="s">
        <v>80</v>
      </c>
      <c r="DW9" s="5"/>
      <c r="DX9" s="5"/>
      <c r="DY9" s="5" t="s">
        <v>28</v>
      </c>
      <c r="DZ9" s="2"/>
    </row>
    <row r="10" spans="1:130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44660</v>
      </c>
      <c r="K10" s="10">
        <v>44674</v>
      </c>
      <c r="L10" s="10">
        <v>44681</v>
      </c>
      <c r="M10" s="10">
        <v>44695</v>
      </c>
      <c r="N10" s="10">
        <v>44709</v>
      </c>
      <c r="O10" s="10">
        <v>44709</v>
      </c>
      <c r="P10" s="10">
        <v>44730</v>
      </c>
      <c r="Q10" s="10">
        <v>44730</v>
      </c>
      <c r="R10" s="10">
        <v>44737</v>
      </c>
      <c r="S10" s="10">
        <v>44759</v>
      </c>
      <c r="T10" s="10">
        <v>44765</v>
      </c>
      <c r="U10" s="10">
        <v>44779</v>
      </c>
      <c r="V10" s="10">
        <v>44793</v>
      </c>
      <c r="W10" s="10">
        <v>44800</v>
      </c>
      <c r="X10" s="10">
        <v>44814</v>
      </c>
      <c r="Y10" s="10">
        <v>44814</v>
      </c>
      <c r="Z10" s="10">
        <v>44814</v>
      </c>
      <c r="AA10" s="10">
        <v>44829</v>
      </c>
      <c r="AB10" s="10">
        <v>44856</v>
      </c>
      <c r="AC10" s="10">
        <v>44866</v>
      </c>
      <c r="AD10" s="10">
        <v>44906</v>
      </c>
      <c r="AE10" s="2">
        <v>2022</v>
      </c>
      <c r="AF10" s="2"/>
      <c r="AG10" s="5" t="s">
        <v>171</v>
      </c>
      <c r="AH10" s="5" t="s">
        <v>168</v>
      </c>
      <c r="AI10" s="5" t="s">
        <v>180</v>
      </c>
      <c r="AJ10" s="2" t="s">
        <v>185</v>
      </c>
      <c r="AK10" s="2" t="s">
        <v>216</v>
      </c>
      <c r="AL10" s="2" t="s">
        <v>210</v>
      </c>
      <c r="AM10" s="2" t="s">
        <v>221</v>
      </c>
      <c r="AN10" s="2" t="s">
        <v>225</v>
      </c>
      <c r="AO10" s="2" t="s">
        <v>232</v>
      </c>
      <c r="AP10" s="5" t="s">
        <v>239</v>
      </c>
      <c r="AQ10" s="5" t="s">
        <v>247</v>
      </c>
      <c r="AR10" s="5" t="s">
        <v>250</v>
      </c>
      <c r="AS10" s="5" t="s">
        <v>257</v>
      </c>
      <c r="AT10" s="5" t="s">
        <v>258</v>
      </c>
      <c r="AU10" s="5" t="s">
        <v>261</v>
      </c>
      <c r="AV10" s="5" t="s">
        <v>261</v>
      </c>
      <c r="AW10" s="5" t="s">
        <v>262</v>
      </c>
      <c r="AX10" s="5" t="s">
        <v>267</v>
      </c>
      <c r="AY10" s="5" t="s">
        <v>267</v>
      </c>
      <c r="AZ10" s="5" t="s">
        <v>270</v>
      </c>
      <c r="BA10" s="5" t="s">
        <v>276</v>
      </c>
      <c r="BB10" s="5" t="s">
        <v>278</v>
      </c>
      <c r="BC10" s="5" t="s">
        <v>278</v>
      </c>
      <c r="BD10" s="5" t="s">
        <v>280</v>
      </c>
      <c r="BE10" s="5" t="s">
        <v>284</v>
      </c>
      <c r="BF10" s="5">
        <v>2023</v>
      </c>
      <c r="BG10" s="17"/>
      <c r="BH10" s="17" t="s">
        <v>319</v>
      </c>
      <c r="BI10" s="17" t="s">
        <v>319</v>
      </c>
      <c r="BJ10" s="17" t="s">
        <v>319</v>
      </c>
      <c r="BK10" s="17" t="s">
        <v>319</v>
      </c>
      <c r="BL10" s="17" t="s">
        <v>319</v>
      </c>
      <c r="BM10" s="17" t="s">
        <v>319</v>
      </c>
      <c r="BN10" s="17" t="s">
        <v>319</v>
      </c>
      <c r="BO10" s="17" t="s">
        <v>319</v>
      </c>
      <c r="BP10" s="17" t="s">
        <v>345</v>
      </c>
      <c r="BQ10" s="17" t="s">
        <v>362</v>
      </c>
      <c r="BR10" s="17" t="s">
        <v>362</v>
      </c>
      <c r="BS10" s="17" t="s">
        <v>366</v>
      </c>
      <c r="BT10" s="17" t="s">
        <v>373</v>
      </c>
      <c r="BU10" s="17" t="s">
        <v>373</v>
      </c>
      <c r="BV10" s="17" t="s">
        <v>382</v>
      </c>
      <c r="BW10" s="17" t="s">
        <v>382</v>
      </c>
      <c r="BX10" s="17" t="s">
        <v>389</v>
      </c>
      <c r="BY10" s="17" t="s">
        <v>391</v>
      </c>
      <c r="BZ10" s="17" t="s">
        <v>395</v>
      </c>
      <c r="CA10" s="17" t="s">
        <v>402</v>
      </c>
      <c r="CB10" s="17" t="s">
        <v>402</v>
      </c>
      <c r="CC10" s="17" t="s">
        <v>403</v>
      </c>
      <c r="CD10" s="17" t="s">
        <v>403</v>
      </c>
      <c r="CE10" s="17" t="s">
        <v>403</v>
      </c>
      <c r="CF10" s="17" t="s">
        <v>413</v>
      </c>
      <c r="CG10" s="17" t="s">
        <v>416</v>
      </c>
      <c r="CH10" s="17" t="s">
        <v>418</v>
      </c>
      <c r="CI10" s="17" t="s">
        <v>420</v>
      </c>
      <c r="CJ10" s="17" t="s">
        <v>428</v>
      </c>
      <c r="CK10" s="5">
        <v>2024</v>
      </c>
      <c r="CL10" s="5"/>
      <c r="CM10" s="5"/>
      <c r="CN10" s="5"/>
      <c r="CO10" s="5">
        <v>1</v>
      </c>
      <c r="CP10" s="5">
        <v>2</v>
      </c>
      <c r="CQ10" s="5">
        <v>3</v>
      </c>
      <c r="CR10" s="5">
        <v>4</v>
      </c>
      <c r="CS10" s="5">
        <v>2025</v>
      </c>
      <c r="CT10" s="5"/>
      <c r="CU10" s="5"/>
      <c r="CV10" s="5"/>
      <c r="CW10" s="5">
        <v>1</v>
      </c>
      <c r="CX10" s="5">
        <v>2</v>
      </c>
      <c r="CY10" s="5">
        <v>3</v>
      </c>
      <c r="CZ10" s="5">
        <v>4</v>
      </c>
      <c r="DA10" s="5">
        <v>2026</v>
      </c>
      <c r="DC10" s="17"/>
      <c r="DD10" s="16">
        <v>45077</v>
      </c>
      <c r="DE10" s="25">
        <v>45153</v>
      </c>
      <c r="DF10" s="25">
        <v>45255</v>
      </c>
      <c r="DG10" s="17">
        <v>2023</v>
      </c>
      <c r="DH10" s="5"/>
      <c r="DI10" s="5"/>
      <c r="DJ10" s="5" t="s">
        <v>288</v>
      </c>
      <c r="DK10" s="5" t="s">
        <v>344</v>
      </c>
      <c r="DL10" s="5" t="s">
        <v>390</v>
      </c>
      <c r="DM10" s="5" t="s">
        <v>399</v>
      </c>
      <c r="DN10" s="5" t="s">
        <v>414</v>
      </c>
      <c r="DO10" s="5" t="s">
        <v>415</v>
      </c>
      <c r="DP10" s="5" t="s">
        <v>425</v>
      </c>
      <c r="DQ10" s="2">
        <v>2024</v>
      </c>
      <c r="DR10" s="5"/>
      <c r="DS10" s="5" t="s">
        <v>430</v>
      </c>
      <c r="DT10" s="5" t="s">
        <v>518</v>
      </c>
      <c r="DU10" s="5" t="s">
        <v>607</v>
      </c>
      <c r="DV10" s="5" t="s">
        <v>425</v>
      </c>
      <c r="DW10" s="5">
        <v>2025</v>
      </c>
      <c r="DX10" s="5"/>
      <c r="DY10" s="5" t="s">
        <v>772</v>
      </c>
      <c r="DZ10" s="2">
        <v>2026</v>
      </c>
    </row>
    <row r="11" spans="1:130" x14ac:dyDescent="0.25">
      <c r="A11">
        <v>1</v>
      </c>
      <c r="B11" s="18" t="s">
        <v>34</v>
      </c>
      <c r="C11" s="19"/>
      <c r="D11" s="19" t="s">
        <v>22</v>
      </c>
      <c r="E11" s="19" t="s">
        <v>42</v>
      </c>
      <c r="F11" s="11"/>
      <c r="G11" s="6"/>
      <c r="H11" s="6"/>
      <c r="I11" s="6"/>
      <c r="J11" s="6"/>
      <c r="K11" s="6"/>
      <c r="L11" s="6"/>
      <c r="M11" s="6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6"/>
      <c r="AF11" s="6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>
        <v>48</v>
      </c>
      <c r="BQ11" s="11"/>
      <c r="BR11" s="11"/>
      <c r="BS11" s="11">
        <v>75</v>
      </c>
      <c r="BT11" s="11"/>
      <c r="BU11" s="11"/>
      <c r="BV11" s="11"/>
      <c r="BW11" s="11"/>
      <c r="BX11" s="11" t="s">
        <v>54</v>
      </c>
      <c r="BY11" s="11">
        <v>75</v>
      </c>
      <c r="BZ11" s="11"/>
      <c r="CA11" s="11"/>
      <c r="CB11" s="11">
        <v>48</v>
      </c>
      <c r="CC11" s="11"/>
      <c r="CD11" s="11"/>
      <c r="CE11" s="11"/>
      <c r="CF11" s="11"/>
      <c r="CG11" s="11"/>
      <c r="CH11" s="11"/>
      <c r="CI11" s="11"/>
      <c r="CJ11" s="11"/>
      <c r="CK11" s="11">
        <f>SUM(BG11:CJ11)</f>
        <v>246</v>
      </c>
      <c r="CL11" s="11">
        <f>(CK11-BG11)/2</f>
        <v>123</v>
      </c>
      <c r="CM11" s="11">
        <v>60</v>
      </c>
      <c r="CN11" s="11">
        <v>80</v>
      </c>
      <c r="CO11" s="11">
        <v>54</v>
      </c>
      <c r="CP11" s="11">
        <v>50</v>
      </c>
      <c r="CQ11" s="11">
        <v>105</v>
      </c>
      <c r="CR11" s="11">
        <v>48</v>
      </c>
      <c r="CS11" s="11">
        <f>SUM(CL11:CR11)</f>
        <v>520</v>
      </c>
      <c r="CT11" s="11">
        <f>(CS11-CL11)/2</f>
        <v>198.5</v>
      </c>
      <c r="CU11" s="11">
        <v>60</v>
      </c>
      <c r="CV11" s="11">
        <v>40</v>
      </c>
      <c r="CW11" s="11">
        <v>150</v>
      </c>
      <c r="CX11" s="11">
        <v>50</v>
      </c>
      <c r="CY11" s="11">
        <v>48</v>
      </c>
      <c r="CZ11" s="11"/>
      <c r="DA11" s="11">
        <f t="shared" ref="DA11:DA55" si="0">SUM(CT11:CZ11)</f>
        <v>546.5</v>
      </c>
      <c r="DC11" s="6"/>
      <c r="DD11" s="6"/>
      <c r="DE11" s="6"/>
      <c r="DF11" s="6"/>
      <c r="DG11" s="11">
        <f>SUM(DC11:DF11)</f>
        <v>0</v>
      </c>
      <c r="DH11" s="11">
        <f>DG11/2</f>
        <v>0</v>
      </c>
      <c r="DI11" s="11">
        <f>CK11/4</f>
        <v>61.5</v>
      </c>
      <c r="DJ11" s="11"/>
      <c r="DK11" s="11"/>
      <c r="DL11" s="11">
        <v>54</v>
      </c>
      <c r="DM11" s="11"/>
      <c r="DN11" s="11"/>
      <c r="DO11" s="11"/>
      <c r="DP11" s="11"/>
      <c r="DQ11" s="6">
        <f>SUM(DH11:DP11)</f>
        <v>115.5</v>
      </c>
      <c r="DR11" s="6">
        <f>(DQ11-DH11)/2</f>
        <v>57.75</v>
      </c>
      <c r="DS11" s="11">
        <v>18</v>
      </c>
      <c r="DT11" s="11"/>
      <c r="DU11" s="11"/>
      <c r="DV11" s="11"/>
      <c r="DW11" s="6">
        <f>SUM(DR11:DT11)</f>
        <v>75.75</v>
      </c>
      <c r="DX11" s="6">
        <f t="shared" ref="DX11:DX55" si="1">(DW11-DR11)/2</f>
        <v>9</v>
      </c>
      <c r="DY11" s="11">
        <v>50</v>
      </c>
      <c r="DZ11" s="19">
        <f t="shared" ref="DZ11:DZ55" si="2">SUM(DX11:DY11)</f>
        <v>59</v>
      </c>
    </row>
    <row r="12" spans="1:130" x14ac:dyDescent="0.25">
      <c r="A12">
        <v>2</v>
      </c>
      <c r="B12" s="11" t="s">
        <v>77</v>
      </c>
      <c r="C12" s="6"/>
      <c r="D12" s="6" t="s">
        <v>69</v>
      </c>
      <c r="E12" s="6" t="s">
        <v>231</v>
      </c>
      <c r="F12" s="11"/>
      <c r="G12" s="6"/>
      <c r="H12" s="6"/>
      <c r="I12" s="6"/>
      <c r="J12" s="6"/>
      <c r="K12" s="6"/>
      <c r="L12" s="6"/>
      <c r="M12" s="6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6"/>
      <c r="AF12" s="6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>
        <v>48</v>
      </c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>
        <f>SUM(BG12:CJ12)</f>
        <v>48</v>
      </c>
      <c r="CL12" s="11">
        <f>(CK12-BG12)/2</f>
        <v>24</v>
      </c>
      <c r="CM12" s="11">
        <v>48</v>
      </c>
      <c r="CN12" s="11">
        <v>80</v>
      </c>
      <c r="CO12" s="11">
        <v>40</v>
      </c>
      <c r="CP12" s="11">
        <v>40</v>
      </c>
      <c r="CQ12" s="11">
        <v>72</v>
      </c>
      <c r="CR12" s="11"/>
      <c r="CS12" s="11">
        <f>SUM(CL12:CR12)</f>
        <v>304</v>
      </c>
      <c r="CT12" s="11">
        <f>(CS12-CL12)/2</f>
        <v>140</v>
      </c>
      <c r="CU12" s="11">
        <v>36</v>
      </c>
      <c r="CV12" s="11">
        <v>80</v>
      </c>
      <c r="CW12" s="11">
        <v>75</v>
      </c>
      <c r="CX12" s="11"/>
      <c r="CY12" s="11"/>
      <c r="CZ12" s="11"/>
      <c r="DA12" s="11">
        <f t="shared" si="0"/>
        <v>331</v>
      </c>
      <c r="DC12" s="6"/>
      <c r="DD12" s="6"/>
      <c r="DE12" s="6"/>
      <c r="DF12" s="6"/>
      <c r="DG12" s="11">
        <f>SUM(DC12:DF12)</f>
        <v>0</v>
      </c>
      <c r="DH12" s="11">
        <f>DG12/2</f>
        <v>0</v>
      </c>
      <c r="DI12" s="11">
        <f>CK12/4</f>
        <v>12</v>
      </c>
      <c r="DJ12" s="11"/>
      <c r="DK12" s="11"/>
      <c r="DL12" s="11"/>
      <c r="DM12" s="11"/>
      <c r="DN12" s="11"/>
      <c r="DO12" s="11"/>
      <c r="DP12" s="11"/>
      <c r="DQ12" s="6">
        <f>SUM(DH12:DP12)</f>
        <v>12</v>
      </c>
      <c r="DR12" s="6">
        <f>(DQ12-DH12)/2</f>
        <v>6</v>
      </c>
      <c r="DS12" s="11"/>
      <c r="DT12" s="11"/>
      <c r="DU12" s="11"/>
      <c r="DV12" s="11">
        <v>50</v>
      </c>
      <c r="DW12" s="6">
        <f t="shared" ref="DW12:DW55" si="3">SUM(DR12:DV12)</f>
        <v>56</v>
      </c>
      <c r="DX12" s="6">
        <f t="shared" si="1"/>
        <v>25</v>
      </c>
      <c r="DY12" s="11"/>
      <c r="DZ12" s="6">
        <f t="shared" si="2"/>
        <v>25</v>
      </c>
    </row>
    <row r="13" spans="1:130" x14ac:dyDescent="0.25">
      <c r="A13">
        <v>3</v>
      </c>
      <c r="B13" s="11" t="s">
        <v>443</v>
      </c>
      <c r="C13" s="6"/>
      <c r="D13" s="6" t="s">
        <v>76</v>
      </c>
      <c r="E13" s="6" t="s">
        <v>9</v>
      </c>
      <c r="F13" s="11"/>
      <c r="G13" s="6"/>
      <c r="H13" s="6"/>
      <c r="I13" s="6"/>
      <c r="J13" s="6"/>
      <c r="K13" s="6"/>
      <c r="L13" s="6"/>
      <c r="M13" s="6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6"/>
      <c r="AF13" s="6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>
        <v>60</v>
      </c>
      <c r="CV13" s="11">
        <v>80</v>
      </c>
      <c r="CW13" s="11">
        <v>75</v>
      </c>
      <c r="CX13" s="11">
        <v>50</v>
      </c>
      <c r="CY13" s="11">
        <v>48</v>
      </c>
      <c r="CZ13" s="11"/>
      <c r="DA13" s="11">
        <f t="shared" si="0"/>
        <v>313</v>
      </c>
      <c r="DC13" s="6"/>
      <c r="DD13" s="6"/>
      <c r="DE13" s="6"/>
      <c r="DF13" s="6"/>
      <c r="DG13" s="6"/>
      <c r="DH13" s="11"/>
      <c r="DI13" s="11"/>
      <c r="DJ13" s="11"/>
      <c r="DK13" s="11"/>
      <c r="DL13" s="11"/>
      <c r="DM13" s="11"/>
      <c r="DN13" s="11"/>
      <c r="DO13" s="11"/>
      <c r="DP13" s="11"/>
      <c r="DQ13" s="6"/>
      <c r="DR13" s="6"/>
      <c r="DS13" s="11"/>
      <c r="DT13" s="11"/>
      <c r="DU13" s="11"/>
      <c r="DV13" s="11"/>
      <c r="DW13" s="6">
        <f t="shared" si="3"/>
        <v>0</v>
      </c>
      <c r="DX13" s="6">
        <f t="shared" si="1"/>
        <v>0</v>
      </c>
      <c r="DY13" s="11">
        <v>5</v>
      </c>
      <c r="DZ13" s="6">
        <f t="shared" si="2"/>
        <v>5</v>
      </c>
    </row>
    <row r="14" spans="1:130" x14ac:dyDescent="0.25">
      <c r="A14">
        <v>4</v>
      </c>
      <c r="B14" s="11" t="s">
        <v>254</v>
      </c>
      <c r="C14" s="6"/>
      <c r="D14" s="6" t="s">
        <v>476</v>
      </c>
      <c r="E14" s="6" t="s">
        <v>57</v>
      </c>
      <c r="F14" s="11"/>
      <c r="G14" s="6"/>
      <c r="H14" s="6"/>
      <c r="I14" s="6"/>
      <c r="J14" s="6"/>
      <c r="K14" s="6"/>
      <c r="L14" s="6"/>
      <c r="M14" s="6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6"/>
      <c r="AF14" s="6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>
        <v>110</v>
      </c>
      <c r="CM14" s="11">
        <v>48</v>
      </c>
      <c r="CN14" s="11">
        <v>44.8</v>
      </c>
      <c r="CO14" s="11">
        <v>36</v>
      </c>
      <c r="CP14" s="11">
        <v>40</v>
      </c>
      <c r="CQ14" s="11">
        <v>75</v>
      </c>
      <c r="CR14" s="11">
        <v>72</v>
      </c>
      <c r="CS14" s="11">
        <f>SUM(CL14:CR14)</f>
        <v>425.8</v>
      </c>
      <c r="CT14" s="11">
        <f>(CS14-CL14)/2</f>
        <v>157.9</v>
      </c>
      <c r="CU14" s="11">
        <v>48</v>
      </c>
      <c r="CV14" s="11"/>
      <c r="CW14" s="11">
        <v>105</v>
      </c>
      <c r="CX14" s="11"/>
      <c r="CY14" s="11"/>
      <c r="CZ14" s="11"/>
      <c r="DA14" s="11">
        <f t="shared" si="0"/>
        <v>310.89999999999998</v>
      </c>
      <c r="DC14" s="6"/>
      <c r="DD14" s="6"/>
      <c r="DE14" s="6"/>
      <c r="DF14" s="6"/>
      <c r="DG14" s="6"/>
      <c r="DH14" s="11"/>
      <c r="DI14" s="11"/>
      <c r="DJ14" s="11"/>
      <c r="DK14" s="11"/>
      <c r="DL14" s="11"/>
      <c r="DM14" s="11"/>
      <c r="DN14" s="11"/>
      <c r="DO14" s="11"/>
      <c r="DP14" s="11"/>
      <c r="DQ14" s="6"/>
      <c r="DR14" s="6"/>
      <c r="DS14" s="11"/>
      <c r="DT14" s="11"/>
      <c r="DU14" s="11"/>
      <c r="DV14" s="11">
        <v>25</v>
      </c>
      <c r="DW14" s="6">
        <f t="shared" si="3"/>
        <v>25</v>
      </c>
      <c r="DX14" s="6">
        <f t="shared" si="1"/>
        <v>12.5</v>
      </c>
      <c r="DY14" s="11"/>
      <c r="DZ14" s="6">
        <f t="shared" si="2"/>
        <v>12.5</v>
      </c>
    </row>
    <row r="15" spans="1:130" x14ac:dyDescent="0.25">
      <c r="A15">
        <v>5</v>
      </c>
      <c r="B15" s="11" t="s">
        <v>441</v>
      </c>
      <c r="C15" s="6"/>
      <c r="D15" s="6" t="s">
        <v>442</v>
      </c>
      <c r="E15" s="6" t="s">
        <v>328</v>
      </c>
      <c r="F15" s="11"/>
      <c r="G15" s="6"/>
      <c r="H15" s="6"/>
      <c r="I15" s="6"/>
      <c r="J15" s="6"/>
      <c r="K15" s="6"/>
      <c r="L15" s="6"/>
      <c r="M15" s="6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6"/>
      <c r="AF15" s="6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>
        <f>372.5</f>
        <v>372.5</v>
      </c>
      <c r="CL15" s="11">
        <f>(CK15-BG15)/2</f>
        <v>186.25</v>
      </c>
      <c r="CM15" s="11">
        <v>36</v>
      </c>
      <c r="CN15" s="11">
        <v>56</v>
      </c>
      <c r="CO15" s="11">
        <v>7.5</v>
      </c>
      <c r="CP15" s="11">
        <v>100</v>
      </c>
      <c r="CQ15" s="11">
        <v>7.5</v>
      </c>
      <c r="CR15" s="11">
        <v>40</v>
      </c>
      <c r="CS15" s="11">
        <f>SUM(CL15:CR15)</f>
        <v>433.25</v>
      </c>
      <c r="CT15" s="11">
        <f>(CS15-CL15)/2</f>
        <v>123.5</v>
      </c>
      <c r="CU15" s="11">
        <v>48</v>
      </c>
      <c r="CV15" s="11">
        <v>40</v>
      </c>
      <c r="CW15" s="11">
        <v>7.5</v>
      </c>
      <c r="CX15" s="11">
        <v>70</v>
      </c>
      <c r="CY15" s="11">
        <v>2.4</v>
      </c>
      <c r="CZ15" s="11"/>
      <c r="DA15" s="11">
        <f t="shared" si="0"/>
        <v>291.39999999999998</v>
      </c>
      <c r="DC15" s="6"/>
      <c r="DD15" s="6"/>
      <c r="DE15" s="6"/>
      <c r="DF15" s="6"/>
      <c r="DG15" s="6"/>
      <c r="DH15" s="11"/>
      <c r="DI15" s="11">
        <f>CK15/4</f>
        <v>93.125</v>
      </c>
      <c r="DJ15" s="11"/>
      <c r="DK15" s="11"/>
      <c r="DL15" s="11"/>
      <c r="DM15" s="11"/>
      <c r="DN15" s="11"/>
      <c r="DO15" s="11"/>
      <c r="DP15" s="11"/>
      <c r="DQ15" s="6"/>
      <c r="DR15" s="6"/>
      <c r="DS15" s="11"/>
      <c r="DT15" s="11"/>
      <c r="DU15" s="11"/>
      <c r="DV15" s="11"/>
      <c r="DW15" s="6">
        <f t="shared" si="3"/>
        <v>0</v>
      </c>
      <c r="DX15" s="6">
        <f t="shared" si="1"/>
        <v>0</v>
      </c>
      <c r="DY15" s="11"/>
      <c r="DZ15" s="6">
        <f t="shared" si="2"/>
        <v>0</v>
      </c>
    </row>
    <row r="16" spans="1:130" x14ac:dyDescent="0.25">
      <c r="A16">
        <v>6</v>
      </c>
      <c r="B16" s="11" t="s">
        <v>162</v>
      </c>
      <c r="C16" s="6"/>
      <c r="D16" s="6" t="s">
        <v>89</v>
      </c>
      <c r="E16" s="6" t="s">
        <v>111</v>
      </c>
      <c r="F16" s="11"/>
      <c r="G16" s="6"/>
      <c r="H16" s="6"/>
      <c r="I16" s="6"/>
      <c r="J16" s="6"/>
      <c r="K16" s="6"/>
      <c r="L16" s="6"/>
      <c r="M16" s="6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6"/>
      <c r="AF16" s="6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>
        <v>48</v>
      </c>
      <c r="CV16" s="11">
        <v>80</v>
      </c>
      <c r="CW16" s="11">
        <v>7.5</v>
      </c>
      <c r="CX16" s="11">
        <v>100</v>
      </c>
      <c r="CY16" s="11">
        <v>48</v>
      </c>
      <c r="CZ16" s="11"/>
      <c r="DA16" s="11">
        <f t="shared" si="0"/>
        <v>283.5</v>
      </c>
      <c r="DC16" s="6"/>
      <c r="DD16" s="6"/>
      <c r="DE16" s="6"/>
      <c r="DF16" s="6"/>
      <c r="DG16" s="6"/>
      <c r="DH16" s="11"/>
      <c r="DI16" s="11"/>
      <c r="DJ16" s="11"/>
      <c r="DK16" s="11"/>
      <c r="DL16" s="11"/>
      <c r="DM16" s="11"/>
      <c r="DN16" s="11"/>
      <c r="DO16" s="11"/>
      <c r="DP16" s="11"/>
      <c r="DQ16" s="6"/>
      <c r="DR16" s="6"/>
      <c r="DS16" s="11"/>
      <c r="DT16" s="11"/>
      <c r="DU16" s="11"/>
      <c r="DV16" s="11"/>
      <c r="DW16" s="6">
        <f t="shared" si="3"/>
        <v>0</v>
      </c>
      <c r="DX16" s="6">
        <f t="shared" si="1"/>
        <v>0</v>
      </c>
      <c r="DY16" s="11"/>
      <c r="DZ16" s="6">
        <f t="shared" si="2"/>
        <v>0</v>
      </c>
    </row>
    <row r="17" spans="1:130" x14ac:dyDescent="0.25">
      <c r="A17">
        <v>7</v>
      </c>
      <c r="B17" s="11" t="s">
        <v>728</v>
      </c>
      <c r="C17" s="6"/>
      <c r="D17" s="6" t="s">
        <v>732</v>
      </c>
      <c r="E17" s="6" t="s">
        <v>12</v>
      </c>
      <c r="F17" s="11"/>
      <c r="G17" s="6"/>
      <c r="H17" s="6"/>
      <c r="I17" s="6"/>
      <c r="J17" s="6"/>
      <c r="K17" s="6"/>
      <c r="L17" s="6"/>
      <c r="M17" s="6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6"/>
      <c r="AF17" s="6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>
        <f>287.5/2</f>
        <v>143.75</v>
      </c>
      <c r="CU17" s="11">
        <v>33.6</v>
      </c>
      <c r="CV17" s="11">
        <v>56</v>
      </c>
      <c r="CW17" s="11">
        <v>39</v>
      </c>
      <c r="CX17" s="11"/>
      <c r="CY17" s="11"/>
      <c r="CZ17" s="11"/>
      <c r="DA17" s="11">
        <f t="shared" si="0"/>
        <v>272.35000000000002</v>
      </c>
      <c r="DC17" s="6"/>
      <c r="DD17" s="6"/>
      <c r="DE17" s="6"/>
      <c r="DF17" s="6"/>
      <c r="DG17" s="6"/>
      <c r="DH17" s="11"/>
      <c r="DI17" s="11"/>
      <c r="DJ17" s="11"/>
      <c r="DK17" s="11"/>
      <c r="DL17" s="11"/>
      <c r="DM17" s="11"/>
      <c r="DN17" s="11"/>
      <c r="DO17" s="11"/>
      <c r="DP17" s="11"/>
      <c r="DQ17" s="6"/>
      <c r="DR17" s="6"/>
      <c r="DS17" s="11"/>
      <c r="DT17" s="11"/>
      <c r="DU17" s="11"/>
      <c r="DV17" s="11"/>
      <c r="DW17" s="6">
        <f t="shared" si="3"/>
        <v>0</v>
      </c>
      <c r="DX17" s="6">
        <f t="shared" si="1"/>
        <v>0</v>
      </c>
      <c r="DY17" s="11">
        <v>5</v>
      </c>
      <c r="DZ17" s="6">
        <f t="shared" si="2"/>
        <v>5</v>
      </c>
    </row>
    <row r="18" spans="1:130" x14ac:dyDescent="0.25">
      <c r="A18" s="52">
        <v>8</v>
      </c>
      <c r="B18" s="11" t="s">
        <v>56</v>
      </c>
      <c r="C18" s="6"/>
      <c r="D18" s="6" t="s">
        <v>110</v>
      </c>
      <c r="E18" s="6" t="s">
        <v>634</v>
      </c>
      <c r="F18" s="11"/>
      <c r="G18" s="6"/>
      <c r="H18" s="6"/>
      <c r="I18" s="6"/>
      <c r="J18" s="6"/>
      <c r="K18" s="6"/>
      <c r="L18" s="6"/>
      <c r="M18" s="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6"/>
      <c r="AF18" s="6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>
        <f>193.5/2</f>
        <v>96.75</v>
      </c>
      <c r="CU18" s="11">
        <v>48</v>
      </c>
      <c r="CV18" s="11">
        <v>40</v>
      </c>
      <c r="CW18" s="11">
        <v>54</v>
      </c>
      <c r="CX18" s="11">
        <v>33.6</v>
      </c>
      <c r="CY18" s="11"/>
      <c r="CZ18" s="11"/>
      <c r="DA18" s="11">
        <f t="shared" si="0"/>
        <v>272.35000000000002</v>
      </c>
      <c r="DC18" s="6"/>
      <c r="DD18" s="6"/>
      <c r="DE18" s="6"/>
      <c r="DF18" s="6"/>
      <c r="DG18" s="6"/>
      <c r="DH18" s="11"/>
      <c r="DI18" s="11"/>
      <c r="DJ18" s="11"/>
      <c r="DK18" s="11"/>
      <c r="DL18" s="11"/>
      <c r="DM18" s="11"/>
      <c r="DN18" s="11"/>
      <c r="DO18" s="11"/>
      <c r="DP18" s="11"/>
      <c r="DQ18" s="6"/>
      <c r="DR18" s="6"/>
      <c r="DS18" s="11"/>
      <c r="DT18" s="11"/>
      <c r="DU18" s="11"/>
      <c r="DV18" s="11"/>
      <c r="DW18" s="6">
        <f t="shared" si="3"/>
        <v>0</v>
      </c>
      <c r="DX18" s="6">
        <f t="shared" si="1"/>
        <v>0</v>
      </c>
      <c r="DY18" s="11">
        <v>5</v>
      </c>
      <c r="DZ18" s="6">
        <f t="shared" si="2"/>
        <v>5</v>
      </c>
    </row>
    <row r="19" spans="1:130" x14ac:dyDescent="0.25">
      <c r="A19">
        <v>9</v>
      </c>
      <c r="B19" s="11" t="s">
        <v>496</v>
      </c>
      <c r="C19" s="6"/>
      <c r="D19" s="6" t="s">
        <v>497</v>
      </c>
      <c r="E19" s="6" t="s">
        <v>21</v>
      </c>
      <c r="F19" s="11"/>
      <c r="G19" s="6"/>
      <c r="H19" s="6"/>
      <c r="I19" s="6"/>
      <c r="J19" s="6"/>
      <c r="K19" s="6"/>
      <c r="L19" s="6"/>
      <c r="M19" s="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6"/>
      <c r="AF19" s="6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>
        <v>242</v>
      </c>
      <c r="CL19" s="11">
        <f>CK19/2</f>
        <v>121</v>
      </c>
      <c r="CM19" s="11">
        <v>36</v>
      </c>
      <c r="CN19" s="11"/>
      <c r="CO19" s="11">
        <v>54</v>
      </c>
      <c r="CP19" s="11">
        <v>7.5</v>
      </c>
      <c r="CQ19" s="11">
        <v>5</v>
      </c>
      <c r="CR19" s="11">
        <v>52</v>
      </c>
      <c r="CS19" s="11">
        <f>SUM(CL19:CR19)</f>
        <v>275.5</v>
      </c>
      <c r="CT19" s="11">
        <f>(CS19-CL19)/2</f>
        <v>77.25</v>
      </c>
      <c r="CU19" s="11">
        <v>48</v>
      </c>
      <c r="CV19" s="11">
        <v>56</v>
      </c>
      <c r="CW19" s="11">
        <v>24</v>
      </c>
      <c r="CX19" s="11">
        <v>48</v>
      </c>
      <c r="CY19" s="11"/>
      <c r="CZ19" s="11"/>
      <c r="DA19" s="11">
        <f t="shared" si="0"/>
        <v>253.25</v>
      </c>
      <c r="DC19" s="6"/>
      <c r="DD19" s="6"/>
      <c r="DE19" s="6"/>
      <c r="DF19" s="6"/>
      <c r="DG19" s="6"/>
      <c r="DH19" s="11"/>
      <c r="DI19" s="11"/>
      <c r="DJ19" s="11"/>
      <c r="DK19" s="11"/>
      <c r="DL19" s="11"/>
      <c r="DM19" s="11"/>
      <c r="DN19" s="11"/>
      <c r="DO19" s="11"/>
      <c r="DP19" s="11"/>
      <c r="DQ19" s="6"/>
      <c r="DR19" s="6"/>
      <c r="DS19" s="11"/>
      <c r="DT19" s="11"/>
      <c r="DU19" s="11"/>
      <c r="DV19" s="11">
        <v>25</v>
      </c>
      <c r="DW19" s="6">
        <f t="shared" si="3"/>
        <v>25</v>
      </c>
      <c r="DX19" s="6">
        <f t="shared" si="1"/>
        <v>12.5</v>
      </c>
      <c r="DY19" s="11"/>
      <c r="DZ19" s="6">
        <f t="shared" si="2"/>
        <v>12.5</v>
      </c>
    </row>
    <row r="20" spans="1:130" x14ac:dyDescent="0.25">
      <c r="A20">
        <v>10</v>
      </c>
      <c r="B20" s="11" t="s">
        <v>598</v>
      </c>
      <c r="C20" s="6"/>
      <c r="D20" s="6" t="s">
        <v>599</v>
      </c>
      <c r="E20" s="6" t="s">
        <v>273</v>
      </c>
      <c r="F20" s="11"/>
      <c r="G20" s="6"/>
      <c r="H20" s="6"/>
      <c r="I20" s="6"/>
      <c r="J20" s="6"/>
      <c r="K20" s="6"/>
      <c r="L20" s="6"/>
      <c r="M20" s="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6"/>
      <c r="AF20" s="6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>
        <v>33.6</v>
      </c>
      <c r="CV20" s="11">
        <v>28.8</v>
      </c>
      <c r="CW20" s="11">
        <v>54</v>
      </c>
      <c r="CX20" s="11">
        <v>30</v>
      </c>
      <c r="CY20" s="11"/>
      <c r="CZ20" s="11"/>
      <c r="DA20" s="11">
        <f t="shared" si="0"/>
        <v>146.4</v>
      </c>
      <c r="DC20" s="6"/>
      <c r="DD20" s="6"/>
      <c r="DE20" s="6"/>
      <c r="DF20" s="6"/>
      <c r="DG20" s="6"/>
      <c r="DH20" s="11"/>
      <c r="DI20" s="11"/>
      <c r="DJ20" s="11"/>
      <c r="DK20" s="11"/>
      <c r="DL20" s="11"/>
      <c r="DM20" s="11"/>
      <c r="DN20" s="11"/>
      <c r="DO20" s="11"/>
      <c r="DP20" s="11"/>
      <c r="DQ20" s="6"/>
      <c r="DR20" s="6"/>
      <c r="DS20" s="11"/>
      <c r="DT20" s="11"/>
      <c r="DU20" s="11"/>
      <c r="DV20" s="11"/>
      <c r="DW20" s="6">
        <f t="shared" si="3"/>
        <v>0</v>
      </c>
      <c r="DX20" s="6">
        <f t="shared" si="1"/>
        <v>0</v>
      </c>
      <c r="DY20" s="11"/>
      <c r="DZ20" s="6">
        <f t="shared" si="2"/>
        <v>0</v>
      </c>
    </row>
    <row r="21" spans="1:130" x14ac:dyDescent="0.25">
      <c r="A21">
        <v>11</v>
      </c>
      <c r="B21" s="11" t="s">
        <v>381</v>
      </c>
      <c r="C21" s="6"/>
      <c r="D21" s="6" t="s">
        <v>78</v>
      </c>
      <c r="E21" s="6" t="s">
        <v>525</v>
      </c>
      <c r="F21" s="11"/>
      <c r="G21" s="6"/>
      <c r="H21" s="6"/>
      <c r="I21" s="6"/>
      <c r="J21" s="6"/>
      <c r="K21" s="6"/>
      <c r="L21" s="6"/>
      <c r="M21" s="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6"/>
      <c r="AF21" s="6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>
        <v>36</v>
      </c>
      <c r="CN21" s="11">
        <v>40</v>
      </c>
      <c r="CO21" s="11">
        <v>7.5</v>
      </c>
      <c r="CP21" s="11">
        <v>7.5</v>
      </c>
      <c r="CQ21" s="11">
        <v>36</v>
      </c>
      <c r="CR21" s="11">
        <v>10</v>
      </c>
      <c r="CS21" s="11">
        <f>SUM(CL21:CR21)</f>
        <v>137</v>
      </c>
      <c r="CT21" s="11">
        <f>(CS21-CL21)/2</f>
        <v>68.5</v>
      </c>
      <c r="CU21" s="11">
        <v>36</v>
      </c>
      <c r="CV21" s="11">
        <v>28.8</v>
      </c>
      <c r="CW21" s="11">
        <v>7.5</v>
      </c>
      <c r="CX21" s="11"/>
      <c r="CY21" s="11"/>
      <c r="CZ21" s="11"/>
      <c r="DA21" s="11">
        <f t="shared" si="0"/>
        <v>140.80000000000001</v>
      </c>
      <c r="DC21" s="6"/>
      <c r="DD21" s="6"/>
      <c r="DE21" s="6"/>
      <c r="DF21" s="6"/>
      <c r="DG21" s="6"/>
      <c r="DH21" s="11"/>
      <c r="DI21" s="11"/>
      <c r="DJ21" s="11"/>
      <c r="DK21" s="11"/>
      <c r="DL21" s="11"/>
      <c r="DM21" s="11"/>
      <c r="DN21" s="11"/>
      <c r="DO21" s="11"/>
      <c r="DP21" s="11"/>
      <c r="DQ21" s="6"/>
      <c r="DR21" s="6"/>
      <c r="DS21" s="11"/>
      <c r="DT21" s="11"/>
      <c r="DU21" s="11"/>
      <c r="DV21" s="11">
        <v>2.5</v>
      </c>
      <c r="DW21" s="6">
        <f t="shared" si="3"/>
        <v>2.5</v>
      </c>
      <c r="DX21" s="6">
        <f t="shared" si="1"/>
        <v>1.25</v>
      </c>
      <c r="DY21" s="11"/>
      <c r="DZ21" s="6">
        <f t="shared" si="2"/>
        <v>1.25</v>
      </c>
    </row>
    <row r="22" spans="1:130" x14ac:dyDescent="0.25">
      <c r="A22">
        <v>12</v>
      </c>
      <c r="B22" s="11" t="s">
        <v>38</v>
      </c>
      <c r="C22" s="6"/>
      <c r="D22" s="6" t="s">
        <v>223</v>
      </c>
      <c r="E22" s="6" t="s">
        <v>73</v>
      </c>
      <c r="F22" s="11"/>
      <c r="G22" s="6"/>
      <c r="H22" s="6"/>
      <c r="I22" s="6"/>
      <c r="J22" s="6"/>
      <c r="K22" s="6"/>
      <c r="L22" s="6"/>
      <c r="M22" s="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6"/>
      <c r="AF22" s="6"/>
      <c r="AG22" s="11"/>
      <c r="AH22" s="11"/>
      <c r="AI22" s="11"/>
      <c r="AJ22" s="11"/>
      <c r="AK22" s="11"/>
      <c r="AL22" s="11"/>
      <c r="AM22" s="11">
        <v>36</v>
      </c>
      <c r="AN22" s="11">
        <v>44.8</v>
      </c>
      <c r="AO22" s="11"/>
      <c r="AP22" s="11"/>
      <c r="AQ22" s="11"/>
      <c r="AR22" s="11">
        <v>36</v>
      </c>
      <c r="AS22" s="11"/>
      <c r="AT22" s="11"/>
      <c r="AU22" s="11"/>
      <c r="AV22" s="11"/>
      <c r="AW22" s="11"/>
      <c r="AX22" s="11"/>
      <c r="AY22" s="11"/>
      <c r="AZ22" s="11"/>
      <c r="BA22" s="11"/>
      <c r="BB22" s="11">
        <v>2.4</v>
      </c>
      <c r="BC22" s="11"/>
      <c r="BD22" s="11"/>
      <c r="BE22" s="11"/>
      <c r="BF22" s="11">
        <f>SUM(AF22:BE22)</f>
        <v>119.2</v>
      </c>
      <c r="BG22" s="11">
        <f>(BF22-AF22)/2</f>
        <v>59.6</v>
      </c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>
        <v>36</v>
      </c>
      <c r="BS22" s="11"/>
      <c r="BT22" s="11"/>
      <c r="BU22" s="11"/>
      <c r="BV22" s="11">
        <v>3.2</v>
      </c>
      <c r="BW22" s="11"/>
      <c r="BX22" s="11"/>
      <c r="BY22" s="11">
        <v>39</v>
      </c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>
        <v>100</v>
      </c>
      <c r="CK22" s="11">
        <f>SUM(BG22:CJ22)</f>
        <v>237.8</v>
      </c>
      <c r="CL22" s="11">
        <f>(CK22-BG22)/2</f>
        <v>89.100000000000009</v>
      </c>
      <c r="CM22" s="11">
        <v>48</v>
      </c>
      <c r="CN22" s="11">
        <v>56</v>
      </c>
      <c r="CO22" s="11">
        <v>39</v>
      </c>
      <c r="CP22" s="11">
        <v>40</v>
      </c>
      <c r="CQ22" s="11">
        <v>75</v>
      </c>
      <c r="CR22" s="11"/>
      <c r="CS22" s="11">
        <f>SUM(CL22:CR22)</f>
        <v>347.1</v>
      </c>
      <c r="CT22" s="11">
        <f>(CS22-CL22)/2</f>
        <v>129</v>
      </c>
      <c r="CU22" s="11"/>
      <c r="CV22" s="11"/>
      <c r="CW22" s="11"/>
      <c r="CX22" s="11"/>
      <c r="CY22" s="11"/>
      <c r="CZ22" s="11"/>
      <c r="DA22" s="11">
        <f t="shared" si="0"/>
        <v>129</v>
      </c>
      <c r="DC22" s="11">
        <f>BF22/4</f>
        <v>29.8</v>
      </c>
      <c r="DD22" s="11"/>
      <c r="DE22" s="11"/>
      <c r="DF22" s="11"/>
      <c r="DG22" s="11">
        <f>SUM(DC22:DF22)</f>
        <v>29.8</v>
      </c>
      <c r="DH22" s="11">
        <f>DG22/2</f>
        <v>14.9</v>
      </c>
      <c r="DI22" s="11">
        <f>CK22/4</f>
        <v>59.45</v>
      </c>
      <c r="DJ22" s="11"/>
      <c r="DK22" s="11"/>
      <c r="DL22" s="11"/>
      <c r="DM22" s="11"/>
      <c r="DN22" s="11"/>
      <c r="DO22" s="11"/>
      <c r="DP22" s="11"/>
      <c r="DQ22" s="6">
        <f>SUM(DH22:DP22)</f>
        <v>74.350000000000009</v>
      </c>
      <c r="DR22" s="6">
        <f>(DQ22-DH22)/2</f>
        <v>29.725000000000005</v>
      </c>
      <c r="DS22" s="11"/>
      <c r="DT22" s="11"/>
      <c r="DU22" s="11"/>
      <c r="DV22" s="11"/>
      <c r="DW22" s="6">
        <f t="shared" si="3"/>
        <v>29.725000000000005</v>
      </c>
      <c r="DX22" s="6">
        <f t="shared" si="1"/>
        <v>0</v>
      </c>
      <c r="DY22" s="11"/>
      <c r="DZ22" s="6">
        <f t="shared" si="2"/>
        <v>0</v>
      </c>
    </row>
    <row r="23" spans="1:130" x14ac:dyDescent="0.25">
      <c r="A23">
        <v>13</v>
      </c>
      <c r="B23" s="11" t="s">
        <v>409</v>
      </c>
      <c r="C23" s="6"/>
      <c r="D23" s="6" t="s">
        <v>22</v>
      </c>
      <c r="E23" s="6" t="s">
        <v>623</v>
      </c>
      <c r="F23" s="11"/>
      <c r="G23" s="6"/>
      <c r="H23" s="6"/>
      <c r="I23" s="6"/>
      <c r="J23" s="6"/>
      <c r="K23" s="6"/>
      <c r="L23" s="6"/>
      <c r="M23" s="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6"/>
      <c r="AF23" s="6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>
        <v>36</v>
      </c>
      <c r="CV23" s="11">
        <v>40</v>
      </c>
      <c r="CW23" s="11">
        <v>36</v>
      </c>
      <c r="CX23" s="11"/>
      <c r="CY23" s="11"/>
      <c r="CZ23" s="11"/>
      <c r="DA23" s="11">
        <f t="shared" si="0"/>
        <v>112</v>
      </c>
      <c r="DC23" s="6"/>
      <c r="DD23" s="6"/>
      <c r="DE23" s="6"/>
      <c r="DF23" s="6"/>
      <c r="DG23" s="6"/>
      <c r="DH23" s="11"/>
      <c r="DI23" s="11"/>
      <c r="DJ23" s="11"/>
      <c r="DK23" s="11"/>
      <c r="DL23" s="11"/>
      <c r="DM23" s="11"/>
      <c r="DN23" s="11"/>
      <c r="DO23" s="11"/>
      <c r="DP23" s="11"/>
      <c r="DQ23" s="6"/>
      <c r="DR23" s="6"/>
      <c r="DS23" s="11"/>
      <c r="DT23" s="11"/>
      <c r="DU23" s="11"/>
      <c r="DV23" s="11"/>
      <c r="DW23" s="6">
        <f t="shared" si="3"/>
        <v>0</v>
      </c>
      <c r="DX23" s="6">
        <f t="shared" si="1"/>
        <v>0</v>
      </c>
      <c r="DY23" s="11"/>
      <c r="DZ23" s="6">
        <f t="shared" si="2"/>
        <v>0</v>
      </c>
    </row>
    <row r="24" spans="1:130" x14ac:dyDescent="0.25">
      <c r="A24">
        <v>14</v>
      </c>
      <c r="B24" s="11" t="s">
        <v>356</v>
      </c>
      <c r="C24" s="6"/>
      <c r="D24" s="6" t="s">
        <v>108</v>
      </c>
      <c r="E24" s="6" t="s">
        <v>126</v>
      </c>
      <c r="F24" s="11"/>
      <c r="G24" s="6"/>
      <c r="H24" s="6"/>
      <c r="I24" s="6"/>
      <c r="J24" s="6"/>
      <c r="K24" s="6"/>
      <c r="L24" s="6"/>
      <c r="M24" s="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6"/>
      <c r="AF24" s="6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>
        <v>33.6</v>
      </c>
      <c r="CV24" s="11">
        <v>4</v>
      </c>
      <c r="CW24" s="11">
        <v>39</v>
      </c>
      <c r="CX24" s="11">
        <v>33.6</v>
      </c>
      <c r="CY24" s="11"/>
      <c r="CZ24" s="11"/>
      <c r="DA24" s="11">
        <f t="shared" si="0"/>
        <v>110.19999999999999</v>
      </c>
      <c r="DC24" s="6"/>
      <c r="DD24" s="6"/>
      <c r="DE24" s="6"/>
      <c r="DF24" s="6"/>
      <c r="DG24" s="6"/>
      <c r="DH24" s="11"/>
      <c r="DI24" s="11"/>
      <c r="DJ24" s="11"/>
      <c r="DK24" s="11"/>
      <c r="DL24" s="11"/>
      <c r="DM24" s="11"/>
      <c r="DN24" s="11"/>
      <c r="DO24" s="11"/>
      <c r="DP24" s="11"/>
      <c r="DQ24" s="6"/>
      <c r="DR24" s="6"/>
      <c r="DS24" s="11"/>
      <c r="DT24" s="11"/>
      <c r="DU24" s="11"/>
      <c r="DV24" s="11"/>
      <c r="DW24" s="6">
        <f t="shared" si="3"/>
        <v>0</v>
      </c>
      <c r="DX24" s="6">
        <f t="shared" si="1"/>
        <v>0</v>
      </c>
      <c r="DY24" s="11"/>
      <c r="DZ24" s="6">
        <f t="shared" si="2"/>
        <v>0</v>
      </c>
    </row>
    <row r="25" spans="1:130" x14ac:dyDescent="0.25">
      <c r="A25">
        <v>15</v>
      </c>
      <c r="B25" s="11" t="s">
        <v>58</v>
      </c>
      <c r="C25" s="6"/>
      <c r="D25" s="6" t="s">
        <v>529</v>
      </c>
      <c r="E25" s="6" t="s">
        <v>8</v>
      </c>
      <c r="F25" s="11"/>
      <c r="G25" s="6"/>
      <c r="H25" s="6"/>
      <c r="I25" s="6"/>
      <c r="J25" s="6"/>
      <c r="K25" s="6"/>
      <c r="L25" s="6"/>
      <c r="M25" s="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6"/>
      <c r="AF25" s="6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>
        <f>169.1/2</f>
        <v>84.55</v>
      </c>
      <c r="CU25" s="11">
        <v>2.4</v>
      </c>
      <c r="CV25" s="11">
        <v>4</v>
      </c>
      <c r="CW25" s="11">
        <v>7.5</v>
      </c>
      <c r="CX25" s="11">
        <v>2.4</v>
      </c>
      <c r="CY25" s="11"/>
      <c r="CZ25" s="11"/>
      <c r="DA25" s="11">
        <f t="shared" si="0"/>
        <v>100.85000000000001</v>
      </c>
      <c r="DC25" s="6"/>
      <c r="DD25" s="6"/>
      <c r="DE25" s="6"/>
      <c r="DF25" s="6"/>
      <c r="DG25" s="6"/>
      <c r="DH25" s="11"/>
      <c r="DI25" s="11"/>
      <c r="DJ25" s="11"/>
      <c r="DK25" s="11"/>
      <c r="DL25" s="11"/>
      <c r="DM25" s="11"/>
      <c r="DN25" s="11"/>
      <c r="DO25" s="11"/>
      <c r="DP25" s="11"/>
      <c r="DQ25" s="6"/>
      <c r="DR25" s="6"/>
      <c r="DS25" s="11"/>
      <c r="DT25" s="11"/>
      <c r="DU25" s="11"/>
      <c r="DV25" s="11"/>
      <c r="DW25" s="6">
        <f t="shared" si="3"/>
        <v>0</v>
      </c>
      <c r="DX25" s="6">
        <f t="shared" si="1"/>
        <v>0</v>
      </c>
      <c r="DY25" s="11"/>
      <c r="DZ25" s="6">
        <f t="shared" si="2"/>
        <v>0</v>
      </c>
    </row>
    <row r="26" spans="1:130" x14ac:dyDescent="0.25">
      <c r="A26">
        <v>16</v>
      </c>
      <c r="B26" s="11" t="s">
        <v>750</v>
      </c>
      <c r="C26" s="6"/>
      <c r="D26" s="6" t="s">
        <v>751</v>
      </c>
      <c r="E26" s="6" t="s">
        <v>197</v>
      </c>
      <c r="F26" s="11"/>
      <c r="G26" s="6"/>
      <c r="H26" s="6"/>
      <c r="I26" s="6"/>
      <c r="J26" s="6"/>
      <c r="K26" s="6"/>
      <c r="L26" s="6"/>
      <c r="M26" s="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6"/>
      <c r="AF26" s="6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>
        <v>33.6</v>
      </c>
      <c r="CV26" s="11">
        <v>56</v>
      </c>
      <c r="CW26" s="11"/>
      <c r="CX26" s="11"/>
      <c r="CY26" s="11"/>
      <c r="CZ26" s="11"/>
      <c r="DA26" s="11">
        <f t="shared" si="0"/>
        <v>89.6</v>
      </c>
      <c r="DC26" s="6"/>
      <c r="DD26" s="6"/>
      <c r="DE26" s="6"/>
      <c r="DF26" s="6"/>
      <c r="DG26" s="6"/>
      <c r="DH26" s="11"/>
      <c r="DI26" s="11"/>
      <c r="DJ26" s="11"/>
      <c r="DK26" s="11"/>
      <c r="DL26" s="11"/>
      <c r="DM26" s="11"/>
      <c r="DN26" s="11"/>
      <c r="DO26" s="11"/>
      <c r="DP26" s="11"/>
      <c r="DQ26" s="6"/>
      <c r="DR26" s="6"/>
      <c r="DS26" s="11"/>
      <c r="DT26" s="11"/>
      <c r="DU26" s="11"/>
      <c r="DV26" s="11"/>
      <c r="DW26" s="6">
        <f t="shared" si="3"/>
        <v>0</v>
      </c>
      <c r="DX26" s="6">
        <f t="shared" si="1"/>
        <v>0</v>
      </c>
      <c r="DY26" s="11"/>
      <c r="DZ26" s="6">
        <f t="shared" si="2"/>
        <v>0</v>
      </c>
    </row>
    <row r="27" spans="1:130" x14ac:dyDescent="0.25">
      <c r="A27">
        <v>17</v>
      </c>
      <c r="B27" s="11" t="s">
        <v>445</v>
      </c>
      <c r="C27" s="6"/>
      <c r="D27" s="6" t="s">
        <v>352</v>
      </c>
      <c r="E27" s="6" t="s">
        <v>86</v>
      </c>
      <c r="F27" s="11"/>
      <c r="G27" s="6"/>
      <c r="H27" s="6"/>
      <c r="I27" s="6"/>
      <c r="J27" s="6"/>
      <c r="K27" s="6"/>
      <c r="L27" s="6"/>
      <c r="M27" s="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6"/>
      <c r="AF27" s="6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>
        <v>30</v>
      </c>
      <c r="CN27" s="11"/>
      <c r="CO27" s="11">
        <v>70</v>
      </c>
      <c r="CP27" s="11">
        <v>2.4</v>
      </c>
      <c r="CQ27" s="11"/>
      <c r="CR27" s="11"/>
      <c r="CS27" s="11">
        <f>SUM(CL27:CR27)</f>
        <v>102.4</v>
      </c>
      <c r="CT27" s="11">
        <f>(CS27-CL27)/2</f>
        <v>51.2</v>
      </c>
      <c r="CU27" s="11">
        <v>30</v>
      </c>
      <c r="CV27" s="11"/>
      <c r="CW27" s="11"/>
      <c r="CX27" s="11"/>
      <c r="CY27" s="11"/>
      <c r="CZ27" s="11"/>
      <c r="DA27" s="11">
        <f t="shared" si="0"/>
        <v>81.2</v>
      </c>
      <c r="DG27" s="6"/>
      <c r="DH27" s="11"/>
      <c r="DI27" s="11"/>
      <c r="DJ27" s="11"/>
      <c r="DK27" s="11"/>
      <c r="DL27" s="11"/>
      <c r="DM27" s="11"/>
      <c r="DN27" s="11"/>
      <c r="DO27" s="11"/>
      <c r="DP27" s="11"/>
      <c r="DQ27" s="6"/>
      <c r="DR27" s="6"/>
      <c r="DS27" s="11">
        <v>1.5</v>
      </c>
      <c r="DT27" s="11"/>
      <c r="DU27" s="11"/>
      <c r="DV27" s="11"/>
      <c r="DW27" s="6">
        <f t="shared" si="3"/>
        <v>1.5</v>
      </c>
      <c r="DX27" s="6">
        <f t="shared" si="1"/>
        <v>0.75</v>
      </c>
      <c r="DY27" s="11"/>
      <c r="DZ27" s="6">
        <f t="shared" si="2"/>
        <v>0.75</v>
      </c>
    </row>
    <row r="28" spans="1:130" x14ac:dyDescent="0.25">
      <c r="A28">
        <v>18</v>
      </c>
      <c r="B28" s="11" t="s">
        <v>461</v>
      </c>
      <c r="C28" s="6"/>
      <c r="D28" s="6" t="s">
        <v>752</v>
      </c>
      <c r="E28" s="6" t="s">
        <v>86</v>
      </c>
      <c r="F28" s="11"/>
      <c r="G28" s="6"/>
      <c r="H28" s="6"/>
      <c r="I28" s="6"/>
      <c r="J28" s="6"/>
      <c r="K28" s="6"/>
      <c r="L28" s="6"/>
      <c r="M28" s="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6"/>
      <c r="AF28" s="6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>
        <v>40</v>
      </c>
      <c r="CW28" s="11">
        <v>36</v>
      </c>
      <c r="CX28" s="11"/>
      <c r="CY28" s="11"/>
      <c r="CZ28" s="11"/>
      <c r="DA28" s="11">
        <f t="shared" si="0"/>
        <v>76</v>
      </c>
      <c r="DG28" s="6"/>
      <c r="DH28" s="11"/>
      <c r="DI28" s="11"/>
      <c r="DJ28" s="11"/>
      <c r="DK28" s="11"/>
      <c r="DL28" s="11"/>
      <c r="DM28" s="11"/>
      <c r="DN28" s="11"/>
      <c r="DO28" s="11"/>
      <c r="DP28" s="11"/>
      <c r="DQ28" s="6"/>
      <c r="DR28" s="6"/>
      <c r="DS28" s="11"/>
      <c r="DT28" s="11"/>
      <c r="DU28" s="11"/>
      <c r="DV28" s="11"/>
      <c r="DW28" s="6">
        <f t="shared" si="3"/>
        <v>0</v>
      </c>
      <c r="DX28" s="6">
        <f t="shared" si="1"/>
        <v>0</v>
      </c>
      <c r="DY28" s="11"/>
      <c r="DZ28" s="6">
        <f t="shared" si="2"/>
        <v>0</v>
      </c>
    </row>
    <row r="29" spans="1:130" x14ac:dyDescent="0.25">
      <c r="A29">
        <v>19</v>
      </c>
      <c r="B29" s="11" t="s">
        <v>97</v>
      </c>
      <c r="C29" s="6"/>
      <c r="D29" s="6" t="s">
        <v>364</v>
      </c>
      <c r="E29" s="6" t="s">
        <v>563</v>
      </c>
      <c r="F29" s="11"/>
      <c r="G29" s="6"/>
      <c r="H29" s="6"/>
      <c r="I29" s="6"/>
      <c r="J29" s="6"/>
      <c r="K29" s="6"/>
      <c r="L29" s="6"/>
      <c r="M29" s="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6"/>
      <c r="AF29" s="6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>
        <v>42</v>
      </c>
      <c r="CV29" s="11"/>
      <c r="CW29" s="11">
        <v>7.5</v>
      </c>
      <c r="CX29" s="11">
        <v>5</v>
      </c>
      <c r="CY29" s="11">
        <v>2.4</v>
      </c>
      <c r="CZ29" s="11"/>
      <c r="DA29" s="11">
        <f t="shared" si="0"/>
        <v>56.9</v>
      </c>
      <c r="DG29" s="6"/>
      <c r="DH29" s="11"/>
      <c r="DI29" s="11"/>
      <c r="DJ29" s="11"/>
      <c r="DK29" s="11"/>
      <c r="DL29" s="11"/>
      <c r="DM29" s="11"/>
      <c r="DN29" s="11"/>
      <c r="DO29" s="11"/>
      <c r="DP29" s="11"/>
      <c r="DQ29" s="6"/>
      <c r="DR29" s="6"/>
      <c r="DS29" s="11"/>
      <c r="DT29" s="11"/>
      <c r="DU29" s="11"/>
      <c r="DV29" s="11"/>
      <c r="DW29" s="6">
        <f t="shared" si="3"/>
        <v>0</v>
      </c>
      <c r="DX29" s="6">
        <f t="shared" si="1"/>
        <v>0</v>
      </c>
      <c r="DY29" s="11"/>
      <c r="DZ29" s="6">
        <f t="shared" si="2"/>
        <v>0</v>
      </c>
    </row>
    <row r="30" spans="1:130" x14ac:dyDescent="0.25">
      <c r="A30">
        <v>20</v>
      </c>
      <c r="B30" s="26" t="s">
        <v>444</v>
      </c>
      <c r="C30" s="27"/>
      <c r="D30" s="27" t="s">
        <v>226</v>
      </c>
      <c r="E30" s="27" t="s">
        <v>86</v>
      </c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11"/>
      <c r="CL30" s="11"/>
      <c r="CM30" s="11"/>
      <c r="CN30" s="11">
        <v>4</v>
      </c>
      <c r="CO30" s="11">
        <v>39</v>
      </c>
      <c r="CP30" s="11">
        <v>50</v>
      </c>
      <c r="CQ30" s="11">
        <v>7.5</v>
      </c>
      <c r="CR30" s="11"/>
      <c r="CS30" s="11">
        <f>SUM(CL30:CR30)</f>
        <v>100.5</v>
      </c>
      <c r="CT30" s="11">
        <f>(CS30-CL30)/2</f>
        <v>50.25</v>
      </c>
      <c r="CU30" s="11"/>
      <c r="CV30" s="11"/>
      <c r="CW30" s="11"/>
      <c r="CX30" s="11"/>
      <c r="CY30" s="11"/>
      <c r="CZ30" s="11"/>
      <c r="DA30" s="11">
        <f t="shared" si="0"/>
        <v>50.25</v>
      </c>
      <c r="DG30" s="6"/>
      <c r="DH30" s="11"/>
      <c r="DI30" s="11"/>
      <c r="DJ30" s="11"/>
      <c r="DK30" s="11"/>
      <c r="DL30" s="11"/>
      <c r="DM30" s="11"/>
      <c r="DN30" s="11"/>
      <c r="DO30" s="11"/>
      <c r="DP30" s="11"/>
      <c r="DQ30" s="6"/>
      <c r="DR30" s="6"/>
      <c r="DS30" s="11">
        <v>1.5</v>
      </c>
      <c r="DT30" s="11"/>
      <c r="DU30" s="11"/>
      <c r="DV30" s="11"/>
      <c r="DW30" s="6">
        <f t="shared" si="3"/>
        <v>1.5</v>
      </c>
      <c r="DX30" s="6">
        <f t="shared" si="1"/>
        <v>0.75</v>
      </c>
      <c r="DY30" s="11"/>
      <c r="DZ30" s="6">
        <f t="shared" si="2"/>
        <v>0.75</v>
      </c>
    </row>
    <row r="31" spans="1:130" x14ac:dyDescent="0.25">
      <c r="A31">
        <v>21</v>
      </c>
      <c r="B31" s="11" t="s">
        <v>368</v>
      </c>
      <c r="C31" s="6"/>
      <c r="D31" s="6" t="s">
        <v>63</v>
      </c>
      <c r="E31" s="6" t="s">
        <v>84</v>
      </c>
      <c r="F31" s="11"/>
      <c r="G31" s="6"/>
      <c r="H31" s="6"/>
      <c r="I31" s="6"/>
      <c r="J31" s="6"/>
      <c r="K31" s="6"/>
      <c r="L31" s="6"/>
      <c r="M31" s="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6"/>
      <c r="AF31" s="6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>
        <v>36</v>
      </c>
      <c r="BP31" s="11"/>
      <c r="BQ31" s="11"/>
      <c r="BR31" s="11"/>
      <c r="BS31" s="11">
        <v>7.5</v>
      </c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>
        <v>36</v>
      </c>
      <c r="CE31" s="11"/>
      <c r="CF31" s="11"/>
      <c r="CG31" s="11"/>
      <c r="CH31" s="11"/>
      <c r="CI31" s="11"/>
      <c r="CJ31" s="11"/>
      <c r="CK31" s="11">
        <f>SUM(BG31:CJ31)</f>
        <v>79.5</v>
      </c>
      <c r="CL31" s="11">
        <f>(CK31-BG31)/2</f>
        <v>39.75</v>
      </c>
      <c r="CM31" s="11"/>
      <c r="CN31" s="11"/>
      <c r="CO31" s="11">
        <v>54</v>
      </c>
      <c r="CP31" s="11">
        <v>39</v>
      </c>
      <c r="CQ31" s="11"/>
      <c r="CR31" s="11"/>
      <c r="CS31" s="11">
        <f>SUM(CL31:CR31)</f>
        <v>132.75</v>
      </c>
      <c r="CT31" s="11">
        <f>(CS31-CL31)/2</f>
        <v>46.5</v>
      </c>
      <c r="CU31" s="11"/>
      <c r="CV31" s="11"/>
      <c r="CW31" s="11"/>
      <c r="CX31" s="11"/>
      <c r="CY31" s="11"/>
      <c r="CZ31" s="11"/>
      <c r="DA31" s="11">
        <f t="shared" si="0"/>
        <v>46.5</v>
      </c>
      <c r="DG31" s="11">
        <f>SUM(DC31:DF31)</f>
        <v>0</v>
      </c>
      <c r="DH31" s="11">
        <f>DG31/2</f>
        <v>0</v>
      </c>
      <c r="DI31" s="11">
        <f>CK31/4</f>
        <v>19.875</v>
      </c>
      <c r="DJ31" s="11"/>
      <c r="DK31" s="11"/>
      <c r="DL31" s="11"/>
      <c r="DM31" s="11"/>
      <c r="DN31" s="11"/>
      <c r="DO31" s="11"/>
      <c r="DP31" s="11"/>
      <c r="DQ31" s="6">
        <f>SUM(DH31:DP31)</f>
        <v>19.875</v>
      </c>
      <c r="DR31" s="6">
        <f>(DQ31-DH31)/2</f>
        <v>9.9375</v>
      </c>
      <c r="DS31" s="11"/>
      <c r="DT31" s="11"/>
      <c r="DU31" s="11"/>
      <c r="DV31" s="11"/>
      <c r="DW31" s="6">
        <f t="shared" si="3"/>
        <v>9.9375</v>
      </c>
      <c r="DX31" s="6">
        <f t="shared" si="1"/>
        <v>0</v>
      </c>
      <c r="DY31" s="11"/>
      <c r="DZ31" s="6">
        <f t="shared" si="2"/>
        <v>0</v>
      </c>
    </row>
    <row r="32" spans="1:130" x14ac:dyDescent="0.25">
      <c r="A32">
        <v>22</v>
      </c>
      <c r="B32" s="11" t="s">
        <v>602</v>
      </c>
      <c r="C32" s="6"/>
      <c r="D32" s="6" t="s">
        <v>603</v>
      </c>
      <c r="E32" s="6" t="s">
        <v>42</v>
      </c>
      <c r="F32" s="11"/>
      <c r="G32" s="6"/>
      <c r="H32" s="6"/>
      <c r="I32" s="6"/>
      <c r="J32" s="6"/>
      <c r="K32" s="6"/>
      <c r="L32" s="6"/>
      <c r="M32" s="6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6"/>
      <c r="AF32" s="6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>
        <v>3</v>
      </c>
      <c r="CV32" s="11">
        <v>40</v>
      </c>
      <c r="CW32" s="11"/>
      <c r="CX32" s="11"/>
      <c r="CY32" s="11"/>
      <c r="CZ32" s="11"/>
      <c r="DA32" s="11">
        <f t="shared" si="0"/>
        <v>43</v>
      </c>
      <c r="DQ32" s="6"/>
      <c r="DR32" s="6"/>
      <c r="DS32" s="11"/>
      <c r="DT32" s="11"/>
      <c r="DU32" s="11"/>
      <c r="DV32" s="11"/>
      <c r="DW32" s="6">
        <f t="shared" si="3"/>
        <v>0</v>
      </c>
      <c r="DX32" s="6">
        <f t="shared" si="1"/>
        <v>0</v>
      </c>
      <c r="DY32" s="11"/>
      <c r="DZ32" s="6">
        <f t="shared" si="2"/>
        <v>0</v>
      </c>
    </row>
    <row r="33" spans="1:130" x14ac:dyDescent="0.25">
      <c r="A33">
        <v>23</v>
      </c>
      <c r="B33" s="11" t="s">
        <v>537</v>
      </c>
      <c r="C33" s="6"/>
      <c r="D33" s="6" t="s">
        <v>133</v>
      </c>
      <c r="E33" s="6" t="s">
        <v>538</v>
      </c>
      <c r="F33" s="11"/>
      <c r="G33" s="6"/>
      <c r="H33" s="6"/>
      <c r="I33" s="6"/>
      <c r="J33" s="6"/>
      <c r="K33" s="6"/>
      <c r="L33" s="6"/>
      <c r="M33" s="6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6"/>
      <c r="AF33" s="6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>
        <v>2.4</v>
      </c>
      <c r="CN33" s="11">
        <v>4</v>
      </c>
      <c r="CO33" s="11">
        <v>7.5</v>
      </c>
      <c r="CP33" s="11"/>
      <c r="CQ33" s="11"/>
      <c r="CR33" s="11"/>
      <c r="CS33" s="11">
        <f>SUM(CL33:CR33)</f>
        <v>13.9</v>
      </c>
      <c r="CT33" s="11">
        <f>(CS33-CL33)/2</f>
        <v>6.95</v>
      </c>
      <c r="CU33" s="11">
        <v>36</v>
      </c>
      <c r="CV33" s="11"/>
      <c r="CW33" s="11"/>
      <c r="CX33" s="11"/>
      <c r="CY33" s="11"/>
      <c r="CZ33" s="11"/>
      <c r="DA33" s="11">
        <f t="shared" si="0"/>
        <v>42.95</v>
      </c>
      <c r="DQ33" s="6"/>
      <c r="DR33" s="6"/>
      <c r="DS33" s="11"/>
      <c r="DT33" s="11"/>
      <c r="DU33" s="11"/>
      <c r="DV33" s="11"/>
      <c r="DW33" s="6">
        <f t="shared" si="3"/>
        <v>0</v>
      </c>
      <c r="DX33" s="6">
        <f t="shared" si="1"/>
        <v>0</v>
      </c>
      <c r="DY33" s="11"/>
      <c r="DZ33" s="6">
        <f t="shared" si="2"/>
        <v>0</v>
      </c>
    </row>
    <row r="34" spans="1:130" x14ac:dyDescent="0.25">
      <c r="A34">
        <v>24</v>
      </c>
      <c r="B34" s="11" t="s">
        <v>46</v>
      </c>
      <c r="C34" s="6"/>
      <c r="D34" s="6" t="s">
        <v>237</v>
      </c>
      <c r="E34" s="6" t="s">
        <v>42</v>
      </c>
      <c r="F34" s="11"/>
      <c r="G34" s="6"/>
      <c r="H34" s="6"/>
      <c r="I34" s="6"/>
      <c r="J34" s="6"/>
      <c r="K34" s="6"/>
      <c r="L34" s="6"/>
      <c r="M34" s="6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6"/>
      <c r="AF34" s="6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>
        <v>42</v>
      </c>
      <c r="CV34" s="11"/>
      <c r="CW34" s="11"/>
      <c r="CX34" s="11"/>
      <c r="CY34" s="11"/>
      <c r="CZ34" s="11"/>
      <c r="DA34" s="11">
        <f t="shared" si="0"/>
        <v>42</v>
      </c>
      <c r="DQ34" s="6"/>
      <c r="DR34" s="6"/>
      <c r="DS34" s="11"/>
      <c r="DT34" s="11"/>
      <c r="DU34" s="11"/>
      <c r="DV34" s="11"/>
      <c r="DW34" s="6">
        <f t="shared" si="3"/>
        <v>0</v>
      </c>
      <c r="DX34" s="6">
        <f t="shared" si="1"/>
        <v>0</v>
      </c>
      <c r="DY34" s="11"/>
      <c r="DZ34" s="6">
        <f t="shared" si="2"/>
        <v>0</v>
      </c>
    </row>
    <row r="35" spans="1:130" x14ac:dyDescent="0.25">
      <c r="A35">
        <v>25</v>
      </c>
      <c r="B35" s="11" t="s">
        <v>293</v>
      </c>
      <c r="C35" s="6"/>
      <c r="D35" s="6" t="s">
        <v>294</v>
      </c>
      <c r="E35" s="6" t="s">
        <v>275</v>
      </c>
      <c r="F35" s="11"/>
      <c r="G35" s="6"/>
      <c r="H35" s="6"/>
      <c r="I35" s="6"/>
      <c r="J35" s="6"/>
      <c r="K35" s="6"/>
      <c r="L35" s="6"/>
      <c r="M35" s="6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6"/>
      <c r="AF35" s="6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>
        <f>SUM(AF35:BE35)</f>
        <v>0</v>
      </c>
      <c r="BG35" s="11">
        <f>(BF35-AF35)/2</f>
        <v>0</v>
      </c>
      <c r="BH35" s="11"/>
      <c r="BI35" s="11"/>
      <c r="BJ35" s="11"/>
      <c r="BK35" s="11"/>
      <c r="BL35" s="11"/>
      <c r="BM35" s="11"/>
      <c r="BN35" s="11"/>
      <c r="BO35" s="11"/>
      <c r="BP35" s="11"/>
      <c r="BQ35" s="11">
        <v>48</v>
      </c>
      <c r="BR35" s="11"/>
      <c r="BS35" s="11">
        <v>7.5</v>
      </c>
      <c r="BT35" s="11"/>
      <c r="BU35" s="11"/>
      <c r="BV35" s="11"/>
      <c r="BW35" s="11"/>
      <c r="BX35" s="11">
        <v>4</v>
      </c>
      <c r="BY35" s="11">
        <v>7.5</v>
      </c>
      <c r="BZ35" s="11"/>
      <c r="CA35" s="11"/>
      <c r="CB35" s="11"/>
      <c r="CC35" s="11"/>
      <c r="CD35" s="11"/>
      <c r="CE35" s="11">
        <v>36</v>
      </c>
      <c r="CF35" s="11"/>
      <c r="CG35" s="11"/>
      <c r="CH35" s="11"/>
      <c r="CI35" s="11">
        <v>39</v>
      </c>
      <c r="CJ35" s="11"/>
      <c r="CK35" s="11">
        <f>SUM(BG35:CJ35)</f>
        <v>142</v>
      </c>
      <c r="CL35" s="11">
        <f>(CK35-BG35)/2</f>
        <v>71</v>
      </c>
      <c r="CM35" s="11"/>
      <c r="CN35" s="11">
        <v>4</v>
      </c>
      <c r="CO35" s="11">
        <v>7.5</v>
      </c>
      <c r="CP35" s="11">
        <v>36</v>
      </c>
      <c r="CQ35" s="11"/>
      <c r="CR35" s="11"/>
      <c r="CS35" s="11">
        <f>SUM(CL35:CR35)</f>
        <v>118.5</v>
      </c>
      <c r="CT35" s="11">
        <f>(CS35-CL35)/2</f>
        <v>23.75</v>
      </c>
      <c r="CU35" s="11">
        <v>2.4</v>
      </c>
      <c r="CV35" s="11">
        <v>4</v>
      </c>
      <c r="CW35" s="11">
        <v>7.5</v>
      </c>
      <c r="CX35" s="11"/>
      <c r="CY35" s="11"/>
      <c r="CZ35" s="11"/>
      <c r="DA35" s="11">
        <f t="shared" si="0"/>
        <v>37.65</v>
      </c>
      <c r="DG35" s="8">
        <f>SUM(DC35:DF35)</f>
        <v>0</v>
      </c>
      <c r="DH35" s="8">
        <f>DG35/2</f>
        <v>0</v>
      </c>
      <c r="DI35" s="8">
        <f>CK35/4</f>
        <v>35.5</v>
      </c>
      <c r="DJ35" s="8">
        <v>1.5</v>
      </c>
      <c r="DQ35" s="6">
        <f>SUM(DH35:DP35)</f>
        <v>37</v>
      </c>
      <c r="DR35" s="6">
        <f>(DQ35-DH35)/2</f>
        <v>18.5</v>
      </c>
      <c r="DS35" s="11"/>
      <c r="DT35" s="11"/>
      <c r="DU35" s="11"/>
      <c r="DV35" s="11"/>
      <c r="DW35" s="6">
        <f t="shared" si="3"/>
        <v>18.5</v>
      </c>
      <c r="DX35" s="6">
        <f t="shared" si="1"/>
        <v>0</v>
      </c>
      <c r="DY35" s="11"/>
      <c r="DZ35" s="6">
        <f t="shared" si="2"/>
        <v>0</v>
      </c>
    </row>
    <row r="36" spans="1:130" x14ac:dyDescent="0.25">
      <c r="A36">
        <v>26</v>
      </c>
      <c r="B36" s="11" t="s">
        <v>37</v>
      </c>
      <c r="C36" s="6"/>
      <c r="D36" s="6" t="s">
        <v>675</v>
      </c>
      <c r="E36" s="6" t="s">
        <v>676</v>
      </c>
      <c r="F36" s="11"/>
      <c r="G36" s="6"/>
      <c r="H36" s="6"/>
      <c r="I36" s="6"/>
      <c r="J36" s="6"/>
      <c r="K36" s="6"/>
      <c r="L36" s="6"/>
      <c r="M36" s="6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6"/>
      <c r="AF36" s="6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>
        <v>36</v>
      </c>
      <c r="CV36" s="11"/>
      <c r="CW36" s="11"/>
      <c r="CX36" s="11"/>
      <c r="CY36" s="11"/>
      <c r="CZ36" s="11"/>
      <c r="DA36" s="11">
        <f t="shared" si="0"/>
        <v>36</v>
      </c>
      <c r="DW36" s="6">
        <f t="shared" si="3"/>
        <v>0</v>
      </c>
      <c r="DX36" s="6">
        <f t="shared" si="1"/>
        <v>0</v>
      </c>
      <c r="DY36" s="11"/>
      <c r="DZ36" s="6">
        <f t="shared" si="2"/>
        <v>0</v>
      </c>
    </row>
    <row r="37" spans="1:130" x14ac:dyDescent="0.25">
      <c r="A37">
        <v>27</v>
      </c>
      <c r="B37" s="11" t="s">
        <v>707</v>
      </c>
      <c r="C37" s="6"/>
      <c r="D37" s="6" t="s">
        <v>63</v>
      </c>
      <c r="E37" s="6" t="s">
        <v>49</v>
      </c>
      <c r="F37" s="11"/>
      <c r="G37" s="6"/>
      <c r="H37" s="6"/>
      <c r="I37" s="6"/>
      <c r="J37" s="6"/>
      <c r="K37" s="6"/>
      <c r="L37" s="6"/>
      <c r="M37" s="6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6"/>
      <c r="AF37" s="6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>
        <v>3</v>
      </c>
      <c r="CV37" s="11">
        <v>28.8</v>
      </c>
      <c r="CW37" s="11">
        <v>2.4</v>
      </c>
      <c r="CX37" s="11"/>
      <c r="CY37" s="11"/>
      <c r="CZ37" s="11"/>
      <c r="DA37" s="11">
        <f t="shared" si="0"/>
        <v>34.200000000000003</v>
      </c>
      <c r="DW37" s="6">
        <f t="shared" si="3"/>
        <v>0</v>
      </c>
      <c r="DX37" s="6">
        <f t="shared" si="1"/>
        <v>0</v>
      </c>
      <c r="DY37" s="11"/>
      <c r="DZ37" s="6">
        <f t="shared" si="2"/>
        <v>0</v>
      </c>
    </row>
    <row r="38" spans="1:130" x14ac:dyDescent="0.25">
      <c r="A38">
        <v>28</v>
      </c>
      <c r="B38" s="11" t="s">
        <v>631</v>
      </c>
      <c r="C38" s="6"/>
      <c r="D38" s="6" t="s">
        <v>63</v>
      </c>
      <c r="E38" s="6" t="s">
        <v>269</v>
      </c>
      <c r="F38" s="11"/>
      <c r="G38" s="6"/>
      <c r="H38" s="6"/>
      <c r="I38" s="6"/>
      <c r="J38" s="6"/>
      <c r="K38" s="6"/>
      <c r="L38" s="6"/>
      <c r="M38" s="6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6"/>
      <c r="AF38" s="6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>
        <f>67.5/2</f>
        <v>33.75</v>
      </c>
      <c r="CU38" s="11"/>
      <c r="CV38" s="11"/>
      <c r="CW38" s="11"/>
      <c r="CX38" s="11"/>
      <c r="CY38" s="11"/>
      <c r="CZ38" s="11"/>
      <c r="DA38" s="11">
        <f t="shared" si="0"/>
        <v>33.75</v>
      </c>
      <c r="DW38" s="6">
        <f t="shared" si="3"/>
        <v>0</v>
      </c>
      <c r="DX38" s="6">
        <f t="shared" si="1"/>
        <v>0</v>
      </c>
      <c r="DY38" s="11"/>
      <c r="DZ38" s="6">
        <f t="shared" si="2"/>
        <v>0</v>
      </c>
    </row>
    <row r="39" spans="1:130" x14ac:dyDescent="0.25">
      <c r="A39">
        <v>29</v>
      </c>
      <c r="B39" s="11" t="s">
        <v>586</v>
      </c>
      <c r="C39" s="6"/>
      <c r="D39" s="6" t="s">
        <v>585</v>
      </c>
      <c r="E39" s="6" t="s">
        <v>193</v>
      </c>
      <c r="F39" s="11"/>
      <c r="G39" s="6"/>
      <c r="H39" s="6"/>
      <c r="I39" s="6"/>
      <c r="J39" s="6"/>
      <c r="K39" s="6"/>
      <c r="L39" s="6"/>
      <c r="M39" s="6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6"/>
      <c r="AF39" s="6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>
        <v>54</v>
      </c>
      <c r="CP39" s="11">
        <v>7.5</v>
      </c>
      <c r="CQ39" s="11"/>
      <c r="CR39" s="11"/>
      <c r="CS39" s="11">
        <f t="shared" ref="CS39:CS45" si="4">SUM(CL39:CR39)</f>
        <v>61.5</v>
      </c>
      <c r="CT39" s="11">
        <f t="shared" ref="CT39:CT45" si="5">(CS39-CL39)/2</f>
        <v>30.75</v>
      </c>
      <c r="CU39" s="11"/>
      <c r="CV39" s="11"/>
      <c r="CW39" s="11"/>
      <c r="CX39" s="11"/>
      <c r="CY39" s="11"/>
      <c r="CZ39" s="11"/>
      <c r="DA39" s="11">
        <f t="shared" si="0"/>
        <v>30.75</v>
      </c>
      <c r="DW39" s="6">
        <f t="shared" si="3"/>
        <v>0</v>
      </c>
      <c r="DX39" s="6">
        <f t="shared" si="1"/>
        <v>0</v>
      </c>
      <c r="DY39" s="11"/>
      <c r="DZ39" s="6">
        <f t="shared" si="2"/>
        <v>0</v>
      </c>
    </row>
    <row r="40" spans="1:130" x14ac:dyDescent="0.25">
      <c r="A40">
        <v>30</v>
      </c>
      <c r="B40" s="11" t="s">
        <v>56</v>
      </c>
      <c r="C40" s="6"/>
      <c r="D40" s="6" t="s">
        <v>60</v>
      </c>
      <c r="E40" s="6" t="s">
        <v>565</v>
      </c>
      <c r="F40" s="11"/>
      <c r="G40" s="6"/>
      <c r="H40" s="6"/>
      <c r="I40" s="6"/>
      <c r="J40" s="6"/>
      <c r="K40" s="6"/>
      <c r="L40" s="6"/>
      <c r="M40" s="6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6"/>
      <c r="AF40" s="6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>
        <v>36</v>
      </c>
      <c r="CP40" s="11"/>
      <c r="CQ40" s="11"/>
      <c r="CR40" s="11"/>
      <c r="CS40" s="11">
        <f t="shared" si="4"/>
        <v>36</v>
      </c>
      <c r="CT40" s="11">
        <f t="shared" si="5"/>
        <v>18</v>
      </c>
      <c r="CU40" s="11">
        <v>3</v>
      </c>
      <c r="CV40" s="11"/>
      <c r="CW40" s="11">
        <v>7.5</v>
      </c>
      <c r="CX40" s="11"/>
      <c r="CY40" s="11"/>
      <c r="CZ40" s="11"/>
      <c r="DA40" s="11">
        <f t="shared" si="0"/>
        <v>28.5</v>
      </c>
      <c r="DW40" s="6">
        <f t="shared" si="3"/>
        <v>0</v>
      </c>
      <c r="DX40" s="6">
        <f t="shared" si="1"/>
        <v>0</v>
      </c>
      <c r="DY40" s="11"/>
      <c r="DZ40" s="6">
        <f t="shared" si="2"/>
        <v>0</v>
      </c>
    </row>
    <row r="41" spans="1:130" x14ac:dyDescent="0.25">
      <c r="A41">
        <v>31</v>
      </c>
      <c r="B41" s="11" t="s">
        <v>520</v>
      </c>
      <c r="C41" s="6"/>
      <c r="D41" s="6" t="s">
        <v>521</v>
      </c>
      <c r="E41" s="6" t="s">
        <v>519</v>
      </c>
      <c r="F41" s="11"/>
      <c r="G41" s="6"/>
      <c r="H41" s="6"/>
      <c r="I41" s="6"/>
      <c r="J41" s="6"/>
      <c r="K41" s="6"/>
      <c r="L41" s="6"/>
      <c r="M41" s="6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6"/>
      <c r="AF41" s="6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>
        <v>48</v>
      </c>
      <c r="CN41" s="11"/>
      <c r="CO41" s="11">
        <v>2.4</v>
      </c>
      <c r="CP41" s="11"/>
      <c r="CQ41" s="11"/>
      <c r="CR41" s="11"/>
      <c r="CS41" s="11">
        <f t="shared" si="4"/>
        <v>50.4</v>
      </c>
      <c r="CT41" s="11">
        <f t="shared" si="5"/>
        <v>25.2</v>
      </c>
      <c r="CU41" s="11"/>
      <c r="CV41" s="11"/>
      <c r="CW41" s="11"/>
      <c r="CX41" s="11"/>
      <c r="CY41" s="11"/>
      <c r="CZ41" s="11"/>
      <c r="DA41" s="11">
        <f t="shared" si="0"/>
        <v>25.2</v>
      </c>
      <c r="DW41" s="6">
        <f t="shared" si="3"/>
        <v>0</v>
      </c>
      <c r="DX41" s="6">
        <f t="shared" si="1"/>
        <v>0</v>
      </c>
      <c r="DY41" s="11"/>
      <c r="DZ41" s="6">
        <f t="shared" si="2"/>
        <v>0</v>
      </c>
    </row>
    <row r="42" spans="1:130" x14ac:dyDescent="0.25">
      <c r="A42">
        <v>32</v>
      </c>
      <c r="B42" s="11" t="s">
        <v>82</v>
      </c>
      <c r="C42" s="6"/>
      <c r="D42" s="6" t="s">
        <v>364</v>
      </c>
      <c r="E42" s="6" t="s">
        <v>73</v>
      </c>
      <c r="F42" s="11"/>
      <c r="G42" s="6"/>
      <c r="H42" s="6"/>
      <c r="I42" s="6"/>
      <c r="J42" s="6"/>
      <c r="K42" s="6"/>
      <c r="L42" s="6"/>
      <c r="M42" s="6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6"/>
      <c r="AF42" s="6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>
        <v>36</v>
      </c>
      <c r="CN42" s="11"/>
      <c r="CO42" s="11">
        <v>7.5</v>
      </c>
      <c r="CP42" s="11"/>
      <c r="CQ42" s="11"/>
      <c r="CR42" s="11"/>
      <c r="CS42" s="11">
        <f t="shared" si="4"/>
        <v>43.5</v>
      </c>
      <c r="CT42" s="11">
        <f t="shared" si="5"/>
        <v>21.75</v>
      </c>
      <c r="CU42" s="11"/>
      <c r="CV42" s="11"/>
      <c r="CW42" s="11"/>
      <c r="CX42" s="11"/>
      <c r="CY42" s="11"/>
      <c r="CZ42" s="11"/>
      <c r="DA42" s="11">
        <f t="shared" si="0"/>
        <v>21.75</v>
      </c>
      <c r="DW42" s="6">
        <f t="shared" si="3"/>
        <v>0</v>
      </c>
      <c r="DX42" s="6">
        <f t="shared" si="1"/>
        <v>0</v>
      </c>
      <c r="DY42" s="11"/>
      <c r="DZ42" s="6">
        <f t="shared" si="2"/>
        <v>0</v>
      </c>
    </row>
    <row r="43" spans="1:130" x14ac:dyDescent="0.25">
      <c r="A43">
        <v>33</v>
      </c>
      <c r="B43" s="11" t="s">
        <v>152</v>
      </c>
      <c r="C43" s="6"/>
      <c r="D43" s="6" t="s">
        <v>235</v>
      </c>
      <c r="E43" s="6" t="s">
        <v>31</v>
      </c>
      <c r="F43" s="11"/>
      <c r="G43" s="6"/>
      <c r="H43" s="6"/>
      <c r="I43" s="6"/>
      <c r="J43" s="6"/>
      <c r="K43" s="6"/>
      <c r="L43" s="6"/>
      <c r="M43" s="6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6"/>
      <c r="AF43" s="6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>
        <v>40</v>
      </c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>
        <f>SUM(BG43:CJ43)</f>
        <v>40</v>
      </c>
      <c r="CL43" s="11">
        <f>(CK43-BG43)/2</f>
        <v>20</v>
      </c>
      <c r="CM43" s="11">
        <v>42</v>
      </c>
      <c r="CN43" s="11"/>
      <c r="CO43" s="11"/>
      <c r="CP43" s="11"/>
      <c r="CQ43" s="11"/>
      <c r="CR43" s="11"/>
      <c r="CS43" s="11">
        <f t="shared" si="4"/>
        <v>62</v>
      </c>
      <c r="CT43" s="11">
        <f t="shared" si="5"/>
        <v>21</v>
      </c>
      <c r="CU43" s="11"/>
      <c r="CV43" s="11"/>
      <c r="CW43" s="11"/>
      <c r="CX43" s="11"/>
      <c r="CY43" s="11"/>
      <c r="CZ43" s="11"/>
      <c r="DA43" s="11">
        <f t="shared" si="0"/>
        <v>21</v>
      </c>
      <c r="DG43" s="8">
        <f>SUM(DC43:DF43)</f>
        <v>0</v>
      </c>
      <c r="DH43" s="8">
        <f>DG43/2</f>
        <v>0</v>
      </c>
      <c r="DI43" s="8">
        <f>CK43/4</f>
        <v>10</v>
      </c>
      <c r="DQ43">
        <f>SUM(DH43:DP43)</f>
        <v>10</v>
      </c>
      <c r="DR43">
        <f>(DQ43-DH43)/2</f>
        <v>5</v>
      </c>
      <c r="DW43" s="6">
        <f t="shared" si="3"/>
        <v>5</v>
      </c>
      <c r="DX43" s="6">
        <f t="shared" si="1"/>
        <v>0</v>
      </c>
      <c r="DY43" s="11"/>
      <c r="DZ43" s="6">
        <f t="shared" si="2"/>
        <v>0</v>
      </c>
    </row>
    <row r="44" spans="1:130" x14ac:dyDescent="0.25">
      <c r="A44">
        <v>34</v>
      </c>
      <c r="B44" s="11" t="s">
        <v>515</v>
      </c>
      <c r="C44" s="6"/>
      <c r="D44" s="6" t="s">
        <v>108</v>
      </c>
      <c r="E44" s="6" t="s">
        <v>273</v>
      </c>
      <c r="F44" s="11"/>
      <c r="G44" s="6"/>
      <c r="H44" s="6"/>
      <c r="I44" s="6"/>
      <c r="J44" s="6"/>
      <c r="K44" s="6"/>
      <c r="L44" s="6"/>
      <c r="M44" s="6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6"/>
      <c r="AF44" s="6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>
        <v>30</v>
      </c>
      <c r="CN44" s="11"/>
      <c r="CO44" s="11">
        <v>2.4</v>
      </c>
      <c r="CP44" s="11">
        <v>7.5</v>
      </c>
      <c r="CQ44" s="11"/>
      <c r="CR44" s="11"/>
      <c r="CS44" s="11">
        <f t="shared" si="4"/>
        <v>39.9</v>
      </c>
      <c r="CT44" s="11">
        <f t="shared" si="5"/>
        <v>19.95</v>
      </c>
      <c r="CU44" s="11"/>
      <c r="CV44" s="11"/>
      <c r="CW44" s="11"/>
      <c r="CX44" s="11"/>
      <c r="CY44" s="11"/>
      <c r="CZ44" s="11"/>
      <c r="DA44" s="11">
        <f t="shared" si="0"/>
        <v>19.95</v>
      </c>
      <c r="DW44" s="6">
        <f t="shared" si="3"/>
        <v>0</v>
      </c>
      <c r="DX44" s="6">
        <f t="shared" si="1"/>
        <v>0</v>
      </c>
      <c r="DY44" s="11"/>
      <c r="DZ44" s="6">
        <f t="shared" si="2"/>
        <v>0</v>
      </c>
    </row>
    <row r="45" spans="1:130" x14ac:dyDescent="0.25">
      <c r="A45">
        <v>35</v>
      </c>
      <c r="B45" s="11" t="s">
        <v>532</v>
      </c>
      <c r="C45" s="6"/>
      <c r="D45" s="6" t="s">
        <v>10</v>
      </c>
      <c r="E45" s="6" t="s">
        <v>132</v>
      </c>
      <c r="F45" s="11"/>
      <c r="G45" s="6"/>
      <c r="H45" s="6"/>
      <c r="I45" s="6"/>
      <c r="J45" s="6"/>
      <c r="K45" s="6"/>
      <c r="L45" s="6"/>
      <c r="M45" s="6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6"/>
      <c r="AF45" s="6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>
        <v>33.6</v>
      </c>
      <c r="CN45" s="11"/>
      <c r="CO45" s="11">
        <v>2.4</v>
      </c>
      <c r="CP45" s="11"/>
      <c r="CQ45" s="11"/>
      <c r="CR45" s="11"/>
      <c r="CS45" s="11">
        <f t="shared" si="4"/>
        <v>36</v>
      </c>
      <c r="CT45" s="11">
        <f t="shared" si="5"/>
        <v>18</v>
      </c>
      <c r="CU45" s="11"/>
      <c r="CV45" s="11"/>
      <c r="CW45" s="11"/>
      <c r="CX45" s="11"/>
      <c r="CY45" s="11"/>
      <c r="CZ45" s="11"/>
      <c r="DA45" s="11">
        <f t="shared" si="0"/>
        <v>18</v>
      </c>
      <c r="DW45" s="6">
        <f t="shared" si="3"/>
        <v>0</v>
      </c>
      <c r="DX45" s="6">
        <f t="shared" si="1"/>
        <v>0</v>
      </c>
      <c r="DY45" s="11"/>
      <c r="DZ45" s="6">
        <f t="shared" si="2"/>
        <v>0</v>
      </c>
    </row>
    <row r="46" spans="1:130" x14ac:dyDescent="0.25">
      <c r="A46">
        <v>36</v>
      </c>
      <c r="B46" s="11" t="s">
        <v>681</v>
      </c>
      <c r="C46" s="6"/>
      <c r="D46" s="6" t="s">
        <v>327</v>
      </c>
      <c r="E46" s="6" t="s">
        <v>121</v>
      </c>
      <c r="F46" s="11"/>
      <c r="G46" s="6"/>
      <c r="H46" s="6"/>
      <c r="I46" s="6"/>
      <c r="J46" s="6"/>
      <c r="K46" s="6"/>
      <c r="L46" s="6"/>
      <c r="M46" s="6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6"/>
      <c r="AF46" s="6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>
        <v>2.4</v>
      </c>
      <c r="CV46" s="11">
        <v>4</v>
      </c>
      <c r="CW46" s="11">
        <v>7.5</v>
      </c>
      <c r="CX46" s="11">
        <v>2.4</v>
      </c>
      <c r="CY46" s="11"/>
      <c r="CZ46" s="11"/>
      <c r="DA46" s="11">
        <f t="shared" si="0"/>
        <v>16.3</v>
      </c>
      <c r="DW46" s="6">
        <f t="shared" si="3"/>
        <v>0</v>
      </c>
      <c r="DX46" s="6">
        <f t="shared" si="1"/>
        <v>0</v>
      </c>
      <c r="DY46" s="11"/>
      <c r="DZ46" s="6">
        <f t="shared" si="2"/>
        <v>0</v>
      </c>
    </row>
    <row r="47" spans="1:130" x14ac:dyDescent="0.25">
      <c r="A47">
        <v>37</v>
      </c>
      <c r="B47" s="11" t="s">
        <v>162</v>
      </c>
      <c r="C47" s="6"/>
      <c r="D47" s="6" t="s">
        <v>122</v>
      </c>
      <c r="E47" s="6" t="s">
        <v>149</v>
      </c>
      <c r="F47" s="11"/>
      <c r="G47" s="6"/>
      <c r="H47" s="6"/>
      <c r="I47" s="6"/>
      <c r="J47" s="6"/>
      <c r="K47" s="6"/>
      <c r="L47" s="6"/>
      <c r="M47" s="6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6"/>
      <c r="AF47" s="6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>
        <v>2.4</v>
      </c>
      <c r="CN47" s="11">
        <v>4</v>
      </c>
      <c r="CO47" s="11">
        <v>7.5</v>
      </c>
      <c r="CP47" s="11">
        <v>7.5</v>
      </c>
      <c r="CQ47" s="11"/>
      <c r="CR47" s="11"/>
      <c r="CS47" s="11">
        <f>SUM(CL47:CR47)</f>
        <v>21.4</v>
      </c>
      <c r="CT47" s="11">
        <f>(CS47-CL47)/2</f>
        <v>10.7</v>
      </c>
      <c r="CU47" s="11"/>
      <c r="CV47" s="11"/>
      <c r="CW47" s="11"/>
      <c r="CX47" s="11"/>
      <c r="CY47" s="11"/>
      <c r="CZ47" s="11"/>
      <c r="DA47" s="11">
        <f t="shared" si="0"/>
        <v>10.7</v>
      </c>
      <c r="DW47" s="6">
        <f t="shared" si="3"/>
        <v>0</v>
      </c>
      <c r="DX47" s="6">
        <f t="shared" si="1"/>
        <v>0</v>
      </c>
      <c r="DY47" s="11"/>
      <c r="DZ47" s="6">
        <f t="shared" si="2"/>
        <v>0</v>
      </c>
    </row>
    <row r="48" spans="1:130" x14ac:dyDescent="0.25">
      <c r="A48">
        <v>38</v>
      </c>
      <c r="B48" s="11" t="s">
        <v>592</v>
      </c>
      <c r="C48" s="6"/>
      <c r="D48" s="6" t="s">
        <v>22</v>
      </c>
      <c r="E48" s="6" t="s">
        <v>657</v>
      </c>
      <c r="F48" s="11"/>
      <c r="G48" s="6"/>
      <c r="H48" s="6"/>
      <c r="I48" s="6"/>
      <c r="J48" s="6"/>
      <c r="K48" s="6"/>
      <c r="L48" s="6"/>
      <c r="M48" s="6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6"/>
      <c r="AF48" s="6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>
        <v>3</v>
      </c>
      <c r="CV48" s="11"/>
      <c r="CW48" s="11">
        <v>5</v>
      </c>
      <c r="CX48" s="11"/>
      <c r="CY48" s="11"/>
      <c r="CZ48" s="11"/>
      <c r="DA48" s="11">
        <f t="shared" si="0"/>
        <v>8</v>
      </c>
      <c r="DW48" s="6">
        <f t="shared" si="3"/>
        <v>0</v>
      </c>
      <c r="DX48" s="6">
        <f t="shared" si="1"/>
        <v>0</v>
      </c>
      <c r="DY48" s="11"/>
      <c r="DZ48" s="6">
        <f t="shared" si="2"/>
        <v>0</v>
      </c>
    </row>
    <row r="49" spans="1:130" x14ac:dyDescent="0.25">
      <c r="A49">
        <v>39</v>
      </c>
      <c r="B49" s="11" t="s">
        <v>99</v>
      </c>
      <c r="C49" s="6"/>
      <c r="D49" s="6" t="s">
        <v>22</v>
      </c>
      <c r="E49" s="6" t="s">
        <v>581</v>
      </c>
      <c r="F49" s="11"/>
      <c r="G49" s="6"/>
      <c r="H49" s="6"/>
      <c r="I49" s="6"/>
      <c r="J49" s="6"/>
      <c r="K49" s="6"/>
      <c r="L49" s="6"/>
      <c r="M49" s="6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6"/>
      <c r="AF49" s="6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>
        <v>4</v>
      </c>
      <c r="CO49" s="11">
        <v>4</v>
      </c>
      <c r="CP49" s="11"/>
      <c r="CQ49" s="11"/>
      <c r="CR49" s="11"/>
      <c r="CS49" s="11">
        <f>SUM(CL49:CR49)</f>
        <v>8</v>
      </c>
      <c r="CT49" s="11">
        <f>(CS49-CL49)/2</f>
        <v>4</v>
      </c>
      <c r="CU49" s="11"/>
      <c r="CV49" s="11"/>
      <c r="CW49" s="11"/>
      <c r="CX49" s="11"/>
      <c r="CY49" s="11"/>
      <c r="CZ49" s="11"/>
      <c r="DA49" s="11">
        <f t="shared" si="0"/>
        <v>4</v>
      </c>
      <c r="DW49" s="6">
        <f t="shared" si="3"/>
        <v>0</v>
      </c>
      <c r="DX49" s="6">
        <f t="shared" si="1"/>
        <v>0</v>
      </c>
      <c r="DY49" s="11"/>
      <c r="DZ49" s="6">
        <f t="shared" si="2"/>
        <v>0</v>
      </c>
    </row>
    <row r="50" spans="1:130" x14ac:dyDescent="0.25">
      <c r="A50">
        <v>40</v>
      </c>
      <c r="B50" s="11" t="s">
        <v>691</v>
      </c>
      <c r="C50" s="6"/>
      <c r="D50" s="6" t="s">
        <v>133</v>
      </c>
      <c r="E50" s="6" t="s">
        <v>538</v>
      </c>
      <c r="F50" s="11"/>
      <c r="G50" s="6"/>
      <c r="H50" s="6"/>
      <c r="I50" s="6"/>
      <c r="J50" s="6"/>
      <c r="K50" s="6"/>
      <c r="L50" s="6"/>
      <c r="M50" s="6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6"/>
      <c r="AF50" s="6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>
        <v>4</v>
      </c>
      <c r="CW50" s="11"/>
      <c r="CX50" s="11"/>
      <c r="CY50" s="11"/>
      <c r="CZ50" s="11"/>
      <c r="DA50" s="11">
        <f t="shared" si="0"/>
        <v>4</v>
      </c>
      <c r="DW50" s="6">
        <f t="shared" si="3"/>
        <v>0</v>
      </c>
      <c r="DX50" s="6">
        <f t="shared" si="1"/>
        <v>0</v>
      </c>
      <c r="DY50" s="11"/>
      <c r="DZ50" s="6">
        <f t="shared" si="2"/>
        <v>0</v>
      </c>
    </row>
    <row r="51" spans="1:130" x14ac:dyDescent="0.25">
      <c r="A51">
        <v>41</v>
      </c>
      <c r="B51" s="11" t="s">
        <v>97</v>
      </c>
      <c r="C51" s="6"/>
      <c r="D51" s="6" t="s">
        <v>522</v>
      </c>
      <c r="E51" s="6" t="s">
        <v>326</v>
      </c>
      <c r="F51" s="11"/>
      <c r="G51" s="6"/>
      <c r="H51" s="6"/>
      <c r="I51" s="6"/>
      <c r="J51" s="6"/>
      <c r="K51" s="6"/>
      <c r="L51" s="6"/>
      <c r="M51" s="6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6"/>
      <c r="AF51" s="6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>
        <v>2.4</v>
      </c>
      <c r="CN51" s="11"/>
      <c r="CO51" s="11">
        <v>5</v>
      </c>
      <c r="CP51" s="11"/>
      <c r="CQ51" s="11"/>
      <c r="CR51" s="11"/>
      <c r="CS51" s="11">
        <f>SUM(CL51:CR51)</f>
        <v>7.4</v>
      </c>
      <c r="CT51" s="11">
        <f>(CS51-CL51)/2</f>
        <v>3.7</v>
      </c>
      <c r="CU51" s="11"/>
      <c r="CV51" s="11"/>
      <c r="CW51" s="11"/>
      <c r="CX51" s="11"/>
      <c r="CY51" s="11"/>
      <c r="CZ51" s="11"/>
      <c r="DA51" s="11">
        <f t="shared" si="0"/>
        <v>3.7</v>
      </c>
      <c r="DW51" s="6">
        <f t="shared" si="3"/>
        <v>0</v>
      </c>
      <c r="DX51" s="6">
        <f t="shared" si="1"/>
        <v>0</v>
      </c>
      <c r="DY51" s="11"/>
      <c r="DZ51" s="6">
        <f t="shared" si="2"/>
        <v>0</v>
      </c>
    </row>
    <row r="52" spans="1:130" x14ac:dyDescent="0.25">
      <c r="A52">
        <v>42</v>
      </c>
      <c r="B52" s="11" t="s">
        <v>660</v>
      </c>
      <c r="C52" s="6"/>
      <c r="D52" s="6" t="s">
        <v>22</v>
      </c>
      <c r="E52" s="6" t="s">
        <v>201</v>
      </c>
      <c r="F52" s="11"/>
      <c r="G52" s="6"/>
      <c r="H52" s="6"/>
      <c r="I52" s="6"/>
      <c r="J52" s="6"/>
      <c r="K52" s="6"/>
      <c r="L52" s="6"/>
      <c r="M52" s="6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6"/>
      <c r="AF52" s="6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>
        <v>3</v>
      </c>
      <c r="CV52" s="11"/>
      <c r="CW52" s="11"/>
      <c r="CX52" s="11"/>
      <c r="CY52" s="11"/>
      <c r="CZ52" s="11"/>
      <c r="DA52" s="11">
        <f t="shared" si="0"/>
        <v>3</v>
      </c>
      <c r="DW52" s="6">
        <f t="shared" si="3"/>
        <v>0</v>
      </c>
      <c r="DX52" s="6">
        <f t="shared" si="1"/>
        <v>0</v>
      </c>
      <c r="DY52" s="11"/>
      <c r="DZ52" s="6">
        <f t="shared" si="2"/>
        <v>0</v>
      </c>
    </row>
    <row r="53" spans="1:130" x14ac:dyDescent="0.25">
      <c r="A53">
        <v>43</v>
      </c>
      <c r="B53" s="11" t="s">
        <v>515</v>
      </c>
      <c r="C53" s="6"/>
      <c r="D53" s="6" t="s">
        <v>516</v>
      </c>
      <c r="E53" s="6" t="s">
        <v>273</v>
      </c>
      <c r="F53" s="11"/>
      <c r="G53" s="6"/>
      <c r="H53" s="6"/>
      <c r="I53" s="6"/>
      <c r="J53" s="6"/>
      <c r="K53" s="6"/>
      <c r="L53" s="6"/>
      <c r="M53" s="6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6"/>
      <c r="AF53" s="6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>
        <v>3</v>
      </c>
      <c r="CN53" s="11"/>
      <c r="CO53" s="11"/>
      <c r="CP53" s="11"/>
      <c r="CQ53" s="11"/>
      <c r="CR53" s="11"/>
      <c r="CS53" s="11">
        <f>SUM(CL53:CR53)</f>
        <v>3</v>
      </c>
      <c r="CT53" s="11">
        <f>(CS53-CL53)/2</f>
        <v>1.5</v>
      </c>
      <c r="CU53" s="11"/>
      <c r="CV53" s="11"/>
      <c r="CW53" s="11"/>
      <c r="CX53" s="11"/>
      <c r="CY53" s="11"/>
      <c r="CZ53" s="11"/>
      <c r="DA53" s="11">
        <f t="shared" si="0"/>
        <v>1.5</v>
      </c>
      <c r="DW53" s="6">
        <f t="shared" si="3"/>
        <v>0</v>
      </c>
      <c r="DX53" s="6">
        <f t="shared" si="1"/>
        <v>0</v>
      </c>
      <c r="DY53" s="11"/>
      <c r="DZ53" s="6">
        <f t="shared" si="2"/>
        <v>0</v>
      </c>
    </row>
    <row r="54" spans="1:130" x14ac:dyDescent="0.25">
      <c r="A54">
        <v>44</v>
      </c>
      <c r="B54" s="11" t="s">
        <v>113</v>
      </c>
      <c r="C54" s="6"/>
      <c r="D54" s="6" t="s">
        <v>22</v>
      </c>
      <c r="E54" s="6" t="s">
        <v>42</v>
      </c>
      <c r="F54" s="11"/>
      <c r="G54" s="6"/>
      <c r="H54" s="6"/>
      <c r="I54" s="6"/>
      <c r="J54" s="6"/>
      <c r="K54" s="6"/>
      <c r="L54" s="6"/>
      <c r="M54" s="6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6"/>
      <c r="AF54" s="6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>
        <v>33.6</v>
      </c>
      <c r="BQ54" s="11"/>
      <c r="BR54" s="11"/>
      <c r="BS54" s="11"/>
      <c r="BT54" s="11"/>
      <c r="BU54" s="11"/>
      <c r="BV54" s="11"/>
      <c r="BW54" s="11"/>
      <c r="BX54" s="11">
        <v>28.8</v>
      </c>
      <c r="BY54" s="11">
        <v>7.5</v>
      </c>
      <c r="BZ54" s="11"/>
      <c r="CA54" s="11"/>
      <c r="CB54" s="11">
        <v>33.6</v>
      </c>
      <c r="CC54" s="11"/>
      <c r="CD54" s="11"/>
      <c r="CE54" s="11"/>
      <c r="CF54" s="11"/>
      <c r="CG54" s="11"/>
      <c r="CH54" s="11"/>
      <c r="CI54" s="11">
        <v>7.5</v>
      </c>
      <c r="CJ54" s="11"/>
      <c r="CK54" s="11">
        <f>SUM(BG54:CJ54)</f>
        <v>111</v>
      </c>
      <c r="CL54" s="11">
        <f>(CK54-BG54)/2</f>
        <v>55.5</v>
      </c>
      <c r="CM54" s="11"/>
      <c r="CN54" s="11"/>
      <c r="CO54" s="11"/>
      <c r="CP54" s="11"/>
      <c r="CQ54" s="11"/>
      <c r="CR54" s="11"/>
      <c r="CS54" s="11">
        <f>SUM(CL54:CR54)</f>
        <v>55.5</v>
      </c>
      <c r="CT54" s="11">
        <f>(CS54-CL54)/2</f>
        <v>0</v>
      </c>
      <c r="CU54" s="11"/>
      <c r="CV54" s="11"/>
      <c r="CW54" s="11"/>
      <c r="CX54" s="11"/>
      <c r="CY54" s="11"/>
      <c r="CZ54" s="11"/>
      <c r="DA54" s="11">
        <f t="shared" si="0"/>
        <v>0</v>
      </c>
      <c r="DG54" s="8">
        <f>SUM(DC54:DF54)</f>
        <v>0</v>
      </c>
      <c r="DH54" s="8">
        <f>DG54/2</f>
        <v>0</v>
      </c>
      <c r="DI54" s="8">
        <f>CK54/4</f>
        <v>27.75</v>
      </c>
      <c r="DQ54">
        <f>SUM(DH54:DP54)</f>
        <v>27.75</v>
      </c>
      <c r="DR54">
        <f>(DQ54-DH54)/2</f>
        <v>13.875</v>
      </c>
      <c r="DW54" s="6">
        <f t="shared" si="3"/>
        <v>13.875</v>
      </c>
      <c r="DX54" s="6">
        <f t="shared" si="1"/>
        <v>0</v>
      </c>
      <c r="DY54" s="11"/>
      <c r="DZ54" s="6">
        <f t="shared" si="2"/>
        <v>0</v>
      </c>
    </row>
    <row r="55" spans="1:130" x14ac:dyDescent="0.25">
      <c r="A55">
        <v>45</v>
      </c>
      <c r="B55" s="11" t="s">
        <v>144</v>
      </c>
      <c r="C55" s="6" t="s">
        <v>62</v>
      </c>
      <c r="D55" s="6" t="s">
        <v>22</v>
      </c>
      <c r="E55" s="6" t="s">
        <v>374</v>
      </c>
      <c r="BT55" s="8">
        <v>36</v>
      </c>
      <c r="CH55" s="8">
        <v>36</v>
      </c>
      <c r="CK55" s="8">
        <f>SUM(BG55:CJ55)</f>
        <v>72</v>
      </c>
      <c r="CL55" s="8">
        <f>(CK55-BG55)/2</f>
        <v>36</v>
      </c>
      <c r="CS55" s="11">
        <f>SUM(CL55:CR55)</f>
        <v>36</v>
      </c>
      <c r="CT55" s="11">
        <f>(CS55-CL55)/2</f>
        <v>0</v>
      </c>
      <c r="CU55" s="11"/>
      <c r="CV55" s="11"/>
      <c r="CW55" s="11"/>
      <c r="CX55" s="11"/>
      <c r="CY55" s="11"/>
      <c r="CZ55" s="11"/>
      <c r="DA55" s="11">
        <f t="shared" si="0"/>
        <v>0</v>
      </c>
      <c r="DG55" s="8">
        <f>SUM(DC55:DF55)</f>
        <v>0</v>
      </c>
      <c r="DH55" s="8">
        <f>DG55/2</f>
        <v>0</v>
      </c>
      <c r="DI55" s="8">
        <f>CK55/4</f>
        <v>18</v>
      </c>
      <c r="DQ55">
        <f>SUM(DH55:DP55)</f>
        <v>18</v>
      </c>
      <c r="DR55">
        <f>(DQ55-DH55)/2</f>
        <v>9</v>
      </c>
      <c r="DW55" s="6">
        <f t="shared" si="3"/>
        <v>9</v>
      </c>
      <c r="DX55" s="6">
        <f t="shared" si="1"/>
        <v>0</v>
      </c>
      <c r="DY55" s="11"/>
      <c r="DZ55" s="6">
        <f t="shared" si="2"/>
        <v>0</v>
      </c>
    </row>
  </sheetData>
  <sortState xmlns:xlrd2="http://schemas.microsoft.com/office/spreadsheetml/2017/richdata2" ref="B11:DZ55">
    <sortCondition descending="1" ref="DA11:DA55"/>
  </sortState>
  <mergeCells count="6">
    <mergeCell ref="B1:DZ1"/>
    <mergeCell ref="B8:C10"/>
    <mergeCell ref="CO9:CR9"/>
    <mergeCell ref="CW9:CZ9"/>
    <mergeCell ref="D4:DA5"/>
    <mergeCell ref="DC4:DZ5"/>
  </mergeCells>
  <conditionalFormatting sqref="D31:D36 D38 D40:D47 D49:D54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W46"/>
  <sheetViews>
    <sheetView topLeftCell="A3" zoomScale="80" zoomScaleNormal="80" workbookViewId="0">
      <selection activeCell="EC21" sqref="EC21"/>
    </sheetView>
  </sheetViews>
  <sheetFormatPr baseColWidth="10" defaultRowHeight="15" x14ac:dyDescent="0.25"/>
  <cols>
    <col min="1" max="1" width="3.140625" bestFit="1" customWidth="1"/>
    <col min="2" max="2" width="12.28515625" bestFit="1" customWidth="1"/>
    <col min="3" max="3" width="12.42578125" bestFit="1" customWidth="1"/>
    <col min="5" max="5" width="23.42578125" bestFit="1" customWidth="1"/>
    <col min="6" max="6" width="6.7109375" hidden="1" customWidth="1"/>
    <col min="7" max="10" width="6.42578125" hidden="1" customWidth="1"/>
    <col min="11" max="14" width="7.28515625" hidden="1" customWidth="1"/>
    <col min="15" max="16" width="6.28515625" hidden="1" customWidth="1"/>
    <col min="17" max="17" width="6.28515625" style="8" hidden="1" customWidth="1"/>
    <col min="18" max="21" width="6.7109375" style="8" hidden="1" customWidth="1"/>
    <col min="22" max="27" width="7.28515625" style="8" hidden="1" customWidth="1"/>
    <col min="28" max="29" width="0" hidden="1" customWidth="1"/>
    <col min="30" max="30" width="6" hidden="1" customWidth="1"/>
    <col min="31" max="51" width="6" style="15" hidden="1" customWidth="1"/>
    <col min="52" max="52" width="6.28515625" style="15" hidden="1" customWidth="1"/>
    <col min="53" max="54" width="6.85546875" style="15" hidden="1" customWidth="1"/>
    <col min="55" max="55" width="10.5703125" style="15" hidden="1" customWidth="1"/>
    <col min="56" max="57" width="6" style="15" hidden="1" customWidth="1"/>
    <col min="58" max="72" width="6.28515625" style="15" hidden="1" customWidth="1"/>
    <col min="73" max="73" width="10.85546875" style="15" hidden="1" customWidth="1"/>
    <col min="74" max="80" width="6.140625" style="15" hidden="1" customWidth="1"/>
    <col min="81" max="81" width="6.28515625" style="15" hidden="1" customWidth="1"/>
    <col min="82" max="82" width="7.85546875" style="15" hidden="1" customWidth="1"/>
    <col min="83" max="88" width="6.28515625" style="15" hidden="1" customWidth="1"/>
    <col min="89" max="89" width="6.28515625" style="15" customWidth="1"/>
    <col min="90" max="90" width="7.85546875" style="15" bestFit="1" customWidth="1"/>
    <col min="91" max="96" width="6.28515625" style="15" customWidth="1"/>
    <col min="97" max="97" width="7.7109375" style="15" bestFit="1" customWidth="1"/>
    <col min="99" max="99" width="0" hidden="1" customWidth="1"/>
    <col min="100" max="101" width="8.5703125" hidden="1" customWidth="1"/>
    <col min="102" max="102" width="7.140625" hidden="1" customWidth="1"/>
    <col min="103" max="104" width="7.5703125" hidden="1" customWidth="1"/>
    <col min="105" max="105" width="0" hidden="1" customWidth="1"/>
    <col min="106" max="107" width="0" style="8" hidden="1" customWidth="1"/>
    <col min="108" max="115" width="6" style="8" hidden="1" customWidth="1"/>
    <col min="116" max="116" width="0" hidden="1" customWidth="1"/>
    <col min="117" max="117" width="10" hidden="1" customWidth="1"/>
    <col min="118" max="121" width="6.5703125" style="8" hidden="1" customWidth="1"/>
    <col min="124" max="124" width="9.28515625" bestFit="1" customWidth="1"/>
    <col min="125" max="125" width="6" bestFit="1" customWidth="1"/>
    <col min="126" max="126" width="6" style="8" customWidth="1"/>
  </cols>
  <sheetData>
    <row r="1" spans="1:127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</row>
    <row r="2" spans="1:127" ht="15.75" thickBot="1" x14ac:dyDescent="0.3">
      <c r="C2" s="8"/>
      <c r="D2" s="8"/>
      <c r="E2" s="8"/>
      <c r="F2" s="8"/>
      <c r="CU2" s="8"/>
      <c r="DA2" s="8"/>
    </row>
    <row r="3" spans="1:127" ht="15.75" thickTop="1" x14ac:dyDescent="0.25">
      <c r="B3" s="1" t="s">
        <v>0</v>
      </c>
      <c r="C3" s="4" t="s">
        <v>18</v>
      </c>
      <c r="CU3" s="8"/>
      <c r="DA3" s="8"/>
    </row>
    <row r="4" spans="1:127" ht="14.6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U4" s="64" t="s">
        <v>617</v>
      </c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</row>
    <row r="5" spans="1:127" ht="15" customHeight="1" thickBot="1" x14ac:dyDescent="0.3">
      <c r="B5" s="3" t="s">
        <v>2</v>
      </c>
      <c r="C5" s="33">
        <v>-81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</row>
    <row r="6" spans="1:127" ht="15.75" thickTop="1" x14ac:dyDescent="0.25">
      <c r="CU6" s="8"/>
      <c r="DA6" s="8"/>
    </row>
    <row r="7" spans="1:127" ht="15.75" thickBot="1" x14ac:dyDescent="0.3">
      <c r="CU7" s="8"/>
      <c r="DA7" s="8"/>
    </row>
    <row r="8" spans="1:127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25</v>
      </c>
      <c r="J8" s="4" t="s">
        <v>79</v>
      </c>
      <c r="K8" s="4" t="s">
        <v>100</v>
      </c>
      <c r="L8" s="4" t="s">
        <v>102</v>
      </c>
      <c r="M8" s="4" t="s">
        <v>15</v>
      </c>
      <c r="N8" s="4" t="s">
        <v>15</v>
      </c>
      <c r="O8" s="4" t="s">
        <v>139</v>
      </c>
      <c r="P8" s="4" t="s">
        <v>142</v>
      </c>
      <c r="Q8" s="4" t="s">
        <v>145</v>
      </c>
      <c r="R8" s="4" t="s">
        <v>15</v>
      </c>
      <c r="S8" s="4" t="s">
        <v>15</v>
      </c>
      <c r="T8" s="4" t="s">
        <v>15</v>
      </c>
      <c r="U8" s="4" t="s">
        <v>15</v>
      </c>
      <c r="V8" s="4" t="s">
        <v>15</v>
      </c>
      <c r="W8" s="4" t="s">
        <v>15</v>
      </c>
      <c r="X8" s="4" t="s">
        <v>15</v>
      </c>
      <c r="Y8" s="4" t="s">
        <v>159</v>
      </c>
      <c r="Z8" s="4" t="s">
        <v>15</v>
      </c>
      <c r="AA8" s="4" t="s">
        <v>164</v>
      </c>
      <c r="AB8" s="1"/>
      <c r="AC8" s="12">
        <v>44927</v>
      </c>
      <c r="AD8" s="4" t="s">
        <v>15</v>
      </c>
      <c r="AE8" s="13" t="s">
        <v>15</v>
      </c>
      <c r="AF8" s="13" t="s">
        <v>15</v>
      </c>
      <c r="AG8" s="4" t="s">
        <v>15</v>
      </c>
      <c r="AH8" s="4" t="s">
        <v>184</v>
      </c>
      <c r="AI8" s="4" t="s">
        <v>15</v>
      </c>
      <c r="AJ8" s="4" t="s">
        <v>15</v>
      </c>
      <c r="AK8" s="4" t="s">
        <v>15</v>
      </c>
      <c r="AL8" s="4" t="s">
        <v>224</v>
      </c>
      <c r="AM8" s="4" t="s">
        <v>224</v>
      </c>
      <c r="AN8" s="4" t="s">
        <v>224</v>
      </c>
      <c r="AO8" s="4" t="s">
        <v>15</v>
      </c>
      <c r="AP8" s="4" t="s">
        <v>164</v>
      </c>
      <c r="AQ8" s="4" t="s">
        <v>15</v>
      </c>
      <c r="AR8" s="4" t="s">
        <v>15</v>
      </c>
      <c r="AS8" s="4" t="s">
        <v>15</v>
      </c>
      <c r="AT8" s="4" t="s">
        <v>15</v>
      </c>
      <c r="AU8" s="4" t="s">
        <v>15</v>
      </c>
      <c r="AV8" s="4" t="s">
        <v>164</v>
      </c>
      <c r="AW8" s="4" t="s">
        <v>15</v>
      </c>
      <c r="AX8" s="4" t="s">
        <v>15</v>
      </c>
      <c r="AY8" s="4" t="s">
        <v>165</v>
      </c>
      <c r="AZ8" s="13" t="s">
        <v>6</v>
      </c>
      <c r="BA8" s="28">
        <v>45292</v>
      </c>
      <c r="BB8" s="28" t="s">
        <v>15</v>
      </c>
      <c r="BC8" s="28" t="s">
        <v>15</v>
      </c>
      <c r="BD8" s="28" t="s">
        <v>15</v>
      </c>
      <c r="BE8" s="28" t="s">
        <v>15</v>
      </c>
      <c r="BF8" s="28" t="s">
        <v>15</v>
      </c>
      <c r="BG8" s="28" t="s">
        <v>15</v>
      </c>
      <c r="BH8" s="28" t="s">
        <v>15</v>
      </c>
      <c r="BI8" s="28" t="s">
        <v>15</v>
      </c>
      <c r="BJ8" s="28" t="s">
        <v>15</v>
      </c>
      <c r="BK8" s="28" t="s">
        <v>164</v>
      </c>
      <c r="BL8" s="28" t="s">
        <v>164</v>
      </c>
      <c r="BM8" s="28" t="s">
        <v>224</v>
      </c>
      <c r="BN8" s="28" t="s">
        <v>224</v>
      </c>
      <c r="BO8" s="28" t="s">
        <v>224</v>
      </c>
      <c r="BP8" s="28" t="s">
        <v>164</v>
      </c>
      <c r="BQ8" s="28" t="s">
        <v>15</v>
      </c>
      <c r="BR8" s="28" t="s">
        <v>15</v>
      </c>
      <c r="BS8" s="28" t="s">
        <v>15</v>
      </c>
      <c r="BT8" s="28" t="s">
        <v>15</v>
      </c>
      <c r="BU8" s="28" t="s">
        <v>15</v>
      </c>
      <c r="BV8" s="28" t="s">
        <v>15</v>
      </c>
      <c r="BW8" s="28" t="s">
        <v>15</v>
      </c>
      <c r="BX8" s="28" t="s">
        <v>15</v>
      </c>
      <c r="BY8" s="28" t="s">
        <v>15</v>
      </c>
      <c r="BZ8" s="28" t="s">
        <v>15</v>
      </c>
      <c r="CA8" s="28" t="s">
        <v>164</v>
      </c>
      <c r="CB8" s="28" t="s">
        <v>165</v>
      </c>
      <c r="CC8" s="28" t="s">
        <v>6</v>
      </c>
      <c r="CD8" s="28">
        <v>45658</v>
      </c>
      <c r="CE8" s="28"/>
      <c r="CF8" s="28"/>
      <c r="CG8" s="29"/>
      <c r="CH8" s="30"/>
      <c r="CI8" s="30"/>
      <c r="CJ8" s="31"/>
      <c r="CK8" s="28" t="s">
        <v>6</v>
      </c>
      <c r="CL8" s="28">
        <v>46023</v>
      </c>
      <c r="CM8" s="28"/>
      <c r="CN8" s="28"/>
      <c r="CO8" s="35"/>
      <c r="CP8" s="36"/>
      <c r="CQ8" s="36"/>
      <c r="CR8" s="37"/>
      <c r="CS8" s="28" t="s">
        <v>213</v>
      </c>
      <c r="CU8" s="4" t="s">
        <v>212</v>
      </c>
      <c r="CV8" s="1" t="s">
        <v>215</v>
      </c>
      <c r="CW8" s="1" t="s">
        <v>246</v>
      </c>
      <c r="CX8" s="13" t="s">
        <v>163</v>
      </c>
      <c r="CY8" s="13" t="s">
        <v>265</v>
      </c>
      <c r="CZ8" s="13" t="s">
        <v>282</v>
      </c>
      <c r="DA8" s="4" t="s">
        <v>213</v>
      </c>
      <c r="DB8" s="28">
        <v>45292</v>
      </c>
      <c r="DC8" s="4" t="s">
        <v>212</v>
      </c>
      <c r="DD8" s="4" t="s">
        <v>287</v>
      </c>
      <c r="DE8" s="4" t="s">
        <v>25</v>
      </c>
      <c r="DF8" s="4" t="s">
        <v>156</v>
      </c>
      <c r="DG8" s="4" t="s">
        <v>397</v>
      </c>
      <c r="DH8" s="4" t="s">
        <v>156</v>
      </c>
      <c r="DI8" s="4" t="s">
        <v>163</v>
      </c>
      <c r="DJ8" s="4" t="s">
        <v>156</v>
      </c>
      <c r="DK8" s="4" t="s">
        <v>282</v>
      </c>
      <c r="DL8" s="1" t="s">
        <v>6</v>
      </c>
      <c r="DM8" s="28">
        <v>45658</v>
      </c>
      <c r="DN8" s="4" t="s">
        <v>287</v>
      </c>
      <c r="DO8" s="4" t="s">
        <v>25</v>
      </c>
      <c r="DP8" s="4" t="s">
        <v>163</v>
      </c>
      <c r="DQ8" s="4" t="s">
        <v>282</v>
      </c>
      <c r="DR8" s="4" t="s">
        <v>213</v>
      </c>
      <c r="DS8" s="28">
        <v>46023</v>
      </c>
      <c r="DT8" s="4" t="s">
        <v>740</v>
      </c>
      <c r="DU8" s="4" t="s">
        <v>770</v>
      </c>
      <c r="DV8" s="4" t="s">
        <v>163</v>
      </c>
      <c r="DW8" s="1" t="s">
        <v>6</v>
      </c>
    </row>
    <row r="9" spans="1:127" x14ac:dyDescent="0.25">
      <c r="B9" s="58"/>
      <c r="C9" s="59"/>
      <c r="D9" s="2"/>
      <c r="E9" s="2"/>
      <c r="F9" s="5" t="s">
        <v>80</v>
      </c>
      <c r="G9" s="9" t="s">
        <v>54</v>
      </c>
      <c r="H9" s="9" t="s">
        <v>68</v>
      </c>
      <c r="I9" s="5" t="s">
        <v>28</v>
      </c>
      <c r="J9" s="9" t="s">
        <v>80</v>
      </c>
      <c r="K9" s="9" t="s">
        <v>101</v>
      </c>
      <c r="L9" s="9" t="s">
        <v>103</v>
      </c>
      <c r="M9" s="9" t="s">
        <v>130</v>
      </c>
      <c r="N9" s="9" t="s">
        <v>120</v>
      </c>
      <c r="O9" s="9" t="s">
        <v>140</v>
      </c>
      <c r="P9" s="9" t="s">
        <v>143</v>
      </c>
      <c r="Q9" s="9" t="s">
        <v>80</v>
      </c>
      <c r="R9" s="9" t="s">
        <v>54</v>
      </c>
      <c r="S9" s="9" t="s">
        <v>151</v>
      </c>
      <c r="T9" s="9" t="s">
        <v>153</v>
      </c>
      <c r="U9" s="9" t="s">
        <v>130</v>
      </c>
      <c r="V9" s="9" t="s">
        <v>120</v>
      </c>
      <c r="W9" s="9" t="s">
        <v>16</v>
      </c>
      <c r="X9" s="9" t="s">
        <v>155</v>
      </c>
      <c r="Y9" s="9" t="s">
        <v>160</v>
      </c>
      <c r="Z9" s="9" t="s">
        <v>155</v>
      </c>
      <c r="AA9" s="9" t="s">
        <v>165</v>
      </c>
      <c r="AB9" s="2" t="s">
        <v>6</v>
      </c>
      <c r="AC9" s="2"/>
      <c r="AD9" s="9" t="s">
        <v>54</v>
      </c>
      <c r="AE9" s="14" t="s">
        <v>16</v>
      </c>
      <c r="AF9" s="14" t="s">
        <v>148</v>
      </c>
      <c r="AG9" s="5" t="s">
        <v>40</v>
      </c>
      <c r="AH9" s="9" t="s">
        <v>136</v>
      </c>
      <c r="AI9" s="9" t="s">
        <v>130</v>
      </c>
      <c r="AJ9" s="9" t="s">
        <v>155</v>
      </c>
      <c r="AK9" s="9" t="s">
        <v>70</v>
      </c>
      <c r="AL9" s="9" t="s">
        <v>139</v>
      </c>
      <c r="AM9" s="9" t="s">
        <v>142</v>
      </c>
      <c r="AN9" s="9" t="s">
        <v>136</v>
      </c>
      <c r="AO9" s="9" t="s">
        <v>120</v>
      </c>
      <c r="AP9" s="9" t="s">
        <v>139</v>
      </c>
      <c r="AQ9" s="9" t="s">
        <v>256</v>
      </c>
      <c r="AR9" s="9" t="s">
        <v>54</v>
      </c>
      <c r="AS9" s="9" t="s">
        <v>155</v>
      </c>
      <c r="AT9" s="9" t="s">
        <v>130</v>
      </c>
      <c r="AU9" s="9" t="s">
        <v>40</v>
      </c>
      <c r="AV9" s="9" t="s">
        <v>142</v>
      </c>
      <c r="AW9" s="9" t="s">
        <v>120</v>
      </c>
      <c r="AX9" s="9" t="s">
        <v>16</v>
      </c>
      <c r="AY9" s="9"/>
      <c r="AZ9" s="14"/>
      <c r="BA9" s="5"/>
      <c r="BB9" s="5" t="s">
        <v>130</v>
      </c>
      <c r="BC9" s="5" t="s">
        <v>268</v>
      </c>
      <c r="BD9" s="5" t="s">
        <v>16</v>
      </c>
      <c r="BE9" s="5" t="s">
        <v>333</v>
      </c>
      <c r="BF9" s="5" t="s">
        <v>256</v>
      </c>
      <c r="BG9" s="5" t="s">
        <v>153</v>
      </c>
      <c r="BH9" s="5" t="s">
        <v>40</v>
      </c>
      <c r="BI9" s="5" t="s">
        <v>54</v>
      </c>
      <c r="BJ9" s="5" t="s">
        <v>70</v>
      </c>
      <c r="BK9" s="5" t="s">
        <v>139</v>
      </c>
      <c r="BL9" s="5" t="s">
        <v>372</v>
      </c>
      <c r="BM9" s="5" t="s">
        <v>139</v>
      </c>
      <c r="BN9" s="5" t="s">
        <v>136</v>
      </c>
      <c r="BO9" s="5" t="s">
        <v>142</v>
      </c>
      <c r="BP9" s="5" t="s">
        <v>136</v>
      </c>
      <c r="BQ9" s="5" t="s">
        <v>130</v>
      </c>
      <c r="BR9" s="5" t="s">
        <v>333</v>
      </c>
      <c r="BS9" s="5" t="s">
        <v>40</v>
      </c>
      <c r="BT9" s="5" t="s">
        <v>256</v>
      </c>
      <c r="BU9" s="5" t="s">
        <v>268</v>
      </c>
      <c r="BV9" s="5" t="s">
        <v>153</v>
      </c>
      <c r="BW9" s="5" t="s">
        <v>54</v>
      </c>
      <c r="BX9" s="5" t="s">
        <v>16</v>
      </c>
      <c r="BY9" s="5" t="s">
        <v>70</v>
      </c>
      <c r="BZ9" s="5" t="s">
        <v>417</v>
      </c>
      <c r="CA9" s="5" t="s">
        <v>142</v>
      </c>
      <c r="CB9" s="5" t="s">
        <v>427</v>
      </c>
      <c r="CC9" s="5"/>
      <c r="CD9" s="5"/>
      <c r="CE9" s="9" t="s">
        <v>15</v>
      </c>
      <c r="CF9" s="9" t="s">
        <v>224</v>
      </c>
      <c r="CG9" s="60" t="s">
        <v>429</v>
      </c>
      <c r="CH9" s="61"/>
      <c r="CI9" s="61"/>
      <c r="CJ9" s="62"/>
      <c r="CK9" s="5"/>
      <c r="CL9" s="5"/>
      <c r="CM9" s="9" t="s">
        <v>15</v>
      </c>
      <c r="CN9" s="9" t="s">
        <v>224</v>
      </c>
      <c r="CO9" s="60" t="s">
        <v>429</v>
      </c>
      <c r="CP9" s="61"/>
      <c r="CQ9" s="61"/>
      <c r="CR9" s="62"/>
      <c r="CS9" s="9"/>
      <c r="CU9" s="5" t="s">
        <v>214</v>
      </c>
      <c r="CV9" s="2"/>
      <c r="CW9" s="2"/>
      <c r="CX9" s="14" t="s">
        <v>260</v>
      </c>
      <c r="CY9" s="14" t="s">
        <v>266</v>
      </c>
      <c r="CZ9" s="14" t="s">
        <v>283</v>
      </c>
      <c r="DA9" s="5"/>
      <c r="DB9" s="5"/>
      <c r="DC9" s="5" t="s">
        <v>214</v>
      </c>
      <c r="DD9" s="5"/>
      <c r="DE9" s="5" t="s">
        <v>343</v>
      </c>
      <c r="DF9" s="5" t="s">
        <v>28</v>
      </c>
      <c r="DG9" s="5" t="s">
        <v>28</v>
      </c>
      <c r="DH9" s="5" t="s">
        <v>260</v>
      </c>
      <c r="DI9" s="5" t="s">
        <v>260</v>
      </c>
      <c r="DJ9" s="5" t="s">
        <v>266</v>
      </c>
      <c r="DK9" s="5" t="s">
        <v>80</v>
      </c>
      <c r="DL9" s="2"/>
      <c r="DM9" s="5"/>
      <c r="DN9" s="5"/>
      <c r="DO9" s="5" t="s">
        <v>28</v>
      </c>
      <c r="DP9" s="5" t="s">
        <v>260</v>
      </c>
      <c r="DQ9" s="5" t="s">
        <v>80</v>
      </c>
      <c r="DR9" s="5"/>
      <c r="DS9" s="5"/>
      <c r="DT9" s="5" t="s">
        <v>741</v>
      </c>
      <c r="DU9" s="5" t="s">
        <v>28</v>
      </c>
      <c r="DV9" s="5" t="s">
        <v>28</v>
      </c>
      <c r="DW9" s="2"/>
    </row>
    <row r="10" spans="1:127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44654</v>
      </c>
      <c r="I10" s="10">
        <v>44660</v>
      </c>
      <c r="J10" s="10">
        <v>44681</v>
      </c>
      <c r="K10" s="10">
        <v>44685</v>
      </c>
      <c r="L10" s="10">
        <v>44695</v>
      </c>
      <c r="M10" s="10">
        <v>44709</v>
      </c>
      <c r="N10" s="10">
        <v>44709</v>
      </c>
      <c r="O10" s="10">
        <v>44730</v>
      </c>
      <c r="P10" s="10">
        <v>44737</v>
      </c>
      <c r="Q10" s="10">
        <v>44759</v>
      </c>
      <c r="R10" s="10">
        <v>44779</v>
      </c>
      <c r="S10" s="10">
        <v>44793</v>
      </c>
      <c r="T10" s="10">
        <v>44800</v>
      </c>
      <c r="U10" s="10">
        <v>44800</v>
      </c>
      <c r="V10" s="10">
        <v>44814</v>
      </c>
      <c r="W10" s="10">
        <v>44814</v>
      </c>
      <c r="X10" s="10">
        <v>44814</v>
      </c>
      <c r="Y10" s="10">
        <v>44829</v>
      </c>
      <c r="Z10" s="10">
        <v>44856</v>
      </c>
      <c r="AA10" s="10">
        <v>44906</v>
      </c>
      <c r="AB10" s="2">
        <v>2022</v>
      </c>
      <c r="AC10" s="2"/>
      <c r="AD10" s="5" t="s">
        <v>171</v>
      </c>
      <c r="AE10" s="14" t="s">
        <v>168</v>
      </c>
      <c r="AF10" s="14" t="s">
        <v>179</v>
      </c>
      <c r="AG10" s="5" t="s">
        <v>180</v>
      </c>
      <c r="AH10" s="2" t="s">
        <v>185</v>
      </c>
      <c r="AI10" s="2" t="s">
        <v>216</v>
      </c>
      <c r="AJ10" s="2" t="s">
        <v>210</v>
      </c>
      <c r="AK10" s="2" t="s">
        <v>221</v>
      </c>
      <c r="AL10" s="2" t="s">
        <v>225</v>
      </c>
      <c r="AM10" s="2" t="s">
        <v>232</v>
      </c>
      <c r="AN10" s="5" t="s">
        <v>239</v>
      </c>
      <c r="AO10" s="5" t="s">
        <v>247</v>
      </c>
      <c r="AP10" s="5" t="s">
        <v>250</v>
      </c>
      <c r="AQ10" s="5" t="s">
        <v>257</v>
      </c>
      <c r="AR10" s="5" t="s">
        <v>258</v>
      </c>
      <c r="AS10" s="5" t="s">
        <v>261</v>
      </c>
      <c r="AT10" s="5" t="s">
        <v>261</v>
      </c>
      <c r="AU10" s="5" t="s">
        <v>262</v>
      </c>
      <c r="AV10" s="5" t="s">
        <v>270</v>
      </c>
      <c r="AW10" s="5" t="s">
        <v>276</v>
      </c>
      <c r="AX10" s="5" t="s">
        <v>278</v>
      </c>
      <c r="AY10" s="5" t="s">
        <v>284</v>
      </c>
      <c r="AZ10" s="14">
        <v>2023</v>
      </c>
      <c r="BA10" s="17"/>
      <c r="BB10" s="17" t="s">
        <v>319</v>
      </c>
      <c r="BC10" s="17" t="s">
        <v>319</v>
      </c>
      <c r="BD10" s="17" t="s">
        <v>319</v>
      </c>
      <c r="BE10" s="17" t="s">
        <v>319</v>
      </c>
      <c r="BF10" s="17" t="s">
        <v>319</v>
      </c>
      <c r="BG10" s="17" t="s">
        <v>319</v>
      </c>
      <c r="BH10" s="17" t="s">
        <v>345</v>
      </c>
      <c r="BI10" s="17" t="s">
        <v>362</v>
      </c>
      <c r="BJ10" s="17" t="s">
        <v>362</v>
      </c>
      <c r="BK10" s="17" t="s">
        <v>366</v>
      </c>
      <c r="BL10" s="17" t="s">
        <v>373</v>
      </c>
      <c r="BM10" s="17" t="s">
        <v>382</v>
      </c>
      <c r="BN10" s="17" t="s">
        <v>382</v>
      </c>
      <c r="BO10" s="17" t="s">
        <v>389</v>
      </c>
      <c r="BP10" s="17" t="s">
        <v>391</v>
      </c>
      <c r="BQ10" s="17" t="s">
        <v>395</v>
      </c>
      <c r="BR10" s="17" t="s">
        <v>402</v>
      </c>
      <c r="BS10" s="17" t="s">
        <v>402</v>
      </c>
      <c r="BT10" s="17" t="s">
        <v>401</v>
      </c>
      <c r="BU10" s="17" t="s">
        <v>403</v>
      </c>
      <c r="BV10" s="17" t="s">
        <v>403</v>
      </c>
      <c r="BW10" s="17" t="s">
        <v>403</v>
      </c>
      <c r="BX10" s="17" t="s">
        <v>413</v>
      </c>
      <c r="BY10" s="17" t="s">
        <v>416</v>
      </c>
      <c r="BZ10" s="17" t="s">
        <v>418</v>
      </c>
      <c r="CA10" s="17" t="s">
        <v>420</v>
      </c>
      <c r="CB10" s="17" t="s">
        <v>428</v>
      </c>
      <c r="CC10" s="17">
        <v>2024</v>
      </c>
      <c r="CD10" s="5"/>
      <c r="CE10" s="5"/>
      <c r="CF10" s="5"/>
      <c r="CG10" s="5">
        <v>1</v>
      </c>
      <c r="CH10" s="5">
        <v>2</v>
      </c>
      <c r="CI10" s="5">
        <v>3</v>
      </c>
      <c r="CJ10" s="5">
        <v>4</v>
      </c>
      <c r="CK10" s="5">
        <v>2025</v>
      </c>
      <c r="CL10" s="5"/>
      <c r="CM10" s="5"/>
      <c r="CN10" s="5"/>
      <c r="CO10" s="5">
        <v>1</v>
      </c>
      <c r="CP10" s="5">
        <v>2</v>
      </c>
      <c r="CQ10" s="5">
        <v>3</v>
      </c>
      <c r="CR10" s="5">
        <v>4</v>
      </c>
      <c r="CS10" s="5">
        <v>2026</v>
      </c>
      <c r="CU10" s="17"/>
      <c r="CV10" s="16">
        <v>45077</v>
      </c>
      <c r="CW10" s="16">
        <v>45126</v>
      </c>
      <c r="CX10" s="25">
        <v>45153</v>
      </c>
      <c r="CY10" s="25">
        <v>45177</v>
      </c>
      <c r="CZ10" s="25">
        <v>45255</v>
      </c>
      <c r="DA10" s="17">
        <v>2023</v>
      </c>
      <c r="DB10" s="5"/>
      <c r="DC10" s="5"/>
      <c r="DD10" s="5" t="s">
        <v>288</v>
      </c>
      <c r="DE10" s="5" t="s">
        <v>344</v>
      </c>
      <c r="DF10" s="5" t="s">
        <v>390</v>
      </c>
      <c r="DG10" s="5" t="s">
        <v>399</v>
      </c>
      <c r="DH10" s="5" t="s">
        <v>414</v>
      </c>
      <c r="DI10" s="5" t="s">
        <v>415</v>
      </c>
      <c r="DJ10" s="5" t="s">
        <v>424</v>
      </c>
      <c r="DK10" s="5" t="s">
        <v>425</v>
      </c>
      <c r="DL10" s="2">
        <v>2024</v>
      </c>
      <c r="DM10" s="5"/>
      <c r="DN10" s="5" t="s">
        <v>430</v>
      </c>
      <c r="DO10" s="5" t="s">
        <v>518</v>
      </c>
      <c r="DP10" s="5" t="s">
        <v>607</v>
      </c>
      <c r="DQ10" s="5" t="s">
        <v>425</v>
      </c>
      <c r="DR10" s="5">
        <v>2025</v>
      </c>
      <c r="DS10" s="5"/>
      <c r="DT10" s="5" t="s">
        <v>180</v>
      </c>
      <c r="DU10" s="5" t="s">
        <v>771</v>
      </c>
      <c r="DV10" s="5" t="s">
        <v>772</v>
      </c>
      <c r="DW10" s="2">
        <v>2026</v>
      </c>
    </row>
    <row r="11" spans="1:127" x14ac:dyDescent="0.25">
      <c r="A11">
        <v>1</v>
      </c>
      <c r="B11" s="18" t="s">
        <v>178</v>
      </c>
      <c r="C11" s="19"/>
      <c r="D11" s="19" t="s">
        <v>290</v>
      </c>
      <c r="E11" s="19" t="s">
        <v>61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6"/>
      <c r="AC11" s="6"/>
      <c r="AD11" s="6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>
        <f>SUM(AC11:AY11)</f>
        <v>0</v>
      </c>
      <c r="BA11" s="7">
        <f>(AZ11-AC11)/2</f>
        <v>0</v>
      </c>
      <c r="BB11" s="7"/>
      <c r="BC11" s="7"/>
      <c r="BD11" s="7"/>
      <c r="BE11" s="7"/>
      <c r="BF11" s="7"/>
      <c r="BG11" s="7"/>
      <c r="BH11" s="7"/>
      <c r="BI11" s="7">
        <v>3</v>
      </c>
      <c r="BJ11" s="7"/>
      <c r="BK11" s="7">
        <v>54</v>
      </c>
      <c r="BL11" s="7"/>
      <c r="BM11" s="7"/>
      <c r="BN11" s="7"/>
      <c r="BO11" s="7">
        <v>4</v>
      </c>
      <c r="BP11" s="7">
        <v>54</v>
      </c>
      <c r="BQ11" s="7"/>
      <c r="BR11" s="7"/>
      <c r="BS11" s="7"/>
      <c r="BT11" s="7"/>
      <c r="BU11" s="7"/>
      <c r="BV11" s="7"/>
      <c r="BW11" s="7">
        <v>30</v>
      </c>
      <c r="BX11" s="7"/>
      <c r="BY11" s="7"/>
      <c r="BZ11" s="7"/>
      <c r="CA11" s="7">
        <v>54</v>
      </c>
      <c r="CB11" s="7">
        <v>100</v>
      </c>
      <c r="CC11" s="7">
        <f>SUM(BA11:CB11)</f>
        <v>299</v>
      </c>
      <c r="CD11" s="7">
        <f>(CC11-BA11)/2</f>
        <v>149.5</v>
      </c>
      <c r="CE11" s="7">
        <v>36</v>
      </c>
      <c r="CF11" s="7">
        <v>80</v>
      </c>
      <c r="CG11" s="7">
        <v>150</v>
      </c>
      <c r="CH11" s="7">
        <v>150</v>
      </c>
      <c r="CI11" s="7">
        <v>75</v>
      </c>
      <c r="CJ11" s="7">
        <v>140</v>
      </c>
      <c r="CK11" s="7">
        <f>SUM(CD11:CJ11)</f>
        <v>780.5</v>
      </c>
      <c r="CL11" s="7">
        <f>(CK11-CD11)/2</f>
        <v>315.5</v>
      </c>
      <c r="CM11" s="7">
        <v>48</v>
      </c>
      <c r="CN11" s="7">
        <v>80</v>
      </c>
      <c r="CO11" s="7">
        <v>150</v>
      </c>
      <c r="CP11" s="7"/>
      <c r="CQ11" s="7"/>
      <c r="CR11" s="7"/>
      <c r="CS11" s="7">
        <f>SUM(CL11:CR11)</f>
        <v>593.5</v>
      </c>
      <c r="CU11" s="6"/>
      <c r="CV11" s="6"/>
      <c r="CW11" s="6"/>
      <c r="CX11" s="6"/>
      <c r="CY11" s="6"/>
      <c r="CZ11" s="6"/>
      <c r="DA11" s="11">
        <f>SUM(CU11:CV11)</f>
        <v>0</v>
      </c>
      <c r="DB11" s="11">
        <f>DA11/2</f>
        <v>0</v>
      </c>
      <c r="DC11" s="11">
        <f>CC11/4</f>
        <v>74.75</v>
      </c>
      <c r="DD11" s="11">
        <v>12</v>
      </c>
      <c r="DE11" s="11"/>
      <c r="DF11" s="11"/>
      <c r="DG11" s="11"/>
      <c r="DH11" s="11"/>
      <c r="DI11" s="11"/>
      <c r="DJ11" s="11"/>
      <c r="DK11" s="11">
        <v>25</v>
      </c>
      <c r="DL11" s="6">
        <f>SUM(DB11:DK11)</f>
        <v>111.75</v>
      </c>
      <c r="DM11" s="6">
        <f>(DL11-DB11)/2</f>
        <v>55.875</v>
      </c>
      <c r="DN11" s="11">
        <v>30</v>
      </c>
      <c r="DO11" s="11">
        <v>15</v>
      </c>
      <c r="DP11" s="11"/>
      <c r="DQ11" s="11">
        <v>25</v>
      </c>
      <c r="DR11" s="6">
        <f>SUM(DM11:DQ11)</f>
        <v>125.875</v>
      </c>
      <c r="DS11" s="6">
        <f>(DR11-DM11)/2</f>
        <v>35</v>
      </c>
      <c r="DT11" s="6"/>
      <c r="DU11" s="6">
        <v>75</v>
      </c>
      <c r="DV11" s="11">
        <v>50</v>
      </c>
      <c r="DW11" s="19">
        <f>SUM(DS11:DV11)</f>
        <v>160</v>
      </c>
    </row>
    <row r="12" spans="1:127" x14ac:dyDescent="0.25">
      <c r="A12">
        <v>2</v>
      </c>
      <c r="B12" s="11" t="s">
        <v>369</v>
      </c>
      <c r="C12" s="6"/>
      <c r="D12" s="6" t="s">
        <v>122</v>
      </c>
      <c r="E12" s="6" t="s">
        <v>81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6"/>
      <c r="AC12" s="6"/>
      <c r="AD12" s="6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>
        <v>7.5</v>
      </c>
      <c r="BL12" s="7">
        <v>5</v>
      </c>
      <c r="BM12" s="7"/>
      <c r="BN12" s="7">
        <v>32</v>
      </c>
      <c r="BO12" s="7"/>
      <c r="BP12" s="7">
        <v>7.5</v>
      </c>
      <c r="BQ12" s="7"/>
      <c r="BR12" s="7">
        <v>30</v>
      </c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>
        <f>SUM(BA12:CB12)</f>
        <v>82</v>
      </c>
      <c r="CD12" s="7">
        <f>(CC12-BA12)/2</f>
        <v>41</v>
      </c>
      <c r="CE12" s="7">
        <v>60</v>
      </c>
      <c r="CF12" s="7">
        <v>40</v>
      </c>
      <c r="CG12" s="7">
        <v>36</v>
      </c>
      <c r="CH12" s="7">
        <v>105</v>
      </c>
      <c r="CI12" s="7">
        <v>70</v>
      </c>
      <c r="CJ12" s="7">
        <v>72</v>
      </c>
      <c r="CK12" s="7">
        <f>SUM(CD12:CJ12)</f>
        <v>424</v>
      </c>
      <c r="CL12" s="7">
        <f>(CK12-CD12)/2</f>
        <v>191.5</v>
      </c>
      <c r="CM12" s="7">
        <v>48</v>
      </c>
      <c r="CN12" s="7">
        <v>64</v>
      </c>
      <c r="CO12" s="7">
        <v>75</v>
      </c>
      <c r="CP12" s="7">
        <v>70</v>
      </c>
      <c r="CQ12" s="7">
        <v>2.4</v>
      </c>
      <c r="CR12" s="7"/>
      <c r="CS12" s="7">
        <f>SUM(CL12:CR12)</f>
        <v>450.9</v>
      </c>
      <c r="CU12" s="6"/>
      <c r="CV12" s="6"/>
      <c r="CW12" s="6"/>
      <c r="CX12" s="6"/>
      <c r="CY12" s="6"/>
      <c r="CZ12" s="6"/>
      <c r="DA12" s="11">
        <f>SUM(CU12:CV12)</f>
        <v>0</v>
      </c>
      <c r="DB12" s="11">
        <f>DA12/2</f>
        <v>0</v>
      </c>
      <c r="DC12" s="11">
        <f>CC12/4</f>
        <v>20.5</v>
      </c>
      <c r="DD12" s="11"/>
      <c r="DE12" s="11"/>
      <c r="DF12" s="11"/>
      <c r="DG12" s="11"/>
      <c r="DH12" s="11"/>
      <c r="DI12" s="11"/>
      <c r="DJ12" s="11"/>
      <c r="DK12" s="11">
        <v>2.5</v>
      </c>
      <c r="DL12" s="6">
        <f>SUM(DB12:DK12)</f>
        <v>23</v>
      </c>
      <c r="DM12" s="6">
        <f>(DL12-DB12)/2</f>
        <v>11.5</v>
      </c>
      <c r="DN12" s="11"/>
      <c r="DO12" s="11"/>
      <c r="DP12" s="11"/>
      <c r="DQ12" s="11"/>
      <c r="DR12" s="6">
        <f>SUM(DM12:DO12)</f>
        <v>11.5</v>
      </c>
      <c r="DS12" s="6">
        <f>(DR12-DM12)/2</f>
        <v>0</v>
      </c>
      <c r="DT12" s="6"/>
      <c r="DU12" s="6"/>
      <c r="DV12" s="11"/>
      <c r="DW12" s="6">
        <f>SUM(DS12:DT12)</f>
        <v>0</v>
      </c>
    </row>
    <row r="13" spans="1:127" x14ac:dyDescent="0.25">
      <c r="A13">
        <v>3</v>
      </c>
      <c r="B13" s="11" t="s">
        <v>113</v>
      </c>
      <c r="C13" s="6"/>
      <c r="D13" s="6" t="s">
        <v>22</v>
      </c>
      <c r="E13" s="6" t="s">
        <v>42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6"/>
      <c r="AC13" s="6"/>
      <c r="AD13" s="6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>
        <v>2.4</v>
      </c>
      <c r="CF13" s="7">
        <v>56</v>
      </c>
      <c r="CG13" s="7">
        <v>7.5</v>
      </c>
      <c r="CH13" s="7">
        <v>4</v>
      </c>
      <c r="CI13" s="7">
        <v>75</v>
      </c>
      <c r="CJ13" s="7"/>
      <c r="CK13" s="7">
        <f>SUM(CD13:CJ13)</f>
        <v>144.9</v>
      </c>
      <c r="CL13" s="7">
        <f>(CK13-CD13)/2</f>
        <v>72.45</v>
      </c>
      <c r="CM13" s="7">
        <v>48</v>
      </c>
      <c r="CN13" s="7">
        <v>56</v>
      </c>
      <c r="CO13" s="7">
        <v>100</v>
      </c>
      <c r="CP13" s="7">
        <v>36</v>
      </c>
      <c r="CQ13" s="7"/>
      <c r="CR13" s="7"/>
      <c r="CS13" s="7">
        <f>SUM(CL13:CR13)</f>
        <v>312.45</v>
      </c>
      <c r="CU13" s="6"/>
      <c r="CV13" s="6"/>
      <c r="CW13" s="6"/>
      <c r="CX13" s="6"/>
      <c r="CY13" s="6"/>
      <c r="CZ13" s="6"/>
      <c r="DA13" s="6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6"/>
      <c r="DM13" s="6"/>
      <c r="DN13" s="11">
        <v>18</v>
      </c>
      <c r="DO13" s="11"/>
      <c r="DP13" s="11"/>
      <c r="DQ13" s="11">
        <v>25</v>
      </c>
      <c r="DR13" s="6">
        <f>SUM(DM13:DQ13)</f>
        <v>43</v>
      </c>
      <c r="DS13" s="6">
        <f>(DR13-DM13)/2</f>
        <v>21.5</v>
      </c>
      <c r="DT13" s="6"/>
      <c r="DU13" s="6"/>
      <c r="DV13" s="11"/>
      <c r="DW13" s="6">
        <f>SUM(DS13:DT13)</f>
        <v>21.5</v>
      </c>
    </row>
    <row r="14" spans="1:127" x14ac:dyDescent="0.25">
      <c r="A14">
        <v>4</v>
      </c>
      <c r="B14" s="11" t="s">
        <v>647</v>
      </c>
      <c r="C14" s="6"/>
      <c r="D14" s="6" t="s">
        <v>76</v>
      </c>
      <c r="E14" s="6" t="s">
        <v>104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6"/>
      <c r="AC14" s="6"/>
      <c r="AD14" s="6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>
        <f>110.15/2</f>
        <v>55.075000000000003</v>
      </c>
      <c r="CM14" s="7">
        <v>36</v>
      </c>
      <c r="CN14" s="7">
        <v>56</v>
      </c>
      <c r="CO14" s="7">
        <v>105</v>
      </c>
      <c r="CP14" s="7">
        <v>36</v>
      </c>
      <c r="CQ14" s="7"/>
      <c r="CR14" s="7"/>
      <c r="CS14" s="7">
        <f>SUM(CL14:CR14)</f>
        <v>288.07499999999999</v>
      </c>
      <c r="CU14" s="6"/>
      <c r="CV14" s="6"/>
      <c r="CW14" s="6"/>
      <c r="CX14" s="6"/>
      <c r="CY14" s="6"/>
      <c r="CZ14" s="6"/>
      <c r="DA14" s="6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6"/>
      <c r="DM14" s="6"/>
      <c r="DN14" s="11"/>
      <c r="DO14" s="11"/>
      <c r="DP14" s="11"/>
      <c r="DQ14" s="11"/>
      <c r="DR14" s="6">
        <f>SUM(DM14:DQ14)</f>
        <v>0</v>
      </c>
      <c r="DS14" s="6">
        <f>(DR14-DM14)/2</f>
        <v>0</v>
      </c>
      <c r="DT14" s="6"/>
      <c r="DU14" s="6"/>
      <c r="DV14" s="11">
        <v>5</v>
      </c>
      <c r="DW14" s="6">
        <f>SUM(DS14:DV14)</f>
        <v>5</v>
      </c>
    </row>
    <row r="15" spans="1:127" x14ac:dyDescent="0.25">
      <c r="A15">
        <v>5</v>
      </c>
      <c r="B15" s="11" t="s">
        <v>65</v>
      </c>
      <c r="C15" s="6"/>
      <c r="D15" s="6" t="s">
        <v>69</v>
      </c>
      <c r="E15" s="6" t="s">
        <v>269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6"/>
      <c r="AC15" s="6"/>
      <c r="AD15" s="6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>
        <v>36</v>
      </c>
      <c r="BD15" s="7"/>
      <c r="BE15" s="7"/>
      <c r="BF15" s="7"/>
      <c r="BG15" s="7"/>
      <c r="BH15" s="7"/>
      <c r="BI15" s="7"/>
      <c r="BJ15" s="7"/>
      <c r="BK15" s="7"/>
      <c r="BL15" s="7">
        <v>50</v>
      </c>
      <c r="BM15" s="7"/>
      <c r="BN15" s="7"/>
      <c r="BO15" s="7"/>
      <c r="BP15" s="7">
        <v>7.5</v>
      </c>
      <c r="BQ15" s="7"/>
      <c r="BR15" s="7"/>
      <c r="BS15" s="7"/>
      <c r="BT15" s="7"/>
      <c r="BU15" s="7">
        <v>36</v>
      </c>
      <c r="BV15" s="7"/>
      <c r="BW15" s="7"/>
      <c r="BX15" s="7"/>
      <c r="BY15" s="7"/>
      <c r="BZ15" s="7"/>
      <c r="CA15" s="7"/>
      <c r="CB15" s="7"/>
      <c r="CC15" s="7">
        <f>SUM(BA15:CB15)</f>
        <v>129.5</v>
      </c>
      <c r="CD15" s="7">
        <f>(CC15-BA15)/2</f>
        <v>64.75</v>
      </c>
      <c r="CE15" s="7">
        <v>48</v>
      </c>
      <c r="CF15" s="7">
        <v>44.8</v>
      </c>
      <c r="CG15" s="7">
        <v>54</v>
      </c>
      <c r="CH15" s="7">
        <v>50</v>
      </c>
      <c r="CI15" s="7">
        <v>100</v>
      </c>
      <c r="CJ15" s="7">
        <v>48</v>
      </c>
      <c r="CK15" s="7">
        <f>SUM(CD15:CJ15)</f>
        <v>409.55</v>
      </c>
      <c r="CL15" s="7">
        <f>(CK15-CD15)/2</f>
        <v>172.4</v>
      </c>
      <c r="CM15" s="7"/>
      <c r="CN15" s="7">
        <v>80</v>
      </c>
      <c r="CO15" s="7"/>
      <c r="CP15" s="7"/>
      <c r="CQ15" s="7"/>
      <c r="CR15" s="7"/>
      <c r="CS15" s="7">
        <f>SUM(CL15:CR15)</f>
        <v>252.4</v>
      </c>
      <c r="CU15" s="6"/>
      <c r="CV15" s="6"/>
      <c r="CW15" s="6"/>
      <c r="CX15" s="6"/>
      <c r="CY15" s="6"/>
      <c r="CZ15" s="6"/>
      <c r="DA15" s="11">
        <f>SUM(CU15:CV15)</f>
        <v>0</v>
      </c>
      <c r="DB15" s="11">
        <f>DA15/2</f>
        <v>0</v>
      </c>
      <c r="DC15" s="11">
        <f>CC15/4</f>
        <v>32.375</v>
      </c>
      <c r="DD15" s="11"/>
      <c r="DE15" s="11"/>
      <c r="DF15" s="11"/>
      <c r="DG15" s="11"/>
      <c r="DH15" s="11"/>
      <c r="DI15" s="11"/>
      <c r="DJ15" s="11"/>
      <c r="DK15" s="11"/>
      <c r="DL15" s="6">
        <f>SUM(DB15:DK15)</f>
        <v>32.375</v>
      </c>
      <c r="DM15" s="6">
        <f>(DL15-DB15)/2</f>
        <v>16.1875</v>
      </c>
      <c r="DN15" s="11"/>
      <c r="DO15" s="11"/>
      <c r="DP15" s="11"/>
      <c r="DQ15" s="11"/>
      <c r="DR15" s="6">
        <f>SUM(DM15:DO15)</f>
        <v>16.1875</v>
      </c>
      <c r="DS15" s="6">
        <f>(DR15-DM15)/2</f>
        <v>0</v>
      </c>
      <c r="DT15" s="6"/>
      <c r="DU15" s="6"/>
      <c r="DV15" s="11"/>
      <c r="DW15" s="6">
        <f>SUM(DS15:DT15)</f>
        <v>0</v>
      </c>
    </row>
    <row r="16" spans="1:127" x14ac:dyDescent="0.25">
      <c r="A16">
        <v>6</v>
      </c>
      <c r="B16" s="11" t="s">
        <v>419</v>
      </c>
      <c r="C16" s="6"/>
      <c r="D16" s="6" t="s">
        <v>75</v>
      </c>
      <c r="E16" s="6" t="s">
        <v>525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6"/>
      <c r="AC16" s="6"/>
      <c r="AD16" s="6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>
        <v>36</v>
      </c>
      <c r="CA16" s="7"/>
      <c r="CB16" s="7"/>
      <c r="CC16" s="7">
        <f>SUM(BA16:CB16)</f>
        <v>36</v>
      </c>
      <c r="CD16" s="7">
        <f>(CC16-BA16)/2</f>
        <v>18</v>
      </c>
      <c r="CE16" s="7">
        <v>36</v>
      </c>
      <c r="CF16" s="7">
        <v>64</v>
      </c>
      <c r="CG16" s="7">
        <v>75</v>
      </c>
      <c r="CH16" s="7">
        <v>7.5</v>
      </c>
      <c r="CI16" s="7">
        <v>44.8</v>
      </c>
      <c r="CJ16" s="7">
        <v>100</v>
      </c>
      <c r="CK16" s="7">
        <f>SUM(CD16:CJ16)</f>
        <v>345.3</v>
      </c>
      <c r="CL16" s="7">
        <f>(CK16-CD16)/2</f>
        <v>163.65</v>
      </c>
      <c r="CM16" s="7">
        <v>36</v>
      </c>
      <c r="CN16" s="7"/>
      <c r="CO16" s="7"/>
      <c r="CP16" s="7"/>
      <c r="CQ16" s="7"/>
      <c r="CR16" s="7"/>
      <c r="CS16" s="7">
        <f>SUM(CL16:CR16)</f>
        <v>199.65</v>
      </c>
      <c r="CU16" s="6"/>
      <c r="CV16" s="6"/>
      <c r="CW16" s="6"/>
      <c r="CX16" s="6"/>
      <c r="CY16" s="6"/>
      <c r="CZ16" s="6"/>
      <c r="DA16" s="11">
        <f>SUM(CU16:CV16)</f>
        <v>0</v>
      </c>
      <c r="DB16" s="11">
        <f>DA16/2</f>
        <v>0</v>
      </c>
      <c r="DC16" s="11">
        <f>CC16/4</f>
        <v>9</v>
      </c>
      <c r="DD16" s="11"/>
      <c r="DE16" s="11"/>
      <c r="DF16" s="11"/>
      <c r="DG16" s="11"/>
      <c r="DH16" s="11"/>
      <c r="DI16" s="11"/>
      <c r="DJ16" s="11"/>
      <c r="DK16" s="11"/>
      <c r="DL16" s="6">
        <f>SUM(DB16:DK16)</f>
        <v>9</v>
      </c>
      <c r="DM16" s="6">
        <f>(DL16-DB16)/2</f>
        <v>4.5</v>
      </c>
      <c r="DN16" s="11"/>
      <c r="DO16" s="11"/>
      <c r="DP16" s="11"/>
      <c r="DQ16" s="11">
        <v>18</v>
      </c>
      <c r="DR16" s="6">
        <f>SUM(DM16:DQ16)</f>
        <v>22.5</v>
      </c>
      <c r="DS16" s="6">
        <f>(DR16-DM16)/2</f>
        <v>9</v>
      </c>
      <c r="DT16" s="6"/>
      <c r="DU16" s="6"/>
      <c r="DV16" s="11"/>
      <c r="DW16" s="6">
        <f>SUM(DS16:DT16)</f>
        <v>9</v>
      </c>
    </row>
    <row r="17" spans="1:127" x14ac:dyDescent="0.25">
      <c r="A17">
        <v>7</v>
      </c>
      <c r="B17" s="11" t="s">
        <v>97</v>
      </c>
      <c r="C17" s="6"/>
      <c r="D17" s="6" t="s">
        <v>522</v>
      </c>
      <c r="E17" s="6" t="s">
        <v>326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6"/>
      <c r="AC17" s="6"/>
      <c r="AD17" s="6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>
        <v>36</v>
      </c>
      <c r="CN17" s="7">
        <v>40</v>
      </c>
      <c r="CO17" s="7">
        <v>54</v>
      </c>
      <c r="CP17" s="7">
        <v>50</v>
      </c>
      <c r="CQ17" s="7"/>
      <c r="CR17" s="7"/>
      <c r="CS17" s="7">
        <f>SUM(CL17:CR17)</f>
        <v>180</v>
      </c>
      <c r="CU17" s="6"/>
      <c r="CV17" s="6"/>
      <c r="CW17" s="6"/>
      <c r="CX17" s="6"/>
      <c r="CY17" s="6"/>
      <c r="CZ17" s="6"/>
      <c r="DA17" s="6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6"/>
      <c r="DM17" s="6"/>
      <c r="DN17" s="11"/>
      <c r="DO17" s="11"/>
      <c r="DP17" s="11"/>
      <c r="DQ17" s="11"/>
      <c r="DR17" s="6">
        <f>SUM(DM17:DQ17)</f>
        <v>0</v>
      </c>
      <c r="DS17" s="6">
        <f>(DR17-DM17)/2</f>
        <v>0</v>
      </c>
      <c r="DT17" s="6"/>
      <c r="DU17" s="6"/>
      <c r="DV17" s="11"/>
      <c r="DW17" s="6">
        <f>SUM(DS17:DT17)</f>
        <v>0</v>
      </c>
    </row>
    <row r="18" spans="1:127" x14ac:dyDescent="0.25">
      <c r="A18" s="52">
        <v>8</v>
      </c>
      <c r="B18" s="11" t="s">
        <v>447</v>
      </c>
      <c r="C18" s="6"/>
      <c r="D18" s="6" t="s">
        <v>364</v>
      </c>
      <c r="E18" s="6" t="s">
        <v>201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6"/>
      <c r="AC18" s="6"/>
      <c r="AD18" s="6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>
        <v>42</v>
      </c>
      <c r="CF18" s="7">
        <v>80</v>
      </c>
      <c r="CG18" s="7">
        <v>7.5</v>
      </c>
      <c r="CH18" s="7">
        <v>28.8</v>
      </c>
      <c r="CI18" s="7">
        <v>7.5</v>
      </c>
      <c r="CJ18" s="7">
        <v>10</v>
      </c>
      <c r="CK18" s="7">
        <f>SUM(CD18:CJ18)</f>
        <v>175.8</v>
      </c>
      <c r="CL18" s="7">
        <f>(CK18-CD18)/2</f>
        <v>87.9</v>
      </c>
      <c r="CM18" s="7">
        <v>2.4</v>
      </c>
      <c r="CN18" s="7">
        <v>3.2</v>
      </c>
      <c r="CO18" s="7">
        <v>75</v>
      </c>
      <c r="CP18" s="7"/>
      <c r="CQ18" s="7"/>
      <c r="CR18" s="7"/>
      <c r="CS18" s="7">
        <f>SUM(CL18:CR18)</f>
        <v>168.5</v>
      </c>
      <c r="CU18" s="6"/>
      <c r="CV18" s="6"/>
      <c r="CW18" s="6"/>
      <c r="CX18" s="6"/>
      <c r="CY18" s="6"/>
      <c r="CZ18" s="6"/>
      <c r="DA18" s="6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6"/>
      <c r="DM18" s="6"/>
      <c r="DN18" s="11">
        <v>18</v>
      </c>
      <c r="DO18" s="11"/>
      <c r="DP18" s="11"/>
      <c r="DQ18" s="11"/>
      <c r="DR18" s="6">
        <f>SUM(DM18:DQ18)</f>
        <v>18</v>
      </c>
      <c r="DS18" s="6">
        <f>(DR18-DM18)/2</f>
        <v>9</v>
      </c>
      <c r="DT18" s="6"/>
      <c r="DU18" s="6"/>
      <c r="DV18" s="11"/>
      <c r="DW18" s="6">
        <f>SUM(DS18:DT18)</f>
        <v>9</v>
      </c>
    </row>
    <row r="19" spans="1:127" x14ac:dyDescent="0.25">
      <c r="A19">
        <v>9</v>
      </c>
      <c r="B19" s="11" t="s">
        <v>243</v>
      </c>
      <c r="C19" s="6"/>
      <c r="D19" s="6" t="s">
        <v>88</v>
      </c>
      <c r="E19" s="6" t="s">
        <v>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6"/>
      <c r="AC19" s="6"/>
      <c r="AD19" s="6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>
        <v>30</v>
      </c>
      <c r="CF19" s="7">
        <v>40</v>
      </c>
      <c r="CG19" s="7">
        <v>36</v>
      </c>
      <c r="CH19" s="7">
        <v>39</v>
      </c>
      <c r="CI19" s="7">
        <v>50</v>
      </c>
      <c r="CJ19" s="7">
        <v>30</v>
      </c>
      <c r="CK19" s="7">
        <f>SUM(CD19:CJ19)</f>
        <v>225</v>
      </c>
      <c r="CL19" s="7">
        <f>(CK19-CD19)/2</f>
        <v>112.5</v>
      </c>
      <c r="CM19" s="7"/>
      <c r="CN19" s="7"/>
      <c r="CO19" s="7"/>
      <c r="CP19" s="7"/>
      <c r="CQ19" s="7"/>
      <c r="CR19" s="7"/>
      <c r="CS19" s="7">
        <f>SUM(CL19:CR19)</f>
        <v>112.5</v>
      </c>
      <c r="CU19" s="6"/>
      <c r="CV19" s="6"/>
      <c r="CW19" s="6"/>
      <c r="CX19" s="6"/>
      <c r="CY19" s="6"/>
      <c r="CZ19" s="6"/>
      <c r="DA19" s="6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6"/>
      <c r="DM19" s="6"/>
      <c r="DN19" s="11">
        <v>1.5</v>
      </c>
      <c r="DO19" s="11"/>
      <c r="DP19" s="11"/>
      <c r="DQ19" s="11">
        <v>2.5</v>
      </c>
      <c r="DR19" s="6">
        <f>SUM(DM19:DQ19)</f>
        <v>4</v>
      </c>
      <c r="DS19" s="6">
        <f>(DR19-DM19)/2</f>
        <v>2</v>
      </c>
      <c r="DT19" s="6"/>
      <c r="DU19" s="6"/>
      <c r="DV19" s="11"/>
      <c r="DW19" s="6">
        <f>SUM(DS19:DT19)</f>
        <v>2</v>
      </c>
    </row>
    <row r="20" spans="1:127" x14ac:dyDescent="0.25">
      <c r="A20">
        <v>10</v>
      </c>
      <c r="B20" s="11" t="s">
        <v>162</v>
      </c>
      <c r="C20" s="6"/>
      <c r="D20" s="6" t="s">
        <v>122</v>
      </c>
      <c r="E20" s="6" t="s">
        <v>149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6"/>
      <c r="AC20" s="6"/>
      <c r="AD20" s="6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>
        <v>4</v>
      </c>
      <c r="CG20" s="7">
        <v>7.5</v>
      </c>
      <c r="CH20" s="7"/>
      <c r="CI20" s="7"/>
      <c r="CJ20" s="7"/>
      <c r="CK20" s="7">
        <f>SUM(CD20:CJ20)</f>
        <v>11.5</v>
      </c>
      <c r="CL20" s="7">
        <f>(CK20-CD20)/2</f>
        <v>5.75</v>
      </c>
      <c r="CM20" s="7">
        <v>2.4</v>
      </c>
      <c r="CN20" s="7">
        <v>40</v>
      </c>
      <c r="CO20" s="7">
        <v>54</v>
      </c>
      <c r="CP20" s="7"/>
      <c r="CQ20" s="7"/>
      <c r="CR20" s="7"/>
      <c r="CS20" s="7">
        <f>SUM(CL20:CR20)</f>
        <v>102.15</v>
      </c>
      <c r="CU20" s="6"/>
      <c r="CV20" s="6"/>
      <c r="CW20" s="6"/>
      <c r="CX20" s="6"/>
      <c r="CY20" s="6"/>
      <c r="CZ20" s="6"/>
      <c r="DA20" s="6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6">
        <f>SUM(DB20:DK20)</f>
        <v>0</v>
      </c>
      <c r="DM20" s="6">
        <f>(DL20-DB20)/2</f>
        <v>0</v>
      </c>
      <c r="DN20" s="11"/>
      <c r="DO20" s="11"/>
      <c r="DP20" s="11"/>
      <c r="DQ20" s="11">
        <v>2.5</v>
      </c>
      <c r="DR20" s="6">
        <f>SUM(DM20:DQ20)</f>
        <v>2.5</v>
      </c>
      <c r="DS20" s="6">
        <f>(DR20-DM20)/2</f>
        <v>1.25</v>
      </c>
      <c r="DT20" s="6"/>
      <c r="DU20" s="6"/>
      <c r="DV20" s="11"/>
      <c r="DW20" s="6">
        <f>SUM(DS20:DT20)</f>
        <v>1.25</v>
      </c>
    </row>
    <row r="21" spans="1:127" x14ac:dyDescent="0.25">
      <c r="A21">
        <v>11</v>
      </c>
      <c r="B21" s="11" t="s">
        <v>291</v>
      </c>
      <c r="C21" s="6"/>
      <c r="D21" s="6" t="s">
        <v>292</v>
      </c>
      <c r="E21" s="6" t="s">
        <v>132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6"/>
      <c r="AC21" s="6"/>
      <c r="AD21" s="6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>
        <f>SUM(AC21:AY21)</f>
        <v>0</v>
      </c>
      <c r="BA21" s="7">
        <f>(AZ21-AC21)/2</f>
        <v>0</v>
      </c>
      <c r="BB21" s="7">
        <v>60</v>
      </c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>
        <v>80</v>
      </c>
      <c r="BP21" s="7">
        <v>18</v>
      </c>
      <c r="BQ21" s="7">
        <v>42</v>
      </c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>
        <f>SUM(BA21:CB21)</f>
        <v>200</v>
      </c>
      <c r="CD21" s="7">
        <f>(CC21-BA21)/2</f>
        <v>100</v>
      </c>
      <c r="CE21" s="7">
        <v>48</v>
      </c>
      <c r="CF21" s="7">
        <v>56</v>
      </c>
      <c r="CG21" s="7">
        <v>100</v>
      </c>
      <c r="CH21" s="7"/>
      <c r="CI21" s="7"/>
      <c r="CJ21" s="7"/>
      <c r="CK21" s="7">
        <f>SUM(CD21:CJ21)</f>
        <v>304</v>
      </c>
      <c r="CL21" s="7">
        <f>(CK21-CD21)/2</f>
        <v>102</v>
      </c>
      <c r="CM21" s="7"/>
      <c r="CN21" s="7"/>
      <c r="CO21" s="7"/>
      <c r="CP21" s="7"/>
      <c r="CQ21" s="7"/>
      <c r="CR21" s="7"/>
      <c r="CS21" s="7">
        <f>SUM(CL21:CR21)</f>
        <v>102</v>
      </c>
      <c r="CU21" s="6"/>
      <c r="CV21" s="6"/>
      <c r="CW21" s="6"/>
      <c r="CX21" s="6"/>
      <c r="CY21" s="6"/>
      <c r="CZ21" s="6"/>
      <c r="DA21" s="11">
        <f>SUM(CU21:CV21)</f>
        <v>0</v>
      </c>
      <c r="DB21" s="11">
        <f>DA21/2</f>
        <v>0</v>
      </c>
      <c r="DC21" s="11">
        <f>CC21/4</f>
        <v>50</v>
      </c>
      <c r="DD21" s="11">
        <v>1.5</v>
      </c>
      <c r="DE21" s="11"/>
      <c r="DF21" s="11"/>
      <c r="DG21" s="11"/>
      <c r="DH21" s="11"/>
      <c r="DI21" s="11"/>
      <c r="DJ21" s="11"/>
      <c r="DK21" s="11"/>
      <c r="DL21" s="6">
        <f>SUM(DB21:DK21)</f>
        <v>51.5</v>
      </c>
      <c r="DM21" s="6">
        <f>(DL21-DB21)/2</f>
        <v>25.75</v>
      </c>
      <c r="DN21" s="11">
        <v>22.5</v>
      </c>
      <c r="DO21" s="11"/>
      <c r="DP21" s="11"/>
      <c r="DQ21" s="11"/>
      <c r="DR21" s="6">
        <f>SUM(DM21:DQ21)</f>
        <v>48.25</v>
      </c>
      <c r="DS21" s="6">
        <f>(DR21-DM21)/2</f>
        <v>11.25</v>
      </c>
      <c r="DT21" s="6"/>
      <c r="DU21" s="6"/>
      <c r="DV21" s="11"/>
      <c r="DW21" s="6">
        <f>SUM(DS21:DT21)</f>
        <v>11.25</v>
      </c>
    </row>
    <row r="22" spans="1:127" x14ac:dyDescent="0.25">
      <c r="A22">
        <v>12</v>
      </c>
      <c r="B22" s="11" t="s">
        <v>295</v>
      </c>
      <c r="C22" s="6"/>
      <c r="D22" s="6" t="s">
        <v>69</v>
      </c>
      <c r="E22" s="6" t="s">
        <v>412</v>
      </c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>
        <v>7.5</v>
      </c>
      <c r="CH22" s="7">
        <v>5</v>
      </c>
      <c r="CI22" s="7"/>
      <c r="CJ22" s="7"/>
      <c r="CK22" s="7">
        <f>SUM(CD22:CJ22)</f>
        <v>12.5</v>
      </c>
      <c r="CL22" s="7">
        <f>(CK22-CD22)/2</f>
        <v>6.25</v>
      </c>
      <c r="CM22" s="7">
        <v>48</v>
      </c>
      <c r="CN22" s="7">
        <v>44.8</v>
      </c>
      <c r="CO22" s="7"/>
      <c r="CP22" s="7"/>
      <c r="CQ22" s="7"/>
      <c r="CR22" s="7"/>
      <c r="CS22" s="7">
        <f>SUM(CL22:CR22)</f>
        <v>99.05</v>
      </c>
      <c r="DA22" s="6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6">
        <f>SUM(DB22:DK22)</f>
        <v>0</v>
      </c>
      <c r="DM22" s="6">
        <f>(DL22-DB22)/2</f>
        <v>0</v>
      </c>
      <c r="DN22" s="11"/>
      <c r="DO22" s="11"/>
      <c r="DP22" s="11"/>
      <c r="DQ22" s="11"/>
      <c r="DR22" s="6">
        <f>SUM(DM22:DQ22)</f>
        <v>0</v>
      </c>
      <c r="DS22" s="6">
        <f>(DR22-DM22)/2</f>
        <v>0</v>
      </c>
      <c r="DT22" s="6"/>
      <c r="DU22" s="6"/>
      <c r="DV22" s="11"/>
      <c r="DW22" s="6">
        <f>SUM(DS22:DT22)</f>
        <v>0</v>
      </c>
    </row>
    <row r="23" spans="1:127" x14ac:dyDescent="0.25">
      <c r="A23">
        <v>13</v>
      </c>
      <c r="B23" s="11" t="s">
        <v>182</v>
      </c>
      <c r="C23" s="6"/>
      <c r="D23" s="6" t="s">
        <v>183</v>
      </c>
      <c r="E23" s="6" t="s">
        <v>45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6"/>
      <c r="AC23" s="6"/>
      <c r="AD23" s="6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>
        <v>48</v>
      </c>
      <c r="BT23" s="7"/>
      <c r="BU23" s="7"/>
      <c r="BV23" s="7"/>
      <c r="BW23" s="7"/>
      <c r="BX23" s="7"/>
      <c r="BY23" s="7"/>
      <c r="BZ23" s="7"/>
      <c r="CA23" s="7"/>
      <c r="CB23" s="7"/>
      <c r="CC23" s="7">
        <f>SUM(BA23:CB23)</f>
        <v>48</v>
      </c>
      <c r="CD23" s="7">
        <f>(CC23-BA23)/2</f>
        <v>24</v>
      </c>
      <c r="CE23" s="7">
        <v>48</v>
      </c>
      <c r="CF23" s="7">
        <v>4</v>
      </c>
      <c r="CG23" s="7">
        <v>54</v>
      </c>
      <c r="CH23" s="7">
        <v>48</v>
      </c>
      <c r="CI23" s="7">
        <v>7.5</v>
      </c>
      <c r="CJ23" s="7"/>
      <c r="CK23" s="7">
        <f>SUM(CD23:CJ23)</f>
        <v>185.5</v>
      </c>
      <c r="CL23" s="7">
        <f>(CK23-CD23)/2</f>
        <v>80.75</v>
      </c>
      <c r="CM23" s="7"/>
      <c r="CN23" s="7"/>
      <c r="CO23" s="7"/>
      <c r="CP23" s="7"/>
      <c r="CQ23" s="7"/>
      <c r="CR23" s="7"/>
      <c r="CS23" s="7">
        <f>SUM(CL23:CR23)</f>
        <v>80.75</v>
      </c>
      <c r="DA23" s="11">
        <f>SUM(CU23:CV23)</f>
        <v>0</v>
      </c>
      <c r="DB23" s="11">
        <f>DA23/2</f>
        <v>0</v>
      </c>
      <c r="DC23" s="11">
        <f>CC23/4</f>
        <v>12</v>
      </c>
      <c r="DD23" s="11"/>
      <c r="DE23" s="11"/>
      <c r="DF23" s="11"/>
      <c r="DG23" s="11"/>
      <c r="DH23" s="11"/>
      <c r="DI23" s="11"/>
      <c r="DJ23" s="11"/>
      <c r="DK23" s="11"/>
      <c r="DL23" s="6">
        <f>SUM(DB23:DK23)</f>
        <v>12</v>
      </c>
      <c r="DM23" s="6">
        <f>(DL23-DB23)/2</f>
        <v>6</v>
      </c>
      <c r="DN23" s="11"/>
      <c r="DO23" s="11"/>
      <c r="DP23" s="11"/>
      <c r="DQ23" s="11"/>
      <c r="DR23" s="6">
        <f>SUM(DM23:DQ23)</f>
        <v>6</v>
      </c>
      <c r="DS23" s="6">
        <f>(DR23-DM23)/2</f>
        <v>0</v>
      </c>
      <c r="DT23" s="6"/>
      <c r="DU23" s="6"/>
      <c r="DV23" s="11"/>
      <c r="DW23" s="6">
        <f>SUM(DS23:DT23)</f>
        <v>0</v>
      </c>
    </row>
    <row r="24" spans="1:127" x14ac:dyDescent="0.25">
      <c r="A24">
        <v>14</v>
      </c>
      <c r="B24" s="11" t="s">
        <v>236</v>
      </c>
      <c r="C24" s="6"/>
      <c r="D24" s="6" t="s">
        <v>157</v>
      </c>
      <c r="E24" s="6" t="s">
        <v>42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6"/>
      <c r="AC24" s="6"/>
      <c r="AD24" s="6"/>
      <c r="AE24" s="7"/>
      <c r="AF24" s="7"/>
      <c r="AG24" s="7"/>
      <c r="AH24" s="7"/>
      <c r="AI24" s="7"/>
      <c r="AJ24" s="7"/>
      <c r="AK24" s="7"/>
      <c r="AL24" s="7"/>
      <c r="AM24" s="7">
        <v>4</v>
      </c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>
        <f>SUM(AC24:AY24)</f>
        <v>4</v>
      </c>
      <c r="BA24" s="7">
        <f>(AZ24-AC24)/2</f>
        <v>2</v>
      </c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>
        <v>7.5</v>
      </c>
      <c r="BQ24" s="7"/>
      <c r="BR24" s="7"/>
      <c r="BS24" s="7">
        <v>2.4</v>
      </c>
      <c r="BT24" s="7"/>
      <c r="BU24" s="7"/>
      <c r="BV24" s="7"/>
      <c r="BW24" s="7"/>
      <c r="BX24" s="7"/>
      <c r="BY24" s="7"/>
      <c r="BZ24" s="7"/>
      <c r="CA24" s="7">
        <v>39</v>
      </c>
      <c r="CB24" s="7"/>
      <c r="CC24" s="7">
        <f>SUM(BA24:CB24)</f>
        <v>50.9</v>
      </c>
      <c r="CD24" s="7">
        <f>(CC24-BA24)/2</f>
        <v>24.45</v>
      </c>
      <c r="CE24" s="7">
        <v>33.6</v>
      </c>
      <c r="CF24" s="7"/>
      <c r="CG24" s="7">
        <v>7.5</v>
      </c>
      <c r="CH24" s="7">
        <v>26</v>
      </c>
      <c r="CI24" s="7">
        <v>39</v>
      </c>
      <c r="CJ24" s="7">
        <v>7.5</v>
      </c>
      <c r="CK24" s="7">
        <f>SUM(CD24:CJ24)</f>
        <v>138.05000000000001</v>
      </c>
      <c r="CL24" s="7">
        <f>(CK24-CD24)/2</f>
        <v>56.800000000000004</v>
      </c>
      <c r="CM24" s="7"/>
      <c r="CN24" s="7"/>
      <c r="CO24" s="7"/>
      <c r="CP24" s="7"/>
      <c r="CQ24" s="7"/>
      <c r="CR24" s="7"/>
      <c r="CS24" s="7">
        <f>SUM(CL24:CR24)</f>
        <v>56.800000000000004</v>
      </c>
      <c r="CU24" s="8">
        <f>AZ24/4</f>
        <v>1</v>
      </c>
      <c r="CV24" s="8"/>
      <c r="CW24" s="8"/>
      <c r="CX24" s="8"/>
      <c r="CY24" s="8"/>
      <c r="CZ24" s="8"/>
      <c r="DA24" s="11">
        <f>SUM(CU24:CV24)</f>
        <v>1</v>
      </c>
      <c r="DB24" s="11">
        <f>DA24/2</f>
        <v>0.5</v>
      </c>
      <c r="DC24" s="11">
        <f>CC24/4</f>
        <v>12.725</v>
      </c>
      <c r="DD24" s="11"/>
      <c r="DE24" s="11"/>
      <c r="DF24" s="11"/>
      <c r="DG24" s="11"/>
      <c r="DH24" s="11"/>
      <c r="DI24" s="11"/>
      <c r="DJ24" s="11"/>
      <c r="DK24" s="11"/>
      <c r="DL24" s="6">
        <f>SUM(DB24:DK24)</f>
        <v>13.225</v>
      </c>
      <c r="DM24" s="6">
        <f>(DL24-DB24)/2</f>
        <v>6.3624999999999998</v>
      </c>
      <c r="DN24" s="11"/>
      <c r="DO24" s="11"/>
      <c r="DP24" s="11"/>
      <c r="DQ24" s="11"/>
      <c r="DR24" s="6">
        <f>SUM(DM24:DQ24)</f>
        <v>6.3624999999999998</v>
      </c>
      <c r="DS24" s="6">
        <f>(DR24-DM24)/2</f>
        <v>0</v>
      </c>
      <c r="DT24" s="6"/>
      <c r="DU24" s="6"/>
      <c r="DV24" s="11"/>
      <c r="DW24" s="6">
        <f>SUM(DS24:DT24)</f>
        <v>0</v>
      </c>
    </row>
    <row r="25" spans="1:127" x14ac:dyDescent="0.25">
      <c r="A25">
        <v>15</v>
      </c>
      <c r="B25" s="11" t="s">
        <v>559</v>
      </c>
      <c r="C25" s="6"/>
      <c r="D25" s="6" t="s">
        <v>122</v>
      </c>
      <c r="E25" s="6" t="s">
        <v>107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6"/>
      <c r="AC25" s="6"/>
      <c r="AD25" s="6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>
        <v>39</v>
      </c>
      <c r="CH25" s="7">
        <v>5</v>
      </c>
      <c r="CI25" s="7"/>
      <c r="CJ25" s="7"/>
      <c r="CK25" s="7">
        <f>SUM(CD25:CJ25)</f>
        <v>44</v>
      </c>
      <c r="CL25" s="7">
        <f>(CK25-CD25)/2</f>
        <v>22</v>
      </c>
      <c r="CM25" s="7">
        <v>33.6</v>
      </c>
      <c r="CN25" s="7"/>
      <c r="CO25" s="7"/>
      <c r="CP25" s="7"/>
      <c r="CQ25" s="7"/>
      <c r="CR25" s="7"/>
      <c r="CS25" s="7">
        <f>SUM(CL25:CR25)</f>
        <v>55.6</v>
      </c>
      <c r="DA25" s="6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6">
        <f>SUM(DB25:DK25)</f>
        <v>0</v>
      </c>
      <c r="DM25" s="6">
        <f>(DL25-DB25)/2</f>
        <v>0</v>
      </c>
      <c r="DN25" s="11"/>
      <c r="DO25" s="11"/>
      <c r="DP25" s="11"/>
      <c r="DQ25" s="11"/>
      <c r="DR25" s="6">
        <f>SUM(DM25:DQ25)</f>
        <v>0</v>
      </c>
      <c r="DS25" s="6">
        <f>(DR25-DM25)/2</f>
        <v>0</v>
      </c>
      <c r="DT25" s="6"/>
      <c r="DU25" s="6"/>
      <c r="DV25" s="11"/>
      <c r="DW25" s="6">
        <f>SUM(DS25:DT25)</f>
        <v>0</v>
      </c>
    </row>
    <row r="26" spans="1:127" x14ac:dyDescent="0.25">
      <c r="A26">
        <v>16</v>
      </c>
      <c r="B26" s="26" t="s">
        <v>99</v>
      </c>
      <c r="C26" s="27"/>
      <c r="D26" s="27" t="s">
        <v>22</v>
      </c>
      <c r="E26" s="27" t="s">
        <v>581</v>
      </c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>
        <v>48</v>
      </c>
      <c r="CN26" s="7"/>
      <c r="CO26" s="7">
        <v>7.5</v>
      </c>
      <c r="CP26" s="7"/>
      <c r="CQ26" s="7"/>
      <c r="CR26" s="7"/>
      <c r="CS26" s="7">
        <f>SUM(CL26:CR26)</f>
        <v>55.5</v>
      </c>
      <c r="DA26" s="6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6"/>
      <c r="DM26" s="6"/>
      <c r="DN26" s="11"/>
      <c r="DO26" s="11"/>
      <c r="DP26" s="11"/>
      <c r="DQ26" s="11"/>
      <c r="DR26" s="6">
        <f>SUM(DM26:DQ26)</f>
        <v>0</v>
      </c>
      <c r="DS26" s="6">
        <f>(DR26-DM26)/2</f>
        <v>0</v>
      </c>
      <c r="DT26" s="6"/>
      <c r="DU26" s="6"/>
      <c r="DV26" s="11"/>
      <c r="DW26" s="6">
        <f>SUM(DS26:DT26)</f>
        <v>0</v>
      </c>
    </row>
    <row r="27" spans="1:127" x14ac:dyDescent="0.25">
      <c r="A27">
        <v>17</v>
      </c>
      <c r="B27" s="11" t="s">
        <v>199</v>
      </c>
      <c r="C27" s="6"/>
      <c r="D27" s="6" t="s">
        <v>200</v>
      </c>
      <c r="E27" s="6" t="s">
        <v>577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6"/>
      <c r="AC27" s="6"/>
      <c r="AD27" s="6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>
        <v>36</v>
      </c>
      <c r="CF27" s="7">
        <v>40</v>
      </c>
      <c r="CG27" s="7">
        <v>4</v>
      </c>
      <c r="CH27" s="7"/>
      <c r="CI27" s="7"/>
      <c r="CJ27" s="7"/>
      <c r="CK27" s="7">
        <f>SUM(CD27:CJ27)</f>
        <v>80</v>
      </c>
      <c r="CL27" s="7">
        <f>(CK27-CD27)/2</f>
        <v>40</v>
      </c>
      <c r="CM27" s="7"/>
      <c r="CN27" s="7"/>
      <c r="CO27" s="7"/>
      <c r="CP27" s="7"/>
      <c r="CQ27" s="7"/>
      <c r="CR27" s="7"/>
      <c r="CS27" s="7">
        <f>SUM(CL27:CR27)</f>
        <v>40</v>
      </c>
      <c r="DL27" s="6">
        <f>SUM(DB27:DK27)</f>
        <v>0</v>
      </c>
      <c r="DM27" s="6">
        <f>(DL27-DB27)/2</f>
        <v>0</v>
      </c>
      <c r="DN27" s="11"/>
      <c r="DO27" s="11"/>
      <c r="DP27" s="11"/>
      <c r="DQ27" s="11"/>
      <c r="DR27" s="6">
        <f>SUM(DM27:DQ27)</f>
        <v>0</v>
      </c>
      <c r="DS27" s="6">
        <f>(DR27-DM27)/2</f>
        <v>0</v>
      </c>
      <c r="DT27" s="6"/>
      <c r="DU27" s="6"/>
      <c r="DV27" s="11"/>
      <c r="DW27" s="6">
        <f>SUM(DS27:DT27)</f>
        <v>0</v>
      </c>
    </row>
    <row r="28" spans="1:127" x14ac:dyDescent="0.25">
      <c r="A28">
        <v>18</v>
      </c>
      <c r="B28" s="11" t="s">
        <v>37</v>
      </c>
      <c r="C28" s="6"/>
      <c r="D28" s="6" t="s">
        <v>675</v>
      </c>
      <c r="E28" s="6" t="s">
        <v>676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6"/>
      <c r="AC28" s="6"/>
      <c r="AD28" s="6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>
        <v>36</v>
      </c>
      <c r="CN28" s="7"/>
      <c r="CO28" s="7"/>
      <c r="CP28" s="7"/>
      <c r="CQ28" s="7"/>
      <c r="CR28" s="7"/>
      <c r="CS28" s="7">
        <f>SUM(CL28:CR28)</f>
        <v>36</v>
      </c>
      <c r="DL28" s="6"/>
      <c r="DM28" s="6"/>
      <c r="DN28" s="11"/>
      <c r="DO28" s="11"/>
      <c r="DP28" s="11"/>
      <c r="DQ28" s="11"/>
      <c r="DR28" s="6">
        <f>SUM(DM28:DQ28)</f>
        <v>0</v>
      </c>
      <c r="DS28" s="6">
        <f>(DR28-DM28)/2</f>
        <v>0</v>
      </c>
      <c r="DT28" s="6"/>
      <c r="DU28" s="6"/>
      <c r="DV28" s="11"/>
      <c r="DW28" s="6">
        <f>SUM(DS28:DT28)</f>
        <v>0</v>
      </c>
    </row>
    <row r="29" spans="1:127" x14ac:dyDescent="0.25">
      <c r="A29">
        <v>19</v>
      </c>
      <c r="B29" s="11" t="s">
        <v>444</v>
      </c>
      <c r="C29" s="6"/>
      <c r="D29" s="6" t="s">
        <v>364</v>
      </c>
      <c r="E29" s="6" t="s">
        <v>21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6"/>
      <c r="AC29" s="6"/>
      <c r="AD29" s="6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>
        <v>36</v>
      </c>
      <c r="CN29" s="7"/>
      <c r="CO29" s="7"/>
      <c r="CP29" s="7"/>
      <c r="CQ29" s="7"/>
      <c r="CR29" s="7"/>
      <c r="CS29" s="7">
        <f>SUM(CL29:CR29)</f>
        <v>36</v>
      </c>
      <c r="DL29" s="6"/>
      <c r="DM29" s="6"/>
      <c r="DN29" s="11"/>
      <c r="DO29" s="11"/>
      <c r="DP29" s="11"/>
      <c r="DQ29" s="11"/>
      <c r="DR29" s="6"/>
      <c r="DS29" s="6"/>
      <c r="DT29" s="6"/>
      <c r="DU29" s="6"/>
      <c r="DV29" s="11"/>
      <c r="DW29" s="6">
        <f>SUM(DS29:DT29)</f>
        <v>0</v>
      </c>
    </row>
    <row r="30" spans="1:127" x14ac:dyDescent="0.25">
      <c r="A30">
        <v>20</v>
      </c>
      <c r="B30" s="11" t="s">
        <v>797</v>
      </c>
      <c r="C30" s="6"/>
      <c r="D30" s="6" t="s">
        <v>798</v>
      </c>
      <c r="E30" s="6" t="s">
        <v>242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6"/>
      <c r="AC30" s="6"/>
      <c r="AD30" s="6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>
        <v>36</v>
      </c>
      <c r="CN30" s="7"/>
      <c r="CO30" s="7"/>
      <c r="CP30" s="7"/>
      <c r="CQ30" s="7"/>
      <c r="CR30" s="7"/>
      <c r="CS30" s="7">
        <f>SUM(CL30:CR30)</f>
        <v>36</v>
      </c>
      <c r="DL30" s="6"/>
      <c r="DM30" s="6"/>
      <c r="DN30" s="11"/>
      <c r="DO30" s="11"/>
      <c r="DP30" s="11"/>
      <c r="DQ30" s="11"/>
      <c r="DR30" s="6"/>
      <c r="DS30" s="6"/>
      <c r="DT30" s="6"/>
      <c r="DU30" s="6"/>
      <c r="DV30" s="11"/>
      <c r="DW30" s="6">
        <f>SUM(DS30:DT30)</f>
        <v>0</v>
      </c>
    </row>
    <row r="31" spans="1:127" x14ac:dyDescent="0.25">
      <c r="A31">
        <v>21</v>
      </c>
      <c r="B31" s="11" t="s">
        <v>691</v>
      </c>
      <c r="C31" s="6"/>
      <c r="D31" s="6" t="s">
        <v>133</v>
      </c>
      <c r="E31" s="6" t="s">
        <v>489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6"/>
      <c r="AC31" s="6"/>
      <c r="AD31" s="6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>
        <v>33.6</v>
      </c>
      <c r="CN31" s="7"/>
      <c r="CO31" s="7"/>
      <c r="CP31" s="7"/>
      <c r="CQ31" s="7"/>
      <c r="CR31" s="7"/>
      <c r="CS31" s="7">
        <f>SUM(CL31:CR31)</f>
        <v>33.6</v>
      </c>
      <c r="DL31" s="6"/>
      <c r="DM31" s="6"/>
      <c r="DN31" s="11"/>
      <c r="DO31" s="11"/>
      <c r="DP31" s="11"/>
      <c r="DQ31" s="11"/>
      <c r="DR31" s="6">
        <f>SUM(DM31:DQ31)</f>
        <v>0</v>
      </c>
      <c r="DS31" s="6">
        <f>(DR31-DM31)/2</f>
        <v>0</v>
      </c>
      <c r="DT31" s="6"/>
      <c r="DU31" s="6"/>
      <c r="DV31" s="11"/>
      <c r="DW31" s="6">
        <f>SUM(DS31:DT31)</f>
        <v>0</v>
      </c>
    </row>
    <row r="32" spans="1:127" x14ac:dyDescent="0.25">
      <c r="A32">
        <v>22</v>
      </c>
      <c r="B32" s="11" t="s">
        <v>706</v>
      </c>
      <c r="C32" s="6"/>
      <c r="D32" s="6" t="s">
        <v>603</v>
      </c>
      <c r="E32" s="6" t="s">
        <v>42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6"/>
      <c r="AC32" s="6"/>
      <c r="AD32" s="6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>
        <v>33.6</v>
      </c>
      <c r="CN32" s="7"/>
      <c r="CO32" s="7"/>
      <c r="CP32" s="7"/>
      <c r="CQ32" s="7"/>
      <c r="CR32" s="7"/>
      <c r="CS32" s="7">
        <f>SUM(CL32:CR32)</f>
        <v>33.6</v>
      </c>
      <c r="DL32" s="6"/>
      <c r="DM32" s="6"/>
      <c r="DN32" s="11"/>
      <c r="DO32" s="11"/>
      <c r="DP32" s="11"/>
      <c r="DQ32" s="11"/>
      <c r="DR32" s="6">
        <f>SUM(DM32:DQ32)</f>
        <v>0</v>
      </c>
      <c r="DS32" s="6">
        <f>(DR32-DM32)/2</f>
        <v>0</v>
      </c>
      <c r="DT32" s="6"/>
      <c r="DU32" s="6"/>
      <c r="DV32" s="11"/>
      <c r="DW32" s="6">
        <f>SUM(DS32:DT32)</f>
        <v>0</v>
      </c>
    </row>
    <row r="33" spans="1:127" x14ac:dyDescent="0.25">
      <c r="A33">
        <v>23</v>
      </c>
      <c r="B33" s="11" t="s">
        <v>568</v>
      </c>
      <c r="C33" s="6"/>
      <c r="D33" s="6" t="s">
        <v>569</v>
      </c>
      <c r="E33" s="6" t="s">
        <v>565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6"/>
      <c r="AC33" s="6"/>
      <c r="AD33" s="6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>
        <v>5</v>
      </c>
      <c r="CH33" s="7">
        <v>7.5</v>
      </c>
      <c r="CI33" s="7">
        <v>54</v>
      </c>
      <c r="CJ33" s="7"/>
      <c r="CK33" s="7">
        <f>SUM(CD33:CJ33)</f>
        <v>66.5</v>
      </c>
      <c r="CL33" s="7">
        <f>(CK33-CD33)/2</f>
        <v>33.25</v>
      </c>
      <c r="CM33" s="7"/>
      <c r="CN33" s="7"/>
      <c r="CO33" s="7"/>
      <c r="CP33" s="7"/>
      <c r="CQ33" s="7"/>
      <c r="CR33" s="7"/>
      <c r="CS33" s="7">
        <f>SUM(CL33:CR33)</f>
        <v>33.25</v>
      </c>
      <c r="DL33" s="6">
        <f>SUM(DB33:DK33)</f>
        <v>0</v>
      </c>
      <c r="DM33" s="6">
        <f>(DL33-DB33)/2</f>
        <v>0</v>
      </c>
      <c r="DN33" s="11"/>
      <c r="DO33" s="11"/>
      <c r="DP33" s="11"/>
      <c r="DQ33" s="11"/>
      <c r="DR33" s="6">
        <f>SUM(DM33:DQ33)</f>
        <v>0</v>
      </c>
      <c r="DS33" s="6">
        <f>(DR33-DM33)/2</f>
        <v>0</v>
      </c>
      <c r="DT33" s="6"/>
      <c r="DU33" s="6"/>
      <c r="DV33" s="11"/>
      <c r="DW33" s="6">
        <f>SUM(DS33:DT33)</f>
        <v>0</v>
      </c>
    </row>
    <row r="34" spans="1:127" x14ac:dyDescent="0.25">
      <c r="A34">
        <v>24</v>
      </c>
      <c r="B34" s="11" t="s">
        <v>438</v>
      </c>
      <c r="C34" s="6"/>
      <c r="D34" s="6" t="s">
        <v>157</v>
      </c>
      <c r="E34" s="6" t="s">
        <v>11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6"/>
      <c r="AC34" s="6"/>
      <c r="AD34" s="6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>
        <v>30</v>
      </c>
      <c r="CF34" s="7">
        <v>4</v>
      </c>
      <c r="CG34" s="7">
        <v>7.5</v>
      </c>
      <c r="CH34" s="7">
        <v>5</v>
      </c>
      <c r="CI34" s="7"/>
      <c r="CJ34" s="7"/>
      <c r="CK34" s="7">
        <f>SUM(CD34:CJ34)</f>
        <v>46.5</v>
      </c>
      <c r="CL34" s="7">
        <f>(CK34-CD34)/2</f>
        <v>23.25</v>
      </c>
      <c r="CM34" s="7"/>
      <c r="CN34" s="7"/>
      <c r="CO34" s="7"/>
      <c r="CP34" s="7"/>
      <c r="CQ34" s="7"/>
      <c r="CR34" s="7"/>
      <c r="CS34" s="7">
        <f>SUM(CL34:CR34)</f>
        <v>23.25</v>
      </c>
      <c r="DL34" s="6"/>
      <c r="DM34" s="6"/>
      <c r="DN34" s="11">
        <v>1.5</v>
      </c>
      <c r="DO34" s="11"/>
      <c r="DP34" s="11"/>
      <c r="DQ34" s="11"/>
      <c r="DR34" s="6">
        <f>SUM(DM34:DQ34)</f>
        <v>1.5</v>
      </c>
      <c r="DS34" s="6">
        <f>(DR34-DM34)/2</f>
        <v>0.75</v>
      </c>
      <c r="DT34" s="6"/>
      <c r="DU34" s="6"/>
      <c r="DV34" s="11"/>
      <c r="DW34" s="6">
        <f>SUM(DS34:DT34)</f>
        <v>0.75</v>
      </c>
    </row>
    <row r="35" spans="1:127" x14ac:dyDescent="0.25">
      <c r="A35">
        <v>25</v>
      </c>
      <c r="B35" s="11" t="s">
        <v>82</v>
      </c>
      <c r="C35" s="6"/>
      <c r="D35" s="6" t="s">
        <v>364</v>
      </c>
      <c r="E35" s="6" t="s">
        <v>73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6"/>
      <c r="AC35" s="6"/>
      <c r="AD35" s="6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>
        <v>33.6</v>
      </c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>
        <v>2.4</v>
      </c>
      <c r="BZ35" s="7"/>
      <c r="CA35" s="7"/>
      <c r="CB35" s="7"/>
      <c r="CC35" s="7">
        <f>SUM(BA35:CB35)</f>
        <v>36</v>
      </c>
      <c r="CD35" s="7">
        <f>(CC35-BA35)/2</f>
        <v>18</v>
      </c>
      <c r="CE35" s="7">
        <v>33.6</v>
      </c>
      <c r="CF35" s="7"/>
      <c r="CG35" s="7"/>
      <c r="CH35" s="7"/>
      <c r="CI35" s="7"/>
      <c r="CJ35" s="7"/>
      <c r="CK35" s="7">
        <f>SUM(CD35:CJ35)</f>
        <v>51.6</v>
      </c>
      <c r="CL35" s="7">
        <f>(CK35-CD35)/2</f>
        <v>16.8</v>
      </c>
      <c r="CM35" s="7">
        <v>2.4</v>
      </c>
      <c r="CN35" s="7"/>
      <c r="CO35" s="7"/>
      <c r="CP35" s="7"/>
      <c r="CQ35" s="7"/>
      <c r="CR35" s="7"/>
      <c r="CS35" s="7">
        <f>SUM(CL35:CR35)</f>
        <v>19.2</v>
      </c>
      <c r="DA35" s="8">
        <f>SUM(CU35:CV35)</f>
        <v>0</v>
      </c>
      <c r="DB35" s="8">
        <f>DA35/2</f>
        <v>0</v>
      </c>
      <c r="DC35" s="8">
        <f>CC35/4</f>
        <v>9</v>
      </c>
      <c r="DL35" s="6">
        <f>SUM(DB35:DK35)</f>
        <v>9</v>
      </c>
      <c r="DM35" s="6">
        <f>(DL35-DB35)/2</f>
        <v>4.5</v>
      </c>
      <c r="DN35" s="11"/>
      <c r="DO35" s="11"/>
      <c r="DP35" s="11"/>
      <c r="DQ35" s="11"/>
      <c r="DR35" s="6">
        <f>SUM(DM35:DQ35)</f>
        <v>4.5</v>
      </c>
      <c r="DS35" s="6">
        <f>(DR35-DM35)/2</f>
        <v>0</v>
      </c>
      <c r="DT35" s="6"/>
      <c r="DU35" s="6"/>
      <c r="DV35" s="11"/>
      <c r="DW35" s="6">
        <f>SUM(DS35:DT35)</f>
        <v>0</v>
      </c>
    </row>
    <row r="36" spans="1:127" x14ac:dyDescent="0.25">
      <c r="A36">
        <v>26</v>
      </c>
      <c r="B36" s="11" t="s">
        <v>368</v>
      </c>
      <c r="C36" s="6"/>
      <c r="D36" s="6" t="s">
        <v>63</v>
      </c>
      <c r="E36" s="6" t="s">
        <v>84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6"/>
      <c r="AC36" s="6"/>
      <c r="AD36" s="6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>
        <v>36</v>
      </c>
      <c r="CF36" s="7"/>
      <c r="CG36" s="7"/>
      <c r="CH36" s="7"/>
      <c r="CI36" s="7"/>
      <c r="CJ36" s="7"/>
      <c r="CK36" s="7">
        <f>SUM(CD36:CJ36)</f>
        <v>36</v>
      </c>
      <c r="CL36" s="7">
        <f>(CK36-CD36)/2</f>
        <v>18</v>
      </c>
      <c r="CM36" s="7"/>
      <c r="CN36" s="7"/>
      <c r="CO36" s="7"/>
      <c r="CP36" s="7"/>
      <c r="CQ36" s="7"/>
      <c r="CR36" s="7"/>
      <c r="CS36" s="7">
        <f>SUM(CL36:CR36)</f>
        <v>18</v>
      </c>
      <c r="DL36">
        <f>SUM(DB36:DK36)</f>
        <v>0</v>
      </c>
      <c r="DM36">
        <f>(DL36-DB36)/2</f>
        <v>0</v>
      </c>
      <c r="DR36" s="6">
        <f>SUM(DM36:DQ36)</f>
        <v>0</v>
      </c>
      <c r="DS36" s="6">
        <f>(DR36-DM36)/2</f>
        <v>0</v>
      </c>
      <c r="DT36" s="6"/>
      <c r="DU36" s="6"/>
      <c r="DV36" s="11"/>
      <c r="DW36" s="6">
        <f>SUM(DS36:DT36)</f>
        <v>0</v>
      </c>
    </row>
    <row r="37" spans="1:127" x14ac:dyDescent="0.25">
      <c r="A37">
        <v>27</v>
      </c>
      <c r="B37" s="11" t="s">
        <v>243</v>
      </c>
      <c r="C37" s="6"/>
      <c r="D37" s="6" t="s">
        <v>642</v>
      </c>
      <c r="E37" s="6" t="s">
        <v>273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6"/>
      <c r="AC37" s="6"/>
      <c r="AD37" s="6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>
        <v>2.4</v>
      </c>
      <c r="CN37" s="7">
        <v>4</v>
      </c>
      <c r="CO37" s="7">
        <v>7.5</v>
      </c>
      <c r="CP37" s="7"/>
      <c r="CQ37" s="7"/>
      <c r="CR37" s="7"/>
      <c r="CS37" s="7">
        <f>SUM(CL37:CR37)</f>
        <v>13.9</v>
      </c>
      <c r="DR37" s="6">
        <f>SUM(DM37:DQ37)</f>
        <v>0</v>
      </c>
      <c r="DS37" s="6">
        <f>(DR37-DM37)/2</f>
        <v>0</v>
      </c>
      <c r="DT37" s="6"/>
      <c r="DU37" s="6"/>
      <c r="DV37" s="11"/>
      <c r="DW37" s="6">
        <f>SUM(DS37:DT37)</f>
        <v>0</v>
      </c>
    </row>
    <row r="38" spans="1:127" x14ac:dyDescent="0.25">
      <c r="A38">
        <v>28</v>
      </c>
      <c r="B38" s="11" t="s">
        <v>91</v>
      </c>
      <c r="C38" s="6"/>
      <c r="D38" s="6" t="s">
        <v>536</v>
      </c>
      <c r="E38" s="6" t="s">
        <v>73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6"/>
      <c r="AC38" s="6"/>
      <c r="AD38" s="6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>
        <v>2.4</v>
      </c>
      <c r="CF38" s="7"/>
      <c r="CG38" s="7">
        <v>7.5</v>
      </c>
      <c r="CH38" s="7"/>
      <c r="CI38" s="7"/>
      <c r="CJ38" s="7"/>
      <c r="CK38" s="7">
        <f>SUM(CD38:CJ38)</f>
        <v>9.9</v>
      </c>
      <c r="CL38" s="7">
        <f>(CK38-CD38)/2</f>
        <v>4.95</v>
      </c>
      <c r="CM38" s="7"/>
      <c r="CN38" s="7"/>
      <c r="CO38" s="7"/>
      <c r="CP38" s="7"/>
      <c r="CQ38" s="7"/>
      <c r="CR38" s="7"/>
      <c r="CS38" s="7">
        <f>SUM(CL38:CR38)</f>
        <v>4.95</v>
      </c>
      <c r="DL38">
        <f>SUM(DB38:DK38)</f>
        <v>0</v>
      </c>
      <c r="DM38">
        <f>(DL38-DB38)/2</f>
        <v>0</v>
      </c>
      <c r="DR38" s="6">
        <f>SUM(DM38:DQ38)</f>
        <v>0</v>
      </c>
      <c r="DS38" s="6">
        <f>(DR38-DM38)/2</f>
        <v>0</v>
      </c>
      <c r="DT38" s="6"/>
      <c r="DU38" s="6"/>
      <c r="DV38" s="11"/>
      <c r="DW38" s="6">
        <f>SUM(DS38:DT38)</f>
        <v>0</v>
      </c>
    </row>
    <row r="39" spans="1:127" x14ac:dyDescent="0.25">
      <c r="A39">
        <v>29</v>
      </c>
      <c r="B39" s="11" t="s">
        <v>762</v>
      </c>
      <c r="C39" s="6"/>
      <c r="D39" s="6" t="s">
        <v>569</v>
      </c>
      <c r="E39" s="6" t="s">
        <v>196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6"/>
      <c r="AC39" s="6"/>
      <c r="AD39" s="6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>
        <v>4</v>
      </c>
      <c r="CO39" s="7"/>
      <c r="CP39" s="7"/>
      <c r="CQ39" s="7"/>
      <c r="CR39" s="7"/>
      <c r="CS39" s="7">
        <f>SUM(CL39:CR39)</f>
        <v>4</v>
      </c>
      <c r="DR39" s="6"/>
      <c r="DS39" s="6"/>
      <c r="DT39" s="6">
        <v>13.5</v>
      </c>
      <c r="DU39" s="6"/>
      <c r="DV39" s="11"/>
      <c r="DW39" s="6">
        <f>SUM(DS39:DT39)</f>
        <v>13.5</v>
      </c>
    </row>
    <row r="40" spans="1:127" x14ac:dyDescent="0.25">
      <c r="A40">
        <v>30</v>
      </c>
      <c r="B40" s="11" t="s">
        <v>602</v>
      </c>
      <c r="C40" s="6"/>
      <c r="D40" s="6" t="s">
        <v>603</v>
      </c>
      <c r="E40" s="6" t="s">
        <v>42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6"/>
      <c r="AC40" s="6"/>
      <c r="AD40" s="6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>
        <v>7.5</v>
      </c>
      <c r="CH40" s="7"/>
      <c r="CI40" s="7"/>
      <c r="CJ40" s="7"/>
      <c r="CK40" s="7">
        <f>SUM(CD40:CJ40)</f>
        <v>7.5</v>
      </c>
      <c r="CL40" s="7">
        <f>(CK40-CD40)/2</f>
        <v>3.75</v>
      </c>
      <c r="CM40" s="7"/>
      <c r="CN40" s="7"/>
      <c r="CO40" s="7"/>
      <c r="CP40" s="7"/>
      <c r="CQ40" s="7"/>
      <c r="CR40" s="7"/>
      <c r="CS40" s="7">
        <f>SUM(CL40:CR40)</f>
        <v>3.75</v>
      </c>
      <c r="DL40">
        <f>SUM(DB40:DK40)</f>
        <v>0</v>
      </c>
      <c r="DM40">
        <f>(DL40-DB40)/2</f>
        <v>0</v>
      </c>
      <c r="DR40" s="6">
        <f>SUM(DM40:DQ40)</f>
        <v>0</v>
      </c>
      <c r="DS40" s="6">
        <f>(DR40-DM40)/2</f>
        <v>0</v>
      </c>
      <c r="DT40" s="6"/>
      <c r="DU40" s="6"/>
      <c r="DV40" s="11"/>
      <c r="DW40" s="6">
        <f>SUM(DS40:DT40)</f>
        <v>0</v>
      </c>
    </row>
    <row r="41" spans="1:127" x14ac:dyDescent="0.25">
      <c r="A41">
        <v>31</v>
      </c>
      <c r="B41" s="11" t="s">
        <v>566</v>
      </c>
      <c r="C41" s="6"/>
      <c r="D41" s="6" t="s">
        <v>567</v>
      </c>
      <c r="E41" s="6" t="s">
        <v>531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6"/>
      <c r="AC41" s="6"/>
      <c r="AD41" s="6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>
        <v>5</v>
      </c>
      <c r="CH41" s="7"/>
      <c r="CI41" s="7"/>
      <c r="CJ41" s="7"/>
      <c r="CK41" s="7">
        <f>SUM(CD41:CJ41)</f>
        <v>5</v>
      </c>
      <c r="CL41" s="7">
        <f>(CK41-CD41)/2</f>
        <v>2.5</v>
      </c>
      <c r="CM41" s="7"/>
      <c r="CN41" s="7"/>
      <c r="CO41" s="7"/>
      <c r="CP41" s="7"/>
      <c r="CQ41" s="7"/>
      <c r="CR41" s="7"/>
      <c r="CS41" s="7">
        <f>SUM(CL41:CR41)</f>
        <v>2.5</v>
      </c>
      <c r="DL41">
        <f>SUM(DB41:DK41)</f>
        <v>0</v>
      </c>
      <c r="DM41">
        <f>(DL41-DB41)/2</f>
        <v>0</v>
      </c>
      <c r="DR41" s="6">
        <f>SUM(DM41:DQ41)</f>
        <v>0</v>
      </c>
      <c r="DS41" s="6">
        <f>(DR41-DM41)/2</f>
        <v>0</v>
      </c>
      <c r="DT41" s="6"/>
      <c r="DU41" s="6"/>
      <c r="DV41" s="11"/>
      <c r="DW41" s="6">
        <f>SUM(DS41:DT41)</f>
        <v>0</v>
      </c>
    </row>
    <row r="42" spans="1:127" x14ac:dyDescent="0.25">
      <c r="A42">
        <v>32</v>
      </c>
      <c r="B42" s="11" t="s">
        <v>115</v>
      </c>
      <c r="C42" s="6"/>
      <c r="D42" s="6" t="s">
        <v>74</v>
      </c>
      <c r="E42" s="6" t="s">
        <v>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6"/>
      <c r="AC42" s="6"/>
      <c r="AD42" s="6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>
        <v>4</v>
      </c>
      <c r="CF42" s="7"/>
      <c r="CG42" s="7"/>
      <c r="CH42" s="7"/>
      <c r="CI42" s="7"/>
      <c r="CJ42" s="7"/>
      <c r="CK42" s="7">
        <f>SUM(CD42:CJ42)</f>
        <v>4</v>
      </c>
      <c r="CL42" s="7">
        <f>(CK42-CD42)/2</f>
        <v>2</v>
      </c>
      <c r="CM42" s="7"/>
      <c r="CN42" s="7"/>
      <c r="CO42" s="7"/>
      <c r="CP42" s="7"/>
      <c r="CQ42" s="7"/>
      <c r="CR42" s="7"/>
      <c r="CS42" s="7">
        <f>SUM(CL42:CR42)</f>
        <v>2</v>
      </c>
      <c r="DL42">
        <f>SUM(DB42:DK42)</f>
        <v>0</v>
      </c>
      <c r="DM42">
        <f>(DL42-DB42)/2</f>
        <v>0</v>
      </c>
      <c r="DQ42" s="8">
        <v>2.5</v>
      </c>
      <c r="DR42" s="6">
        <f>SUM(DM42:DQ42)</f>
        <v>2.5</v>
      </c>
      <c r="DS42" s="6">
        <f>(DR42-DM42)/2</f>
        <v>1.25</v>
      </c>
      <c r="DT42" s="6"/>
      <c r="DU42" s="6"/>
      <c r="DV42" s="11"/>
      <c r="DW42" s="6">
        <f>SUM(DS42:DT42)</f>
        <v>1.25</v>
      </c>
    </row>
    <row r="43" spans="1:127" x14ac:dyDescent="0.25">
      <c r="A43">
        <v>33</v>
      </c>
      <c r="B43" s="26" t="s">
        <v>97</v>
      </c>
      <c r="C43" s="27"/>
      <c r="D43" s="27" t="s">
        <v>324</v>
      </c>
      <c r="E43" s="27" t="s">
        <v>196</v>
      </c>
      <c r="CE43" s="15">
        <v>2.4</v>
      </c>
      <c r="CK43" s="34">
        <f>SUM(CD43:CJ43)</f>
        <v>2.4</v>
      </c>
      <c r="CL43" s="34">
        <f>(CK43-CD43)/2</f>
        <v>1.2</v>
      </c>
      <c r="CM43" s="34"/>
      <c r="CN43" s="34"/>
      <c r="CO43" s="34"/>
      <c r="CP43" s="34"/>
      <c r="CQ43" s="34"/>
      <c r="CR43" s="34"/>
      <c r="CS43" s="34">
        <f>SUM(CL43:CR43)</f>
        <v>1.2</v>
      </c>
      <c r="DL43">
        <f>SUM(DB43:DK43)</f>
        <v>0</v>
      </c>
      <c r="DM43">
        <f>(DL43-DB43)/2</f>
        <v>0</v>
      </c>
      <c r="DR43" s="6">
        <f>SUM(DM43:DQ43)</f>
        <v>0</v>
      </c>
      <c r="DS43" s="6">
        <f>(DR43-DM43)/2</f>
        <v>0</v>
      </c>
      <c r="DT43" s="6"/>
      <c r="DU43" s="6"/>
      <c r="DV43" s="11"/>
      <c r="DW43" s="6">
        <f>SUM(DS43:DT43)</f>
        <v>0</v>
      </c>
    </row>
    <row r="44" spans="1:127" x14ac:dyDescent="0.25">
      <c r="A44">
        <v>34</v>
      </c>
      <c r="B44" s="11" t="s">
        <v>186</v>
      </c>
      <c r="C44" s="6"/>
      <c r="D44" s="6" t="s">
        <v>47</v>
      </c>
      <c r="E44" s="6" t="s">
        <v>158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6"/>
      <c r="AC44" s="6"/>
      <c r="AD44" s="6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>
        <v>2.4</v>
      </c>
      <c r="CF44" s="7"/>
      <c r="CG44" s="7"/>
      <c r="CH44" s="7"/>
      <c r="CI44" s="7"/>
      <c r="CJ44" s="7"/>
      <c r="CK44" s="7">
        <f>SUM(CD44:CJ44)</f>
        <v>2.4</v>
      </c>
      <c r="CL44" s="7">
        <f>(CK44-CD44)/2</f>
        <v>1.2</v>
      </c>
      <c r="CM44" s="7"/>
      <c r="CN44" s="7"/>
      <c r="CO44" s="7"/>
      <c r="CP44" s="7"/>
      <c r="CQ44" s="7"/>
      <c r="CR44" s="7"/>
      <c r="CS44" s="7">
        <f>SUM(CL44:CR44)</f>
        <v>1.2</v>
      </c>
      <c r="DL44">
        <f>SUM(DB44:DK44)</f>
        <v>0</v>
      </c>
      <c r="DM44">
        <f>(DL44-DB44)/2</f>
        <v>0</v>
      </c>
      <c r="DR44" s="6">
        <f>SUM(DM44:DQ44)</f>
        <v>0</v>
      </c>
      <c r="DS44" s="6">
        <f>(DR44-DM44)/2</f>
        <v>0</v>
      </c>
      <c r="DT44" s="6"/>
      <c r="DU44" s="6"/>
      <c r="DV44" s="11"/>
      <c r="DW44" s="6">
        <f>SUM(DS44:DT44)</f>
        <v>0</v>
      </c>
    </row>
    <row r="45" spans="1:127" x14ac:dyDescent="0.25">
      <c r="A45">
        <v>35</v>
      </c>
      <c r="B45" s="11" t="s">
        <v>94</v>
      </c>
      <c r="C45" s="11" t="s">
        <v>37</v>
      </c>
      <c r="D45" s="6" t="s">
        <v>20</v>
      </c>
      <c r="E45" s="6" t="s">
        <v>131</v>
      </c>
      <c r="F45" s="6"/>
      <c r="G45" s="6"/>
      <c r="H45" s="6"/>
      <c r="I45" s="6"/>
      <c r="J45" s="11">
        <v>4</v>
      </c>
      <c r="K45" s="11"/>
      <c r="L45" s="11">
        <v>5</v>
      </c>
      <c r="M45" s="11"/>
      <c r="N45" s="11"/>
      <c r="O45" s="11"/>
      <c r="P45" s="11"/>
      <c r="Q45" s="11">
        <v>40</v>
      </c>
      <c r="R45" s="11"/>
      <c r="S45" s="11"/>
      <c r="T45" s="11"/>
      <c r="U45" s="11"/>
      <c r="V45" s="11"/>
      <c r="W45" s="11">
        <v>2.4</v>
      </c>
      <c r="X45" s="11"/>
      <c r="Y45" s="11">
        <v>5</v>
      </c>
      <c r="Z45" s="11"/>
      <c r="AA45" s="11"/>
      <c r="AB45" s="7">
        <f>SUM(F45:AA45)</f>
        <v>56.4</v>
      </c>
      <c r="AC45" s="6">
        <f>AB45/2</f>
        <v>28.2</v>
      </c>
      <c r="AD45" s="6"/>
      <c r="AE45" s="7">
        <v>36</v>
      </c>
      <c r="AF45" s="7"/>
      <c r="AG45" s="7"/>
      <c r="AH45" s="7">
        <v>36</v>
      </c>
      <c r="AI45" s="7"/>
      <c r="AJ45" s="7"/>
      <c r="AK45" s="7"/>
      <c r="AL45" s="7"/>
      <c r="AM45" s="7"/>
      <c r="AN45" s="7"/>
      <c r="AO45" s="7"/>
      <c r="AP45" s="7">
        <v>5</v>
      </c>
      <c r="AQ45" s="7"/>
      <c r="AR45" s="7"/>
      <c r="AS45" s="7"/>
      <c r="AT45" s="7"/>
      <c r="AU45" s="7"/>
      <c r="AV45" s="7">
        <v>100</v>
      </c>
      <c r="AW45" s="7"/>
      <c r="AX45" s="7">
        <v>36</v>
      </c>
      <c r="AY45" s="7">
        <v>7.5</v>
      </c>
      <c r="AZ45" s="7">
        <f>SUM(AC45:AY45)</f>
        <v>248.7</v>
      </c>
      <c r="BA45" s="7">
        <f>(AZ45-AC45)/2</f>
        <v>110.25</v>
      </c>
      <c r="BB45" s="7">
        <v>3</v>
      </c>
      <c r="BC45" s="7"/>
      <c r="BD45" s="7"/>
      <c r="BE45" s="7"/>
      <c r="BF45" s="7"/>
      <c r="BG45" s="7"/>
      <c r="BH45" s="7"/>
      <c r="BI45" s="7"/>
      <c r="BJ45" s="7"/>
      <c r="BK45" s="7">
        <v>54</v>
      </c>
      <c r="BL45" s="7"/>
      <c r="BM45" s="7"/>
      <c r="BN45" s="7"/>
      <c r="BO45" s="7">
        <v>4</v>
      </c>
      <c r="BP45" s="7">
        <v>7.5</v>
      </c>
      <c r="BQ45" s="7">
        <v>5</v>
      </c>
      <c r="BR45" s="7"/>
      <c r="BS45" s="7"/>
      <c r="BT45" s="7"/>
      <c r="BU45" s="7"/>
      <c r="BV45" s="7"/>
      <c r="BW45" s="7"/>
      <c r="BX45" s="7"/>
      <c r="BY45" s="7"/>
      <c r="BZ45" s="7"/>
      <c r="CA45" s="7">
        <v>7.5</v>
      </c>
      <c r="CB45" s="7">
        <v>10</v>
      </c>
      <c r="CC45" s="7">
        <f>SUM(BA45:CB45)</f>
        <v>201.25</v>
      </c>
      <c r="CD45" s="7">
        <f>(CC45-BA45)/2</f>
        <v>45.5</v>
      </c>
      <c r="CE45" s="7"/>
      <c r="CF45" s="7"/>
      <c r="CG45" s="7"/>
      <c r="CH45" s="7"/>
      <c r="CI45" s="7"/>
      <c r="CJ45" s="7"/>
      <c r="CK45" s="7">
        <f>SUM(CD45:CJ45)</f>
        <v>45.5</v>
      </c>
      <c r="CL45" s="7">
        <f>(CK45-CD45)/2</f>
        <v>0</v>
      </c>
      <c r="CM45" s="7"/>
      <c r="CN45" s="7"/>
      <c r="CO45" s="7"/>
      <c r="CP45" s="7"/>
      <c r="CQ45" s="7"/>
      <c r="CR45" s="7"/>
      <c r="CS45" s="7">
        <f>SUM(CL45:CR45)</f>
        <v>0</v>
      </c>
      <c r="CU45" s="8">
        <f>AZ45/4</f>
        <v>62.174999999999997</v>
      </c>
      <c r="CV45" s="8"/>
      <c r="CW45" s="8"/>
      <c r="CX45" s="8"/>
      <c r="CY45" s="8"/>
      <c r="CZ45" s="8"/>
      <c r="DA45" s="8">
        <f>SUM(CU45:CV45)</f>
        <v>62.174999999999997</v>
      </c>
      <c r="DB45" s="8">
        <f>DA45/2</f>
        <v>31.087499999999999</v>
      </c>
      <c r="DC45" s="8">
        <f>CC45/4</f>
        <v>50.3125</v>
      </c>
      <c r="DD45" s="8">
        <v>1.5</v>
      </c>
      <c r="DL45">
        <f>SUM(DB45:DK45)</f>
        <v>82.9</v>
      </c>
      <c r="DM45">
        <f>(DL45-DB45)/2</f>
        <v>25.906250000000004</v>
      </c>
      <c r="DR45" s="6">
        <f>SUM(DM45:DQ45)</f>
        <v>25.906250000000004</v>
      </c>
      <c r="DS45" s="6">
        <f>(DR45-DM45)/2</f>
        <v>0</v>
      </c>
      <c r="DT45" s="6"/>
      <c r="DU45" s="6"/>
      <c r="DV45" s="11"/>
      <c r="DW45" s="6">
        <f>SUM(DS45:DT45)</f>
        <v>0</v>
      </c>
    </row>
    <row r="46" spans="1:127" x14ac:dyDescent="0.25">
      <c r="A46">
        <v>36</v>
      </c>
      <c r="B46" s="11" t="s">
        <v>441</v>
      </c>
      <c r="C46" s="6"/>
      <c r="D46" s="6" t="s">
        <v>442</v>
      </c>
      <c r="E46" s="6" t="s">
        <v>328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6"/>
      <c r="AC46" s="6"/>
      <c r="AD46" s="6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>
        <f>SUM(CL46:CR46)</f>
        <v>0</v>
      </c>
      <c r="DR46" s="6"/>
      <c r="DS46" s="6"/>
      <c r="DT46" s="6">
        <v>12.5</v>
      </c>
      <c r="DU46" s="6"/>
      <c r="DV46" s="11"/>
      <c r="DW46" s="6">
        <f>SUM(DS46:DT46)</f>
        <v>12.5</v>
      </c>
    </row>
  </sheetData>
  <sortState xmlns:xlrd2="http://schemas.microsoft.com/office/spreadsheetml/2017/richdata2" ref="B11:DW46">
    <sortCondition descending="1" ref="CS11:CS46"/>
  </sortState>
  <mergeCells count="6">
    <mergeCell ref="B1:DW1"/>
    <mergeCell ref="B8:C10"/>
    <mergeCell ref="CG9:CJ9"/>
    <mergeCell ref="CO9:CR9"/>
    <mergeCell ref="D4:CS5"/>
    <mergeCell ref="CU4:DW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Z27"/>
  <sheetViews>
    <sheetView tabSelected="1" zoomScale="80" zoomScaleNormal="80" workbookViewId="0">
      <selection activeCell="CZ36" sqref="CZ36"/>
    </sheetView>
  </sheetViews>
  <sheetFormatPr baseColWidth="10" defaultRowHeight="15" x14ac:dyDescent="0.25"/>
  <cols>
    <col min="1" max="1" width="3.140625" bestFit="1" customWidth="1"/>
    <col min="5" max="5" width="18.85546875" customWidth="1"/>
    <col min="6" max="6" width="6.7109375" hidden="1" customWidth="1"/>
    <col min="7" max="12" width="6.42578125" hidden="1" customWidth="1"/>
    <col min="13" max="13" width="7.28515625" hidden="1" customWidth="1"/>
    <col min="14" max="14" width="7.28515625" style="8" hidden="1" customWidth="1"/>
    <col min="15" max="18" width="6.28515625" style="8" hidden="1" customWidth="1"/>
    <col min="19" max="20" width="6.7109375" style="8" hidden="1" customWidth="1"/>
    <col min="21" max="27" width="7.28515625" style="8" hidden="1" customWidth="1"/>
    <col min="28" max="29" width="0" hidden="1" customWidth="1"/>
    <col min="30" max="36" width="6" hidden="1" customWidth="1"/>
    <col min="37" max="40" width="6" style="8" hidden="1" customWidth="1"/>
    <col min="41" max="41" width="10.5703125" style="8" hidden="1" customWidth="1"/>
    <col min="42" max="46" width="6" style="8" hidden="1" customWidth="1"/>
    <col min="47" max="47" width="6.28515625" hidden="1" customWidth="1"/>
    <col min="48" max="50" width="6.85546875" hidden="1" customWidth="1"/>
    <col min="51" max="54" width="6.28515625" hidden="1" customWidth="1"/>
    <col min="55" max="66" width="6" hidden="1" customWidth="1"/>
    <col min="67" max="67" width="6.28515625" hidden="1" customWidth="1"/>
    <col min="68" max="68" width="7.85546875" hidden="1" customWidth="1"/>
    <col min="69" max="74" width="6.28515625" style="8" hidden="1" customWidth="1"/>
    <col min="75" max="75" width="6.28515625" customWidth="1"/>
    <col min="76" max="76" width="7.85546875" bestFit="1" customWidth="1"/>
    <col min="77" max="77" width="6.28515625" customWidth="1"/>
    <col min="78" max="80" width="6.28515625" style="8" customWidth="1"/>
    <col min="81" max="82" width="6.28515625" customWidth="1"/>
    <col min="83" max="83" width="7.42578125" bestFit="1" customWidth="1"/>
    <col min="85" max="85" width="0" hidden="1" customWidth="1"/>
    <col min="86" max="86" width="8.5703125" hidden="1" customWidth="1"/>
    <col min="87" max="87" width="7.140625" hidden="1" customWidth="1"/>
    <col min="88" max="88" width="0" hidden="1" customWidth="1"/>
    <col min="89" max="90" width="0" style="8" hidden="1" customWidth="1"/>
    <col min="91" max="94" width="6" style="8" hidden="1" customWidth="1"/>
    <col min="95" max="95" width="0" hidden="1" customWidth="1"/>
    <col min="96" max="96" width="8.85546875" hidden="1" customWidth="1"/>
    <col min="97" max="97" width="6.7109375" style="8" hidden="1" customWidth="1"/>
    <col min="98" max="100" width="6" style="8" hidden="1" customWidth="1"/>
    <col min="103" max="103" width="6" style="8" bestFit="1" customWidth="1"/>
  </cols>
  <sheetData>
    <row r="1" spans="1:104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</row>
    <row r="2" spans="1:104" ht="15.75" thickBot="1" x14ac:dyDescent="0.3">
      <c r="C2" s="8"/>
      <c r="D2" s="8"/>
      <c r="E2" s="8"/>
      <c r="F2" s="8"/>
      <c r="CG2" s="8"/>
      <c r="CJ2" s="8"/>
    </row>
    <row r="3" spans="1:104" ht="15.75" thickTop="1" x14ac:dyDescent="0.25">
      <c r="B3" s="1" t="s">
        <v>0</v>
      </c>
      <c r="C3" s="4" t="s">
        <v>18</v>
      </c>
      <c r="CG3" s="8"/>
      <c r="CJ3" s="8"/>
    </row>
    <row r="4" spans="1:104" ht="14.6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G4" s="64" t="s">
        <v>617</v>
      </c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</row>
    <row r="5" spans="1:104" ht="15" customHeight="1" thickBot="1" x14ac:dyDescent="0.3">
      <c r="B5" s="3" t="s">
        <v>2</v>
      </c>
      <c r="C5" s="33">
        <v>-90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</row>
    <row r="6" spans="1:104" ht="15.75" thickTop="1" x14ac:dyDescent="0.25">
      <c r="CG6" s="8"/>
      <c r="CJ6" s="8"/>
    </row>
    <row r="7" spans="1:104" ht="15.75" thickBot="1" x14ac:dyDescent="0.3">
      <c r="CG7" s="8"/>
      <c r="CJ7" s="8"/>
    </row>
    <row r="8" spans="1:104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15</v>
      </c>
      <c r="J8" s="4" t="s">
        <v>25</v>
      </c>
      <c r="K8" s="4" t="s">
        <v>15</v>
      </c>
      <c r="L8" s="4" t="s">
        <v>79</v>
      </c>
      <c r="M8" s="4" t="s">
        <v>102</v>
      </c>
      <c r="N8" s="4" t="s">
        <v>15</v>
      </c>
      <c r="O8" s="4" t="s">
        <v>136</v>
      </c>
      <c r="P8" s="4" t="s">
        <v>139</v>
      </c>
      <c r="Q8" s="4" t="s">
        <v>142</v>
      </c>
      <c r="R8" s="4" t="s">
        <v>145</v>
      </c>
      <c r="S8" s="4" t="s">
        <v>15</v>
      </c>
      <c r="T8" s="4" t="s">
        <v>15</v>
      </c>
      <c r="U8" s="4" t="s">
        <v>15</v>
      </c>
      <c r="V8" s="4" t="s">
        <v>15</v>
      </c>
      <c r="W8" s="4" t="s">
        <v>159</v>
      </c>
      <c r="X8" s="4" t="s">
        <v>15</v>
      </c>
      <c r="Y8" s="4" t="s">
        <v>15</v>
      </c>
      <c r="Z8" s="4" t="s">
        <v>163</v>
      </c>
      <c r="AA8" s="4" t="s">
        <v>164</v>
      </c>
      <c r="AB8" s="1"/>
      <c r="AC8" s="12">
        <v>44927</v>
      </c>
      <c r="AD8" s="4" t="s">
        <v>15</v>
      </c>
      <c r="AE8" s="4" t="s">
        <v>184</v>
      </c>
      <c r="AF8" s="4" t="s">
        <v>15</v>
      </c>
      <c r="AG8" s="4" t="s">
        <v>15</v>
      </c>
      <c r="AH8" s="4" t="s">
        <v>15</v>
      </c>
      <c r="AI8" s="4" t="s">
        <v>224</v>
      </c>
      <c r="AJ8" s="4" t="s">
        <v>224</v>
      </c>
      <c r="AK8" s="4" t="s">
        <v>224</v>
      </c>
      <c r="AL8" s="4" t="s">
        <v>15</v>
      </c>
      <c r="AM8" s="4" t="s">
        <v>164</v>
      </c>
      <c r="AN8" s="4" t="s">
        <v>15</v>
      </c>
      <c r="AO8" s="4" t="s">
        <v>15</v>
      </c>
      <c r="AP8" s="4" t="s">
        <v>164</v>
      </c>
      <c r="AQ8" s="4" t="s">
        <v>15</v>
      </c>
      <c r="AR8" s="4" t="s">
        <v>15</v>
      </c>
      <c r="AS8" s="4" t="s">
        <v>15</v>
      </c>
      <c r="AT8" s="4" t="s">
        <v>165</v>
      </c>
      <c r="AU8" s="4" t="s">
        <v>6</v>
      </c>
      <c r="AV8" s="28">
        <v>45292</v>
      </c>
      <c r="AW8" s="28" t="s">
        <v>15</v>
      </c>
      <c r="AX8" s="28" t="s">
        <v>15</v>
      </c>
      <c r="AY8" s="28" t="s">
        <v>15</v>
      </c>
      <c r="AZ8" s="28" t="s">
        <v>15</v>
      </c>
      <c r="BA8" s="28" t="s">
        <v>164</v>
      </c>
      <c r="BB8" s="28" t="s">
        <v>15</v>
      </c>
      <c r="BC8" s="28" t="s">
        <v>164</v>
      </c>
      <c r="BD8" s="28" t="s">
        <v>224</v>
      </c>
      <c r="BE8" s="28" t="s">
        <v>224</v>
      </c>
      <c r="BF8" s="28" t="s">
        <v>224</v>
      </c>
      <c r="BG8" s="28" t="s">
        <v>164</v>
      </c>
      <c r="BH8" s="28" t="s">
        <v>15</v>
      </c>
      <c r="BI8" s="28" t="s">
        <v>15</v>
      </c>
      <c r="BJ8" s="28" t="s">
        <v>15</v>
      </c>
      <c r="BK8" s="28" t="s">
        <v>15</v>
      </c>
      <c r="BL8" s="28" t="s">
        <v>15</v>
      </c>
      <c r="BM8" s="28" t="s">
        <v>164</v>
      </c>
      <c r="BN8" s="28" t="s">
        <v>165</v>
      </c>
      <c r="BO8" s="28" t="s">
        <v>6</v>
      </c>
      <c r="BP8" s="28">
        <v>45658</v>
      </c>
      <c r="BQ8" s="28"/>
      <c r="BR8" s="28"/>
      <c r="BS8" s="35"/>
      <c r="BT8" s="36"/>
      <c r="BU8" s="36"/>
      <c r="BV8" s="37"/>
      <c r="BW8" s="28" t="s">
        <v>6</v>
      </c>
      <c r="BX8" s="28">
        <v>46023</v>
      </c>
      <c r="BY8" s="28"/>
      <c r="BZ8" s="28"/>
      <c r="CA8" s="35"/>
      <c r="CB8" s="36"/>
      <c r="CC8" s="36"/>
      <c r="CD8" s="37"/>
      <c r="CE8" s="28" t="s">
        <v>213</v>
      </c>
      <c r="CG8" s="4" t="s">
        <v>212</v>
      </c>
      <c r="CH8" s="1" t="s">
        <v>215</v>
      </c>
      <c r="CI8" s="13" t="s">
        <v>282</v>
      </c>
      <c r="CJ8" s="4" t="s">
        <v>213</v>
      </c>
      <c r="CK8" s="28">
        <v>45292</v>
      </c>
      <c r="CL8" s="4" t="s">
        <v>212</v>
      </c>
      <c r="CM8" s="4" t="s">
        <v>287</v>
      </c>
      <c r="CN8" s="4" t="s">
        <v>156</v>
      </c>
      <c r="CO8" s="4" t="s">
        <v>397</v>
      </c>
      <c r="CP8" s="4" t="s">
        <v>282</v>
      </c>
      <c r="CQ8" s="1" t="s">
        <v>6</v>
      </c>
      <c r="CR8" s="28">
        <v>45658</v>
      </c>
      <c r="CS8" s="4" t="s">
        <v>287</v>
      </c>
      <c r="CT8" s="4" t="s">
        <v>163</v>
      </c>
      <c r="CU8" s="4" t="s">
        <v>156</v>
      </c>
      <c r="CV8" s="4" t="s">
        <v>282</v>
      </c>
      <c r="CW8" s="4" t="s">
        <v>213</v>
      </c>
      <c r="CX8" s="28">
        <v>46023</v>
      </c>
      <c r="CY8" s="4" t="s">
        <v>770</v>
      </c>
      <c r="CZ8" s="1" t="s">
        <v>6</v>
      </c>
    </row>
    <row r="9" spans="1:104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9" t="s">
        <v>40</v>
      </c>
      <c r="J9" s="5" t="s">
        <v>28</v>
      </c>
      <c r="K9" s="5" t="s">
        <v>70</v>
      </c>
      <c r="L9" s="9" t="s">
        <v>80</v>
      </c>
      <c r="M9" s="9" t="s">
        <v>103</v>
      </c>
      <c r="N9" s="9" t="s">
        <v>119</v>
      </c>
      <c r="O9" s="9" t="s">
        <v>138</v>
      </c>
      <c r="P9" s="9" t="s">
        <v>140</v>
      </c>
      <c r="Q9" s="9" t="s">
        <v>143</v>
      </c>
      <c r="R9" s="9" t="s">
        <v>80</v>
      </c>
      <c r="S9" s="9" t="s">
        <v>54</v>
      </c>
      <c r="T9" s="9" t="s">
        <v>153</v>
      </c>
      <c r="U9" s="9" t="s">
        <v>16</v>
      </c>
      <c r="V9" s="9" t="s">
        <v>155</v>
      </c>
      <c r="W9" s="9" t="s">
        <v>160</v>
      </c>
      <c r="X9" s="9" t="s">
        <v>155</v>
      </c>
      <c r="Y9" s="9" t="s">
        <v>70</v>
      </c>
      <c r="Z9" s="9" t="s">
        <v>101</v>
      </c>
      <c r="AA9" s="9" t="s">
        <v>165</v>
      </c>
      <c r="AB9" s="2" t="s">
        <v>6</v>
      </c>
      <c r="AC9" s="2"/>
      <c r="AD9" s="9" t="s">
        <v>54</v>
      </c>
      <c r="AE9" s="9" t="s">
        <v>136</v>
      </c>
      <c r="AF9" s="9" t="s">
        <v>130</v>
      </c>
      <c r="AG9" s="9" t="s">
        <v>155</v>
      </c>
      <c r="AH9" s="9" t="s">
        <v>70</v>
      </c>
      <c r="AI9" s="9" t="s">
        <v>139</v>
      </c>
      <c r="AJ9" s="9" t="s">
        <v>142</v>
      </c>
      <c r="AK9" s="9" t="s">
        <v>136</v>
      </c>
      <c r="AL9" s="9" t="s">
        <v>120</v>
      </c>
      <c r="AM9" s="9" t="s">
        <v>139</v>
      </c>
      <c r="AN9" s="9" t="s">
        <v>54</v>
      </c>
      <c r="AO9" s="9" t="s">
        <v>268</v>
      </c>
      <c r="AP9" s="9" t="s">
        <v>142</v>
      </c>
      <c r="AQ9" s="9" t="s">
        <v>120</v>
      </c>
      <c r="AR9" s="9" t="s">
        <v>166</v>
      </c>
      <c r="AS9" s="9" t="s">
        <v>70</v>
      </c>
      <c r="AT9" s="9"/>
      <c r="AU9" s="2"/>
      <c r="AV9" s="5"/>
      <c r="AW9" s="5" t="s">
        <v>333</v>
      </c>
      <c r="AX9" s="5" t="s">
        <v>120</v>
      </c>
      <c r="AY9" s="5" t="s">
        <v>16</v>
      </c>
      <c r="AZ9" s="5" t="s">
        <v>153</v>
      </c>
      <c r="BA9" s="5" t="s">
        <v>139</v>
      </c>
      <c r="BB9" s="5" t="s">
        <v>166</v>
      </c>
      <c r="BC9" s="5" t="s">
        <v>372</v>
      </c>
      <c r="BD9" s="5" t="s">
        <v>139</v>
      </c>
      <c r="BE9" s="5" t="s">
        <v>136</v>
      </c>
      <c r="BF9" s="5" t="s">
        <v>142</v>
      </c>
      <c r="BG9" s="5" t="s">
        <v>136</v>
      </c>
      <c r="BH9" s="5" t="s">
        <v>333</v>
      </c>
      <c r="BI9" s="5" t="s">
        <v>153</v>
      </c>
      <c r="BJ9" s="5" t="s">
        <v>16</v>
      </c>
      <c r="BK9" s="5" t="s">
        <v>120</v>
      </c>
      <c r="BL9" s="5" t="s">
        <v>417</v>
      </c>
      <c r="BM9" s="5" t="s">
        <v>142</v>
      </c>
      <c r="BN9" s="5" t="s">
        <v>427</v>
      </c>
      <c r="BO9" s="5"/>
      <c r="BP9" s="5"/>
      <c r="BQ9" s="9" t="s">
        <v>15</v>
      </c>
      <c r="BR9" s="9" t="s">
        <v>224</v>
      </c>
      <c r="BS9" s="60" t="s">
        <v>429</v>
      </c>
      <c r="BT9" s="61"/>
      <c r="BU9" s="61"/>
      <c r="BV9" s="62"/>
      <c r="BW9" s="5"/>
      <c r="BX9" s="5"/>
      <c r="BY9" s="9" t="s">
        <v>15</v>
      </c>
      <c r="BZ9" s="9" t="s">
        <v>224</v>
      </c>
      <c r="CA9" s="60" t="s">
        <v>429</v>
      </c>
      <c r="CB9" s="61"/>
      <c r="CC9" s="61"/>
      <c r="CD9" s="62"/>
      <c r="CE9" s="9"/>
      <c r="CG9" s="5" t="s">
        <v>214</v>
      </c>
      <c r="CH9" s="2"/>
      <c r="CI9" s="14" t="s">
        <v>283</v>
      </c>
      <c r="CJ9" s="5"/>
      <c r="CK9" s="5"/>
      <c r="CL9" s="5" t="s">
        <v>214</v>
      </c>
      <c r="CM9" s="5"/>
      <c r="CN9" s="5" t="s">
        <v>28</v>
      </c>
      <c r="CO9" s="5" t="s">
        <v>28</v>
      </c>
      <c r="CP9" s="5" t="s">
        <v>80</v>
      </c>
      <c r="CQ9" s="2"/>
      <c r="CR9" s="5"/>
      <c r="CS9" s="5"/>
      <c r="CT9" s="5" t="s">
        <v>260</v>
      </c>
      <c r="CU9" s="5" t="s">
        <v>266</v>
      </c>
      <c r="CV9" s="5" t="s">
        <v>80</v>
      </c>
      <c r="CW9" s="5"/>
      <c r="CX9" s="5"/>
      <c r="CY9" s="5" t="s">
        <v>28</v>
      </c>
      <c r="CZ9" s="2"/>
    </row>
    <row r="10" spans="1:104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44660</v>
      </c>
      <c r="K10" s="10">
        <v>44674</v>
      </c>
      <c r="L10" s="10">
        <v>44681</v>
      </c>
      <c r="M10" s="10">
        <v>44695</v>
      </c>
      <c r="N10" s="10">
        <v>44709</v>
      </c>
      <c r="O10" s="10">
        <v>44730</v>
      </c>
      <c r="P10" s="10">
        <v>44730</v>
      </c>
      <c r="Q10" s="10">
        <v>44737</v>
      </c>
      <c r="R10" s="10">
        <v>44759</v>
      </c>
      <c r="S10" s="10">
        <v>44779</v>
      </c>
      <c r="T10" s="10">
        <v>44800</v>
      </c>
      <c r="U10" s="10">
        <v>44814</v>
      </c>
      <c r="V10" s="10">
        <v>44814</v>
      </c>
      <c r="W10" s="10">
        <v>44829</v>
      </c>
      <c r="X10" s="10">
        <v>44856</v>
      </c>
      <c r="Y10" s="10">
        <v>44863</v>
      </c>
      <c r="Z10" s="10">
        <v>44866</v>
      </c>
      <c r="AA10" s="10">
        <v>44906</v>
      </c>
      <c r="AB10" s="2">
        <v>2022</v>
      </c>
      <c r="AC10" s="2"/>
      <c r="AD10" s="2" t="s">
        <v>171</v>
      </c>
      <c r="AE10" s="2" t="s">
        <v>185</v>
      </c>
      <c r="AF10" s="2" t="s">
        <v>216</v>
      </c>
      <c r="AG10" s="2" t="s">
        <v>210</v>
      </c>
      <c r="AH10" s="2" t="s">
        <v>221</v>
      </c>
      <c r="AI10" s="2" t="s">
        <v>225</v>
      </c>
      <c r="AJ10" s="2" t="s">
        <v>232</v>
      </c>
      <c r="AK10" s="5" t="s">
        <v>239</v>
      </c>
      <c r="AL10" s="5" t="s">
        <v>247</v>
      </c>
      <c r="AM10" s="5" t="s">
        <v>250</v>
      </c>
      <c r="AN10" s="5" t="s">
        <v>258</v>
      </c>
      <c r="AO10" s="5" t="s">
        <v>267</v>
      </c>
      <c r="AP10" s="5" t="s">
        <v>270</v>
      </c>
      <c r="AQ10" s="5" t="s">
        <v>276</v>
      </c>
      <c r="AR10" s="5" t="s">
        <v>277</v>
      </c>
      <c r="AS10" s="5" t="s">
        <v>278</v>
      </c>
      <c r="AT10" s="5" t="s">
        <v>284</v>
      </c>
      <c r="AU10" s="2">
        <v>2023</v>
      </c>
      <c r="AV10" s="17"/>
      <c r="AW10" s="17" t="s">
        <v>319</v>
      </c>
      <c r="AX10" s="17" t="s">
        <v>319</v>
      </c>
      <c r="AY10" s="17" t="s">
        <v>319</v>
      </c>
      <c r="AZ10" s="17" t="s">
        <v>319</v>
      </c>
      <c r="BA10" s="17" t="s">
        <v>366</v>
      </c>
      <c r="BB10" s="17" t="s">
        <v>373</v>
      </c>
      <c r="BC10" s="17" t="s">
        <v>373</v>
      </c>
      <c r="BD10" s="17" t="s">
        <v>382</v>
      </c>
      <c r="BE10" s="17" t="s">
        <v>382</v>
      </c>
      <c r="BF10" s="17" t="s">
        <v>389</v>
      </c>
      <c r="BG10" s="17" t="s">
        <v>391</v>
      </c>
      <c r="BH10" s="17" t="s">
        <v>402</v>
      </c>
      <c r="BI10" s="17" t="s">
        <v>403</v>
      </c>
      <c r="BJ10" s="17" t="s">
        <v>413</v>
      </c>
      <c r="BK10" s="17" t="s">
        <v>416</v>
      </c>
      <c r="BL10" s="17" t="s">
        <v>418</v>
      </c>
      <c r="BM10" s="17" t="s">
        <v>420</v>
      </c>
      <c r="BN10" s="17" t="s">
        <v>428</v>
      </c>
      <c r="BO10" s="17">
        <v>2024</v>
      </c>
      <c r="BP10" s="5"/>
      <c r="BQ10" s="5"/>
      <c r="BR10" s="5"/>
      <c r="BS10" s="5">
        <v>1</v>
      </c>
      <c r="BT10" s="5">
        <v>2</v>
      </c>
      <c r="BU10" s="5">
        <v>3</v>
      </c>
      <c r="BV10" s="5">
        <v>4</v>
      </c>
      <c r="BW10" s="5">
        <v>2025</v>
      </c>
      <c r="BX10" s="5"/>
      <c r="BY10" s="5"/>
      <c r="BZ10" s="5"/>
      <c r="CA10" s="5">
        <v>1</v>
      </c>
      <c r="CB10" s="5">
        <v>2</v>
      </c>
      <c r="CC10" s="5">
        <v>3</v>
      </c>
      <c r="CD10" s="5">
        <v>4</v>
      </c>
      <c r="CE10" s="5">
        <v>2026</v>
      </c>
      <c r="CG10" s="17"/>
      <c r="CH10" s="16">
        <v>45077</v>
      </c>
      <c r="CI10" s="25">
        <v>45255</v>
      </c>
      <c r="CJ10" s="17">
        <v>2023</v>
      </c>
      <c r="CK10" s="5"/>
      <c r="CL10" s="5"/>
      <c r="CM10" s="5" t="s">
        <v>288</v>
      </c>
      <c r="CN10" s="5" t="s">
        <v>390</v>
      </c>
      <c r="CO10" s="5" t="s">
        <v>401</v>
      </c>
      <c r="CP10" s="5" t="s">
        <v>425</v>
      </c>
      <c r="CQ10" s="2">
        <v>2024</v>
      </c>
      <c r="CR10" s="5"/>
      <c r="CS10" s="5" t="s">
        <v>430</v>
      </c>
      <c r="CT10" s="5" t="s">
        <v>607</v>
      </c>
      <c r="CU10" s="5" t="s">
        <v>608</v>
      </c>
      <c r="CV10" s="5" t="s">
        <v>425</v>
      </c>
      <c r="CW10" s="5">
        <v>2025</v>
      </c>
      <c r="CX10" s="5"/>
      <c r="CY10" s="5" t="s">
        <v>771</v>
      </c>
      <c r="CZ10" s="2">
        <v>2026</v>
      </c>
    </row>
    <row r="11" spans="1:104" x14ac:dyDescent="0.25">
      <c r="A11">
        <v>1</v>
      </c>
      <c r="B11" s="11" t="s">
        <v>162</v>
      </c>
      <c r="C11" s="6"/>
      <c r="D11" s="6" t="s">
        <v>289</v>
      </c>
      <c r="E11" s="6" t="s">
        <v>29</v>
      </c>
      <c r="F11" s="6"/>
      <c r="G11" s="6"/>
      <c r="H11" s="6"/>
      <c r="I11" s="6"/>
      <c r="J11" s="6"/>
      <c r="K11" s="6"/>
      <c r="L11" s="6"/>
      <c r="M11" s="6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6"/>
      <c r="AC11" s="6"/>
      <c r="AD11" s="6"/>
      <c r="AE11" s="6"/>
      <c r="AF11" s="6"/>
      <c r="AG11" s="6"/>
      <c r="AH11" s="6"/>
      <c r="AI11" s="6"/>
      <c r="AJ11" s="6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6">
        <f>SUM(AC11:AT11)</f>
        <v>0</v>
      </c>
      <c r="AV11" s="6">
        <f>(AU11-AC11)/2</f>
        <v>0</v>
      </c>
      <c r="AW11" s="6"/>
      <c r="AX11" s="6"/>
      <c r="AY11" s="6">
        <v>36</v>
      </c>
      <c r="AZ11" s="6"/>
      <c r="BA11" s="6"/>
      <c r="BB11" s="6"/>
      <c r="BC11" s="6">
        <v>80</v>
      </c>
      <c r="BD11" s="6"/>
      <c r="BE11" s="6"/>
      <c r="BF11" s="6"/>
      <c r="BG11" s="6">
        <v>75</v>
      </c>
      <c r="BH11" s="6"/>
      <c r="BI11" s="6"/>
      <c r="BJ11" s="6">
        <v>36</v>
      </c>
      <c r="BK11" s="6"/>
      <c r="BL11" s="6"/>
      <c r="BM11" s="6">
        <v>84</v>
      </c>
      <c r="BN11" s="6">
        <v>100</v>
      </c>
      <c r="BO11" s="6">
        <f>SUM(AV11:BN11)</f>
        <v>411</v>
      </c>
      <c r="BP11" s="6">
        <f>(BO11-AV11)/2</f>
        <v>205.5</v>
      </c>
      <c r="BQ11" s="11">
        <v>48</v>
      </c>
      <c r="BR11" s="11">
        <v>48</v>
      </c>
      <c r="BS11" s="11">
        <v>150</v>
      </c>
      <c r="BT11" s="11">
        <v>200</v>
      </c>
      <c r="BU11" s="11">
        <v>105</v>
      </c>
      <c r="BV11" s="11">
        <v>105</v>
      </c>
      <c r="BW11" s="6">
        <f>SUM(BP11:BV11)</f>
        <v>861.5</v>
      </c>
      <c r="BX11" s="6">
        <f>(BW11-BP11)/2</f>
        <v>328</v>
      </c>
      <c r="BY11" s="6">
        <v>48</v>
      </c>
      <c r="BZ11" s="11">
        <v>64</v>
      </c>
      <c r="CA11" s="11">
        <v>150</v>
      </c>
      <c r="CB11" s="11">
        <v>80</v>
      </c>
      <c r="CC11" s="6"/>
      <c r="CD11" s="6"/>
      <c r="CE11" s="6">
        <f>SUM(BX11:CD11)</f>
        <v>670</v>
      </c>
      <c r="CG11" s="6"/>
      <c r="CH11" s="6"/>
      <c r="CI11" s="6"/>
      <c r="CJ11" s="11">
        <f>SUM(CG11:CI11)</f>
        <v>0</v>
      </c>
      <c r="CK11" s="11">
        <f>CJ11/2</f>
        <v>0</v>
      </c>
      <c r="CL11" s="11">
        <f>BO11/4</f>
        <v>102.75</v>
      </c>
      <c r="CM11" s="11">
        <v>22.5</v>
      </c>
      <c r="CN11" s="11">
        <v>75</v>
      </c>
      <c r="CO11" s="11"/>
      <c r="CP11" s="11"/>
      <c r="CQ11" s="6">
        <f>SUM(CK11:CN11)</f>
        <v>200.25</v>
      </c>
      <c r="CR11" s="6">
        <f>(CQ11-CK11)/2</f>
        <v>100.125</v>
      </c>
      <c r="CS11" s="11">
        <v>18</v>
      </c>
      <c r="CT11" s="11"/>
      <c r="CU11" s="11"/>
      <c r="CV11" s="11">
        <v>50</v>
      </c>
      <c r="CW11" s="6">
        <f>SUM(CR11:CV11)</f>
        <v>168.125</v>
      </c>
      <c r="CX11" s="6">
        <f>(CW11-CR11)/2</f>
        <v>34</v>
      </c>
      <c r="CY11" s="11"/>
      <c r="CZ11" s="6">
        <f>SUM(CX11:CY11)</f>
        <v>34</v>
      </c>
    </row>
    <row r="12" spans="1:104" x14ac:dyDescent="0.25">
      <c r="A12">
        <v>2</v>
      </c>
      <c r="B12" s="18" t="s">
        <v>291</v>
      </c>
      <c r="C12" s="19"/>
      <c r="D12" s="19" t="s">
        <v>292</v>
      </c>
      <c r="E12" s="19" t="s">
        <v>132</v>
      </c>
      <c r="F12" s="6"/>
      <c r="G12" s="6"/>
      <c r="H12" s="6"/>
      <c r="I12" s="6"/>
      <c r="J12" s="6"/>
      <c r="K12" s="6"/>
      <c r="L12" s="6"/>
      <c r="M12" s="6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6"/>
      <c r="AC12" s="6"/>
      <c r="AD12" s="6"/>
      <c r="AE12" s="6"/>
      <c r="AF12" s="6"/>
      <c r="AG12" s="6"/>
      <c r="AH12" s="6"/>
      <c r="AI12" s="6"/>
      <c r="AJ12" s="6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11">
        <v>48</v>
      </c>
      <c r="BR12" s="11">
        <v>80</v>
      </c>
      <c r="BS12" s="11">
        <v>75</v>
      </c>
      <c r="BT12" s="11">
        <v>140</v>
      </c>
      <c r="BU12" s="11"/>
      <c r="BV12" s="11"/>
      <c r="BW12" s="6">
        <f>SUM(BP12:BV12)</f>
        <v>343</v>
      </c>
      <c r="BX12" s="6">
        <f>(BW12-BP12)/2</f>
        <v>171.5</v>
      </c>
      <c r="BY12" s="6">
        <v>48</v>
      </c>
      <c r="BZ12" s="11">
        <v>64</v>
      </c>
      <c r="CA12" s="11">
        <v>75</v>
      </c>
      <c r="CB12" s="11">
        <v>48</v>
      </c>
      <c r="CC12" s="6"/>
      <c r="CD12" s="6"/>
      <c r="CE12" s="6">
        <f>SUM(BX12:CD12)</f>
        <v>406.5</v>
      </c>
      <c r="CG12" s="6"/>
      <c r="CH12" s="6"/>
      <c r="CI12" s="6"/>
      <c r="CJ12" s="6"/>
      <c r="CK12" s="11"/>
      <c r="CL12" s="11"/>
      <c r="CM12" s="11"/>
      <c r="CN12" s="11"/>
      <c r="CO12" s="11"/>
      <c r="CP12" s="11"/>
      <c r="CQ12" s="6"/>
      <c r="CR12" s="6"/>
      <c r="CS12" s="11"/>
      <c r="CT12" s="11"/>
      <c r="CU12" s="11"/>
      <c r="CV12" s="11">
        <v>35</v>
      </c>
      <c r="CW12" s="6">
        <f>SUM(CR12:CV12)</f>
        <v>35</v>
      </c>
      <c r="CX12" s="6">
        <f>(CW12-CR12)/2</f>
        <v>17.5</v>
      </c>
      <c r="CY12" s="11">
        <v>105</v>
      </c>
      <c r="CZ12" s="19">
        <f>SUM(CX12:CY12)</f>
        <v>122.5</v>
      </c>
    </row>
    <row r="13" spans="1:104" x14ac:dyDescent="0.25">
      <c r="A13">
        <v>3</v>
      </c>
      <c r="B13" s="11" t="s">
        <v>523</v>
      </c>
      <c r="C13" s="6"/>
      <c r="D13" s="6" t="s">
        <v>524</v>
      </c>
      <c r="E13" s="6" t="s">
        <v>196</v>
      </c>
      <c r="F13" s="6"/>
      <c r="G13" s="6"/>
      <c r="H13" s="6"/>
      <c r="I13" s="6"/>
      <c r="J13" s="6"/>
      <c r="K13" s="6"/>
      <c r="L13" s="6"/>
      <c r="M13" s="6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6"/>
      <c r="AC13" s="6"/>
      <c r="AD13" s="6"/>
      <c r="AE13" s="6"/>
      <c r="AF13" s="6"/>
      <c r="AG13" s="6"/>
      <c r="AH13" s="6"/>
      <c r="AI13" s="6"/>
      <c r="AJ13" s="6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11">
        <v>36</v>
      </c>
      <c r="BR13" s="11">
        <v>64</v>
      </c>
      <c r="BS13" s="11">
        <v>75</v>
      </c>
      <c r="BT13" s="11">
        <v>100</v>
      </c>
      <c r="BU13" s="11"/>
      <c r="BV13" s="11"/>
      <c r="BW13" s="6">
        <f>SUM(BP13:BV13)</f>
        <v>275</v>
      </c>
      <c r="BX13" s="6">
        <f>(BW13-BP13)/2</f>
        <v>137.5</v>
      </c>
      <c r="BY13" s="6">
        <v>48</v>
      </c>
      <c r="BZ13" s="11"/>
      <c r="CA13" s="11">
        <v>105</v>
      </c>
      <c r="CB13" s="11"/>
      <c r="CC13" s="6"/>
      <c r="CD13" s="6"/>
      <c r="CE13" s="6">
        <f>SUM(BX13:CD13)</f>
        <v>290.5</v>
      </c>
      <c r="CG13" s="6"/>
      <c r="CH13" s="6"/>
      <c r="CI13" s="6"/>
      <c r="CJ13" s="6"/>
      <c r="CK13" s="11"/>
      <c r="CL13" s="11"/>
      <c r="CM13" s="11"/>
      <c r="CN13" s="11"/>
      <c r="CO13" s="11"/>
      <c r="CP13" s="11"/>
      <c r="CQ13" s="6"/>
      <c r="CR13" s="6"/>
      <c r="CS13" s="11"/>
      <c r="CT13" s="11"/>
      <c r="CU13" s="11"/>
      <c r="CV13" s="11"/>
      <c r="CW13" s="6">
        <f>SUM(CR13:CV13)</f>
        <v>0</v>
      </c>
      <c r="CX13" s="6">
        <f>(CW13-CR13)/2</f>
        <v>0</v>
      </c>
      <c r="CY13" s="11"/>
      <c r="CZ13" s="6">
        <f>SUM(CX13:CY13)</f>
        <v>0</v>
      </c>
    </row>
    <row r="14" spans="1:104" x14ac:dyDescent="0.25">
      <c r="A14" s="52">
        <v>4</v>
      </c>
      <c r="B14" s="11" t="s">
        <v>566</v>
      </c>
      <c r="C14" s="6"/>
      <c r="D14" s="6" t="s">
        <v>567</v>
      </c>
      <c r="E14" s="6" t="s">
        <v>531</v>
      </c>
      <c r="F14" s="6"/>
      <c r="G14" s="6"/>
      <c r="H14" s="6"/>
      <c r="I14" s="6"/>
      <c r="J14" s="6"/>
      <c r="K14" s="6"/>
      <c r="L14" s="6"/>
      <c r="M14" s="6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6"/>
      <c r="AC14" s="6"/>
      <c r="AD14" s="6"/>
      <c r="AE14" s="6"/>
      <c r="AF14" s="6"/>
      <c r="AG14" s="6"/>
      <c r="AH14" s="6"/>
      <c r="AI14" s="6"/>
      <c r="AJ14" s="6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1"/>
      <c r="BR14" s="11">
        <v>56</v>
      </c>
      <c r="BS14" s="11">
        <v>54</v>
      </c>
      <c r="BT14" s="11"/>
      <c r="BU14" s="11"/>
      <c r="BV14" s="11"/>
      <c r="BW14" s="6">
        <f>SUM(BP14:BV14)</f>
        <v>110</v>
      </c>
      <c r="BX14" s="6">
        <f>(BW14-BP14)/2</f>
        <v>55</v>
      </c>
      <c r="BY14" s="6">
        <v>33.6</v>
      </c>
      <c r="BZ14" s="11"/>
      <c r="CA14" s="11">
        <v>75</v>
      </c>
      <c r="CB14" s="11">
        <v>4</v>
      </c>
      <c r="CC14" s="6">
        <v>2.4</v>
      </c>
      <c r="CD14" s="6"/>
      <c r="CE14" s="6">
        <f>SUM(BX14:CD14)</f>
        <v>170</v>
      </c>
      <c r="CG14" s="6"/>
      <c r="CH14" s="6"/>
      <c r="CI14" s="6"/>
      <c r="CJ14" s="6"/>
      <c r="CK14" s="11"/>
      <c r="CL14" s="11"/>
      <c r="CM14" s="11"/>
      <c r="CN14" s="11"/>
      <c r="CO14" s="11"/>
      <c r="CP14" s="11"/>
      <c r="CQ14" s="6">
        <f>SUM(CK14:CM14)</f>
        <v>0</v>
      </c>
      <c r="CR14" s="6">
        <f>(CQ14-CK14)/2</f>
        <v>0</v>
      </c>
      <c r="CS14" s="11"/>
      <c r="CT14" s="11"/>
      <c r="CU14" s="11"/>
      <c r="CV14" s="11"/>
      <c r="CW14" s="6">
        <f>SUM(CR14:CV14)</f>
        <v>0</v>
      </c>
      <c r="CX14" s="6">
        <f>(CW14-CR14)/2</f>
        <v>0</v>
      </c>
      <c r="CY14" s="11"/>
      <c r="CZ14" s="6">
        <f>SUM(CX14:CY14)</f>
        <v>0</v>
      </c>
    </row>
    <row r="15" spans="1:104" x14ac:dyDescent="0.25">
      <c r="A15">
        <v>5</v>
      </c>
      <c r="B15" s="11" t="s">
        <v>505</v>
      </c>
      <c r="C15" s="6"/>
      <c r="D15" s="6" t="s">
        <v>506</v>
      </c>
      <c r="E15" s="6" t="s">
        <v>12</v>
      </c>
      <c r="F15" s="6"/>
      <c r="G15" s="6"/>
      <c r="H15" s="6"/>
      <c r="I15" s="6"/>
      <c r="J15" s="6"/>
      <c r="K15" s="6"/>
      <c r="L15" s="6"/>
      <c r="M15" s="6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6"/>
      <c r="AC15" s="6"/>
      <c r="AD15" s="6"/>
      <c r="AE15" s="6"/>
      <c r="AF15" s="6"/>
      <c r="AG15" s="6"/>
      <c r="AH15" s="6"/>
      <c r="AI15" s="6"/>
      <c r="AJ15" s="6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11">
        <v>36</v>
      </c>
      <c r="BR15" s="11">
        <v>40</v>
      </c>
      <c r="BS15" s="11">
        <v>7.5</v>
      </c>
      <c r="BT15" s="11">
        <v>60</v>
      </c>
      <c r="BU15" s="11">
        <v>36</v>
      </c>
      <c r="BV15" s="11">
        <v>10</v>
      </c>
      <c r="BW15" s="6">
        <f>SUM(BP15:BV15)</f>
        <v>189.5</v>
      </c>
      <c r="BX15" s="6">
        <f>(BW15-BP15)/2</f>
        <v>94.75</v>
      </c>
      <c r="BY15" s="6">
        <v>36</v>
      </c>
      <c r="BZ15" s="11"/>
      <c r="CA15" s="11">
        <v>7.5</v>
      </c>
      <c r="CB15" s="11"/>
      <c r="CC15" s="6"/>
      <c r="CD15" s="6"/>
      <c r="CE15" s="6">
        <f>SUM(BX15:CD15)</f>
        <v>138.25</v>
      </c>
      <c r="CG15" s="6"/>
      <c r="CH15" s="6"/>
      <c r="CI15" s="6"/>
      <c r="CJ15" s="6"/>
      <c r="CK15" s="11"/>
      <c r="CL15" s="11"/>
      <c r="CM15" s="11"/>
      <c r="CN15" s="11"/>
      <c r="CO15" s="11"/>
      <c r="CP15" s="11"/>
      <c r="CQ15" s="6"/>
      <c r="CR15" s="6"/>
      <c r="CS15" s="11"/>
      <c r="CT15" s="11"/>
      <c r="CU15" s="11"/>
      <c r="CV15" s="11">
        <v>25</v>
      </c>
      <c r="CW15" s="6">
        <f>SUM(CR15:CV15)</f>
        <v>25</v>
      </c>
      <c r="CX15" s="6">
        <f>(CW15-CR15)/2</f>
        <v>12.5</v>
      </c>
      <c r="CY15" s="11"/>
      <c r="CZ15" s="6">
        <f>SUM(CX15:CY15)</f>
        <v>12.5</v>
      </c>
    </row>
    <row r="16" spans="1:104" x14ac:dyDescent="0.25">
      <c r="A16">
        <v>6</v>
      </c>
      <c r="B16" s="11" t="s">
        <v>64</v>
      </c>
      <c r="C16" s="6"/>
      <c r="D16" s="6" t="s">
        <v>600</v>
      </c>
      <c r="E16" s="6" t="s">
        <v>393</v>
      </c>
      <c r="AC16" s="6"/>
      <c r="AD16" s="6"/>
      <c r="AE16" s="6"/>
      <c r="AF16" s="6"/>
      <c r="AG16" s="6"/>
      <c r="AH16" s="6"/>
      <c r="AI16" s="6"/>
      <c r="AJ16" s="6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11"/>
      <c r="BR16" s="11">
        <v>4</v>
      </c>
      <c r="BS16" s="11">
        <v>75</v>
      </c>
      <c r="BT16" s="11"/>
      <c r="BU16" s="11"/>
      <c r="BV16" s="11"/>
      <c r="BW16" s="6">
        <f>SUM(BP16:BV16)</f>
        <v>79</v>
      </c>
      <c r="BX16" s="6">
        <f>(BW16-BP16)/2</f>
        <v>39.5</v>
      </c>
      <c r="BY16" s="6">
        <v>36</v>
      </c>
      <c r="BZ16" s="11"/>
      <c r="CA16" s="11">
        <v>36</v>
      </c>
      <c r="CB16" s="11"/>
      <c r="CC16" s="6"/>
      <c r="CD16" s="6"/>
      <c r="CE16" s="6">
        <f>SUM(BX16:CD16)</f>
        <v>111.5</v>
      </c>
      <c r="CG16" s="6"/>
      <c r="CH16" s="6"/>
      <c r="CI16" s="6"/>
      <c r="CJ16" s="6"/>
      <c r="CK16" s="11"/>
      <c r="CL16" s="11"/>
      <c r="CM16" s="11"/>
      <c r="CN16" s="11"/>
      <c r="CO16" s="11"/>
      <c r="CP16" s="11"/>
      <c r="CQ16" s="6">
        <f>SUM(CK16:CM16)</f>
        <v>0</v>
      </c>
      <c r="CR16" s="6">
        <f>(CQ16-CK16)/2</f>
        <v>0</v>
      </c>
      <c r="CS16" s="11"/>
      <c r="CT16" s="11"/>
      <c r="CU16" s="11"/>
      <c r="CV16" s="11"/>
      <c r="CW16" s="6">
        <f>SUM(CR16:CV16)</f>
        <v>0</v>
      </c>
      <c r="CX16" s="6">
        <f>(CW16-CR16)/2</f>
        <v>0</v>
      </c>
      <c r="CY16" s="11"/>
      <c r="CZ16" s="6">
        <f>SUM(CX16:CY16)</f>
        <v>0</v>
      </c>
    </row>
    <row r="17" spans="1:104" x14ac:dyDescent="0.25">
      <c r="A17">
        <v>7</v>
      </c>
      <c r="B17" s="11" t="s">
        <v>661</v>
      </c>
      <c r="C17" s="6"/>
      <c r="D17" s="6" t="s">
        <v>662</v>
      </c>
      <c r="E17" s="6" t="s">
        <v>563</v>
      </c>
      <c r="F17" s="6"/>
      <c r="G17" s="6"/>
      <c r="H17" s="6"/>
      <c r="I17" s="6"/>
      <c r="J17" s="6"/>
      <c r="K17" s="6"/>
      <c r="L17" s="6"/>
      <c r="M17" s="6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6"/>
      <c r="AC17" s="6"/>
      <c r="AD17" s="6"/>
      <c r="AE17" s="6"/>
      <c r="AF17" s="6"/>
      <c r="AG17" s="6"/>
      <c r="AH17" s="6"/>
      <c r="AI17" s="6"/>
      <c r="AJ17" s="6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>
        <v>99</v>
      </c>
      <c r="BQ17" s="11"/>
      <c r="BR17" s="11"/>
      <c r="BS17" s="11"/>
      <c r="BT17" s="11"/>
      <c r="BU17" s="11"/>
      <c r="BV17" s="11"/>
      <c r="BW17" s="6"/>
      <c r="BX17" s="6">
        <v>90</v>
      </c>
      <c r="BY17" s="6">
        <v>2.4</v>
      </c>
      <c r="BZ17" s="11">
        <v>3.2</v>
      </c>
      <c r="CA17" s="11"/>
      <c r="CB17" s="11"/>
      <c r="CC17" s="6"/>
      <c r="CD17" s="6"/>
      <c r="CE17" s="6">
        <f>SUM(BX17:CD17)</f>
        <v>95.600000000000009</v>
      </c>
      <c r="CJ17" s="6"/>
      <c r="CK17" s="11"/>
      <c r="CL17" s="11"/>
      <c r="CM17" s="11"/>
      <c r="CN17" s="11"/>
      <c r="CO17" s="11"/>
      <c r="CP17" s="11"/>
      <c r="CQ17" s="6"/>
      <c r="CR17" s="6"/>
      <c r="CS17" s="11"/>
      <c r="CT17" s="11"/>
      <c r="CU17" s="11"/>
      <c r="CV17" s="11"/>
      <c r="CW17" s="6">
        <f>SUM(CR17:CV17)</f>
        <v>0</v>
      </c>
      <c r="CX17" s="6">
        <f>(CW17-CR17)/2</f>
        <v>0</v>
      </c>
      <c r="CY17" s="11"/>
      <c r="CZ17" s="6">
        <f>SUM(CX17:CY17)</f>
        <v>0</v>
      </c>
    </row>
    <row r="18" spans="1:104" x14ac:dyDescent="0.25">
      <c r="A18">
        <v>8</v>
      </c>
      <c r="B18" s="11" t="s">
        <v>243</v>
      </c>
      <c r="C18" s="6"/>
      <c r="D18" s="6" t="s">
        <v>88</v>
      </c>
      <c r="E18" s="6" t="s">
        <v>9</v>
      </c>
      <c r="F18" s="6"/>
      <c r="G18" s="6"/>
      <c r="H18" s="6"/>
      <c r="I18" s="6"/>
      <c r="J18" s="6"/>
      <c r="K18" s="6"/>
      <c r="L18" s="6"/>
      <c r="M18" s="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6"/>
      <c r="AC18" s="6"/>
      <c r="AD18" s="6"/>
      <c r="AE18" s="6"/>
      <c r="AF18" s="6"/>
      <c r="AG18" s="6"/>
      <c r="AH18" s="6"/>
      <c r="AI18" s="6"/>
      <c r="AJ18" s="6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11"/>
      <c r="BR18" s="11"/>
      <c r="BS18" s="11"/>
      <c r="BT18" s="11"/>
      <c r="BU18" s="11"/>
      <c r="BV18" s="11"/>
      <c r="BW18" s="6"/>
      <c r="BX18" s="6"/>
      <c r="BY18" s="6">
        <v>33.6</v>
      </c>
      <c r="BZ18" s="11">
        <v>44.8</v>
      </c>
      <c r="CA18" s="11">
        <v>7.5</v>
      </c>
      <c r="CB18" s="11"/>
      <c r="CC18" s="6"/>
      <c r="CD18" s="6"/>
      <c r="CE18" s="6">
        <f>SUM(BX18:CD18)</f>
        <v>85.9</v>
      </c>
      <c r="CJ18" s="6"/>
      <c r="CK18" s="11"/>
      <c r="CL18" s="11"/>
      <c r="CM18" s="11"/>
      <c r="CN18" s="11"/>
      <c r="CO18" s="11"/>
      <c r="CP18" s="11"/>
      <c r="CQ18" s="6"/>
      <c r="CR18" s="6"/>
      <c r="CS18" s="11"/>
      <c r="CT18" s="11"/>
      <c r="CU18" s="11"/>
      <c r="CV18" s="11"/>
      <c r="CW18" s="6">
        <f>SUM(CR18:CV18)</f>
        <v>0</v>
      </c>
      <c r="CX18" s="6">
        <f>(CW18-CR18)/2</f>
        <v>0</v>
      </c>
      <c r="CY18" s="11"/>
      <c r="CZ18" s="6">
        <f>SUM(CX18:CY18)</f>
        <v>0</v>
      </c>
    </row>
    <row r="19" spans="1:104" x14ac:dyDescent="0.25">
      <c r="A19">
        <v>9</v>
      </c>
      <c r="B19" s="11" t="s">
        <v>375</v>
      </c>
      <c r="C19" s="6"/>
      <c r="D19" s="6" t="s">
        <v>376</v>
      </c>
      <c r="E19" s="6" t="s">
        <v>525</v>
      </c>
      <c r="F19" s="6"/>
      <c r="G19" s="6"/>
      <c r="H19" s="6"/>
      <c r="I19" s="6"/>
      <c r="J19" s="6"/>
      <c r="K19" s="6"/>
      <c r="L19" s="6"/>
      <c r="M19" s="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6"/>
      <c r="AC19" s="6"/>
      <c r="AD19" s="6"/>
      <c r="AE19" s="6"/>
      <c r="AF19" s="6"/>
      <c r="AG19" s="6"/>
      <c r="AH19" s="6"/>
      <c r="AI19" s="6"/>
      <c r="AJ19" s="6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6"/>
      <c r="AV19" s="6"/>
      <c r="AW19" s="6"/>
      <c r="AX19" s="6"/>
      <c r="AY19" s="6"/>
      <c r="AZ19" s="6"/>
      <c r="BA19" s="6"/>
      <c r="BB19" s="6">
        <v>2.4</v>
      </c>
      <c r="BC19" s="6"/>
      <c r="BD19" s="6">
        <v>48.8</v>
      </c>
      <c r="BE19" s="6"/>
      <c r="BF19" s="6"/>
      <c r="BG19" s="6">
        <v>75</v>
      </c>
      <c r="BH19" s="6"/>
      <c r="BI19" s="6"/>
      <c r="BJ19" s="6"/>
      <c r="BK19" s="6"/>
      <c r="BL19" s="6">
        <v>36</v>
      </c>
      <c r="BM19" s="6"/>
      <c r="BN19" s="6"/>
      <c r="BO19" s="6">
        <f>SUM(AV19:BN19)</f>
        <v>162.19999999999999</v>
      </c>
      <c r="BP19" s="6">
        <f>(BO19-AV19)/2</f>
        <v>81.099999999999994</v>
      </c>
      <c r="BQ19" s="11">
        <v>36</v>
      </c>
      <c r="BR19" s="11">
        <v>48</v>
      </c>
      <c r="BS19" s="11">
        <v>75</v>
      </c>
      <c r="BT19" s="11">
        <v>7.5</v>
      </c>
      <c r="BU19" s="11">
        <v>3.2</v>
      </c>
      <c r="BV19" s="11"/>
      <c r="BW19" s="6">
        <f>SUM(BP19:BV19)</f>
        <v>250.79999999999998</v>
      </c>
      <c r="BX19" s="6">
        <f>(BW19-BP19)/2</f>
        <v>84.85</v>
      </c>
      <c r="BY19" s="6"/>
      <c r="BZ19" s="11"/>
      <c r="CA19" s="11"/>
      <c r="CB19" s="11"/>
      <c r="CC19" s="6"/>
      <c r="CD19" s="6"/>
      <c r="CE19" s="6">
        <f>SUM(BX19:CD19)</f>
        <v>84.85</v>
      </c>
      <c r="CJ19" s="8">
        <f>SUM(CG19:CI19)</f>
        <v>0</v>
      </c>
      <c r="CK19" s="8">
        <f>CJ19/2</f>
        <v>0</v>
      </c>
      <c r="CL19" s="8">
        <f>BO19/4</f>
        <v>40.549999999999997</v>
      </c>
      <c r="CQ19" s="6">
        <f>SUM(CK19:CM19)</f>
        <v>40.549999999999997</v>
      </c>
      <c r="CR19" s="6">
        <f>(CQ19-CK19)/2</f>
        <v>20.274999999999999</v>
      </c>
      <c r="CS19" s="11"/>
      <c r="CT19" s="11"/>
      <c r="CU19" s="11"/>
      <c r="CV19" s="11"/>
      <c r="CW19" s="6">
        <f>SUM(CR19:CV19)</f>
        <v>20.274999999999999</v>
      </c>
      <c r="CX19" s="6">
        <f>(CW19-CR19)/2</f>
        <v>0</v>
      </c>
      <c r="CY19" s="11"/>
      <c r="CZ19" s="6">
        <f>SUM(CX19:CY19)</f>
        <v>0</v>
      </c>
    </row>
    <row r="20" spans="1:104" x14ac:dyDescent="0.25">
      <c r="A20">
        <v>10</v>
      </c>
      <c r="B20" s="11" t="s">
        <v>782</v>
      </c>
      <c r="C20" s="6"/>
      <c r="D20" s="6" t="s">
        <v>133</v>
      </c>
      <c r="E20" s="6" t="s">
        <v>783</v>
      </c>
      <c r="F20" s="6"/>
      <c r="G20" s="6"/>
      <c r="H20" s="6"/>
      <c r="I20" s="6"/>
      <c r="J20" s="6"/>
      <c r="K20" s="6"/>
      <c r="L20" s="6"/>
      <c r="M20" s="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6"/>
      <c r="AC20" s="6"/>
      <c r="AD20" s="6"/>
      <c r="AE20" s="6"/>
      <c r="AF20" s="6"/>
      <c r="AG20" s="6"/>
      <c r="AH20" s="6"/>
      <c r="AI20" s="6"/>
      <c r="AJ20" s="6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11"/>
      <c r="BR20" s="11"/>
      <c r="BS20" s="11"/>
      <c r="BT20" s="11"/>
      <c r="BU20" s="11"/>
      <c r="BV20" s="11"/>
      <c r="BW20" s="6"/>
      <c r="BX20" s="6"/>
      <c r="BY20" s="6">
        <v>36</v>
      </c>
      <c r="BZ20" s="11"/>
      <c r="CA20" s="11"/>
      <c r="CB20" s="11"/>
      <c r="CC20" s="6"/>
      <c r="CD20" s="6"/>
      <c r="CE20" s="6">
        <f>SUM(BX20:CD20)</f>
        <v>36</v>
      </c>
      <c r="CQ20" s="6"/>
      <c r="CR20" s="6"/>
      <c r="CS20" s="11"/>
      <c r="CT20" s="11"/>
      <c r="CU20" s="11"/>
      <c r="CV20" s="11"/>
      <c r="CW20" s="6">
        <f>SUM(CR20:CV20)</f>
        <v>0</v>
      </c>
      <c r="CX20" s="6">
        <f>(CW20-CR20)/2</f>
        <v>0</v>
      </c>
      <c r="CY20" s="11"/>
      <c r="CZ20" s="6">
        <f>SUM(CX20:CY20)</f>
        <v>0</v>
      </c>
    </row>
    <row r="21" spans="1:104" x14ac:dyDescent="0.25">
      <c r="A21">
        <v>11</v>
      </c>
      <c r="B21" s="67" t="s">
        <v>799</v>
      </c>
      <c r="C21" s="6"/>
      <c r="D21" s="68" t="s">
        <v>800</v>
      </c>
      <c r="E21" s="68" t="s">
        <v>575</v>
      </c>
      <c r="F21" s="6"/>
      <c r="G21" s="6"/>
      <c r="H21" s="6"/>
      <c r="I21" s="6"/>
      <c r="J21" s="6"/>
      <c r="K21" s="6"/>
      <c r="L21" s="6"/>
      <c r="M21" s="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6"/>
      <c r="AC21" s="6"/>
      <c r="AD21" s="6"/>
      <c r="AE21" s="6"/>
      <c r="AF21" s="6"/>
      <c r="AG21" s="6"/>
      <c r="AH21" s="6"/>
      <c r="AI21" s="6"/>
      <c r="AJ21" s="6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11"/>
      <c r="BR21" s="11"/>
      <c r="BS21" s="11"/>
      <c r="BT21" s="11"/>
      <c r="BU21" s="11"/>
      <c r="BV21" s="11"/>
      <c r="BW21" s="6"/>
      <c r="BX21" s="6"/>
      <c r="BY21" s="6">
        <v>36</v>
      </c>
      <c r="BZ21" s="11"/>
      <c r="CA21" s="11"/>
      <c r="CB21" s="11"/>
      <c r="CC21" s="6"/>
      <c r="CD21" s="6"/>
      <c r="CE21" s="6">
        <f>SUM(BX21:CD21)</f>
        <v>36</v>
      </c>
      <c r="CQ21" s="6"/>
      <c r="CR21" s="6"/>
      <c r="CS21" s="11"/>
      <c r="CT21" s="11"/>
      <c r="CU21" s="11"/>
      <c r="CV21" s="11"/>
      <c r="CW21" s="6">
        <f>SUM(CR21:CV21)</f>
        <v>0</v>
      </c>
      <c r="CX21" s="6">
        <f>(CW21-CR21)/2</f>
        <v>0</v>
      </c>
      <c r="CY21" s="11"/>
      <c r="CZ21" s="6">
        <f>SUM(CX21:CY21)</f>
        <v>0</v>
      </c>
    </row>
    <row r="22" spans="1:104" x14ac:dyDescent="0.25">
      <c r="A22">
        <v>12</v>
      </c>
      <c r="B22" s="11" t="s">
        <v>471</v>
      </c>
      <c r="C22" s="6"/>
      <c r="D22" s="6" t="s">
        <v>133</v>
      </c>
      <c r="E22" s="6" t="s">
        <v>234</v>
      </c>
      <c r="F22" s="6"/>
      <c r="G22" s="6"/>
      <c r="H22" s="6"/>
      <c r="I22" s="6"/>
      <c r="J22" s="6"/>
      <c r="K22" s="6"/>
      <c r="L22" s="6"/>
      <c r="M22" s="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6"/>
      <c r="AC22" s="6"/>
      <c r="AD22" s="6"/>
      <c r="AE22" s="6"/>
      <c r="AF22" s="6"/>
      <c r="AG22" s="6"/>
      <c r="AH22" s="6"/>
      <c r="AI22" s="6"/>
      <c r="AJ22" s="6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11">
        <v>2.4</v>
      </c>
      <c r="BR22" s="11">
        <v>56</v>
      </c>
      <c r="BS22" s="11"/>
      <c r="BT22" s="11"/>
      <c r="BU22" s="11"/>
      <c r="BV22" s="11"/>
      <c r="BW22" s="6">
        <f>SUM(BP22:BV22)</f>
        <v>58.4</v>
      </c>
      <c r="BX22" s="6">
        <f>(BW22-BP22)/2</f>
        <v>29.2</v>
      </c>
      <c r="BY22" s="6">
        <v>2.4</v>
      </c>
      <c r="BZ22" s="11">
        <v>3.2</v>
      </c>
      <c r="CA22" s="11"/>
      <c r="CB22" s="11"/>
      <c r="CC22" s="6"/>
      <c r="CD22" s="6"/>
      <c r="CE22" s="6">
        <f>SUM(BX22:CD22)</f>
        <v>34.799999999999997</v>
      </c>
      <c r="CQ22" s="6"/>
      <c r="CR22" s="6"/>
      <c r="CS22" s="11"/>
      <c r="CT22" s="11"/>
      <c r="CU22" s="11"/>
      <c r="CV22" s="11"/>
      <c r="CW22" s="6">
        <f>SUM(CR22:CV22)</f>
        <v>0</v>
      </c>
      <c r="CX22" s="6">
        <f>(CW22-CR22)/2</f>
        <v>0</v>
      </c>
      <c r="CY22" s="11"/>
      <c r="CZ22" s="6">
        <f>SUM(CX22:CY22)</f>
        <v>0</v>
      </c>
    </row>
    <row r="23" spans="1:104" x14ac:dyDescent="0.25">
      <c r="A23">
        <v>13</v>
      </c>
      <c r="B23" s="11" t="s">
        <v>357</v>
      </c>
      <c r="C23" s="6"/>
      <c r="D23" s="6" t="s">
        <v>125</v>
      </c>
      <c r="E23" s="6" t="s">
        <v>111</v>
      </c>
      <c r="F23" s="6"/>
      <c r="G23" s="6"/>
      <c r="H23" s="6"/>
      <c r="I23" s="6"/>
      <c r="J23" s="6"/>
      <c r="K23" s="6"/>
      <c r="L23" s="6"/>
      <c r="M23" s="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6"/>
      <c r="AC23" s="6"/>
      <c r="AD23" s="6"/>
      <c r="AE23" s="6"/>
      <c r="AF23" s="6"/>
      <c r="AG23" s="6"/>
      <c r="AH23" s="6"/>
      <c r="AI23" s="6"/>
      <c r="AJ23" s="6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6"/>
      <c r="AV23" s="6"/>
      <c r="AW23" s="6"/>
      <c r="AX23" s="6"/>
      <c r="AY23" s="6"/>
      <c r="AZ23" s="6"/>
      <c r="BA23" s="6">
        <v>6</v>
      </c>
      <c r="BB23" s="6"/>
      <c r="BC23" s="6"/>
      <c r="BD23" s="6"/>
      <c r="BE23" s="6"/>
      <c r="BF23" s="6">
        <v>48</v>
      </c>
      <c r="BG23" s="6">
        <v>150</v>
      </c>
      <c r="BH23" s="6"/>
      <c r="BI23" s="6"/>
      <c r="BJ23" s="6"/>
      <c r="BK23" s="6">
        <v>2.4</v>
      </c>
      <c r="BL23" s="6"/>
      <c r="BM23" s="6"/>
      <c r="BN23" s="6">
        <v>10</v>
      </c>
      <c r="BO23" s="6">
        <f>SUM(AV23:BN23)</f>
        <v>216.4</v>
      </c>
      <c r="BP23" s="6">
        <f>(BO23-AV23)/2</f>
        <v>108.2</v>
      </c>
      <c r="BQ23" s="11"/>
      <c r="BR23" s="11"/>
      <c r="BS23" s="11">
        <v>54</v>
      </c>
      <c r="BT23" s="11"/>
      <c r="BU23" s="11"/>
      <c r="BV23" s="11"/>
      <c r="BW23" s="6">
        <f>SUM(BP23:BV23)</f>
        <v>162.19999999999999</v>
      </c>
      <c r="BX23" s="6">
        <f>(BW23-BP23)/2</f>
        <v>26.999999999999993</v>
      </c>
      <c r="BY23" s="6"/>
      <c r="BZ23" s="11"/>
      <c r="CA23" s="11"/>
      <c r="CB23" s="11"/>
      <c r="CC23" s="6"/>
      <c r="CD23" s="6"/>
      <c r="CE23" s="6">
        <f>SUM(BX23:CD23)</f>
        <v>26.999999999999993</v>
      </c>
      <c r="CJ23" s="8">
        <f>SUM(CG23:CI23)</f>
        <v>0</v>
      </c>
      <c r="CK23" s="8">
        <f>CJ23/2</f>
        <v>0</v>
      </c>
      <c r="CL23" s="8">
        <f>BO23/4</f>
        <v>54.1</v>
      </c>
      <c r="CO23" s="8">
        <v>25</v>
      </c>
      <c r="CQ23" s="65">
        <f>SUM(CK23:CO23)</f>
        <v>79.099999999999994</v>
      </c>
      <c r="CR23" s="65">
        <f>(CQ23-CK23)/2</f>
        <v>39.549999999999997</v>
      </c>
      <c r="CS23" s="66"/>
      <c r="CT23" s="66"/>
      <c r="CU23" s="66"/>
      <c r="CV23" s="66"/>
      <c r="CW23" s="6">
        <f>SUM(CR23:CV23)</f>
        <v>39.549999999999997</v>
      </c>
      <c r="CX23" s="6">
        <f>(CW23-CR23)/2</f>
        <v>0</v>
      </c>
      <c r="CY23" s="11"/>
      <c r="CZ23" s="6">
        <f>SUM(CX23:CY23)</f>
        <v>0</v>
      </c>
    </row>
    <row r="24" spans="1:104" x14ac:dyDescent="0.25">
      <c r="A24">
        <v>14</v>
      </c>
      <c r="B24" s="11" t="s">
        <v>592</v>
      </c>
      <c r="C24" s="6"/>
      <c r="D24" s="6" t="s">
        <v>593</v>
      </c>
      <c r="E24" s="6" t="s">
        <v>49</v>
      </c>
      <c r="F24" s="6"/>
      <c r="G24" s="6"/>
      <c r="H24" s="6"/>
      <c r="I24" s="6"/>
      <c r="J24" s="6"/>
      <c r="K24" s="6"/>
      <c r="L24" s="6"/>
      <c r="M24" s="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6"/>
      <c r="AC24" s="6"/>
      <c r="AD24" s="6"/>
      <c r="AE24" s="6"/>
      <c r="AF24" s="6"/>
      <c r="AG24" s="6"/>
      <c r="AH24" s="6"/>
      <c r="AI24" s="6"/>
      <c r="AJ24" s="6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11">
        <v>36</v>
      </c>
      <c r="BR24" s="11"/>
      <c r="BS24" s="11"/>
      <c r="BT24" s="11"/>
      <c r="BU24" s="11"/>
      <c r="BV24" s="11"/>
      <c r="BW24" s="6">
        <f>SUM(BP24:BV24)</f>
        <v>36</v>
      </c>
      <c r="BX24" s="6">
        <f>(BW24-BP24)/2</f>
        <v>18</v>
      </c>
      <c r="BY24" s="6"/>
      <c r="BZ24" s="11"/>
      <c r="CA24" s="11"/>
      <c r="CB24" s="11"/>
      <c r="CC24" s="6"/>
      <c r="CD24" s="6"/>
      <c r="CE24" s="6">
        <f>SUM(BX24:CD24)</f>
        <v>18</v>
      </c>
      <c r="CW24" s="6">
        <f>SUM(CR24:CV24)</f>
        <v>0</v>
      </c>
      <c r="CX24" s="6">
        <f>(CW24-CR24)/2</f>
        <v>0</v>
      </c>
      <c r="CY24" s="11"/>
      <c r="CZ24" s="6">
        <f>SUM(CX24:CY24)</f>
        <v>0</v>
      </c>
    </row>
    <row r="25" spans="1:104" x14ac:dyDescent="0.25">
      <c r="A25">
        <v>15</v>
      </c>
      <c r="B25" s="11" t="s">
        <v>91</v>
      </c>
      <c r="C25" s="6"/>
      <c r="D25" s="6" t="s">
        <v>656</v>
      </c>
      <c r="E25" s="6" t="s">
        <v>231</v>
      </c>
      <c r="F25" s="6"/>
      <c r="G25" s="6"/>
      <c r="H25" s="6"/>
      <c r="I25" s="6"/>
      <c r="J25" s="6"/>
      <c r="K25" s="6"/>
      <c r="L25" s="6"/>
      <c r="M25" s="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6"/>
      <c r="AC25" s="6"/>
      <c r="AD25" s="6"/>
      <c r="AE25" s="6"/>
      <c r="AF25" s="6"/>
      <c r="AG25" s="6"/>
      <c r="AH25" s="6"/>
      <c r="AI25" s="6"/>
      <c r="AJ25" s="6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11"/>
      <c r="BR25" s="11"/>
      <c r="BS25" s="11"/>
      <c r="BT25" s="11"/>
      <c r="BU25" s="11"/>
      <c r="BV25" s="11"/>
      <c r="BW25" s="6"/>
      <c r="BX25" s="6"/>
      <c r="BY25" s="6">
        <v>2.4</v>
      </c>
      <c r="BZ25" s="11"/>
      <c r="CA25" s="11"/>
      <c r="CB25" s="11"/>
      <c r="CC25" s="6"/>
      <c r="CD25" s="6"/>
      <c r="CE25" s="6">
        <f>SUM(BX25:CD25)</f>
        <v>2.4</v>
      </c>
      <c r="CW25" s="6">
        <f>SUM(CR25:CV25)</f>
        <v>0</v>
      </c>
      <c r="CX25" s="6">
        <f>(CW25-CR25)/2</f>
        <v>0</v>
      </c>
      <c r="CY25" s="11"/>
      <c r="CZ25" s="6">
        <f>SUM(CX25:CY25)</f>
        <v>0</v>
      </c>
    </row>
    <row r="26" spans="1:104" x14ac:dyDescent="0.25">
      <c r="A26">
        <v>16</v>
      </c>
      <c r="B26" s="11" t="s">
        <v>448</v>
      </c>
      <c r="C26" s="6"/>
      <c r="D26" s="6" t="s">
        <v>449</v>
      </c>
      <c r="E26" s="6" t="s">
        <v>336</v>
      </c>
      <c r="F26" s="6"/>
      <c r="G26" s="6"/>
      <c r="H26" s="6"/>
      <c r="I26" s="6"/>
      <c r="J26" s="6"/>
      <c r="K26" s="6"/>
      <c r="L26" s="6"/>
      <c r="M26" s="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6"/>
      <c r="AC26" s="6"/>
      <c r="AD26" s="6"/>
      <c r="AE26" s="6"/>
      <c r="AF26" s="6"/>
      <c r="AG26" s="6"/>
      <c r="AH26" s="6"/>
      <c r="AI26" s="6"/>
      <c r="AJ26" s="6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11">
        <v>2.4</v>
      </c>
      <c r="BR26" s="11"/>
      <c r="BS26" s="11"/>
      <c r="BT26" s="11"/>
      <c r="BU26" s="11"/>
      <c r="BV26" s="11"/>
      <c r="BW26" s="6">
        <f>SUM(BP26:BV26)</f>
        <v>2.4</v>
      </c>
      <c r="BX26" s="6">
        <f>(BW26-BP26)/2</f>
        <v>1.2</v>
      </c>
      <c r="BY26" s="6"/>
      <c r="BZ26" s="11"/>
      <c r="CA26" s="11"/>
      <c r="CB26" s="11"/>
      <c r="CC26" s="6"/>
      <c r="CD26" s="6"/>
      <c r="CE26" s="6">
        <f>SUM(BX26:CD26)</f>
        <v>1.2</v>
      </c>
      <c r="CS26" s="8">
        <v>1.5</v>
      </c>
      <c r="CW26" s="6">
        <f>SUM(CR26:CV26)</f>
        <v>1.5</v>
      </c>
      <c r="CX26" s="6">
        <f>(CW26-CR26)/2</f>
        <v>0.75</v>
      </c>
      <c r="CY26" s="11"/>
      <c r="CZ26" s="6">
        <f>SUM(CX26:CY26)</f>
        <v>0.75</v>
      </c>
    </row>
    <row r="27" spans="1:104" x14ac:dyDescent="0.25">
      <c r="A27">
        <v>17</v>
      </c>
      <c r="B27" s="11" t="s">
        <v>115</v>
      </c>
      <c r="C27" s="6"/>
      <c r="D27" s="6" t="s">
        <v>74</v>
      </c>
      <c r="E27" s="6" t="s">
        <v>9</v>
      </c>
      <c r="F27" s="6"/>
      <c r="G27" s="6"/>
      <c r="H27" s="6"/>
      <c r="I27" s="6"/>
      <c r="J27" s="6"/>
      <c r="K27" s="6"/>
      <c r="L27" s="6"/>
      <c r="M27" s="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6"/>
      <c r="AC27" s="6"/>
      <c r="AD27" s="6"/>
      <c r="AE27" s="6"/>
      <c r="AF27" s="6"/>
      <c r="AG27" s="6"/>
      <c r="AH27" s="6"/>
      <c r="AI27" s="6"/>
      <c r="AJ27" s="6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11"/>
      <c r="BR27" s="11"/>
      <c r="BS27" s="11"/>
      <c r="BT27" s="11"/>
      <c r="BU27" s="11"/>
      <c r="BV27" s="11"/>
      <c r="BW27" s="6">
        <f>SUM(BP27:BV27)</f>
        <v>0</v>
      </c>
      <c r="BX27" s="6">
        <f>(BW27-BP27)/2</f>
        <v>0</v>
      </c>
      <c r="BY27" s="6"/>
      <c r="BZ27" s="11"/>
      <c r="CA27" s="11"/>
      <c r="CB27" s="11"/>
      <c r="CC27" s="6"/>
      <c r="CD27" s="6"/>
      <c r="CE27" s="6">
        <f>SUM(BX27:CD27)</f>
        <v>0</v>
      </c>
      <c r="CV27" s="8">
        <v>2.5</v>
      </c>
      <c r="CW27" s="6">
        <f>SUM(CR27:CV27)</f>
        <v>2.5</v>
      </c>
      <c r="CX27" s="6">
        <f>(CW27-CR27)/2</f>
        <v>1.25</v>
      </c>
      <c r="CY27" s="11"/>
      <c r="CZ27" s="6">
        <f>SUM(CX27:CY27)</f>
        <v>1.25</v>
      </c>
    </row>
  </sheetData>
  <sortState xmlns:xlrd2="http://schemas.microsoft.com/office/spreadsheetml/2017/richdata2" ref="B11:CZ27">
    <sortCondition descending="1" ref="CE11:CE27"/>
  </sortState>
  <mergeCells count="6">
    <mergeCell ref="B1:CZ1"/>
    <mergeCell ref="B8:C10"/>
    <mergeCell ref="BS9:BV9"/>
    <mergeCell ref="CA9:CD9"/>
    <mergeCell ref="CG4:CZ5"/>
    <mergeCell ref="D4:CE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R18"/>
  <sheetViews>
    <sheetView zoomScale="80" zoomScaleNormal="80" workbookViewId="0">
      <selection activeCell="BT27" sqref="BT27"/>
    </sheetView>
  </sheetViews>
  <sheetFormatPr baseColWidth="10" defaultRowHeight="15" x14ac:dyDescent="0.25"/>
  <cols>
    <col min="1" max="1" width="3" bestFit="1" customWidth="1"/>
    <col min="2" max="2" width="12.42578125" bestFit="1" customWidth="1"/>
    <col min="3" max="3" width="12.7109375" bestFit="1" customWidth="1"/>
    <col min="4" max="4" width="13.28515625" bestFit="1" customWidth="1"/>
    <col min="5" max="5" width="17.7109375" bestFit="1" customWidth="1"/>
    <col min="6" max="6" width="6.7109375" hidden="1" customWidth="1"/>
    <col min="7" max="11" width="6.42578125" hidden="1" customWidth="1"/>
    <col min="12" max="16" width="7.28515625" hidden="1" customWidth="1"/>
    <col min="17" max="18" width="6.42578125" hidden="1" customWidth="1"/>
    <col min="19" max="20" width="6.7109375" hidden="1" customWidth="1"/>
    <col min="21" max="22" width="0" hidden="1" customWidth="1"/>
    <col min="23" max="34" width="5.5703125" hidden="1" customWidth="1"/>
    <col min="35" max="35" width="6.28515625" hidden="1" customWidth="1"/>
    <col min="36" max="38" width="6.85546875" style="8" hidden="1" customWidth="1"/>
    <col min="39" max="39" width="10.5703125" style="8" hidden="1" customWidth="1"/>
    <col min="40" max="49" width="5.5703125" style="8" hidden="1" customWidth="1"/>
    <col min="50" max="50" width="10.85546875" style="8" hidden="1" customWidth="1"/>
    <col min="51" max="53" width="5.5703125" style="8" hidden="1" customWidth="1"/>
    <col min="54" max="54" width="6.85546875" style="8" hidden="1" customWidth="1"/>
    <col min="55" max="55" width="6.28515625" hidden="1" customWidth="1"/>
    <col min="56" max="56" width="7.85546875" hidden="1" customWidth="1"/>
    <col min="57" max="58" width="6.28515625" style="8" hidden="1" customWidth="1"/>
    <col min="59" max="59" width="6.28515625" hidden="1" customWidth="1"/>
    <col min="60" max="60" width="6.28515625" style="8" hidden="1" customWidth="1"/>
    <col min="61" max="62" width="6.28515625" hidden="1" customWidth="1"/>
    <col min="63" max="63" width="6.28515625" customWidth="1"/>
    <col min="64" max="64" width="7.85546875" bestFit="1" customWidth="1"/>
    <col min="65" max="65" width="6.28515625" customWidth="1"/>
    <col min="66" max="66" width="6.28515625" style="8" customWidth="1"/>
    <col min="67" max="70" width="6.28515625" customWidth="1"/>
    <col min="71" max="71" width="7.42578125" bestFit="1" customWidth="1"/>
    <col min="73" max="73" width="0" hidden="1" customWidth="1"/>
    <col min="74" max="74" width="8.28515625" hidden="1" customWidth="1"/>
    <col min="75" max="75" width="6.7109375" hidden="1" customWidth="1"/>
    <col min="76" max="77" width="7.7109375" hidden="1" customWidth="1"/>
    <col min="78" max="78" width="6.7109375" hidden="1" customWidth="1"/>
    <col min="79" max="79" width="0" hidden="1" customWidth="1"/>
    <col min="80" max="81" width="0" style="8" hidden="1" customWidth="1"/>
    <col min="82" max="87" width="5.5703125" style="8" hidden="1" customWidth="1"/>
    <col min="88" max="88" width="0" hidden="1" customWidth="1"/>
    <col min="89" max="89" width="8.85546875" hidden="1" customWidth="1"/>
    <col min="90" max="90" width="4.140625" style="8" hidden="1" customWidth="1"/>
    <col min="91" max="91" width="6.28515625" style="8" hidden="1" customWidth="1"/>
    <col min="94" max="94" width="6" style="8" bestFit="1" customWidth="1"/>
    <col min="95" max="95" width="6" style="8" customWidth="1"/>
  </cols>
  <sheetData>
    <row r="1" spans="1:96" ht="26.25" x14ac:dyDescent="0.4">
      <c r="B1" s="55" t="s">
        <v>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</row>
    <row r="2" spans="1:96" ht="15.75" thickBot="1" x14ac:dyDescent="0.3">
      <c r="C2" s="8"/>
      <c r="D2" s="8"/>
      <c r="E2" s="8"/>
      <c r="F2" s="8"/>
      <c r="BU2" s="8"/>
      <c r="CA2" s="8"/>
    </row>
    <row r="3" spans="1:96" ht="15.75" thickTop="1" x14ac:dyDescent="0.25">
      <c r="B3" s="1" t="s">
        <v>0</v>
      </c>
      <c r="C3" s="4" t="s">
        <v>18</v>
      </c>
      <c r="BU3" s="8"/>
      <c r="CA3" s="8"/>
    </row>
    <row r="4" spans="1:96" ht="14.65" customHeight="1" x14ac:dyDescent="0.25">
      <c r="B4" s="2" t="s">
        <v>1</v>
      </c>
      <c r="C4" s="5" t="s">
        <v>17</v>
      </c>
      <c r="D4" s="63" t="s">
        <v>616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U4" s="64" t="s">
        <v>617</v>
      </c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</row>
    <row r="5" spans="1:96" ht="15" customHeight="1" thickBot="1" x14ac:dyDescent="0.3">
      <c r="B5" s="3" t="s">
        <v>2</v>
      </c>
      <c r="C5" s="33" t="s">
        <v>23</v>
      </c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</row>
    <row r="6" spans="1:96" ht="15.75" thickTop="1" x14ac:dyDescent="0.25">
      <c r="BU6" s="8"/>
      <c r="CA6" s="8"/>
    </row>
    <row r="7" spans="1:96" ht="15.75" thickBot="1" x14ac:dyDescent="0.3">
      <c r="BU7" s="8"/>
      <c r="CA7" s="8"/>
    </row>
    <row r="8" spans="1:96" ht="15.75" thickTop="1" x14ac:dyDescent="0.25">
      <c r="B8" s="56" t="s">
        <v>14</v>
      </c>
      <c r="C8" s="57"/>
      <c r="D8" s="1"/>
      <c r="E8" s="1"/>
      <c r="F8" s="4" t="s">
        <v>114</v>
      </c>
      <c r="G8" s="4" t="s">
        <v>15</v>
      </c>
      <c r="H8" s="4" t="s">
        <v>15</v>
      </c>
      <c r="I8" s="4" t="s">
        <v>25</v>
      </c>
      <c r="J8" s="4" t="s">
        <v>15</v>
      </c>
      <c r="K8" s="4" t="s">
        <v>79</v>
      </c>
      <c r="L8" s="4" t="s">
        <v>102</v>
      </c>
      <c r="M8" s="4" t="s">
        <v>142</v>
      </c>
      <c r="N8" s="4" t="s">
        <v>145</v>
      </c>
      <c r="O8" s="4" t="s">
        <v>15</v>
      </c>
      <c r="P8" s="4" t="s">
        <v>159</v>
      </c>
      <c r="Q8" s="4" t="s">
        <v>15</v>
      </c>
      <c r="R8" s="4" t="s">
        <v>15</v>
      </c>
      <c r="S8" s="4" t="s">
        <v>163</v>
      </c>
      <c r="T8" s="4" t="s">
        <v>164</v>
      </c>
      <c r="U8" s="1"/>
      <c r="V8" s="12">
        <v>44927</v>
      </c>
      <c r="W8" s="4" t="s">
        <v>15</v>
      </c>
      <c r="X8" s="4" t="s">
        <v>184</v>
      </c>
      <c r="Y8" s="4" t="s">
        <v>15</v>
      </c>
      <c r="Z8" s="4" t="s">
        <v>15</v>
      </c>
      <c r="AA8" s="4" t="s">
        <v>224</v>
      </c>
      <c r="AB8" s="4" t="s">
        <v>224</v>
      </c>
      <c r="AC8" s="4" t="s">
        <v>15</v>
      </c>
      <c r="AD8" s="4" t="s">
        <v>164</v>
      </c>
      <c r="AE8" s="4" t="s">
        <v>15</v>
      </c>
      <c r="AF8" s="4" t="s">
        <v>164</v>
      </c>
      <c r="AG8" s="4" t="s">
        <v>15</v>
      </c>
      <c r="AH8" s="4" t="s">
        <v>165</v>
      </c>
      <c r="AI8" s="4" t="s">
        <v>6</v>
      </c>
      <c r="AJ8" s="28">
        <v>45292</v>
      </c>
      <c r="AK8" s="28" t="s">
        <v>15</v>
      </c>
      <c r="AL8" s="28" t="s">
        <v>15</v>
      </c>
      <c r="AM8" s="28" t="s">
        <v>15</v>
      </c>
      <c r="AN8" s="28" t="s">
        <v>15</v>
      </c>
      <c r="AO8" s="28" t="s">
        <v>15</v>
      </c>
      <c r="AP8" s="28" t="s">
        <v>164</v>
      </c>
      <c r="AQ8" s="28" t="s">
        <v>164</v>
      </c>
      <c r="AR8" s="28" t="s">
        <v>224</v>
      </c>
      <c r="AS8" s="28" t="s">
        <v>224</v>
      </c>
      <c r="AT8" s="28" t="s">
        <v>224</v>
      </c>
      <c r="AU8" s="28" t="s">
        <v>164</v>
      </c>
      <c r="AV8" s="28" t="s">
        <v>15</v>
      </c>
      <c r="AW8" s="28" t="s">
        <v>15</v>
      </c>
      <c r="AX8" s="28" t="s">
        <v>15</v>
      </c>
      <c r="AY8" s="28" t="s">
        <v>15</v>
      </c>
      <c r="AZ8" s="28" t="s">
        <v>15</v>
      </c>
      <c r="BA8" s="28" t="s">
        <v>164</v>
      </c>
      <c r="BB8" s="28" t="s">
        <v>165</v>
      </c>
      <c r="BC8" s="28" t="s">
        <v>6</v>
      </c>
      <c r="BD8" s="28">
        <v>45658</v>
      </c>
      <c r="BE8" s="28"/>
      <c r="BF8" s="28"/>
      <c r="BG8" s="29"/>
      <c r="BH8" s="36"/>
      <c r="BI8" s="30"/>
      <c r="BJ8" s="31"/>
      <c r="BK8" s="28" t="s">
        <v>6</v>
      </c>
      <c r="BL8" s="28">
        <v>46023</v>
      </c>
      <c r="BM8" s="28"/>
      <c r="BN8" s="28"/>
      <c r="BO8" s="35"/>
      <c r="BP8" s="36"/>
      <c r="BQ8" s="36"/>
      <c r="BR8" s="37"/>
      <c r="BS8" s="28" t="s">
        <v>213</v>
      </c>
      <c r="BU8" s="4" t="s">
        <v>212</v>
      </c>
      <c r="BV8" s="1" t="s">
        <v>215</v>
      </c>
      <c r="BW8" s="13" t="s">
        <v>163</v>
      </c>
      <c r="BX8" s="13" t="s">
        <v>265</v>
      </c>
      <c r="BY8" s="13" t="s">
        <v>281</v>
      </c>
      <c r="BZ8" s="13" t="s">
        <v>282</v>
      </c>
      <c r="CA8" s="4" t="s">
        <v>213</v>
      </c>
      <c r="CB8" s="28">
        <v>45292</v>
      </c>
      <c r="CC8" s="4" t="s">
        <v>212</v>
      </c>
      <c r="CD8" s="4" t="s">
        <v>287</v>
      </c>
      <c r="CE8" s="4" t="s">
        <v>25</v>
      </c>
      <c r="CF8" s="4" t="s">
        <v>397</v>
      </c>
      <c r="CG8" s="4" t="s">
        <v>156</v>
      </c>
      <c r="CH8" s="4" t="s">
        <v>163</v>
      </c>
      <c r="CI8" s="4" t="s">
        <v>282</v>
      </c>
      <c r="CJ8" s="1" t="s">
        <v>6</v>
      </c>
      <c r="CK8" s="28">
        <v>45658</v>
      </c>
      <c r="CL8" s="4" t="s">
        <v>287</v>
      </c>
      <c r="CM8" s="4" t="s">
        <v>282</v>
      </c>
      <c r="CN8" s="4" t="s">
        <v>213</v>
      </c>
      <c r="CO8" s="28">
        <v>46023</v>
      </c>
      <c r="CP8" s="4" t="s">
        <v>770</v>
      </c>
      <c r="CQ8" s="4" t="s">
        <v>163</v>
      </c>
      <c r="CR8" s="1" t="s">
        <v>6</v>
      </c>
    </row>
    <row r="9" spans="1:96" x14ac:dyDescent="0.25">
      <c r="B9" s="58"/>
      <c r="C9" s="59"/>
      <c r="D9" s="2"/>
      <c r="E9" s="2"/>
      <c r="F9" s="5" t="s">
        <v>80</v>
      </c>
      <c r="G9" s="9" t="s">
        <v>16</v>
      </c>
      <c r="H9" s="9" t="s">
        <v>54</v>
      </c>
      <c r="I9" s="5" t="s">
        <v>28</v>
      </c>
      <c r="J9" s="5" t="s">
        <v>70</v>
      </c>
      <c r="K9" s="9" t="s">
        <v>80</v>
      </c>
      <c r="L9" s="9" t="s">
        <v>103</v>
      </c>
      <c r="M9" s="9" t="s">
        <v>143</v>
      </c>
      <c r="N9" s="9" t="s">
        <v>80</v>
      </c>
      <c r="O9" s="9" t="s">
        <v>54</v>
      </c>
      <c r="P9" s="9" t="s">
        <v>160</v>
      </c>
      <c r="Q9" s="9" t="s">
        <v>155</v>
      </c>
      <c r="R9" s="9" t="s">
        <v>70</v>
      </c>
      <c r="S9" s="9" t="s">
        <v>101</v>
      </c>
      <c r="T9" s="9" t="s">
        <v>165</v>
      </c>
      <c r="U9" s="2" t="s">
        <v>6</v>
      </c>
      <c r="V9" s="2"/>
      <c r="W9" s="9" t="s">
        <v>54</v>
      </c>
      <c r="X9" s="9" t="s">
        <v>136</v>
      </c>
      <c r="Y9" s="9" t="s">
        <v>155</v>
      </c>
      <c r="Z9" s="9" t="s">
        <v>70</v>
      </c>
      <c r="AA9" s="9" t="s">
        <v>142</v>
      </c>
      <c r="AB9" s="9" t="s">
        <v>136</v>
      </c>
      <c r="AC9" s="9" t="s">
        <v>120</v>
      </c>
      <c r="AD9" s="9" t="s">
        <v>139</v>
      </c>
      <c r="AE9" s="9" t="s">
        <v>54</v>
      </c>
      <c r="AF9" s="9" t="s">
        <v>142</v>
      </c>
      <c r="AG9" s="9" t="s">
        <v>120</v>
      </c>
      <c r="AH9" s="9"/>
      <c r="AI9" s="2"/>
      <c r="AJ9" s="5"/>
      <c r="AK9" s="5" t="s">
        <v>333</v>
      </c>
      <c r="AL9" s="5" t="s">
        <v>120</v>
      </c>
      <c r="AM9" s="5" t="s">
        <v>268</v>
      </c>
      <c r="AN9" s="5" t="s">
        <v>54</v>
      </c>
      <c r="AO9" s="5" t="s">
        <v>70</v>
      </c>
      <c r="AP9" s="5" t="s">
        <v>139</v>
      </c>
      <c r="AQ9" s="5" t="s">
        <v>372</v>
      </c>
      <c r="AR9" s="5" t="s">
        <v>139</v>
      </c>
      <c r="AS9" s="5" t="s">
        <v>136</v>
      </c>
      <c r="AT9" s="5" t="s">
        <v>142</v>
      </c>
      <c r="AU9" s="5" t="s">
        <v>136</v>
      </c>
      <c r="AV9" s="5" t="s">
        <v>333</v>
      </c>
      <c r="AW9" s="5" t="s">
        <v>256</v>
      </c>
      <c r="AX9" s="5" t="s">
        <v>268</v>
      </c>
      <c r="AY9" s="5" t="s">
        <v>54</v>
      </c>
      <c r="AZ9" s="5" t="s">
        <v>120</v>
      </c>
      <c r="BA9" s="5" t="s">
        <v>142</v>
      </c>
      <c r="BB9" s="5" t="s">
        <v>427</v>
      </c>
      <c r="BC9" s="5"/>
      <c r="BD9" s="5"/>
      <c r="BE9" s="9" t="s">
        <v>15</v>
      </c>
      <c r="BF9" s="9" t="s">
        <v>224</v>
      </c>
      <c r="BG9" s="60" t="s">
        <v>429</v>
      </c>
      <c r="BH9" s="61"/>
      <c r="BI9" s="61"/>
      <c r="BJ9" s="62"/>
      <c r="BK9" s="5"/>
      <c r="BL9" s="5"/>
      <c r="BM9" s="9" t="s">
        <v>15</v>
      </c>
      <c r="BN9" s="9" t="s">
        <v>224</v>
      </c>
      <c r="BO9" s="60" t="s">
        <v>429</v>
      </c>
      <c r="BP9" s="61"/>
      <c r="BQ9" s="61"/>
      <c r="BR9" s="62"/>
      <c r="BS9" s="9"/>
      <c r="BU9" s="5" t="s">
        <v>214</v>
      </c>
      <c r="BV9" s="2"/>
      <c r="BW9" s="14" t="s">
        <v>260</v>
      </c>
      <c r="BX9" s="14" t="s">
        <v>266</v>
      </c>
      <c r="BY9" s="14"/>
      <c r="BZ9" s="14" t="s">
        <v>283</v>
      </c>
      <c r="CA9" s="5"/>
      <c r="CB9" s="5"/>
      <c r="CC9" s="5" t="s">
        <v>214</v>
      </c>
      <c r="CD9" s="5"/>
      <c r="CE9" s="5" t="s">
        <v>343</v>
      </c>
      <c r="CF9" s="5" t="s">
        <v>28</v>
      </c>
      <c r="CG9" s="5" t="s">
        <v>260</v>
      </c>
      <c r="CH9" s="5" t="s">
        <v>260</v>
      </c>
      <c r="CI9" s="5" t="s">
        <v>80</v>
      </c>
      <c r="CJ9" s="2"/>
      <c r="CK9" s="5"/>
      <c r="CL9" s="5"/>
      <c r="CM9" s="5" t="s">
        <v>80</v>
      </c>
      <c r="CN9" s="5"/>
      <c r="CO9" s="5"/>
      <c r="CP9" s="5" t="s">
        <v>28</v>
      </c>
      <c r="CQ9" s="5" t="s">
        <v>28</v>
      </c>
      <c r="CR9" s="2"/>
    </row>
    <row r="10" spans="1:96" x14ac:dyDescent="0.25">
      <c r="B10" s="58"/>
      <c r="C10" s="59"/>
      <c r="D10" s="2" t="s">
        <v>4</v>
      </c>
      <c r="E10" s="2" t="s">
        <v>5</v>
      </c>
      <c r="F10" s="10">
        <v>44577</v>
      </c>
      <c r="G10" s="10">
        <v>44653</v>
      </c>
      <c r="H10" s="10">
        <v>44653</v>
      </c>
      <c r="I10" s="10">
        <v>44660</v>
      </c>
      <c r="J10" s="10">
        <v>44674</v>
      </c>
      <c r="K10" s="10">
        <v>44681</v>
      </c>
      <c r="L10" s="10">
        <v>44695</v>
      </c>
      <c r="M10" s="10">
        <v>44737</v>
      </c>
      <c r="N10" s="10">
        <v>44759</v>
      </c>
      <c r="O10" s="10">
        <v>44779</v>
      </c>
      <c r="P10" s="10">
        <v>44829</v>
      </c>
      <c r="Q10" s="10">
        <v>44856</v>
      </c>
      <c r="R10" s="10">
        <v>44863</v>
      </c>
      <c r="S10" s="10">
        <v>44866</v>
      </c>
      <c r="T10" s="10">
        <v>44906</v>
      </c>
      <c r="U10" s="2">
        <v>2022</v>
      </c>
      <c r="V10" s="2"/>
      <c r="W10" s="2" t="s">
        <v>171</v>
      </c>
      <c r="X10" s="2" t="s">
        <v>185</v>
      </c>
      <c r="Y10" s="2" t="s">
        <v>210</v>
      </c>
      <c r="Z10" s="2" t="s">
        <v>221</v>
      </c>
      <c r="AA10" s="2" t="s">
        <v>232</v>
      </c>
      <c r="AB10" s="5" t="s">
        <v>239</v>
      </c>
      <c r="AC10" s="5" t="s">
        <v>247</v>
      </c>
      <c r="AD10" s="5" t="s">
        <v>250</v>
      </c>
      <c r="AE10" s="5" t="s">
        <v>258</v>
      </c>
      <c r="AF10" s="5" t="s">
        <v>270</v>
      </c>
      <c r="AG10" s="5" t="s">
        <v>276</v>
      </c>
      <c r="AH10" s="5" t="s">
        <v>284</v>
      </c>
      <c r="AI10" s="2">
        <v>2023</v>
      </c>
      <c r="AJ10" s="17"/>
      <c r="AK10" s="17" t="s">
        <v>319</v>
      </c>
      <c r="AL10" s="17" t="s">
        <v>319</v>
      </c>
      <c r="AM10" s="17" t="s">
        <v>319</v>
      </c>
      <c r="AN10" s="17" t="s">
        <v>362</v>
      </c>
      <c r="AO10" s="17" t="s">
        <v>362</v>
      </c>
      <c r="AP10" s="17" t="s">
        <v>366</v>
      </c>
      <c r="AQ10" s="17" t="s">
        <v>373</v>
      </c>
      <c r="AR10" s="17" t="s">
        <v>382</v>
      </c>
      <c r="AS10" s="17" t="s">
        <v>382</v>
      </c>
      <c r="AT10" s="17" t="s">
        <v>389</v>
      </c>
      <c r="AU10" s="17" t="s">
        <v>391</v>
      </c>
      <c r="AV10" s="17" t="s">
        <v>402</v>
      </c>
      <c r="AW10" s="17" t="s">
        <v>401</v>
      </c>
      <c r="AX10" s="17" t="s">
        <v>403</v>
      </c>
      <c r="AY10" s="17" t="s">
        <v>403</v>
      </c>
      <c r="AZ10" s="17" t="s">
        <v>416</v>
      </c>
      <c r="BA10" s="17" t="s">
        <v>420</v>
      </c>
      <c r="BB10" s="17" t="s">
        <v>428</v>
      </c>
      <c r="BC10" s="17">
        <v>2024</v>
      </c>
      <c r="BD10" s="5"/>
      <c r="BE10" s="5"/>
      <c r="BF10" s="5"/>
      <c r="BG10" s="5">
        <v>1</v>
      </c>
      <c r="BH10" s="5">
        <v>2</v>
      </c>
      <c r="BI10" s="5">
        <v>3</v>
      </c>
      <c r="BJ10" s="5">
        <v>4</v>
      </c>
      <c r="BK10" s="5">
        <v>2025</v>
      </c>
      <c r="BL10" s="5"/>
      <c r="BM10" s="5"/>
      <c r="BN10" s="5"/>
      <c r="BO10" s="5">
        <v>1</v>
      </c>
      <c r="BP10" s="5">
        <v>2</v>
      </c>
      <c r="BQ10" s="5">
        <v>3</v>
      </c>
      <c r="BR10" s="5">
        <v>4</v>
      </c>
      <c r="BS10" s="5">
        <v>2026</v>
      </c>
      <c r="BU10" s="17"/>
      <c r="BV10" s="16">
        <v>45077</v>
      </c>
      <c r="BW10" s="25">
        <v>45153</v>
      </c>
      <c r="BX10" s="25">
        <v>45177</v>
      </c>
      <c r="BY10" s="25">
        <v>45247</v>
      </c>
      <c r="BZ10" s="25">
        <v>45255</v>
      </c>
      <c r="CA10" s="17">
        <v>2023</v>
      </c>
      <c r="CB10" s="5"/>
      <c r="CC10" s="5"/>
      <c r="CD10" s="5" t="s">
        <v>288</v>
      </c>
      <c r="CE10" s="5" t="s">
        <v>344</v>
      </c>
      <c r="CF10" s="5" t="s">
        <v>401</v>
      </c>
      <c r="CG10" s="5" t="s">
        <v>414</v>
      </c>
      <c r="CH10" s="5" t="s">
        <v>415</v>
      </c>
      <c r="CI10" s="5" t="s">
        <v>425</v>
      </c>
      <c r="CJ10" s="2">
        <v>2024</v>
      </c>
      <c r="CK10" s="5"/>
      <c r="CL10" s="5" t="s">
        <v>430</v>
      </c>
      <c r="CM10" s="5" t="s">
        <v>425</v>
      </c>
      <c r="CN10" s="5">
        <v>2025</v>
      </c>
      <c r="CO10" s="5"/>
      <c r="CP10" s="5" t="s">
        <v>771</v>
      </c>
      <c r="CQ10" s="5" t="s">
        <v>772</v>
      </c>
      <c r="CR10" s="2">
        <v>2026</v>
      </c>
    </row>
    <row r="11" spans="1:96" x14ac:dyDescent="0.25">
      <c r="A11">
        <v>1</v>
      </c>
      <c r="B11" s="18" t="s">
        <v>733</v>
      </c>
      <c r="C11" s="19"/>
      <c r="D11" s="19" t="s">
        <v>297</v>
      </c>
      <c r="E11" s="19" t="s">
        <v>27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6"/>
      <c r="BD11" s="6"/>
      <c r="BE11" s="11"/>
      <c r="BF11" s="11"/>
      <c r="BG11" s="6"/>
      <c r="BH11" s="11"/>
      <c r="BI11" s="6"/>
      <c r="BJ11" s="6"/>
      <c r="BK11" s="6"/>
      <c r="BL11" s="6">
        <f>366.5/2</f>
        <v>183.25</v>
      </c>
      <c r="BM11" s="6">
        <v>36</v>
      </c>
      <c r="BN11" s="11">
        <v>64</v>
      </c>
      <c r="BO11" s="6">
        <v>90</v>
      </c>
      <c r="BP11" s="6"/>
      <c r="BQ11" s="6"/>
      <c r="BR11" s="6"/>
      <c r="BS11" s="6">
        <f t="shared" ref="BS11:BS18" si="0">SUM(BL11:BR11)</f>
        <v>373.25</v>
      </c>
      <c r="BU11" s="6"/>
      <c r="BV11" s="6"/>
      <c r="BW11" s="6"/>
      <c r="BX11" s="6"/>
      <c r="BY11" s="6"/>
      <c r="BZ11" s="6"/>
      <c r="CA11" s="6"/>
      <c r="CB11" s="11"/>
      <c r="CC11" s="11"/>
      <c r="CD11" s="11"/>
      <c r="CE11" s="11"/>
      <c r="CF11" s="11"/>
      <c r="CG11" s="11"/>
      <c r="CH11" s="11"/>
      <c r="CI11" s="11"/>
      <c r="CJ11" s="6"/>
      <c r="CK11" s="6"/>
      <c r="CL11" s="11"/>
      <c r="CM11" s="11"/>
      <c r="CN11" s="6">
        <f t="shared" ref="CN11:CN18" si="1">SUM(CK11:CM11)</f>
        <v>0</v>
      </c>
      <c r="CO11" s="6">
        <f t="shared" ref="CO11:CO18" si="2">(CN11-CK11)/2</f>
        <v>0</v>
      </c>
      <c r="CP11" s="11">
        <v>105</v>
      </c>
      <c r="CQ11" s="11">
        <v>50</v>
      </c>
      <c r="CR11" s="19">
        <f>SUM(CO11:CQ11)</f>
        <v>155</v>
      </c>
    </row>
    <row r="12" spans="1:96" x14ac:dyDescent="0.25">
      <c r="A12">
        <v>2</v>
      </c>
      <c r="B12" s="11" t="s">
        <v>85</v>
      </c>
      <c r="C12" s="6"/>
      <c r="D12" s="6" t="s">
        <v>125</v>
      </c>
      <c r="E12" s="6" t="s">
        <v>24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6"/>
      <c r="BD12" s="6"/>
      <c r="BE12" s="11">
        <v>36</v>
      </c>
      <c r="BF12" s="11">
        <v>64</v>
      </c>
      <c r="BG12" s="11">
        <v>48</v>
      </c>
      <c r="BH12" s="11">
        <v>6</v>
      </c>
      <c r="BI12" s="11">
        <v>120</v>
      </c>
      <c r="BJ12" s="11">
        <v>10</v>
      </c>
      <c r="BK12" s="6">
        <f>SUM(BD12:BJ12)</f>
        <v>284</v>
      </c>
      <c r="BL12" s="6">
        <f>(BK12-BD12)/2</f>
        <v>142</v>
      </c>
      <c r="BM12" s="6"/>
      <c r="BN12" s="11">
        <v>3.2</v>
      </c>
      <c r="BO12" s="6"/>
      <c r="BP12" s="6"/>
      <c r="BQ12" s="6"/>
      <c r="BR12" s="6"/>
      <c r="BS12" s="6">
        <f t="shared" si="0"/>
        <v>145.19999999999999</v>
      </c>
      <c r="BU12" s="6"/>
      <c r="BV12" s="6"/>
      <c r="BW12" s="6"/>
      <c r="BX12" s="6"/>
      <c r="BY12" s="6"/>
      <c r="BZ12" s="6"/>
      <c r="CA12" s="6"/>
      <c r="CB12" s="11"/>
      <c r="CC12" s="11"/>
      <c r="CD12" s="11"/>
      <c r="CE12" s="11"/>
      <c r="CF12" s="11"/>
      <c r="CG12" s="11"/>
      <c r="CH12" s="11"/>
      <c r="CI12" s="11"/>
      <c r="CJ12" s="6">
        <f>SUM(CB12:CD12)</f>
        <v>0</v>
      </c>
      <c r="CK12" s="6">
        <f>(CJ12-CB12)/2</f>
        <v>0</v>
      </c>
      <c r="CL12" s="11"/>
      <c r="CM12" s="11"/>
      <c r="CN12" s="6">
        <f t="shared" si="1"/>
        <v>0</v>
      </c>
      <c r="CO12" s="6">
        <f t="shared" si="2"/>
        <v>0</v>
      </c>
      <c r="CP12" s="11"/>
      <c r="CQ12" s="11"/>
      <c r="CR12" s="6">
        <f t="shared" ref="CR12:CR18" si="3">SUM(CO12:CP12)</f>
        <v>0</v>
      </c>
    </row>
    <row r="13" spans="1:96" x14ac:dyDescent="0.25">
      <c r="A13">
        <v>3</v>
      </c>
      <c r="B13" s="11" t="s">
        <v>62</v>
      </c>
      <c r="C13" s="6"/>
      <c r="D13" s="6" t="s">
        <v>541</v>
      </c>
      <c r="E13" s="6" t="s">
        <v>542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6"/>
      <c r="BD13" s="6"/>
      <c r="BE13" s="11">
        <v>36</v>
      </c>
      <c r="BF13" s="11">
        <v>3.2</v>
      </c>
      <c r="BG13" s="11">
        <v>90</v>
      </c>
      <c r="BH13" s="11"/>
      <c r="BI13" s="11"/>
      <c r="BJ13" s="11"/>
      <c r="BK13" s="6">
        <f>SUM(BD13:BJ13)</f>
        <v>129.19999999999999</v>
      </c>
      <c r="BL13" s="6">
        <f>(BK13-BD13)/2</f>
        <v>64.599999999999994</v>
      </c>
      <c r="BM13" s="6"/>
      <c r="BN13" s="11">
        <v>64</v>
      </c>
      <c r="BO13" s="6"/>
      <c r="BP13" s="6"/>
      <c r="BQ13" s="6"/>
      <c r="BR13" s="6"/>
      <c r="BS13" s="6">
        <f t="shared" si="0"/>
        <v>128.6</v>
      </c>
      <c r="CA13" s="6"/>
      <c r="CB13" s="11"/>
      <c r="CC13" s="11"/>
      <c r="CD13" s="11"/>
      <c r="CE13" s="11"/>
      <c r="CF13" s="11"/>
      <c r="CG13" s="11"/>
      <c r="CH13" s="11"/>
      <c r="CI13" s="11"/>
      <c r="CJ13" s="6">
        <f>SUM(CB13:CD13)</f>
        <v>0</v>
      </c>
      <c r="CK13" s="6">
        <f>(CJ13-CB13)/2</f>
        <v>0</v>
      </c>
      <c r="CL13" s="11"/>
      <c r="CM13" s="11"/>
      <c r="CN13" s="6">
        <f t="shared" si="1"/>
        <v>0</v>
      </c>
      <c r="CO13" s="6">
        <f t="shared" si="2"/>
        <v>0</v>
      </c>
      <c r="CP13" s="11"/>
      <c r="CQ13" s="11"/>
      <c r="CR13" s="6">
        <f t="shared" si="3"/>
        <v>0</v>
      </c>
    </row>
    <row r="14" spans="1:96" x14ac:dyDescent="0.25">
      <c r="A14" s="52">
        <v>4</v>
      </c>
      <c r="B14" s="11" t="s">
        <v>52</v>
      </c>
      <c r="C14" s="6"/>
      <c r="D14" s="6" t="s">
        <v>157</v>
      </c>
      <c r="E14" s="6" t="s">
        <v>753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6"/>
      <c r="BD14" s="6"/>
      <c r="BE14" s="11"/>
      <c r="BF14" s="11"/>
      <c r="BG14" s="6"/>
      <c r="BH14" s="11"/>
      <c r="BI14" s="6"/>
      <c r="BJ14" s="6"/>
      <c r="BK14" s="6"/>
      <c r="BL14" s="6"/>
      <c r="BM14" s="6"/>
      <c r="BN14" s="11">
        <v>48</v>
      </c>
      <c r="BO14" s="6">
        <v>60</v>
      </c>
      <c r="BP14" s="6"/>
      <c r="BQ14" s="6"/>
      <c r="BR14" s="6"/>
      <c r="BS14" s="6">
        <f t="shared" si="0"/>
        <v>108</v>
      </c>
      <c r="CN14" s="6">
        <f t="shared" si="1"/>
        <v>0</v>
      </c>
      <c r="CO14" s="6">
        <f t="shared" si="2"/>
        <v>0</v>
      </c>
      <c r="CP14" s="11"/>
      <c r="CQ14" s="11"/>
      <c r="CR14" s="6">
        <f t="shared" si="3"/>
        <v>0</v>
      </c>
    </row>
    <row r="15" spans="1:96" x14ac:dyDescent="0.25">
      <c r="A15">
        <v>5</v>
      </c>
      <c r="B15" s="11" t="s">
        <v>162</v>
      </c>
      <c r="C15" s="6"/>
      <c r="D15" s="6" t="s">
        <v>289</v>
      </c>
      <c r="E15" s="6" t="s">
        <v>29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6"/>
      <c r="BD15" s="6"/>
      <c r="BE15" s="11"/>
      <c r="BF15" s="11"/>
      <c r="BG15" s="6"/>
      <c r="BH15" s="11"/>
      <c r="BI15" s="6"/>
      <c r="BJ15" s="6"/>
      <c r="BK15" s="6"/>
      <c r="BL15" s="6"/>
      <c r="BM15" s="6">
        <v>48</v>
      </c>
      <c r="BN15" s="11"/>
      <c r="BO15" s="6"/>
      <c r="BP15" s="6"/>
      <c r="BQ15" s="6"/>
      <c r="BR15" s="6"/>
      <c r="BS15" s="6">
        <f t="shared" si="0"/>
        <v>48</v>
      </c>
      <c r="CN15" s="6">
        <f t="shared" si="1"/>
        <v>0</v>
      </c>
      <c r="CO15" s="6">
        <f t="shared" si="2"/>
        <v>0</v>
      </c>
      <c r="CP15" s="11"/>
      <c r="CQ15" s="11"/>
      <c r="CR15" s="6">
        <f t="shared" si="3"/>
        <v>0</v>
      </c>
    </row>
    <row r="16" spans="1:96" x14ac:dyDescent="0.25">
      <c r="B16" s="11" t="s">
        <v>357</v>
      </c>
      <c r="C16" s="6" t="s">
        <v>58</v>
      </c>
      <c r="D16" s="6" t="s">
        <v>125</v>
      </c>
      <c r="E16" s="6" t="s">
        <v>111</v>
      </c>
      <c r="AL16" s="8">
        <v>48</v>
      </c>
      <c r="BC16">
        <f>SUM(AJ16:BB16)</f>
        <v>48</v>
      </c>
      <c r="BD16">
        <f>(BC16-AJ16)/2</f>
        <v>24</v>
      </c>
      <c r="BE16" s="8">
        <v>36</v>
      </c>
      <c r="BF16" s="8">
        <v>44.8</v>
      </c>
      <c r="BG16" s="8"/>
      <c r="BI16" s="8"/>
      <c r="BJ16" s="8"/>
      <c r="BK16" s="6">
        <f>SUM(BD16:BJ16)</f>
        <v>104.8</v>
      </c>
      <c r="BL16" s="6">
        <f>(BK16-BD16)/2</f>
        <v>40.4</v>
      </c>
      <c r="BM16" s="6"/>
      <c r="BN16" s="11"/>
      <c r="BO16" s="6"/>
      <c r="BP16" s="6"/>
      <c r="BQ16" s="6"/>
      <c r="BR16" s="6"/>
      <c r="BS16" s="6">
        <f t="shared" si="0"/>
        <v>40.4</v>
      </c>
      <c r="CA16" s="8">
        <f>SUM(BU16:BZ16)</f>
        <v>0</v>
      </c>
      <c r="CB16" s="8">
        <f>CA16/2</f>
        <v>0</v>
      </c>
      <c r="CC16" s="8">
        <f>BC16/4</f>
        <v>12</v>
      </c>
      <c r="CJ16">
        <f>SUM(CB16:CD16)</f>
        <v>12</v>
      </c>
      <c r="CK16">
        <f>(CJ16-CB16)/2</f>
        <v>6</v>
      </c>
      <c r="CN16" s="6">
        <f t="shared" si="1"/>
        <v>6</v>
      </c>
      <c r="CO16" s="6">
        <f t="shared" si="2"/>
        <v>0</v>
      </c>
      <c r="CP16" s="11"/>
      <c r="CQ16" s="11"/>
      <c r="CR16" s="6">
        <f t="shared" si="3"/>
        <v>0</v>
      </c>
    </row>
    <row r="17" spans="2:96" x14ac:dyDescent="0.25">
      <c r="B17" s="11" t="s">
        <v>243</v>
      </c>
      <c r="C17" s="6"/>
      <c r="D17" s="6" t="s">
        <v>88</v>
      </c>
      <c r="E17" s="6" t="s">
        <v>9</v>
      </c>
      <c r="BK17" s="6"/>
      <c r="BL17" s="6"/>
      <c r="BM17" s="6">
        <v>33.6</v>
      </c>
      <c r="BN17" s="11"/>
      <c r="BO17" s="6"/>
      <c r="BP17" s="6"/>
      <c r="BQ17" s="6"/>
      <c r="BR17" s="6"/>
      <c r="BS17" s="6">
        <f t="shared" si="0"/>
        <v>33.6</v>
      </c>
      <c r="CN17" s="6">
        <f t="shared" si="1"/>
        <v>0</v>
      </c>
      <c r="CO17" s="6">
        <f t="shared" si="2"/>
        <v>0</v>
      </c>
      <c r="CP17" s="11"/>
      <c r="CQ17" s="11"/>
      <c r="CR17" s="6">
        <f t="shared" si="3"/>
        <v>0</v>
      </c>
    </row>
    <row r="18" spans="2:96" x14ac:dyDescent="0.25">
      <c r="B18" s="11" t="s">
        <v>661</v>
      </c>
      <c r="C18" s="6"/>
      <c r="D18" s="6" t="s">
        <v>662</v>
      </c>
      <c r="E18" s="6" t="s">
        <v>563</v>
      </c>
      <c r="BK18" s="6"/>
      <c r="BL18" s="6"/>
      <c r="BM18" s="6">
        <v>2.4</v>
      </c>
      <c r="BN18" s="11"/>
      <c r="BO18" s="6"/>
      <c r="BP18" s="6"/>
      <c r="BQ18" s="6"/>
      <c r="BR18" s="6"/>
      <c r="BS18" s="6">
        <f t="shared" si="0"/>
        <v>2.4</v>
      </c>
      <c r="CN18" s="6">
        <f t="shared" si="1"/>
        <v>0</v>
      </c>
      <c r="CO18" s="6">
        <f t="shared" si="2"/>
        <v>0</v>
      </c>
      <c r="CP18" s="11"/>
      <c r="CQ18" s="11"/>
      <c r="CR18" s="6">
        <f t="shared" si="3"/>
        <v>0</v>
      </c>
    </row>
  </sheetData>
  <sortState xmlns:xlrd2="http://schemas.microsoft.com/office/spreadsheetml/2017/richdata2" ref="B11:CR18">
    <sortCondition descending="1" ref="BS11:BS18"/>
  </sortState>
  <mergeCells count="6">
    <mergeCell ref="B1:CR1"/>
    <mergeCell ref="B8:C10"/>
    <mergeCell ref="BG9:BJ9"/>
    <mergeCell ref="BO9:BR9"/>
    <mergeCell ref="D4:BS5"/>
    <mergeCell ref="BU4:CR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-40</vt:lpstr>
      <vt:lpstr>-44</vt:lpstr>
      <vt:lpstr>-48</vt:lpstr>
      <vt:lpstr>-52</vt:lpstr>
      <vt:lpstr>-57</vt:lpstr>
      <vt:lpstr>-63</vt:lpstr>
      <vt:lpstr>-70</vt:lpstr>
      <vt:lpstr>+70</vt:lpstr>
      <vt:lpstr>-50</vt:lpstr>
      <vt:lpstr>-55</vt:lpstr>
      <vt:lpstr>-60</vt:lpstr>
      <vt:lpstr>-66</vt:lpstr>
      <vt:lpstr>-73</vt:lpstr>
      <vt:lpstr>-81</vt:lpstr>
      <vt:lpstr>-90</vt:lpstr>
      <vt:lpstr>+90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01fejuchile 2025</cp:lastModifiedBy>
  <cp:lastPrinted>2015-03-13T14:15:56Z</cp:lastPrinted>
  <dcterms:created xsi:type="dcterms:W3CDTF">2015-01-14T22:24:54Z</dcterms:created>
  <dcterms:modified xsi:type="dcterms:W3CDTF">2026-09-02T15:30:01Z</dcterms:modified>
</cp:coreProperties>
</file>