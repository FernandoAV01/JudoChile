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3.xml" ContentType="application/vnd.ms-excel.person+xml"/>
  <Override PartName="/xl/persons/person0.xml" ContentType="application/vnd.ms-excel.person+xml"/>
  <Override PartName="/xl/persons/person20.xml" ContentType="application/vnd.ms-excel.person+xml"/>
  <Override PartName="/xl/persons/person25.xml" ContentType="application/vnd.ms-excel.person+xml"/>
  <Override PartName="/xl/persons/person41.xml" ContentType="application/vnd.ms-excel.person+xml"/>
  <Override PartName="/xl/persons/person48.xml" ContentType="application/vnd.ms-excel.person+xml"/>
  <Override PartName="/xl/persons/person19.xml" ContentType="application/vnd.ms-excel.person+xml"/>
  <Override PartName="/xl/persons/person4.xml" ContentType="application/vnd.ms-excel.person+xml"/>
  <Override PartName="/xl/persons/person10.xml" ContentType="application/vnd.ms-excel.person+xml"/>
  <Override PartName="/xl/persons/person17.xml" ContentType="application/vnd.ms-excel.person+xml"/>
  <Override PartName="/xl/persons/person24.xml" ContentType="application/vnd.ms-excel.person+xml"/>
  <Override PartName="/xl/persons/person32.xml" ContentType="application/vnd.ms-excel.person+xml"/>
  <Override PartName="/xl/persons/person36.xml" ContentType="application/vnd.ms-excel.person+xml"/>
  <Override PartName="/xl/persons/person46.xml" ContentType="application/vnd.ms-excel.person+xml"/>
  <Override PartName="/xl/persons/person54.xml" ContentType="application/vnd.ms-excel.person+xml"/>
  <Override PartName="/xl/persons/person59.xml" ContentType="application/vnd.ms-excel.person+xml"/>
  <Override PartName="/xl/persons/person39.xml" ContentType="application/vnd.ms-excel.person+xml"/>
  <Override PartName="/xl/persons/person29.xml" ContentType="application/vnd.ms-excel.person+xml"/>
  <Override PartName="/xl/persons/person22.xml" ContentType="application/vnd.ms-excel.person+xml"/>
  <Override PartName="/xl/persons/person15.xml" ContentType="application/vnd.ms-excel.person+xml"/>
  <Override PartName="/xl/persons/person12.xml" ContentType="application/vnd.ms-excel.person+xml"/>
  <Override PartName="/xl/persons/person9.xml" ContentType="application/vnd.ms-excel.person+xml"/>
  <Override PartName="/xl/persons/person2.xml" ContentType="application/vnd.ms-excel.person+xml"/>
  <Override PartName="/xl/persons/person35.xml" ContentType="application/vnd.ms-excel.person+xml"/>
  <Override PartName="/xl/persons/person43.xml" ContentType="application/vnd.ms-excel.person+xml"/>
  <Override PartName="/xl/persons/person49.xml" ContentType="application/vnd.ms-excel.person+xml"/>
  <Override PartName="/xl/persons/person56.xml" ContentType="application/vnd.ms-excel.person+xml"/>
  <Override PartName="/xl/persons/person28.xml" ContentType="application/vnd.ms-excel.person+xml"/>
  <Override PartName="/xl/persons/person52.xml" ContentType="application/vnd.ms-excel.person+xml"/>
  <Override PartName="/xl/persons/person.xml" ContentType="application/vnd.ms-excel.person+xml"/>
  <Override PartName="/xl/persons/person27.xml" ContentType="application/vnd.ms-excel.person+xml"/>
  <Override PartName="/xl/persons/person5.xml" ContentType="application/vnd.ms-excel.person+xml"/>
  <Override PartName="/xl/persons/person11.xml" ContentType="application/vnd.ms-excel.person+xml"/>
  <Override PartName="/xl/persons/person18.xml" ContentType="application/vnd.ms-excel.person+xml"/>
  <Override PartName="/xl/persons/person38.xml" ContentType="application/vnd.ms-excel.person+xml"/>
  <Override PartName="/xl/persons/person47.xml" ContentType="application/vnd.ms-excel.person+xml"/>
  <Override PartName="/xl/persons/person45.xml" ContentType="application/vnd.ms-excel.person+xml"/>
  <Override PartName="/xl/persons/person42.xml" ContentType="application/vnd.ms-excel.person+xml"/>
  <Override PartName="/xl/persons/person34.xml" ContentType="application/vnd.ms-excel.person+xml"/>
  <Override PartName="/xl/persons/person21.xml" ContentType="application/vnd.ms-excel.person+xml"/>
  <Override PartName="/xl/persons/person50.xml" ContentType="application/vnd.ms-excel.person+xml"/>
  <Override PartName="/xl/persons/person55.xml" ContentType="application/vnd.ms-excel.person+xml"/>
  <Override PartName="/xl/persons/person37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4.xml" ContentType="application/vnd.ms-excel.person+xml"/>
  <Override PartName="/xl/persons/person26.xml" ContentType="application/vnd.ms-excel.person+xml"/>
  <Override PartName="/xl/persons/person44.xml" ContentType="application/vnd.ms-excel.person+xml"/>
  <Override PartName="/xl/persons/person40.xml" ContentType="application/vnd.ms-excel.person+xml"/>
  <Override PartName="/xl/persons/person8.xml" ContentType="application/vnd.ms-excel.person+xml"/>
  <Override PartName="/xl/persons/person23.xml" ContentType="application/vnd.ms-excel.person+xml"/>
  <Override PartName="/xl/persons/person31.xml" ContentType="application/vnd.ms-excel.person+xml"/>
  <Override PartName="/xl/persons/person53.xml" ContentType="application/vnd.ms-excel.person+xml"/>
  <Override PartName="/xl/persons/person58.xml" ContentType="application/vnd.ms-excel.person+xml"/>
  <Override PartName="/xl/persons/person16.xml" ContentType="application/vnd.ms-excel.person+xml"/>
  <Override PartName="/xl/persons/person57.xml" ContentType="application/vnd.ms-excel.person+xml"/>
  <Override PartName="/xl/persons/person13.xml" ContentType="application/vnd.ms-excel.person+xml"/>
  <Override PartName="/xl/persons/person30.xml" ContentType="application/vnd.ms-excel.person+xml"/>
  <Override PartName="/xl/persons/person33.xml" ContentType="application/vnd.ms-excel.person+xml"/>
  <Override PartName="/xl/persons/person51.xml" ContentType="application/vnd.ms-excel.person+xml"/>
  <Override PartName="/xl/persons/person7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juc\Desktop\jo\2026\RANKING\"/>
    </mc:Choice>
  </mc:AlternateContent>
  <xr:revisionPtr revIDLastSave="0" documentId="13_ncr:1_{22BB8F80-8B37-4579-89F4-EB8E7AFAB0F9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-48" sheetId="1" r:id="rId1"/>
    <sheet name="-52" sheetId="16" r:id="rId2"/>
    <sheet name="-57" sheetId="17" r:id="rId3"/>
    <sheet name="-63" sheetId="29" r:id="rId4"/>
    <sheet name="-70" sheetId="19" r:id="rId5"/>
    <sheet name="-78" sheetId="20" r:id="rId6"/>
    <sheet name="+78" sheetId="21" r:id="rId7"/>
    <sheet name="-60" sheetId="22" r:id="rId8"/>
    <sheet name="-66" sheetId="23" r:id="rId9"/>
    <sheet name="-73" sheetId="24" r:id="rId10"/>
    <sheet name="-81" sheetId="25" r:id="rId11"/>
    <sheet name="-90" sheetId="26" r:id="rId12"/>
    <sheet name="-100" sheetId="27" r:id="rId13"/>
    <sheet name="+100" sheetId="28" r:id="rId14"/>
  </sheets>
  <calcPr calcId="191029"/>
</workbook>
</file>

<file path=xl/calcChain.xml><?xml version="1.0" encoding="utf-8"?>
<calcChain xmlns="http://schemas.openxmlformats.org/spreadsheetml/2006/main">
  <c r="CQ26" i="26" l="1"/>
  <c r="CR26" i="26" s="1"/>
  <c r="CV26" i="26" s="1"/>
  <c r="BY26" i="26"/>
  <c r="DQ57" i="24"/>
  <c r="DR57" i="24" s="1"/>
  <c r="DV57" i="24" s="1"/>
  <c r="CO57" i="24"/>
  <c r="DQ43" i="24"/>
  <c r="DR43" i="24"/>
  <c r="DV43" i="24" s="1"/>
  <c r="CO43" i="24"/>
  <c r="CR25" i="19"/>
  <c r="CS25" i="19" s="1"/>
  <c r="CW25" i="19" s="1"/>
  <c r="BV25" i="19"/>
  <c r="DH33" i="25"/>
  <c r="DI33" i="25" s="1"/>
  <c r="DM33" i="25" s="1"/>
  <c r="CL33" i="25"/>
  <c r="DV49" i="23" l="1"/>
  <c r="DW49" i="23"/>
  <c r="DY49" i="23" s="1"/>
  <c r="DV36" i="23"/>
  <c r="DW36" i="23"/>
  <c r="DY36" i="23"/>
  <c r="DV41" i="23"/>
  <c r="DW41" i="23"/>
  <c r="DY41" i="23" s="1"/>
  <c r="CT41" i="23"/>
  <c r="CT36" i="23"/>
  <c r="DB30" i="17"/>
  <c r="DC30" i="17" s="1"/>
  <c r="DF30" i="17" s="1"/>
  <c r="CA30" i="17"/>
  <c r="CR24" i="19"/>
  <c r="CS24" i="19"/>
  <c r="CW24" i="19" s="1"/>
  <c r="BV24" i="19"/>
  <c r="CT49" i="23"/>
  <c r="DV71" i="23"/>
  <c r="DW71" i="23" s="1"/>
  <c r="DY71" i="23" s="1"/>
  <c r="CT71" i="23"/>
  <c r="DV35" i="23"/>
  <c r="DW35" i="23"/>
  <c r="DY35" i="23" s="1"/>
  <c r="DV70" i="23"/>
  <c r="DW70" i="23"/>
  <c r="DY70" i="23" s="1"/>
  <c r="CT35" i="23"/>
  <c r="CT70" i="23"/>
  <c r="DF32" i="29"/>
  <c r="DG32" i="29" s="1"/>
  <c r="DJ32" i="29" s="1"/>
  <c r="CB32" i="29"/>
  <c r="CR23" i="1"/>
  <c r="CS23" i="1"/>
  <c r="CW23" i="1" s="1"/>
  <c r="BZ23" i="1"/>
  <c r="DX49" i="22"/>
  <c r="DY49" i="22" s="1"/>
  <c r="EB49" i="22" s="1"/>
  <c r="DX72" i="22"/>
  <c r="DY72" i="22" s="1"/>
  <c r="EB72" i="22" s="1"/>
  <c r="DA49" i="22"/>
  <c r="DA72" i="22"/>
  <c r="DF14" i="29"/>
  <c r="DG14" i="29" s="1"/>
  <c r="DJ14" i="29" s="1"/>
  <c r="DF16" i="29"/>
  <c r="DG16" i="29" s="1"/>
  <c r="DJ16" i="29" s="1"/>
  <c r="CB14" i="29"/>
  <c r="CB16" i="29"/>
  <c r="DB17" i="17"/>
  <c r="DC17" i="17" s="1"/>
  <c r="DF17" i="17" s="1"/>
  <c r="DB27" i="17"/>
  <c r="DC27" i="17"/>
  <c r="DF27" i="17" s="1"/>
  <c r="DB29" i="17"/>
  <c r="DC29" i="17" s="1"/>
  <c r="DF29" i="17" s="1"/>
  <c r="CA17" i="17"/>
  <c r="CA27" i="17"/>
  <c r="CA29" i="17"/>
  <c r="DQ55" i="24"/>
  <c r="DR55" i="24" s="1"/>
  <c r="DV55" i="24" s="1"/>
  <c r="DQ38" i="24"/>
  <c r="DR38" i="24" s="1"/>
  <c r="DV38" i="24" s="1"/>
  <c r="DQ31" i="24"/>
  <c r="DR31" i="24" s="1"/>
  <c r="DV31" i="24" s="1"/>
  <c r="CO55" i="24"/>
  <c r="CO38" i="24"/>
  <c r="CO31" i="24"/>
  <c r="DV29" i="23"/>
  <c r="DW29" i="23" s="1"/>
  <c r="DY29" i="23" s="1"/>
  <c r="CT29" i="23"/>
  <c r="CB11" i="21"/>
  <c r="CC11" i="28"/>
  <c r="CC11" i="27"/>
  <c r="DX48" i="22"/>
  <c r="DY48" i="22" s="1"/>
  <c r="EB48" i="22" s="1"/>
  <c r="DX52" i="22"/>
  <c r="DY52" i="22" s="1"/>
  <c r="EB52" i="22" s="1"/>
  <c r="DA48" i="22"/>
  <c r="DA52" i="22"/>
  <c r="CA25" i="17"/>
  <c r="DB25" i="17"/>
  <c r="DC25" i="17" s="1"/>
  <c r="DF25" i="17" s="1"/>
  <c r="CR17" i="1"/>
  <c r="CS17" i="1" s="1"/>
  <c r="CW17" i="1" s="1"/>
  <c r="CR22" i="1"/>
  <c r="CS22" i="1" s="1"/>
  <c r="CW22" i="1" s="1"/>
  <c r="BZ17" i="1"/>
  <c r="BZ22" i="1"/>
  <c r="DV38" i="23"/>
  <c r="DW38" i="23" s="1"/>
  <c r="DY38" i="23" s="1"/>
  <c r="DV63" i="23"/>
  <c r="DW63" i="23" s="1"/>
  <c r="DY63" i="23" s="1"/>
  <c r="CT38" i="23"/>
  <c r="CT63" i="23"/>
  <c r="BC13" i="27"/>
  <c r="BY13" i="27"/>
  <c r="BZ13" i="27" s="1"/>
  <c r="CC13" i="27" s="1"/>
  <c r="CL45" i="25"/>
  <c r="DH45" i="25"/>
  <c r="DI45" i="25" s="1"/>
  <c r="DM45" i="25" s="1"/>
  <c r="DV26" i="23"/>
  <c r="DW26" i="23"/>
  <c r="DY26" i="23" s="1"/>
  <c r="DV62" i="23"/>
  <c r="DW62" i="23" s="1"/>
  <c r="DY62" i="23" s="1"/>
  <c r="DV46" i="23"/>
  <c r="DW46" i="23" s="1"/>
  <c r="DY46" i="23" s="1"/>
  <c r="CT26" i="23"/>
  <c r="CT62" i="23"/>
  <c r="CT46" i="23"/>
  <c r="DA29" i="22"/>
  <c r="DX29" i="22"/>
  <c r="DY29" i="22" s="1"/>
  <c r="EB29" i="22" s="1"/>
  <c r="CR22" i="19"/>
  <c r="CS22" i="19" s="1"/>
  <c r="CW22" i="19" s="1"/>
  <c r="BV22" i="19"/>
  <c r="DF23" i="29"/>
  <c r="DG23" i="29" s="1"/>
  <c r="DJ23" i="29" s="1"/>
  <c r="CB23" i="29"/>
  <c r="DF35" i="29"/>
  <c r="DG35" i="29" s="1"/>
  <c r="DJ35" i="29" s="1"/>
  <c r="DF36" i="29"/>
  <c r="DG36" i="29" s="1"/>
  <c r="DJ36" i="29" s="1"/>
  <c r="CB35" i="29"/>
  <c r="CB36" i="29"/>
  <c r="DB14" i="17"/>
  <c r="DC14" i="17" s="1"/>
  <c r="DF14" i="17" s="1"/>
  <c r="CA14" i="17"/>
  <c r="CK15" i="16"/>
  <c r="CL15" i="16" s="1"/>
  <c r="CP15" i="16" s="1"/>
  <c r="BN15" i="16"/>
  <c r="DH18" i="25"/>
  <c r="DI18" i="25" s="1"/>
  <c r="DM18" i="25" s="1"/>
  <c r="DH28" i="25"/>
  <c r="DI28" i="25" s="1"/>
  <c r="DM28" i="25" s="1"/>
  <c r="CL28" i="25"/>
  <c r="CL18" i="25"/>
  <c r="DH30" i="25"/>
  <c r="DI30" i="25" s="1"/>
  <c r="DM30" i="25" s="1"/>
  <c r="CL30" i="25"/>
  <c r="DV43" i="23"/>
  <c r="DW43" i="23" s="1"/>
  <c r="DY43" i="23" s="1"/>
  <c r="CT43" i="23"/>
  <c r="DX36" i="22"/>
  <c r="DY36" i="22" s="1"/>
  <c r="EB36" i="22" s="1"/>
  <c r="DA36" i="22"/>
  <c r="BX17" i="21"/>
  <c r="BY17" i="21" s="1"/>
  <c r="CB17" i="21" s="1"/>
  <c r="BB17" i="21"/>
  <c r="CR18" i="19"/>
  <c r="CS18" i="19" s="1"/>
  <c r="CW18" i="19" s="1"/>
  <c r="BV18" i="19"/>
  <c r="CB20" i="29"/>
  <c r="CB19" i="29"/>
  <c r="CB30" i="29"/>
  <c r="CB31" i="29"/>
  <c r="CB21" i="29"/>
  <c r="DB33" i="17"/>
  <c r="DC33" i="17" s="1"/>
  <c r="DF33" i="17" s="1"/>
  <c r="CA33" i="17"/>
  <c r="CK16" i="16"/>
  <c r="CL16" i="16" s="1"/>
  <c r="CP16" i="16" s="1"/>
  <c r="BN22" i="16"/>
  <c r="BN16" i="16"/>
  <c r="DH29" i="25"/>
  <c r="DI29" i="25" s="1"/>
  <c r="DM29" i="25" s="1"/>
  <c r="CL29" i="25"/>
  <c r="DQ53" i="24"/>
  <c r="DR53" i="24" s="1"/>
  <c r="DV53" i="24" s="1"/>
  <c r="DQ50" i="24"/>
  <c r="DR50" i="24" s="1"/>
  <c r="DV50" i="24" s="1"/>
  <c r="CO53" i="24"/>
  <c r="CO50" i="24"/>
  <c r="DV60" i="23"/>
  <c r="DW60" i="23" s="1"/>
  <c r="DY60" i="23" s="1"/>
  <c r="CT60" i="23"/>
  <c r="DX64" i="22"/>
  <c r="DY64" i="22" s="1"/>
  <c r="EB64" i="22" s="1"/>
  <c r="DX27" i="22"/>
  <c r="DY27" i="22" s="1"/>
  <c r="EB27" i="22" s="1"/>
  <c r="DA64" i="22"/>
  <c r="DA27" i="22"/>
  <c r="CR19" i="1"/>
  <c r="CS19" i="1" s="1"/>
  <c r="CW19" i="1" s="1"/>
  <c r="BZ19" i="1"/>
  <c r="BY18" i="27"/>
  <c r="BZ18" i="27"/>
  <c r="CC18" i="27" s="1"/>
  <c r="BC18" i="27"/>
  <c r="DQ24" i="24"/>
  <c r="DR24" i="24" s="1"/>
  <c r="DV24" i="24" s="1"/>
  <c r="DQ27" i="24"/>
  <c r="DR27" i="24" s="1"/>
  <c r="DV27" i="24" s="1"/>
  <c r="CO27" i="24"/>
  <c r="CO24" i="24"/>
  <c r="DV30" i="23"/>
  <c r="DW30" i="23" s="1"/>
  <c r="DY30" i="23" s="1"/>
  <c r="DV28" i="23"/>
  <c r="DW28" i="23" s="1"/>
  <c r="DY28" i="23" s="1"/>
  <c r="DV44" i="23"/>
  <c r="DW44" i="23" s="1"/>
  <c r="DY44" i="23" s="1"/>
  <c r="CT44" i="23"/>
  <c r="CT28" i="23"/>
  <c r="CT30" i="23"/>
  <c r="DX51" i="22"/>
  <c r="DY51" i="22" s="1"/>
  <c r="EB51" i="22" s="1"/>
  <c r="DA51" i="22"/>
  <c r="CR23" i="19"/>
  <c r="CS23" i="19" s="1"/>
  <c r="CW23" i="19" s="1"/>
  <c r="BV23" i="19"/>
  <c r="DF31" i="29"/>
  <c r="DG31" i="29"/>
  <c r="DJ31" i="29" s="1"/>
  <c r="DM31" i="25"/>
  <c r="DF30" i="29" l="1"/>
  <c r="DG30" i="29" s="1"/>
  <c r="DJ30" i="29" s="1"/>
  <c r="DQ51" i="24"/>
  <c r="DR51" i="24" s="1"/>
  <c r="DV51" i="24" s="1"/>
  <c r="CO51" i="24"/>
  <c r="BY14" i="27"/>
  <c r="BZ14" i="27" s="1"/>
  <c r="CC14" i="27" s="1"/>
  <c r="BC14" i="27"/>
  <c r="DQ37" i="24"/>
  <c r="DR37" i="24" s="1"/>
  <c r="DV37" i="24" s="1"/>
  <c r="CO37" i="24"/>
  <c r="BT18" i="20"/>
  <c r="BU18" i="20" s="1"/>
  <c r="BW18" i="20" s="1"/>
  <c r="BE18" i="20"/>
  <c r="DB15" i="17"/>
  <c r="DC15" i="17" s="1"/>
  <c r="DF15" i="17" s="1"/>
  <c r="CA15" i="17"/>
  <c r="DX41" i="22"/>
  <c r="DY41" i="22" s="1"/>
  <c r="EB41" i="22" s="1"/>
  <c r="DX26" i="22"/>
  <c r="DY26" i="22" s="1"/>
  <c r="EB26" i="22" s="1"/>
  <c r="DX71" i="22"/>
  <c r="DY71" i="22" s="1"/>
  <c r="EB71" i="22" s="1"/>
  <c r="DA41" i="22"/>
  <c r="DA26" i="22"/>
  <c r="DA71" i="22"/>
  <c r="DX24" i="22" l="1"/>
  <c r="DY24" i="22" s="1"/>
  <c r="EB24" i="22" s="1"/>
  <c r="DA24" i="22"/>
  <c r="CR19" i="19"/>
  <c r="CS19" i="19" s="1"/>
  <c r="CW19" i="19" s="1"/>
  <c r="BV19" i="19"/>
  <c r="CK22" i="16"/>
  <c r="CL22" i="16" s="1"/>
  <c r="CP22" i="16" s="1"/>
  <c r="CL31" i="25"/>
  <c r="DV22" i="23"/>
  <c r="DW22" i="23" s="1"/>
  <c r="DY22" i="23" s="1"/>
  <c r="CT22" i="23"/>
  <c r="BT11" i="20"/>
  <c r="BU11" i="20" s="1"/>
  <c r="BW11" i="20" s="1"/>
  <c r="BE11" i="20"/>
  <c r="DV69" i="23"/>
  <c r="DW69" i="23" s="1"/>
  <c r="DY69" i="23" s="1"/>
  <c r="CT69" i="23"/>
  <c r="DF20" i="29"/>
  <c r="DG20" i="29" s="1"/>
  <c r="DJ20" i="29" s="1"/>
  <c r="DF21" i="29"/>
  <c r="DG21" i="29" s="1"/>
  <c r="DJ21" i="29" s="1"/>
  <c r="CR20" i="1"/>
  <c r="CS20" i="1" s="1"/>
  <c r="CW20" i="1" s="1"/>
  <c r="BZ20" i="1"/>
  <c r="DH16" i="25"/>
  <c r="DI16" i="25" s="1"/>
  <c r="DM16" i="25" s="1"/>
  <c r="DH44" i="25"/>
  <c r="DI44" i="25" s="1"/>
  <c r="DM44" i="25" s="1"/>
  <c r="DH47" i="25"/>
  <c r="DI47" i="25" s="1"/>
  <c r="DM47" i="25" s="1"/>
  <c r="CL16" i="25"/>
  <c r="CL44" i="25"/>
  <c r="CL47" i="25"/>
  <c r="DQ19" i="24"/>
  <c r="DR19" i="24" s="1"/>
  <c r="DV19" i="24" s="1"/>
  <c r="DQ25" i="24"/>
  <c r="DR25" i="24" s="1"/>
  <c r="DV25" i="24" s="1"/>
  <c r="DQ49" i="24"/>
  <c r="DR49" i="24" s="1"/>
  <c r="DV49" i="24" s="1"/>
  <c r="CO19" i="24"/>
  <c r="CO25" i="24"/>
  <c r="CO49" i="24"/>
  <c r="DV32" i="23"/>
  <c r="DW32" i="23" s="1"/>
  <c r="DY32" i="23" s="1"/>
  <c r="DV50" i="23"/>
  <c r="DW50" i="23" s="1"/>
  <c r="DY50" i="23" s="1"/>
  <c r="DV68" i="23"/>
  <c r="DW68" i="23" s="1"/>
  <c r="DY68" i="23" s="1"/>
  <c r="DV59" i="23"/>
  <c r="DW59" i="23" s="1"/>
  <c r="DY59" i="23" s="1"/>
  <c r="CT59" i="23"/>
  <c r="CT68" i="23"/>
  <c r="CT32" i="23"/>
  <c r="CT50" i="23"/>
  <c r="DX31" i="22"/>
  <c r="DY31" i="22" s="1"/>
  <c r="EB31" i="22" s="1"/>
  <c r="DA31" i="22"/>
  <c r="CQ25" i="26"/>
  <c r="CR25" i="26" s="1"/>
  <c r="CV25" i="26" s="1"/>
  <c r="BY25" i="26"/>
  <c r="DV23" i="23"/>
  <c r="DW23" i="23" s="1"/>
  <c r="DY23" i="23" s="1"/>
  <c r="CT23" i="23"/>
  <c r="BT16" i="20"/>
  <c r="BU16" i="20" s="1"/>
  <c r="BW16" i="20" s="1"/>
  <c r="BE16" i="20"/>
  <c r="DF19" i="29"/>
  <c r="DG19" i="29" s="1"/>
  <c r="DJ19" i="29" s="1"/>
  <c r="DV45" i="23"/>
  <c r="DW45" i="23" s="1"/>
  <c r="DY45" i="23" s="1"/>
  <c r="DV67" i="23"/>
  <c r="DW67" i="23" s="1"/>
  <c r="DY67" i="23" s="1"/>
  <c r="CT45" i="23"/>
  <c r="CT67" i="23"/>
  <c r="DX42" i="22"/>
  <c r="DY42" i="22" s="1"/>
  <c r="EB42" i="22" s="1"/>
  <c r="DA42" i="22"/>
  <c r="BR12" i="28"/>
  <c r="BS12" i="28" s="1"/>
  <c r="BR13" i="28"/>
  <c r="BS13" i="28" s="1"/>
  <c r="BN17" i="19" l="1"/>
  <c r="BO17" i="19" s="1"/>
  <c r="BV17" i="19" s="1"/>
  <c r="CR13" i="19"/>
  <c r="CS13" i="19" s="1"/>
  <c r="CW13" i="19" s="1"/>
  <c r="CR12" i="19"/>
  <c r="CS12" i="19" s="1"/>
  <c r="CW12" i="19" s="1"/>
  <c r="CR20" i="19"/>
  <c r="CS20" i="19" s="1"/>
  <c r="CW20" i="19" s="1"/>
  <c r="CR26" i="19"/>
  <c r="CS26" i="19" s="1"/>
  <c r="CW26" i="19" s="1"/>
  <c r="CR15" i="19"/>
  <c r="CS15" i="19" s="1"/>
  <c r="CW15" i="19" s="1"/>
  <c r="CR27" i="19"/>
  <c r="CS27" i="19" s="1"/>
  <c r="CW27" i="19" s="1"/>
  <c r="CR17" i="19"/>
  <c r="CS17" i="19" s="1"/>
  <c r="CW17" i="19" s="1"/>
  <c r="DF22" i="29"/>
  <c r="DG22" i="29" s="1"/>
  <c r="DJ22" i="29" s="1"/>
  <c r="DF13" i="29"/>
  <c r="DG13" i="29" s="1"/>
  <c r="DJ13" i="29" s="1"/>
  <c r="DF18" i="29"/>
  <c r="DG18" i="29" s="1"/>
  <c r="DJ18" i="29" s="1"/>
  <c r="DF24" i="29"/>
  <c r="DG24" i="29" s="1"/>
  <c r="DJ24" i="29" s="1"/>
  <c r="DF25" i="29"/>
  <c r="DG25" i="29" s="1"/>
  <c r="DJ25" i="29" s="1"/>
  <c r="DF15" i="29"/>
  <c r="DG15" i="29" s="1"/>
  <c r="DJ15" i="29" s="1"/>
  <c r="DF27" i="29"/>
  <c r="DG27" i="29" s="1"/>
  <c r="DJ27" i="29" s="1"/>
  <c r="DF28" i="29"/>
  <c r="DG28" i="29" s="1"/>
  <c r="DJ28" i="29" s="1"/>
  <c r="DF33" i="29"/>
  <c r="DG33" i="29" s="1"/>
  <c r="DJ33" i="29" s="1"/>
  <c r="DF34" i="29"/>
  <c r="DG34" i="29" s="1"/>
  <c r="DJ34" i="29" s="1"/>
  <c r="DF38" i="29"/>
  <c r="DG38" i="29" s="1"/>
  <c r="DJ38" i="29" s="1"/>
  <c r="DF37" i="29"/>
  <c r="DG37" i="29" s="1"/>
  <c r="DJ37" i="29" s="1"/>
  <c r="DF29" i="29"/>
  <c r="DG29" i="29" s="1"/>
  <c r="DJ29" i="29" s="1"/>
  <c r="BT29" i="29"/>
  <c r="BU29" i="29" s="1"/>
  <c r="CB29" i="29" s="1"/>
  <c r="DB18" i="17"/>
  <c r="DC18" i="17" s="1"/>
  <c r="DF18" i="17" s="1"/>
  <c r="CK14" i="16"/>
  <c r="CL14" i="16" s="1"/>
  <c r="CP14" i="16" s="1"/>
  <c r="CR12" i="1"/>
  <c r="CS12" i="1" s="1"/>
  <c r="CW12" i="1" s="1"/>
  <c r="CQ17" i="26"/>
  <c r="CR17" i="26" s="1"/>
  <c r="CV17" i="26" s="1"/>
  <c r="CQ14" i="26"/>
  <c r="CR14" i="26" s="1"/>
  <c r="CV14" i="26" s="1"/>
  <c r="CD66" i="25"/>
  <c r="CE66" i="25" s="1"/>
  <c r="CL66" i="25" s="1"/>
  <c r="DH27" i="25"/>
  <c r="DI27" i="25" s="1"/>
  <c r="DM27" i="25" s="1"/>
  <c r="DH17" i="25"/>
  <c r="DI17" i="25" s="1"/>
  <c r="DM17" i="25" s="1"/>
  <c r="DH35" i="25"/>
  <c r="DI35" i="25" s="1"/>
  <c r="DM35" i="25" s="1"/>
  <c r="DH37" i="25"/>
  <c r="DI37" i="25" s="1"/>
  <c r="DM37" i="25" s="1"/>
  <c r="DH38" i="25"/>
  <c r="DI38" i="25" s="1"/>
  <c r="DM38" i="25" s="1"/>
  <c r="DH26" i="25"/>
  <c r="DI26" i="25" s="1"/>
  <c r="DM26" i="25" s="1"/>
  <c r="DH39" i="25"/>
  <c r="DI39" i="25" s="1"/>
  <c r="DM39" i="25" s="1"/>
  <c r="DH13" i="25"/>
  <c r="DI13" i="25" s="1"/>
  <c r="DM13" i="25" s="1"/>
  <c r="DH41" i="25"/>
  <c r="DI41" i="25" s="1"/>
  <c r="DM41" i="25" s="1"/>
  <c r="DH43" i="25"/>
  <c r="DI43" i="25" s="1"/>
  <c r="DM43" i="25" s="1"/>
  <c r="DH42" i="25"/>
  <c r="DI42" i="25" s="1"/>
  <c r="DM42" i="25" s="1"/>
  <c r="DH32" i="25"/>
  <c r="DI32" i="25" s="1"/>
  <c r="DM32" i="25" s="1"/>
  <c r="DH48" i="25"/>
  <c r="DI48" i="25" s="1"/>
  <c r="DM48" i="25" s="1"/>
  <c r="DH49" i="25"/>
  <c r="DI49" i="25" s="1"/>
  <c r="DM49" i="25" s="1"/>
  <c r="DH50" i="25"/>
  <c r="DI50" i="25" s="1"/>
  <c r="DM50" i="25" s="1"/>
  <c r="DH51" i="25"/>
  <c r="DI51" i="25" s="1"/>
  <c r="DM51" i="25" s="1"/>
  <c r="DH52" i="25"/>
  <c r="DI52" i="25" s="1"/>
  <c r="DM52" i="25" s="1"/>
  <c r="DH65" i="25"/>
  <c r="DI65" i="25" s="1"/>
  <c r="DM65" i="25" s="1"/>
  <c r="DH66" i="25"/>
  <c r="DI66" i="25" s="1"/>
  <c r="DM66" i="25" s="1"/>
  <c r="DH23" i="25"/>
  <c r="DI23" i="25" s="1"/>
  <c r="DM23" i="25" s="1"/>
  <c r="DQ30" i="24"/>
  <c r="DR30" i="24" s="1"/>
  <c r="DV30" i="24" s="1"/>
  <c r="DQ32" i="24"/>
  <c r="DR32" i="24" s="1"/>
  <c r="DV32" i="24" s="1"/>
  <c r="DQ34" i="24"/>
  <c r="DR34" i="24" s="1"/>
  <c r="DV34" i="24" s="1"/>
  <c r="DQ36" i="24"/>
  <c r="DR36" i="24" s="1"/>
  <c r="DV36" i="24" s="1"/>
  <c r="DQ29" i="24"/>
  <c r="DR29" i="24" s="1"/>
  <c r="DV29" i="24" s="1"/>
  <c r="DQ39" i="24"/>
  <c r="DR39" i="24" s="1"/>
  <c r="DV39" i="24" s="1"/>
  <c r="DQ28" i="24"/>
  <c r="DR28" i="24" s="1"/>
  <c r="DV28" i="24" s="1"/>
  <c r="DQ44" i="24"/>
  <c r="DR44" i="24" s="1"/>
  <c r="DV44" i="24" s="1"/>
  <c r="DQ45" i="24"/>
  <c r="DR45" i="24" s="1"/>
  <c r="DV45" i="24" s="1"/>
  <c r="DQ47" i="24"/>
  <c r="DR47" i="24" s="1"/>
  <c r="DV47" i="24" s="1"/>
  <c r="DQ15" i="24"/>
  <c r="DR15" i="24" s="1"/>
  <c r="DV15" i="24" s="1"/>
  <c r="DQ46" i="24"/>
  <c r="DR46" i="24" s="1"/>
  <c r="DV46" i="24" s="1"/>
  <c r="DQ48" i="24"/>
  <c r="DR48" i="24" s="1"/>
  <c r="DV48" i="24" s="1"/>
  <c r="DQ54" i="24"/>
  <c r="DR54" i="24" s="1"/>
  <c r="DV54" i="24" s="1"/>
  <c r="DQ58" i="24"/>
  <c r="DR58" i="24" s="1"/>
  <c r="DV58" i="24" s="1"/>
  <c r="DQ59" i="24"/>
  <c r="DR59" i="24" s="1"/>
  <c r="DV59" i="24" s="1"/>
  <c r="DQ60" i="24"/>
  <c r="DR60" i="24" s="1"/>
  <c r="DV60" i="24" s="1"/>
  <c r="DQ61" i="24"/>
  <c r="DR61" i="24" s="1"/>
  <c r="DV61" i="24" s="1"/>
  <c r="DQ35" i="24"/>
  <c r="DR35" i="24" s="1"/>
  <c r="DV35" i="24" s="1"/>
  <c r="DQ82" i="24"/>
  <c r="DR82" i="24" s="1"/>
  <c r="DV82" i="24" s="1"/>
  <c r="DQ17" i="24"/>
  <c r="DR17" i="24" s="1"/>
  <c r="DV17" i="24" s="1"/>
  <c r="DV12" i="23"/>
  <c r="DW12" i="23" s="1"/>
  <c r="DY12" i="23" s="1"/>
  <c r="DV25" i="23"/>
  <c r="DW25" i="23" s="1"/>
  <c r="DY25" i="23" s="1"/>
  <c r="DV17" i="23"/>
  <c r="DW17" i="23" s="1"/>
  <c r="DY17" i="23" s="1"/>
  <c r="DV27" i="23"/>
  <c r="DW27" i="23" s="1"/>
  <c r="DY27" i="23" s="1"/>
  <c r="DV37" i="23"/>
  <c r="DW37" i="23" s="1"/>
  <c r="DY37" i="23" s="1"/>
  <c r="DV39" i="23"/>
  <c r="DW39" i="23" s="1"/>
  <c r="DY39" i="23" s="1"/>
  <c r="DV19" i="23"/>
  <c r="DW19" i="23" s="1"/>
  <c r="DY19" i="23" s="1"/>
  <c r="DV14" i="23"/>
  <c r="DW14" i="23" s="1"/>
  <c r="DY14" i="23" s="1"/>
  <c r="DV24" i="23"/>
  <c r="DW24" i="23" s="1"/>
  <c r="DY24" i="23" s="1"/>
  <c r="DV47" i="23"/>
  <c r="DW47" i="23" s="1"/>
  <c r="DY47" i="23" s="1"/>
  <c r="DV33" i="23"/>
  <c r="DW33" i="23" s="1"/>
  <c r="DY33" i="23" s="1"/>
  <c r="DV52" i="23"/>
  <c r="DW52" i="23" s="1"/>
  <c r="DY52" i="23" s="1"/>
  <c r="DV53" i="23"/>
  <c r="DW53" i="23" s="1"/>
  <c r="DY53" i="23" s="1"/>
  <c r="DV54" i="23"/>
  <c r="DW54" i="23" s="1"/>
  <c r="DY54" i="23" s="1"/>
  <c r="DV34" i="23"/>
  <c r="DW34" i="23" s="1"/>
  <c r="DY34" i="23" s="1"/>
  <c r="DV21" i="23"/>
  <c r="DW21" i="23" s="1"/>
  <c r="DY21" i="23" s="1"/>
  <c r="DV56" i="23"/>
  <c r="DW56" i="23" s="1"/>
  <c r="DY56" i="23" s="1"/>
  <c r="DV31" i="23"/>
  <c r="DW31" i="23" s="1"/>
  <c r="DY31" i="23" s="1"/>
  <c r="DV57" i="23"/>
  <c r="DW57" i="23" s="1"/>
  <c r="DY57" i="23" s="1"/>
  <c r="DV58" i="23"/>
  <c r="DW58" i="23" s="1"/>
  <c r="DY58" i="23" s="1"/>
  <c r="DV61" i="23"/>
  <c r="DW61" i="23" s="1"/>
  <c r="DY61" i="23" s="1"/>
  <c r="DV64" i="23"/>
  <c r="DW64" i="23" s="1"/>
  <c r="DY64" i="23" s="1"/>
  <c r="DV65" i="23"/>
  <c r="DW65" i="23" s="1"/>
  <c r="DY65" i="23" s="1"/>
  <c r="DV72" i="23"/>
  <c r="DW72" i="23" s="1"/>
  <c r="DY72" i="23" s="1"/>
  <c r="DV66" i="23"/>
  <c r="DW66" i="23" s="1"/>
  <c r="DY66" i="23" s="1"/>
  <c r="DV89" i="23"/>
  <c r="DW89" i="23" s="1"/>
  <c r="DY89" i="23" s="1"/>
  <c r="DV90" i="23"/>
  <c r="DW90" i="23" s="1"/>
  <c r="DY90" i="23" s="1"/>
  <c r="DV91" i="23"/>
  <c r="DW91" i="23" s="1"/>
  <c r="DY91" i="23" s="1"/>
  <c r="DV92" i="23"/>
  <c r="DW92" i="23" s="1"/>
  <c r="DY92" i="23" s="1"/>
  <c r="CL92" i="23"/>
  <c r="CM92" i="23" s="1"/>
  <c r="CT92" i="23" s="1"/>
  <c r="DX37" i="22"/>
  <c r="DY37" i="22" s="1"/>
  <c r="EB37" i="22" s="1"/>
  <c r="DX17" i="22"/>
  <c r="DY17" i="22" s="1"/>
  <c r="EB17" i="22" s="1"/>
  <c r="DX38" i="22"/>
  <c r="DY38" i="22" s="1"/>
  <c r="EB38" i="22" s="1"/>
  <c r="DX43" i="22"/>
  <c r="DY43" i="22" s="1"/>
  <c r="EB43" i="22" s="1"/>
  <c r="DX46" i="22"/>
  <c r="DY46" i="22" s="1"/>
  <c r="EB46" i="22" s="1"/>
  <c r="DX22" i="22"/>
  <c r="DY22" i="22" s="1"/>
  <c r="EB22" i="22" s="1"/>
  <c r="DX21" i="22"/>
  <c r="DY21" i="22" s="1"/>
  <c r="EB21" i="22" s="1"/>
  <c r="DX53" i="22"/>
  <c r="DY53" i="22" s="1"/>
  <c r="EB53" i="22" s="1"/>
  <c r="DX35" i="22"/>
  <c r="DY35" i="22" s="1"/>
  <c r="EB35" i="22" s="1"/>
  <c r="DX56" i="22"/>
  <c r="DY56" i="22" s="1"/>
  <c r="EB56" i="22" s="1"/>
  <c r="DX32" i="22"/>
  <c r="DY32" i="22" s="1"/>
  <c r="EB32" i="22" s="1"/>
  <c r="DX30" i="22"/>
  <c r="DY30" i="22" s="1"/>
  <c r="EB30" i="22" s="1"/>
  <c r="DX58" i="22"/>
  <c r="DY58" i="22" s="1"/>
  <c r="EB58" i="22" s="1"/>
  <c r="DX59" i="22"/>
  <c r="DY59" i="22" s="1"/>
  <c r="EB59" i="22" s="1"/>
  <c r="DX60" i="22"/>
  <c r="DY60" i="22" s="1"/>
  <c r="EB60" i="22" s="1"/>
  <c r="DX61" i="22"/>
  <c r="DY61" i="22" s="1"/>
  <c r="EB61" i="22" s="1"/>
  <c r="DX62" i="22"/>
  <c r="DY62" i="22" s="1"/>
  <c r="EB62" i="22" s="1"/>
  <c r="DX63" i="22"/>
  <c r="DY63" i="22" s="1"/>
  <c r="EB63" i="22" s="1"/>
  <c r="DX65" i="22"/>
  <c r="DY65" i="22" s="1"/>
  <c r="EB65" i="22" s="1"/>
  <c r="DX50" i="22"/>
  <c r="DY50" i="22" s="1"/>
  <c r="EB50" i="22" s="1"/>
  <c r="DX66" i="22"/>
  <c r="DY66" i="22" s="1"/>
  <c r="EB66" i="22" s="1"/>
  <c r="DX67" i="22"/>
  <c r="DY67" i="22" s="1"/>
  <c r="EB67" i="22" s="1"/>
  <c r="DX68" i="22"/>
  <c r="DY68" i="22" s="1"/>
  <c r="EB68" i="22" s="1"/>
  <c r="DX69" i="22"/>
  <c r="DY69" i="22" s="1"/>
  <c r="EB69" i="22" s="1"/>
  <c r="DX39" i="22"/>
  <c r="DY39" i="22" s="1"/>
  <c r="EB39" i="22" s="1"/>
  <c r="DX70" i="22"/>
  <c r="DY70" i="22" s="1"/>
  <c r="EB70" i="22" s="1"/>
  <c r="DX93" i="22"/>
  <c r="DY93" i="22" s="1"/>
  <c r="EB93" i="22" s="1"/>
  <c r="DX94" i="22"/>
  <c r="DY94" i="22" s="1"/>
  <c r="EB94" i="22" s="1"/>
  <c r="CK17" i="16"/>
  <c r="CL17" i="16" s="1"/>
  <c r="CP17" i="16" s="1"/>
  <c r="BF17" i="16"/>
  <c r="BG17" i="16" s="1"/>
  <c r="BN17" i="16" s="1"/>
  <c r="CL53" i="23"/>
  <c r="CM53" i="23" s="1"/>
  <c r="CT53" i="23" s="1"/>
  <c r="CK28" i="26"/>
  <c r="CL28" i="26" s="1"/>
  <c r="CQ28" i="26" s="1"/>
  <c r="CR28" i="26" s="1"/>
  <c r="CV28" i="26" s="1"/>
  <c r="BQ28" i="26"/>
  <c r="BR28" i="26" s="1"/>
  <c r="BY28" i="26" s="1"/>
  <c r="CD13" i="25"/>
  <c r="CE13" i="25" s="1"/>
  <c r="CL13" i="25" s="1"/>
  <c r="BT38" i="29" l="1"/>
  <c r="BU38" i="29" s="1"/>
  <c r="CB38" i="29" s="1"/>
  <c r="DB13" i="17"/>
  <c r="DC13" i="17" s="1"/>
  <c r="DF13" i="17" s="1"/>
  <c r="CD52" i="25"/>
  <c r="CE52" i="25" s="1"/>
  <c r="CL52" i="25" s="1"/>
  <c r="CL34" i="23"/>
  <c r="CM34" i="23" s="1"/>
  <c r="CT34" i="23" s="1"/>
  <c r="BT22" i="29"/>
  <c r="BU22" i="29" s="1"/>
  <c r="CB22" i="29" s="1"/>
  <c r="CK31" i="26"/>
  <c r="CL31" i="26" s="1"/>
  <c r="CQ31" i="26" s="1"/>
  <c r="CR31" i="26" s="1"/>
  <c r="CV31" i="26" s="1"/>
  <c r="BQ31" i="26"/>
  <c r="BR31" i="26" s="1"/>
  <c r="BY31" i="26" s="1"/>
  <c r="CC35" i="24"/>
  <c r="CH35" i="24" s="1"/>
  <c r="CO35" i="24" s="1"/>
  <c r="BF14" i="16"/>
  <c r="BG14" i="16" s="1"/>
  <c r="BN14" i="16" s="1"/>
  <c r="CK24" i="26"/>
  <c r="CL24" i="26" s="1"/>
  <c r="CQ24" i="26" s="1"/>
  <c r="CR24" i="26" s="1"/>
  <c r="CV24" i="26" s="1"/>
  <c r="CK23" i="26"/>
  <c r="CL23" i="26" s="1"/>
  <c r="CQ23" i="26" s="1"/>
  <c r="CR23" i="26" s="1"/>
  <c r="CV23" i="26" s="1"/>
  <c r="CK30" i="26"/>
  <c r="CL30" i="26" s="1"/>
  <c r="CQ30" i="26" s="1"/>
  <c r="CR30" i="26" s="1"/>
  <c r="CV30" i="26" s="1"/>
  <c r="BQ24" i="26"/>
  <c r="BR24" i="26" s="1"/>
  <c r="BY24" i="26" s="1"/>
  <c r="BQ23" i="26"/>
  <c r="BR23" i="26" s="1"/>
  <c r="BY23" i="26" s="1"/>
  <c r="BQ30" i="26"/>
  <c r="BR30" i="26" s="1"/>
  <c r="BY30" i="26" s="1"/>
  <c r="CD42" i="25"/>
  <c r="CE42" i="25" s="1"/>
  <c r="CL42" i="25" s="1"/>
  <c r="CO70" i="22"/>
  <c r="CT70" i="22" s="1"/>
  <c r="DA70" i="22" s="1"/>
  <c r="CO63" i="22"/>
  <c r="CT63" i="22" s="1"/>
  <c r="DA63" i="22" s="1"/>
  <c r="CL66" i="23"/>
  <c r="CM66" i="23" s="1"/>
  <c r="CT66" i="23" s="1"/>
  <c r="CC29" i="24"/>
  <c r="CH29" i="24" s="1"/>
  <c r="CO29" i="24" s="1"/>
  <c r="CK18" i="16" l="1"/>
  <c r="CL18" i="16" s="1"/>
  <c r="CP18" i="16" s="1"/>
  <c r="DB31" i="17"/>
  <c r="DC31" i="17" s="1"/>
  <c r="DF31" i="17" s="1"/>
  <c r="BS31" i="17"/>
  <c r="BT31" i="17" s="1"/>
  <c r="CA31" i="17" s="1"/>
  <c r="CK18" i="1"/>
  <c r="CL18" i="1" s="1"/>
  <c r="CR18" i="1" s="1"/>
  <c r="CS18" i="1" s="1"/>
  <c r="CW18" i="1" s="1"/>
  <c r="BM18" i="1"/>
  <c r="BS18" i="1" s="1"/>
  <c r="BZ18" i="1" s="1"/>
  <c r="CD38" i="25"/>
  <c r="CE38" i="25" s="1"/>
  <c r="CL38" i="25" s="1"/>
  <c r="DQ26" i="24"/>
  <c r="DR26" i="24" s="1"/>
  <c r="DV26" i="24" s="1"/>
  <c r="CC26" i="24"/>
  <c r="CH26" i="24" s="1"/>
  <c r="CO26" i="24" s="1"/>
  <c r="CL19" i="23"/>
  <c r="CM19" i="23" s="1"/>
  <c r="CT19" i="23" s="1"/>
  <c r="CO32" i="22"/>
  <c r="CT32" i="22" s="1"/>
  <c r="DA32" i="22" s="1"/>
  <c r="CC47" i="24"/>
  <c r="CH47" i="24" s="1"/>
  <c r="CO47" i="24" s="1"/>
  <c r="BT19" i="20"/>
  <c r="BU19" i="20" s="1"/>
  <c r="BW19" i="20" s="1"/>
  <c r="AW19" i="20"/>
  <c r="AX19" i="20" s="1"/>
  <c r="BE19" i="20" s="1"/>
  <c r="CK22" i="26"/>
  <c r="CL22" i="26" s="1"/>
  <c r="CQ22" i="26" s="1"/>
  <c r="CR22" i="26" s="1"/>
  <c r="CV22" i="26" s="1"/>
  <c r="BQ22" i="26"/>
  <c r="BR22" i="26" s="1"/>
  <c r="BY22" i="26" s="1"/>
  <c r="CC61" i="24"/>
  <c r="CH61" i="24" s="1"/>
  <c r="CO61" i="24" s="1"/>
  <c r="DB22" i="17"/>
  <c r="DC22" i="17" s="1"/>
  <c r="DF22" i="17" s="1"/>
  <c r="BS22" i="17"/>
  <c r="BT22" i="17" s="1"/>
  <c r="CA22" i="17" s="1"/>
  <c r="CO61" i="22"/>
  <c r="CT61" i="22" s="1"/>
  <c r="DA61" i="22" s="1"/>
  <c r="CO62" i="22"/>
  <c r="CT62" i="22" s="1"/>
  <c r="DA62" i="22" s="1"/>
  <c r="BQ16" i="27"/>
  <c r="BR16" i="27" s="1"/>
  <c r="BY16" i="27" s="1"/>
  <c r="BZ16" i="27" s="1"/>
  <c r="CC16" i="27" s="1"/>
  <c r="AU16" i="27"/>
  <c r="AV16" i="27" s="1"/>
  <c r="BC16" i="27" s="1"/>
  <c r="CL72" i="23"/>
  <c r="CM72" i="23" s="1"/>
  <c r="CT72" i="23" s="1"/>
  <c r="CK24" i="16" l="1"/>
  <c r="CL24" i="16" s="1"/>
  <c r="CP24" i="16" s="1"/>
  <c r="BF24" i="16"/>
  <c r="BG24" i="16" s="1"/>
  <c r="BN24" i="16" s="1"/>
  <c r="BQ17" i="27"/>
  <c r="BR17" i="27" s="1"/>
  <c r="BY17" i="27" s="1"/>
  <c r="BZ17" i="27" s="1"/>
  <c r="CC17" i="27" s="1"/>
  <c r="AU17" i="27"/>
  <c r="AV17" i="27" s="1"/>
  <c r="BC17" i="27" s="1"/>
  <c r="BT34" i="29"/>
  <c r="BU34" i="29" s="1"/>
  <c r="CB34" i="29" s="1"/>
  <c r="CK15" i="26"/>
  <c r="CL15" i="26" s="1"/>
  <c r="CQ15" i="26" s="1"/>
  <c r="CR15" i="26" s="1"/>
  <c r="CV15" i="26" s="1"/>
  <c r="CK12" i="26"/>
  <c r="CL12" i="26" s="1"/>
  <c r="CQ12" i="26" s="1"/>
  <c r="CR12" i="26" s="1"/>
  <c r="CV12" i="26" s="1"/>
  <c r="BQ15" i="26"/>
  <c r="BR15" i="26" s="1"/>
  <c r="BY15" i="26" s="1"/>
  <c r="BQ12" i="26"/>
  <c r="BR12" i="26" s="1"/>
  <c r="BY12" i="26" s="1"/>
  <c r="CL54" i="23"/>
  <c r="CM54" i="23" s="1"/>
  <c r="CT54" i="23" s="1"/>
  <c r="CO37" i="22"/>
  <c r="CT37" i="22" s="1"/>
  <c r="DA37" i="22" s="1"/>
  <c r="BT33" i="29" l="1"/>
  <c r="BU33" i="29" s="1"/>
  <c r="CB33" i="29" s="1"/>
  <c r="CC28" i="24"/>
  <c r="CH28" i="24" s="1"/>
  <c r="CO28" i="24" s="1"/>
  <c r="CD23" i="25"/>
  <c r="CE23" i="25" s="1"/>
  <c r="CL23" i="25" s="1"/>
  <c r="CC34" i="24"/>
  <c r="CH34" i="24" s="1"/>
  <c r="CO34" i="24" s="1"/>
  <c r="CO50" i="22"/>
  <c r="CT50" i="22" s="1"/>
  <c r="DA50" i="22" s="1"/>
  <c r="CO53" i="22"/>
  <c r="CT53" i="22" s="1"/>
  <c r="DA53" i="22" s="1"/>
  <c r="BP16" i="21"/>
  <c r="BQ16" i="21" s="1"/>
  <c r="BX16" i="21" s="1"/>
  <c r="BY16" i="21" s="1"/>
  <c r="CB16" i="21" s="1"/>
  <c r="AT16" i="21"/>
  <c r="AU16" i="21" s="1"/>
  <c r="BB16" i="21" s="1"/>
  <c r="BT17" i="20"/>
  <c r="BU17" i="20" s="1"/>
  <c r="BW17" i="20" s="1"/>
  <c r="AW17" i="20"/>
  <c r="AX17" i="20" s="1"/>
  <c r="BE17" i="20" s="1"/>
  <c r="BN13" i="19"/>
  <c r="BO13" i="19" s="1"/>
  <c r="BV13" i="19" s="1"/>
  <c r="BN15" i="19"/>
  <c r="BO15" i="19" s="1"/>
  <c r="BV15" i="19" s="1"/>
  <c r="DB23" i="17"/>
  <c r="DC23" i="17" s="1"/>
  <c r="DF23" i="17" s="1"/>
  <c r="BS23" i="17"/>
  <c r="BT23" i="17" s="1"/>
  <c r="CA23" i="17" s="1"/>
  <c r="CK26" i="16"/>
  <c r="CL26" i="16" s="1"/>
  <c r="CP26" i="16" s="1"/>
  <c r="BF26" i="16"/>
  <c r="BG26" i="16" s="1"/>
  <c r="BN26" i="16" s="1"/>
  <c r="BY13" i="28"/>
  <c r="BZ13" i="28" s="1"/>
  <c r="CC13" i="28" s="1"/>
  <c r="AT13" i="28"/>
  <c r="AU13" i="28" s="1"/>
  <c r="BB13" i="28" s="1"/>
  <c r="CK20" i="26"/>
  <c r="CL20" i="26" s="1"/>
  <c r="CQ20" i="26" s="1"/>
  <c r="CR20" i="26" s="1"/>
  <c r="CV20" i="26" s="1"/>
  <c r="CK29" i="26"/>
  <c r="CL29" i="26" s="1"/>
  <c r="CQ29" i="26" s="1"/>
  <c r="CR29" i="26" s="1"/>
  <c r="CV29" i="26" s="1"/>
  <c r="BQ20" i="26"/>
  <c r="BR20" i="26" s="1"/>
  <c r="BY20" i="26" s="1"/>
  <c r="BQ29" i="26"/>
  <c r="BR29" i="26" s="1"/>
  <c r="BY29" i="26" s="1"/>
  <c r="CL14" i="23"/>
  <c r="CM14" i="23" s="1"/>
  <c r="CT14" i="23" s="1"/>
  <c r="CL64" i="23"/>
  <c r="CM64" i="23" s="1"/>
  <c r="CT64" i="23" s="1"/>
  <c r="CL65" i="23"/>
  <c r="CM65" i="23" s="1"/>
  <c r="CT65" i="23" s="1"/>
  <c r="CL21" i="23"/>
  <c r="CM21" i="23" s="1"/>
  <c r="CT21" i="23" s="1"/>
  <c r="CD51" i="25"/>
  <c r="CE51" i="25" s="1"/>
  <c r="CL51" i="25" s="1"/>
  <c r="CO56" i="22"/>
  <c r="CT56" i="22" s="1"/>
  <c r="DA56" i="22" s="1"/>
  <c r="BS18" i="17"/>
  <c r="BT18" i="17" s="1"/>
  <c r="CA18" i="17" s="1"/>
  <c r="CC15" i="24"/>
  <c r="CH15" i="24" s="1"/>
  <c r="CO15" i="24" s="1"/>
  <c r="BT18" i="29"/>
  <c r="BU18" i="29" s="1"/>
  <c r="CB18" i="29" s="1"/>
  <c r="CL61" i="23"/>
  <c r="CM61" i="23" s="1"/>
  <c r="CT61" i="23" s="1"/>
  <c r="BT14" i="20"/>
  <c r="BU14" i="20" s="1"/>
  <c r="BW14" i="20" s="1"/>
  <c r="AW14" i="20"/>
  <c r="AX14" i="20" s="1"/>
  <c r="BE14" i="20" s="1"/>
  <c r="BT28" i="29"/>
  <c r="BU28" i="29" s="1"/>
  <c r="CB28" i="29" s="1"/>
  <c r="DB34" i="17"/>
  <c r="DC34" i="17" s="1"/>
  <c r="DF34" i="17" s="1"/>
  <c r="BS34" i="17"/>
  <c r="BT34" i="17" s="1"/>
  <c r="CA34" i="17" s="1"/>
  <c r="BQ12" i="27"/>
  <c r="BR12" i="27" s="1"/>
  <c r="BY12" i="27" s="1"/>
  <c r="BZ12" i="27" s="1"/>
  <c r="CC12" i="27" s="1"/>
  <c r="AU12" i="27"/>
  <c r="AV12" i="27" s="1"/>
  <c r="BC12" i="27" s="1"/>
  <c r="CK18" i="26"/>
  <c r="CL18" i="26" s="1"/>
  <c r="CQ18" i="26" s="1"/>
  <c r="CR18" i="26" s="1"/>
  <c r="CV18" i="26" s="1"/>
  <c r="BQ18" i="26"/>
  <c r="BR18" i="26" s="1"/>
  <c r="BY18" i="26" s="1"/>
  <c r="CC44" i="24"/>
  <c r="CH44" i="24" s="1"/>
  <c r="CO44" i="24" s="1"/>
  <c r="CC45" i="24"/>
  <c r="CH45" i="24" s="1"/>
  <c r="CO45" i="24" s="1"/>
  <c r="CL39" i="23"/>
  <c r="CM39" i="23" s="1"/>
  <c r="CT39" i="23" s="1"/>
  <c r="CL31" i="23"/>
  <c r="CM31" i="23" s="1"/>
  <c r="CT31" i="23" s="1"/>
  <c r="CO38" i="22"/>
  <c r="CT38" i="22" s="1"/>
  <c r="DA38" i="22" s="1"/>
  <c r="CO46" i="22"/>
  <c r="CT46" i="22" s="1"/>
  <c r="DA46" i="22" s="1"/>
  <c r="BN20" i="19"/>
  <c r="BO20" i="19" s="1"/>
  <c r="BV20" i="19" s="1"/>
  <c r="DB12" i="17"/>
  <c r="DC12" i="17" s="1"/>
  <c r="DF12" i="17" s="1"/>
  <c r="BS12" i="17"/>
  <c r="BT12" i="17" s="1"/>
  <c r="CA12" i="17" s="1"/>
  <c r="BF18" i="16"/>
  <c r="BG18" i="16" s="1"/>
  <c r="BN18" i="16" s="1"/>
  <c r="BY12" i="28"/>
  <c r="BZ12" i="28" s="1"/>
  <c r="CC12" i="28" s="1"/>
  <c r="AT12" i="28"/>
  <c r="AU12" i="28" s="1"/>
  <c r="BB12" i="28" s="1"/>
  <c r="CD37" i="25"/>
  <c r="CE37" i="25" s="1"/>
  <c r="CL37" i="25" s="1"/>
  <c r="CD48" i="25"/>
  <c r="CE48" i="25" s="1"/>
  <c r="CL48" i="25" s="1"/>
  <c r="CD49" i="25"/>
  <c r="CE49" i="25" s="1"/>
  <c r="CL49" i="25" s="1"/>
  <c r="CC58" i="24"/>
  <c r="CH58" i="24" s="1"/>
  <c r="CO58" i="24" s="1"/>
  <c r="DV11" i="23"/>
  <c r="DW11" i="23" s="1"/>
  <c r="DY11" i="23" s="1"/>
  <c r="CL11" i="23"/>
  <c r="CM11" i="23" s="1"/>
  <c r="CT11" i="23" s="1"/>
  <c r="CL24" i="23"/>
  <c r="CM24" i="23" s="1"/>
  <c r="CT24" i="23" s="1"/>
  <c r="CL47" i="23"/>
  <c r="CM47" i="23" s="1"/>
  <c r="CT47" i="23" s="1"/>
  <c r="CL17" i="23"/>
  <c r="CM17" i="23" s="1"/>
  <c r="CT17" i="23" s="1"/>
  <c r="CO59" i="22"/>
  <c r="CT59" i="22" s="1"/>
  <c r="DA59" i="22" s="1"/>
  <c r="BT15" i="20"/>
  <c r="BU15" i="20" s="1"/>
  <c r="BW15" i="20" s="1"/>
  <c r="AW15" i="20"/>
  <c r="AX15" i="20" s="1"/>
  <c r="BE15" i="20" s="1"/>
  <c r="BN12" i="19"/>
  <c r="BO12" i="19" s="1"/>
  <c r="BV12" i="19" s="1"/>
  <c r="BN26" i="19"/>
  <c r="BO26" i="19" s="1"/>
  <c r="BV26" i="19" s="1"/>
  <c r="BT24" i="29"/>
  <c r="BU24" i="29" s="1"/>
  <c r="CB24" i="29" s="1"/>
  <c r="BT37" i="29"/>
  <c r="BU37" i="29" s="1"/>
  <c r="CB37" i="29" s="1"/>
  <c r="BT15" i="29"/>
  <c r="BU15" i="29" s="1"/>
  <c r="CB15" i="29" s="1"/>
  <c r="DB21" i="17"/>
  <c r="DC21" i="17" s="1"/>
  <c r="DF21" i="17" s="1"/>
  <c r="DB24" i="17"/>
  <c r="DC24" i="17" s="1"/>
  <c r="DF24" i="17" s="1"/>
  <c r="BS21" i="17"/>
  <c r="BT21" i="17" s="1"/>
  <c r="CA21" i="17" s="1"/>
  <c r="BS24" i="17"/>
  <c r="BT24" i="17" s="1"/>
  <c r="CA24" i="17" s="1"/>
  <c r="BS13" i="17"/>
  <c r="BT13" i="17" s="1"/>
  <c r="CA13" i="17" s="1"/>
  <c r="CK23" i="16"/>
  <c r="CL23" i="16" s="1"/>
  <c r="CP23" i="16" s="1"/>
  <c r="BF23" i="16"/>
  <c r="BG23" i="16" s="1"/>
  <c r="BN23" i="16" s="1"/>
  <c r="BQ17" i="26"/>
  <c r="BR17" i="26" s="1"/>
  <c r="BY17" i="26" s="1"/>
  <c r="CD14" i="25"/>
  <c r="CE14" i="25" s="1"/>
  <c r="CL14" i="25" s="1"/>
  <c r="CD19" i="25"/>
  <c r="CE19" i="25" s="1"/>
  <c r="CL19" i="25" s="1"/>
  <c r="CD35" i="25"/>
  <c r="CE35" i="25" s="1"/>
  <c r="CL35" i="25" s="1"/>
  <c r="CD27" i="25"/>
  <c r="CE27" i="25" s="1"/>
  <c r="CL27" i="25" s="1"/>
  <c r="CD20" i="25"/>
  <c r="CE20" i="25" s="1"/>
  <c r="CL20" i="25" s="1"/>
  <c r="CD26" i="25"/>
  <c r="CE26" i="25" s="1"/>
  <c r="CL26" i="25" s="1"/>
  <c r="CD50" i="25"/>
  <c r="CE50" i="25" s="1"/>
  <c r="CL50" i="25" s="1"/>
  <c r="CD43" i="25"/>
  <c r="CE43" i="25" s="1"/>
  <c r="CL43" i="25" s="1"/>
  <c r="CD39" i="25"/>
  <c r="CE39" i="25" s="1"/>
  <c r="CL39" i="25" s="1"/>
  <c r="CD17" i="25"/>
  <c r="CE17" i="25" s="1"/>
  <c r="CL17" i="25" s="1"/>
  <c r="CD41" i="25"/>
  <c r="CE41" i="25" s="1"/>
  <c r="CL41" i="25" s="1"/>
  <c r="CD65" i="25"/>
  <c r="CE65" i="25" s="1"/>
  <c r="CL65" i="25" s="1"/>
  <c r="CD32" i="25"/>
  <c r="CE32" i="25" s="1"/>
  <c r="CL32" i="25" s="1"/>
  <c r="CC39" i="24"/>
  <c r="CH39" i="24" s="1"/>
  <c r="CO39" i="24" s="1"/>
  <c r="CC46" i="24"/>
  <c r="CH46" i="24" s="1"/>
  <c r="CO46" i="24" s="1"/>
  <c r="CC54" i="24"/>
  <c r="CH54" i="24" s="1"/>
  <c r="CO54" i="24" s="1"/>
  <c r="CC32" i="24"/>
  <c r="CH32" i="24" s="1"/>
  <c r="CO32" i="24" s="1"/>
  <c r="CL12" i="23"/>
  <c r="CM12" i="23" s="1"/>
  <c r="CT12" i="23" s="1"/>
  <c r="CL25" i="23"/>
  <c r="CM25" i="23" s="1"/>
  <c r="CT25" i="23" s="1"/>
  <c r="CL33" i="23"/>
  <c r="CM33" i="23" s="1"/>
  <c r="CT33" i="23" s="1"/>
  <c r="CO68" i="22"/>
  <c r="CT68" i="22" s="1"/>
  <c r="DA68" i="22" s="1"/>
  <c r="CO69" i="22"/>
  <c r="CT69" i="22" s="1"/>
  <c r="DA69" i="22" s="1"/>
  <c r="CO39" i="22"/>
  <c r="CT39" i="22" s="1"/>
  <c r="DA39" i="22" s="1"/>
  <c r="CO65" i="22"/>
  <c r="CT65" i="22" s="1"/>
  <c r="DA65" i="22" s="1"/>
  <c r="CO17" i="22"/>
  <c r="CT17" i="22" s="1"/>
  <c r="DA17" i="22" s="1"/>
  <c r="CO21" i="22"/>
  <c r="CT21" i="22" s="1"/>
  <c r="DA21" i="22" s="1"/>
  <c r="CL56" i="23"/>
  <c r="CM56" i="23" s="1"/>
  <c r="CT56" i="23" s="1"/>
  <c r="DH20" i="25"/>
  <c r="DI20" i="25" s="1"/>
  <c r="DM20" i="25" s="1"/>
  <c r="DH14" i="25"/>
  <c r="DI14" i="25" s="1"/>
  <c r="DM14" i="25" s="1"/>
  <c r="CC17" i="24"/>
  <c r="CH17" i="24" s="1"/>
  <c r="CO17" i="24" s="1"/>
  <c r="CC60" i="24"/>
  <c r="CH60" i="24" s="1"/>
  <c r="CO60" i="24" s="1"/>
  <c r="CO67" i="22"/>
  <c r="CT67" i="22" s="1"/>
  <c r="DA67" i="22" s="1"/>
  <c r="CO66" i="22"/>
  <c r="CT66" i="22" s="1"/>
  <c r="DA66" i="22" s="1"/>
  <c r="CO93" i="22"/>
  <c r="CT93" i="22" s="1"/>
  <c r="DA93" i="22" s="1"/>
  <c r="CO94" i="22"/>
  <c r="CT94" i="22" s="1"/>
  <c r="DA94" i="22" s="1"/>
  <c r="CO35" i="22"/>
  <c r="CT35" i="22" s="1"/>
  <c r="DA35" i="22" s="1"/>
  <c r="CO58" i="22"/>
  <c r="CT58" i="22" s="1"/>
  <c r="DA58" i="22" s="1"/>
  <c r="DB32" i="17"/>
  <c r="DC32" i="17" s="1"/>
  <c r="DF32" i="17" s="1"/>
  <c r="BS32" i="17"/>
  <c r="BT32" i="17" s="1"/>
  <c r="CA32" i="17" s="1"/>
  <c r="BQ15" i="27"/>
  <c r="BR15" i="27" s="1"/>
  <c r="BY15" i="27" s="1"/>
  <c r="BZ15" i="27" s="1"/>
  <c r="CC15" i="27" s="1"/>
  <c r="AU15" i="27"/>
  <c r="AV15" i="27" s="1"/>
  <c r="BC15" i="27" s="1"/>
  <c r="CO43" i="22" l="1"/>
  <c r="CT43" i="22" s="1"/>
  <c r="DA43" i="22" s="1"/>
  <c r="CC48" i="24"/>
  <c r="CH48" i="24" s="1"/>
  <c r="CO48" i="24" s="1"/>
  <c r="CC59" i="24"/>
  <c r="CH59" i="24" s="1"/>
  <c r="CO59" i="24" s="1"/>
  <c r="BT25" i="29" l="1"/>
  <c r="BU25" i="29" s="1"/>
  <c r="CB25" i="29" s="1"/>
  <c r="DQ20" i="24"/>
  <c r="DR20" i="24" s="1"/>
  <c r="DV20" i="24" s="1"/>
  <c r="CC30" i="24"/>
  <c r="CH30" i="24" s="1"/>
  <c r="CO30" i="24" s="1"/>
  <c r="CC20" i="24"/>
  <c r="CH20" i="24" s="1"/>
  <c r="CO20" i="24" s="1"/>
  <c r="CO60" i="22"/>
  <c r="CT60" i="22" s="1"/>
  <c r="DA60" i="22" s="1"/>
  <c r="BT27" i="29"/>
  <c r="BU27" i="29" s="1"/>
  <c r="CB27" i="29" s="1"/>
  <c r="DB28" i="17"/>
  <c r="DC28" i="17" s="1"/>
  <c r="DF28" i="17" s="1"/>
  <c r="BS28" i="17"/>
  <c r="BT28" i="17" s="1"/>
  <c r="CA28" i="17" s="1"/>
  <c r="CL52" i="23"/>
  <c r="CM52" i="23" s="1"/>
  <c r="CT52" i="23" s="1"/>
  <c r="CL37" i="23"/>
  <c r="CM37" i="23" s="1"/>
  <c r="CT37" i="23" s="1"/>
  <c r="DB16" i="17"/>
  <c r="DC16" i="17" s="1"/>
  <c r="DF16" i="17" s="1"/>
  <c r="BS16" i="17"/>
  <c r="BT16" i="17" s="1"/>
  <c r="CA16" i="17" s="1"/>
  <c r="CL57" i="23"/>
  <c r="CM57" i="23" s="1"/>
  <c r="CT57" i="23" s="1"/>
  <c r="CL58" i="23"/>
  <c r="CM58" i="23" s="1"/>
  <c r="CT58" i="23" s="1"/>
  <c r="BQ14" i="26" l="1"/>
  <c r="BR14" i="26" s="1"/>
  <c r="BY14" i="26" s="1"/>
  <c r="DH19" i="25"/>
  <c r="DI19" i="25" s="1"/>
  <c r="DM19" i="25" s="1"/>
  <c r="CC82" i="24"/>
  <c r="CH82" i="24" s="1"/>
  <c r="CO82" i="24" s="1"/>
  <c r="CC36" i="24"/>
  <c r="CH36" i="24" s="1"/>
  <c r="CO36" i="24" s="1"/>
  <c r="CL89" i="23"/>
  <c r="CM89" i="23" s="1"/>
  <c r="CT89" i="23" s="1"/>
  <c r="CL90" i="23"/>
  <c r="CM90" i="23" s="1"/>
  <c r="CT90" i="23" s="1"/>
  <c r="CL27" i="23"/>
  <c r="CM27" i="23" s="1"/>
  <c r="CT27" i="23" s="1"/>
  <c r="CL91" i="23"/>
  <c r="CM91" i="23" s="1"/>
  <c r="CT91" i="23" s="1"/>
  <c r="CO22" i="22"/>
  <c r="CT22" i="22" s="1"/>
  <c r="DA22" i="22" s="1"/>
  <c r="CO30" i="22"/>
  <c r="CT30" i="22" s="1"/>
  <c r="DA30" i="22" s="1"/>
  <c r="BX13" i="21"/>
  <c r="BY13" i="21" s="1"/>
  <c r="CB13" i="21" s="1"/>
  <c r="AT13" i="21"/>
  <c r="AU13" i="21" s="1"/>
  <c r="BB13" i="21" s="1"/>
  <c r="BN27" i="19"/>
  <c r="BO27" i="19" s="1"/>
  <c r="BV27" i="19" s="1"/>
  <c r="BT13" i="29"/>
  <c r="BU13" i="29" s="1"/>
  <c r="CB13" i="29" s="1"/>
  <c r="CK12" i="16"/>
  <c r="CL12" i="16" s="1"/>
  <c r="CP12" i="16" s="1"/>
  <c r="CK21" i="16"/>
  <c r="CL21" i="16" s="1"/>
  <c r="CP21" i="16" s="1"/>
  <c r="BF12" i="16"/>
  <c r="BG12" i="16" s="1"/>
  <c r="BN12" i="16" s="1"/>
  <c r="BF21" i="16"/>
  <c r="BG21" i="16" s="1"/>
  <c r="BN21" i="16" s="1"/>
  <c r="BM12" i="1"/>
  <c r="BS12" i="1" s="1"/>
  <c r="BZ12" i="1" s="1"/>
  <c r="BM21" i="1"/>
  <c r="BS21" i="1" s="1"/>
  <c r="BZ21" i="1" s="1"/>
  <c r="CR21" i="1"/>
  <c r="CS21" i="1" s="1"/>
  <c r="CW21" i="1" s="1"/>
  <c r="CP35" i="22" l="1"/>
  <c r="CQ35" i="22" s="1"/>
  <c r="AO13" i="20"/>
  <c r="AP13" i="20" s="1"/>
  <c r="AW13" i="20" s="1"/>
  <c r="AX13" i="20" s="1"/>
  <c r="BE13" i="20" s="1"/>
  <c r="AL12" i="21"/>
  <c r="AM12" i="21" s="1"/>
  <c r="AT12" i="21" s="1"/>
  <c r="AU12" i="21" s="1"/>
  <c r="BB12" i="21" s="1"/>
  <c r="BF21" i="19"/>
  <c r="BG21" i="19" s="1"/>
  <c r="BN21" i="19" s="1"/>
  <c r="BO21" i="19" s="1"/>
  <c r="BV21" i="19" s="1"/>
  <c r="BL11" i="29"/>
  <c r="BM11" i="29" s="1"/>
  <c r="BT11" i="29" s="1"/>
  <c r="BU11" i="29" s="1"/>
  <c r="CB11" i="29" s="1"/>
  <c r="BL12" i="29"/>
  <c r="BM12" i="29" s="1"/>
  <c r="BT12" i="29" s="1"/>
  <c r="BU12" i="29" s="1"/>
  <c r="CB12" i="29" s="1"/>
  <c r="BK20" i="17"/>
  <c r="BL20" i="17" s="1"/>
  <c r="BS20" i="17" s="1"/>
  <c r="BT20" i="17" s="1"/>
  <c r="CA20" i="17" s="1"/>
  <c r="BK26" i="17"/>
  <c r="BL26" i="17" s="1"/>
  <c r="BS26" i="17" s="1"/>
  <c r="BT26" i="17" s="1"/>
  <c r="CA26" i="17" s="1"/>
  <c r="AX19" i="16"/>
  <c r="AY19" i="16" s="1"/>
  <c r="BF19" i="16" s="1"/>
  <c r="BG19" i="16" s="1"/>
  <c r="BN19" i="16" s="1"/>
  <c r="BE15" i="1"/>
  <c r="BF15" i="1" s="1"/>
  <c r="BM15" i="1" s="1"/>
  <c r="BS15" i="1" s="1"/>
  <c r="BZ15" i="1" s="1"/>
  <c r="BE13" i="1"/>
  <c r="BF13" i="1" s="1"/>
  <c r="BM13" i="1" s="1"/>
  <c r="BS13" i="1" s="1"/>
  <c r="BZ13" i="1" s="1"/>
  <c r="BE11" i="1"/>
  <c r="BF11" i="1" s="1"/>
  <c r="BM11" i="1" s="1"/>
  <c r="BS11" i="1" s="1"/>
  <c r="BZ11" i="1" s="1"/>
  <c r="BI16" i="26"/>
  <c r="BJ16" i="26" s="1"/>
  <c r="BQ16" i="26" s="1"/>
  <c r="BR16" i="26" s="1"/>
  <c r="BY16" i="26" s="1"/>
  <c r="BI13" i="26"/>
  <c r="BJ13" i="26" s="1"/>
  <c r="BQ13" i="26" s="1"/>
  <c r="BR13" i="26" s="1"/>
  <c r="BY13" i="26" s="1"/>
  <c r="BI19" i="26"/>
  <c r="BJ19" i="26" s="1"/>
  <c r="BQ19" i="26" s="1"/>
  <c r="BR19" i="26" s="1"/>
  <c r="BY19" i="26" s="1"/>
  <c r="BV12" i="25"/>
  <c r="BW12" i="25" s="1"/>
  <c r="CD12" i="25" s="1"/>
  <c r="CE12" i="25" s="1"/>
  <c r="CL12" i="25" s="1"/>
  <c r="BV54" i="25"/>
  <c r="BW54" i="25" s="1"/>
  <c r="CD54" i="25" s="1"/>
  <c r="CE54" i="25" s="1"/>
  <c r="CL54" i="25" s="1"/>
  <c r="BV46" i="25"/>
  <c r="BW46" i="25" s="1"/>
  <c r="CD46" i="25" s="1"/>
  <c r="CE46" i="25" s="1"/>
  <c r="CL46" i="25" s="1"/>
  <c r="BV40" i="25"/>
  <c r="BW40" i="25" s="1"/>
  <c r="CD40" i="25" s="1"/>
  <c r="CE40" i="25" s="1"/>
  <c r="CL40" i="25" s="1"/>
  <c r="BV56" i="25"/>
  <c r="BW56" i="25" s="1"/>
  <c r="CD56" i="25" s="1"/>
  <c r="CE56" i="25" s="1"/>
  <c r="CL56" i="25" s="1"/>
  <c r="BV57" i="25"/>
  <c r="BW57" i="25" s="1"/>
  <c r="CD57" i="25" s="1"/>
  <c r="CE57" i="25" s="1"/>
  <c r="CL57" i="25" s="1"/>
  <c r="BV25" i="25"/>
  <c r="BW25" i="25" s="1"/>
  <c r="CD25" i="25" s="1"/>
  <c r="CE25" i="25" s="1"/>
  <c r="CL25" i="25" s="1"/>
  <c r="BV24" i="25"/>
  <c r="BW24" i="25" s="1"/>
  <c r="CD24" i="25" s="1"/>
  <c r="CE24" i="25" s="1"/>
  <c r="CL24" i="25" s="1"/>
  <c r="BV58" i="25"/>
  <c r="BW58" i="25" s="1"/>
  <c r="CD58" i="25" s="1"/>
  <c r="CE58" i="25" s="1"/>
  <c r="CL58" i="25" s="1"/>
  <c r="BV59" i="25"/>
  <c r="BW59" i="25" s="1"/>
  <c r="CD59" i="25" s="1"/>
  <c r="CE59" i="25" s="1"/>
  <c r="CL59" i="25" s="1"/>
  <c r="BV36" i="25"/>
  <c r="BW36" i="25" s="1"/>
  <c r="CD36" i="25" s="1"/>
  <c r="CE36" i="25" s="1"/>
  <c r="CL36" i="25" s="1"/>
  <c r="BV21" i="25"/>
  <c r="BW21" i="25" s="1"/>
  <c r="CD21" i="25" s="1"/>
  <c r="CE21" i="25" s="1"/>
  <c r="CL21" i="25" s="1"/>
  <c r="BV61" i="25"/>
  <c r="BW61" i="25" s="1"/>
  <c r="CD61" i="25" s="1"/>
  <c r="CE61" i="25" s="1"/>
  <c r="CL61" i="25" s="1"/>
  <c r="BV62" i="25"/>
  <c r="BW62" i="25" s="1"/>
  <c r="CD62" i="25" s="1"/>
  <c r="CE62" i="25" s="1"/>
  <c r="CL62" i="25" s="1"/>
  <c r="BV63" i="25"/>
  <c r="BW63" i="25" s="1"/>
  <c r="CD63" i="25" s="1"/>
  <c r="CE63" i="25" s="1"/>
  <c r="CL63" i="25" s="1"/>
  <c r="BV64" i="25"/>
  <c r="BW64" i="25" s="1"/>
  <c r="CD64" i="25" s="1"/>
  <c r="CE64" i="25" s="1"/>
  <c r="CL64" i="25" s="1"/>
  <c r="BU40" i="24"/>
  <c r="BV40" i="24" s="1"/>
  <c r="CC40" i="24" s="1"/>
  <c r="CH40" i="24" s="1"/>
  <c r="CO40" i="24" s="1"/>
  <c r="BU21" i="24"/>
  <c r="BV21" i="24" s="1"/>
  <c r="CC21" i="24" s="1"/>
  <c r="CH21" i="24" s="1"/>
  <c r="CO21" i="24" s="1"/>
  <c r="BU42" i="24"/>
  <c r="BV42" i="24" s="1"/>
  <c r="CC42" i="24" s="1"/>
  <c r="CH42" i="24" s="1"/>
  <c r="CO42" i="24" s="1"/>
  <c r="BU11" i="24"/>
  <c r="BV11" i="24" s="1"/>
  <c r="CC11" i="24" s="1"/>
  <c r="CH11" i="24" s="1"/>
  <c r="CO11" i="24" s="1"/>
  <c r="BU56" i="24"/>
  <c r="BV56" i="24" s="1"/>
  <c r="CC56" i="24" s="1"/>
  <c r="CH56" i="24" s="1"/>
  <c r="CO56" i="24" s="1"/>
  <c r="BU67" i="24"/>
  <c r="BV67" i="24" s="1"/>
  <c r="CC67" i="24" s="1"/>
  <c r="CH67" i="24" s="1"/>
  <c r="CO67" i="24" s="1"/>
  <c r="BU69" i="24"/>
  <c r="BV69" i="24" s="1"/>
  <c r="CC69" i="24" s="1"/>
  <c r="CH69" i="24" s="1"/>
  <c r="CO69" i="24" s="1"/>
  <c r="BU70" i="24"/>
  <c r="BV70" i="24" s="1"/>
  <c r="CC70" i="24" s="1"/>
  <c r="CH70" i="24" s="1"/>
  <c r="CO70" i="24" s="1"/>
  <c r="BU33" i="24"/>
  <c r="BV33" i="24" s="1"/>
  <c r="CC33" i="24" s="1"/>
  <c r="CH33" i="24" s="1"/>
  <c r="CO33" i="24" s="1"/>
  <c r="BU52" i="24"/>
  <c r="BV52" i="24" s="1"/>
  <c r="CC52" i="24" s="1"/>
  <c r="CH52" i="24" s="1"/>
  <c r="CO52" i="24" s="1"/>
  <c r="BU71" i="24"/>
  <c r="BV71" i="24" s="1"/>
  <c r="CC71" i="24" s="1"/>
  <c r="CH71" i="24" s="1"/>
  <c r="CO71" i="24" s="1"/>
  <c r="BU13" i="24"/>
  <c r="BV13" i="24" s="1"/>
  <c r="CC13" i="24" s="1"/>
  <c r="CH13" i="24" s="1"/>
  <c r="CO13" i="24" s="1"/>
  <c r="BU72" i="24"/>
  <c r="BV72" i="24" s="1"/>
  <c r="CC72" i="24" s="1"/>
  <c r="CH72" i="24" s="1"/>
  <c r="CO72" i="24" s="1"/>
  <c r="BU73" i="24"/>
  <c r="BV73" i="24" s="1"/>
  <c r="CC73" i="24" s="1"/>
  <c r="CH73" i="24" s="1"/>
  <c r="CO73" i="24" s="1"/>
  <c r="BU74" i="24"/>
  <c r="BV74" i="24" s="1"/>
  <c r="CC74" i="24" s="1"/>
  <c r="CH74" i="24" s="1"/>
  <c r="CO74" i="24" s="1"/>
  <c r="BU75" i="24"/>
  <c r="BV75" i="24" s="1"/>
  <c r="CC75" i="24" s="1"/>
  <c r="CH75" i="24" s="1"/>
  <c r="CO75" i="24" s="1"/>
  <c r="BU76" i="24"/>
  <c r="BV76" i="24" s="1"/>
  <c r="CC76" i="24" s="1"/>
  <c r="CH76" i="24" s="1"/>
  <c r="CO76" i="24" s="1"/>
  <c r="BU77" i="24"/>
  <c r="BV77" i="24" s="1"/>
  <c r="CC77" i="24" s="1"/>
  <c r="CH77" i="24" s="1"/>
  <c r="CO77" i="24" s="1"/>
  <c r="BU22" i="24"/>
  <c r="BV22" i="24" s="1"/>
  <c r="CC22" i="24" s="1"/>
  <c r="CH22" i="24" s="1"/>
  <c r="CO22" i="24" s="1"/>
  <c r="BU78" i="24"/>
  <c r="BV78" i="24" s="1"/>
  <c r="CC78" i="24" s="1"/>
  <c r="CH78" i="24" s="1"/>
  <c r="CO78" i="24" s="1"/>
  <c r="BU79" i="24"/>
  <c r="BV79" i="24" s="1"/>
  <c r="CC79" i="24" s="1"/>
  <c r="CH79" i="24" s="1"/>
  <c r="CO79" i="24" s="1"/>
  <c r="BU80" i="24"/>
  <c r="BV80" i="24" s="1"/>
  <c r="CC80" i="24" s="1"/>
  <c r="CH80" i="24" s="1"/>
  <c r="CO80" i="24" s="1"/>
  <c r="BU14" i="24"/>
  <c r="BV14" i="24" s="1"/>
  <c r="CC14" i="24" s="1"/>
  <c r="CH14" i="24" s="1"/>
  <c r="CO14" i="24" s="1"/>
  <c r="BU12" i="24"/>
  <c r="BV12" i="24" s="1"/>
  <c r="CC12" i="24" s="1"/>
  <c r="CH12" i="24" s="1"/>
  <c r="CO12" i="24" s="1"/>
  <c r="BU81" i="24"/>
  <c r="BV81" i="24" s="1"/>
  <c r="CC81" i="24" s="1"/>
  <c r="CH81" i="24" s="1"/>
  <c r="CO81" i="24" s="1"/>
  <c r="CD15" i="23"/>
  <c r="CE15" i="23" s="1"/>
  <c r="CL15" i="23" s="1"/>
  <c r="CM15" i="23" s="1"/>
  <c r="CT15" i="23" s="1"/>
  <c r="CD13" i="23"/>
  <c r="CE13" i="23" s="1"/>
  <c r="CL13" i="23" s="1"/>
  <c r="CM13" i="23" s="1"/>
  <c r="CT13" i="23" s="1"/>
  <c r="CD48" i="23"/>
  <c r="CE48" i="23" s="1"/>
  <c r="CL48" i="23" s="1"/>
  <c r="CM48" i="23" s="1"/>
  <c r="CT48" i="23" s="1"/>
  <c r="CD74" i="23"/>
  <c r="CE74" i="23" s="1"/>
  <c r="CL74" i="23" s="1"/>
  <c r="CM74" i="23" s="1"/>
  <c r="CT74" i="23" s="1"/>
  <c r="CD51" i="23"/>
  <c r="CE51" i="23" s="1"/>
  <c r="CL51" i="23" s="1"/>
  <c r="CM51" i="23" s="1"/>
  <c r="CT51" i="23" s="1"/>
  <c r="CD76" i="23"/>
  <c r="CE76" i="23" s="1"/>
  <c r="CL76" i="23" s="1"/>
  <c r="CM76" i="23" s="1"/>
  <c r="CT76" i="23" s="1"/>
  <c r="CD77" i="23"/>
  <c r="CE77" i="23" s="1"/>
  <c r="CL77" i="23" s="1"/>
  <c r="CM77" i="23" s="1"/>
  <c r="CT77" i="23" s="1"/>
  <c r="CD78" i="23"/>
  <c r="CE78" i="23" s="1"/>
  <c r="CL78" i="23" s="1"/>
  <c r="CM78" i="23" s="1"/>
  <c r="CT78" i="23" s="1"/>
  <c r="CD42" i="23"/>
  <c r="CE42" i="23" s="1"/>
  <c r="CL42" i="23" s="1"/>
  <c r="CM42" i="23" s="1"/>
  <c r="CT42" i="23" s="1"/>
  <c r="CD16" i="23"/>
  <c r="CE16" i="23" s="1"/>
  <c r="CL16" i="23" s="1"/>
  <c r="CM16" i="23" s="1"/>
  <c r="CT16" i="23" s="1"/>
  <c r="CD79" i="23"/>
  <c r="CE79" i="23" s="1"/>
  <c r="CL79" i="23" s="1"/>
  <c r="CM79" i="23" s="1"/>
  <c r="CT79" i="23" s="1"/>
  <c r="CD80" i="23"/>
  <c r="CE80" i="23" s="1"/>
  <c r="CL80" i="23" s="1"/>
  <c r="CM80" i="23" s="1"/>
  <c r="CT80" i="23" s="1"/>
  <c r="CD81" i="23"/>
  <c r="CE81" i="23" s="1"/>
  <c r="CL81" i="23" s="1"/>
  <c r="CM81" i="23" s="1"/>
  <c r="CT81" i="23" s="1"/>
  <c r="CD83" i="23"/>
  <c r="CE83" i="23" s="1"/>
  <c r="CL83" i="23" s="1"/>
  <c r="CM83" i="23" s="1"/>
  <c r="CT83" i="23" s="1"/>
  <c r="CD40" i="23"/>
  <c r="CE40" i="23" s="1"/>
  <c r="CL40" i="23" s="1"/>
  <c r="CM40" i="23" s="1"/>
  <c r="CT40" i="23" s="1"/>
  <c r="CD85" i="23"/>
  <c r="CE85" i="23" s="1"/>
  <c r="CL85" i="23" s="1"/>
  <c r="CM85" i="23" s="1"/>
  <c r="CT85" i="23" s="1"/>
  <c r="CD86" i="23"/>
  <c r="CE86" i="23" s="1"/>
  <c r="CL86" i="23" s="1"/>
  <c r="CM86" i="23" s="1"/>
  <c r="CT86" i="23" s="1"/>
  <c r="CD87" i="23"/>
  <c r="CE87" i="23" s="1"/>
  <c r="CL87" i="23" s="1"/>
  <c r="CM87" i="23" s="1"/>
  <c r="CT87" i="23" s="1"/>
  <c r="CD55" i="23"/>
  <c r="CE55" i="23" s="1"/>
  <c r="CL55" i="23" s="1"/>
  <c r="CM55" i="23" s="1"/>
  <c r="CT55" i="23" s="1"/>
  <c r="CD18" i="23"/>
  <c r="CE18" i="23" s="1"/>
  <c r="CL18" i="23" s="1"/>
  <c r="CM18" i="23" s="1"/>
  <c r="CT18" i="23" s="1"/>
  <c r="CD88" i="23"/>
  <c r="CE88" i="23" s="1"/>
  <c r="CL88" i="23" s="1"/>
  <c r="CM88" i="23" s="1"/>
  <c r="CT88" i="23" s="1"/>
  <c r="CG74" i="22"/>
  <c r="CH74" i="22" s="1"/>
  <c r="CO74" i="22" s="1"/>
  <c r="CT74" i="22" s="1"/>
  <c r="DA74" i="22" s="1"/>
  <c r="CG12" i="22"/>
  <c r="CH12" i="22" s="1"/>
  <c r="CO12" i="22" s="1"/>
  <c r="CT12" i="22" s="1"/>
  <c r="DA12" i="22" s="1"/>
  <c r="CG55" i="22"/>
  <c r="CH55" i="22" s="1"/>
  <c r="CO55" i="22" s="1"/>
  <c r="CT55" i="22" s="1"/>
  <c r="DA55" i="22" s="1"/>
  <c r="CG28" i="22"/>
  <c r="CH28" i="22" s="1"/>
  <c r="CO28" i="22" s="1"/>
  <c r="CT28" i="22" s="1"/>
  <c r="DA28" i="22" s="1"/>
  <c r="CG45" i="22"/>
  <c r="CH45" i="22" s="1"/>
  <c r="CO45" i="22" s="1"/>
  <c r="CT45" i="22" s="1"/>
  <c r="DA45" i="22" s="1"/>
  <c r="CG19" i="22"/>
  <c r="CH19" i="22" s="1"/>
  <c r="CO19" i="22" s="1"/>
  <c r="CT19" i="22" s="1"/>
  <c r="DA19" i="22" s="1"/>
  <c r="CG11" i="22"/>
  <c r="CH11" i="22" s="1"/>
  <c r="CO11" i="22" s="1"/>
  <c r="CT11" i="22" s="1"/>
  <c r="DA11" i="22" s="1"/>
  <c r="CG54" i="22"/>
  <c r="CH54" i="22" s="1"/>
  <c r="CO54" i="22" s="1"/>
  <c r="CT54" i="22" s="1"/>
  <c r="DA54" i="22" s="1"/>
  <c r="CG73" i="22"/>
  <c r="CH73" i="22" s="1"/>
  <c r="CO73" i="22" s="1"/>
  <c r="CT73" i="22" s="1"/>
  <c r="DA73" i="22" s="1"/>
  <c r="CG82" i="22"/>
  <c r="CH82" i="22" s="1"/>
  <c r="CO82" i="22" s="1"/>
  <c r="CT82" i="22" s="1"/>
  <c r="DA82" i="22" s="1"/>
  <c r="CG83" i="22"/>
  <c r="CH83" i="22" s="1"/>
  <c r="CO83" i="22" s="1"/>
  <c r="CT83" i="22" s="1"/>
  <c r="DA83" i="22" s="1"/>
  <c r="CG84" i="22"/>
  <c r="CH84" i="22" s="1"/>
  <c r="CO84" i="22" s="1"/>
  <c r="CT84" i="22" s="1"/>
  <c r="DA84" i="22" s="1"/>
  <c r="CG40" i="22"/>
  <c r="CH40" i="22" s="1"/>
  <c r="CO40" i="22" s="1"/>
  <c r="CT40" i="22" s="1"/>
  <c r="DA40" i="22" s="1"/>
  <c r="CG18" i="22"/>
  <c r="CH18" i="22" s="1"/>
  <c r="CO18" i="22" s="1"/>
  <c r="CT18" i="22" s="1"/>
  <c r="DA18" i="22" s="1"/>
  <c r="CG47" i="22"/>
  <c r="CH47" i="22" s="1"/>
  <c r="CO47" i="22" s="1"/>
  <c r="CT47" i="22" s="1"/>
  <c r="DA47" i="22" s="1"/>
  <c r="CG34" i="22"/>
  <c r="CH34" i="22" s="1"/>
  <c r="CO34" i="22" s="1"/>
  <c r="CT34" i="22" s="1"/>
  <c r="DA34" i="22" s="1"/>
  <c r="CG87" i="22"/>
  <c r="CH87" i="22" s="1"/>
  <c r="CO87" i="22" s="1"/>
  <c r="CT87" i="22" s="1"/>
  <c r="DA87" i="22" s="1"/>
  <c r="CG57" i="22"/>
  <c r="CH57" i="22" s="1"/>
  <c r="CO57" i="22" s="1"/>
  <c r="CT57" i="22" s="1"/>
  <c r="DA57" i="22" s="1"/>
  <c r="CG90" i="22"/>
  <c r="CH90" i="22" s="1"/>
  <c r="CO90" i="22" s="1"/>
  <c r="CT90" i="22" s="1"/>
  <c r="DA90" i="22" s="1"/>
  <c r="CG91" i="22"/>
  <c r="CH91" i="22" s="1"/>
  <c r="CO91" i="22" s="1"/>
  <c r="CT91" i="22" s="1"/>
  <c r="DA91" i="22" s="1"/>
  <c r="CK19" i="26"/>
  <c r="CL19" i="26" s="1"/>
  <c r="CQ19" i="26" s="1"/>
  <c r="CR19" i="26" s="1"/>
  <c r="CV19" i="26" s="1"/>
  <c r="DH16" i="24"/>
  <c r="DI16" i="24" s="1"/>
  <c r="DQ16" i="24" s="1"/>
  <c r="DR16" i="24" s="1"/>
  <c r="DV16" i="24" s="1"/>
  <c r="DH12" i="24"/>
  <c r="DI12" i="24" s="1"/>
  <c r="DQ12" i="24" s="1"/>
  <c r="DR12" i="24" s="1"/>
  <c r="DV12" i="24" s="1"/>
  <c r="DH81" i="24"/>
  <c r="DI81" i="24" s="1"/>
  <c r="DQ81" i="24" s="1"/>
  <c r="DR81" i="24" s="1"/>
  <c r="DV81" i="24" s="1"/>
  <c r="DN18" i="23"/>
  <c r="DO18" i="23" s="1"/>
  <c r="DV18" i="23" s="1"/>
  <c r="DW18" i="23" s="1"/>
  <c r="DY18" i="23" s="1"/>
  <c r="DN88" i="23"/>
  <c r="DO88" i="23" s="1"/>
  <c r="DV88" i="23" s="1"/>
  <c r="DW88" i="23" s="1"/>
  <c r="DY88" i="23" s="1"/>
  <c r="AO12" i="20"/>
  <c r="AP12" i="20" s="1"/>
  <c r="AW12" i="20" s="1"/>
  <c r="AX12" i="20" s="1"/>
  <c r="BE12" i="20" s="1"/>
  <c r="CR35" i="22" l="1"/>
  <c r="CS35" i="22" s="1"/>
  <c r="CI26" i="17"/>
  <c r="CJ26" i="17" s="1"/>
  <c r="CK26" i="17"/>
  <c r="CR56" i="25"/>
  <c r="CS56" i="25" s="1"/>
  <c r="CT57" i="25"/>
  <c r="CT56" i="25"/>
  <c r="CZ70" i="24"/>
  <c r="CZ71" i="24"/>
  <c r="CZ14" i="24"/>
  <c r="DE55" i="23"/>
  <c r="DG11" i="22"/>
  <c r="DH11" i="22" s="1"/>
  <c r="DG57" i="22"/>
  <c r="DH57" i="22" s="1"/>
  <c r="DI82" i="22"/>
  <c r="DI11" i="22"/>
  <c r="DI57" i="22"/>
  <c r="CR57" i="25"/>
  <c r="CS57" i="25" s="1"/>
  <c r="DB57" i="25" s="1"/>
  <c r="DC57" i="25" s="1"/>
  <c r="CX70" i="24"/>
  <c r="CY70" i="24" s="1"/>
  <c r="DC55" i="23"/>
  <c r="DD55" i="23" s="1"/>
  <c r="CX14" i="24"/>
  <c r="CY14" i="24" s="1"/>
  <c r="DG82" i="22"/>
  <c r="DH82" i="22" s="1"/>
  <c r="CX71" i="24"/>
  <c r="CY71" i="24" s="1"/>
  <c r="DB56" i="25" l="1"/>
  <c r="DC56" i="25" s="1"/>
  <c r="DH56" i="25" s="1"/>
  <c r="DI56" i="25" s="1"/>
  <c r="DM56" i="25" s="1"/>
  <c r="DH71" i="24"/>
  <c r="DI71" i="24" s="1"/>
  <c r="DQ71" i="24" s="1"/>
  <c r="DR71" i="24" s="1"/>
  <c r="DV71" i="24" s="1"/>
  <c r="CT26" i="17"/>
  <c r="CU26" i="17" s="1"/>
  <c r="DB26" i="17" s="1"/>
  <c r="DC26" i="17" s="1"/>
  <c r="DF26" i="17" s="1"/>
  <c r="DH57" i="25"/>
  <c r="DI57" i="25" s="1"/>
  <c r="DM57" i="25" s="1"/>
  <c r="DH70" i="24"/>
  <c r="DI70" i="24" s="1"/>
  <c r="DQ70" i="24" s="1"/>
  <c r="DR70" i="24" s="1"/>
  <c r="DV70" i="24" s="1"/>
  <c r="DH14" i="24"/>
  <c r="DI14" i="24" s="1"/>
  <c r="DQ14" i="24" s="1"/>
  <c r="DR14" i="24" s="1"/>
  <c r="DV14" i="24" s="1"/>
  <c r="DN55" i="23"/>
  <c r="DO55" i="23" s="1"/>
  <c r="DV55" i="23" s="1"/>
  <c r="DW55" i="23" s="1"/>
  <c r="DY55" i="23" s="1"/>
  <c r="DP82" i="22"/>
  <c r="DQ82" i="22" s="1"/>
  <c r="DX82" i="22" s="1"/>
  <c r="DY82" i="22" s="1"/>
  <c r="EB82" i="22" s="1"/>
  <c r="DP57" i="22"/>
  <c r="DQ57" i="22" s="1"/>
  <c r="DX57" i="22" s="1"/>
  <c r="DY57" i="22" s="1"/>
  <c r="EB57" i="22" s="1"/>
  <c r="DP11" i="22"/>
  <c r="DQ11" i="22" s="1"/>
  <c r="DX11" i="22" s="1"/>
  <c r="DY11" i="22" s="1"/>
  <c r="EB11" i="22" s="1"/>
  <c r="CR64" i="25" l="1"/>
  <c r="CS64" i="25" s="1"/>
  <c r="CT24" i="25"/>
  <c r="CT58" i="25"/>
  <c r="CT63" i="25"/>
  <c r="CT64" i="25"/>
  <c r="DE87" i="23"/>
  <c r="CR24" i="25"/>
  <c r="CS24" i="25" s="1"/>
  <c r="CR58" i="25"/>
  <c r="CS58" i="25" s="1"/>
  <c r="CR63" i="25"/>
  <c r="CS63" i="25" s="1"/>
  <c r="DC87" i="23"/>
  <c r="DD87" i="23" s="1"/>
  <c r="DB63" i="25" l="1"/>
  <c r="DC63" i="25" s="1"/>
  <c r="DB58" i="25"/>
  <c r="DC58" i="25" s="1"/>
  <c r="DH58" i="25" s="1"/>
  <c r="DI58" i="25" s="1"/>
  <c r="DM58" i="25" s="1"/>
  <c r="DB24" i="25"/>
  <c r="DC24" i="25" s="1"/>
  <c r="DH24" i="25" s="1"/>
  <c r="DI24" i="25" s="1"/>
  <c r="DM24" i="25" s="1"/>
  <c r="DB64" i="25"/>
  <c r="DC64" i="25" s="1"/>
  <c r="DH64" i="25" s="1"/>
  <c r="DI64" i="25" s="1"/>
  <c r="DM64" i="25" s="1"/>
  <c r="DH63" i="25"/>
  <c r="DI63" i="25" s="1"/>
  <c r="DM63" i="25" s="1"/>
  <c r="DN87" i="23"/>
  <c r="DO87" i="23" s="1"/>
  <c r="DV87" i="23" s="1"/>
  <c r="DW87" i="23" s="1"/>
  <c r="DY87" i="23" s="1"/>
  <c r="DE77" i="23"/>
  <c r="DE16" i="23"/>
  <c r="DE79" i="23"/>
  <c r="DE78" i="23"/>
  <c r="DE83" i="23"/>
  <c r="DE40" i="23"/>
  <c r="DE86" i="23"/>
  <c r="CZ42" i="24"/>
  <c r="CZ67" i="24"/>
  <c r="CZ72" i="24"/>
  <c r="CZ13" i="24"/>
  <c r="CZ33" i="24"/>
  <c r="CZ74" i="24"/>
  <c r="CZ78" i="24"/>
  <c r="CZ80" i="24"/>
  <c r="DI28" i="22"/>
  <c r="DI74" i="22"/>
  <c r="DI55" i="22"/>
  <c r="DI54" i="22"/>
  <c r="DI84" i="22"/>
  <c r="DI45" i="22"/>
  <c r="DI18" i="22"/>
  <c r="DI73" i="22"/>
  <c r="DI47" i="22"/>
  <c r="DI40" i="22"/>
  <c r="DI34" i="22"/>
  <c r="DI87" i="22"/>
  <c r="DI90" i="22"/>
  <c r="DI91" i="22"/>
  <c r="DE15" i="23"/>
  <c r="DE76" i="23"/>
  <c r="CR25" i="25"/>
  <c r="CS25" i="25" s="1"/>
  <c r="CT54" i="25"/>
  <c r="CT46" i="25"/>
  <c r="CT40" i="25"/>
  <c r="CT61" i="25"/>
  <c r="CT21" i="25"/>
  <c r="CT36" i="25"/>
  <c r="CT25" i="25"/>
  <c r="BG12" i="21"/>
  <c r="BH12" i="21" s="1"/>
  <c r="BI12" i="21"/>
  <c r="BN12" i="20"/>
  <c r="CB21" i="19"/>
  <c r="CC21" i="19" s="1"/>
  <c r="CD21" i="19"/>
  <c r="CL11" i="29"/>
  <c r="CM11" i="29" s="1"/>
  <c r="CL12" i="29"/>
  <c r="CM12" i="29" s="1"/>
  <c r="CN11" i="29"/>
  <c r="CN12" i="29"/>
  <c r="CK20" i="17"/>
  <c r="BV19" i="16"/>
  <c r="CD13" i="1"/>
  <c r="CD11" i="1"/>
  <c r="CH13" i="26"/>
  <c r="CH16" i="26"/>
  <c r="CR61" i="25"/>
  <c r="CS61" i="25" s="1"/>
  <c r="CR21" i="25"/>
  <c r="CS21" i="25" s="1"/>
  <c r="CR36" i="25"/>
  <c r="CS36" i="25" s="1"/>
  <c r="CX13" i="24"/>
  <c r="CY13" i="24" s="1"/>
  <c r="CX33" i="24"/>
  <c r="CY33" i="24" s="1"/>
  <c r="CX74" i="24"/>
  <c r="CY74" i="24" s="1"/>
  <c r="CZ21" i="24"/>
  <c r="CZ56" i="24"/>
  <c r="CZ11" i="24"/>
  <c r="CZ69" i="24"/>
  <c r="CZ75" i="24"/>
  <c r="CZ77" i="24"/>
  <c r="DC80" i="23"/>
  <c r="DD80" i="23" s="1"/>
  <c r="DC78" i="23"/>
  <c r="DD78" i="23" s="1"/>
  <c r="DC40" i="23"/>
  <c r="DD40" i="23" s="1"/>
  <c r="DC85" i="23"/>
  <c r="DD85" i="23" s="1"/>
  <c r="DE80" i="23"/>
  <c r="DE85" i="23"/>
  <c r="DG87" i="22"/>
  <c r="DH87" i="22" s="1"/>
  <c r="DG47" i="22"/>
  <c r="DH47" i="22" s="1"/>
  <c r="DG40" i="22"/>
  <c r="DH40" i="22" s="1"/>
  <c r="DG19" i="22"/>
  <c r="DH19" i="22" s="1"/>
  <c r="DG34" i="22"/>
  <c r="DH34" i="22" s="1"/>
  <c r="DI19" i="22"/>
  <c r="DG73" i="22"/>
  <c r="DH73" i="22" s="1"/>
  <c r="CR54" i="25"/>
  <c r="CS54" i="25" s="1"/>
  <c r="CR46" i="25"/>
  <c r="CS46" i="25" s="1"/>
  <c r="CX78" i="24"/>
  <c r="CY78" i="24" s="1"/>
  <c r="CZ22" i="24"/>
  <c r="CZ79" i="24"/>
  <c r="DG55" i="22"/>
  <c r="DH55" i="22" s="1"/>
  <c r="DG90" i="22"/>
  <c r="DH90" i="22" s="1"/>
  <c r="DI12" i="22"/>
  <c r="CX67" i="24"/>
  <c r="CY67" i="24" s="1"/>
  <c r="CX22" i="24"/>
  <c r="CY22" i="24" s="1"/>
  <c r="DC76" i="23"/>
  <c r="DD76" i="23" s="1"/>
  <c r="DC86" i="23"/>
  <c r="DD86" i="23" s="1"/>
  <c r="DG84" i="22"/>
  <c r="DH84" i="22" s="1"/>
  <c r="CF16" i="26"/>
  <c r="CG16" i="26" s="1"/>
  <c r="CX21" i="24"/>
  <c r="CY21" i="24" s="1"/>
  <c r="CX11" i="24"/>
  <c r="CY11" i="24" s="1"/>
  <c r="CX77" i="24"/>
  <c r="CY77" i="24" s="1"/>
  <c r="CI20" i="17"/>
  <c r="CJ20" i="17" s="1"/>
  <c r="CB13" i="1"/>
  <c r="CC13" i="1" s="1"/>
  <c r="CF13" i="26"/>
  <c r="CG13" i="26" s="1"/>
  <c r="CX56" i="24"/>
  <c r="CY56" i="24" s="1"/>
  <c r="CX69" i="24"/>
  <c r="CY69" i="24" s="1"/>
  <c r="CX72" i="24"/>
  <c r="CY72" i="24" s="1"/>
  <c r="CX75" i="24"/>
  <c r="CY75" i="24" s="1"/>
  <c r="DC77" i="23"/>
  <c r="DD77" i="23" s="1"/>
  <c r="DC79" i="23"/>
  <c r="DD79" i="23" s="1"/>
  <c r="DC16" i="23"/>
  <c r="DD16" i="23" s="1"/>
  <c r="DG12" i="22"/>
  <c r="DH12" i="22" s="1"/>
  <c r="DG28" i="22"/>
  <c r="DH28" i="22" s="1"/>
  <c r="DG18" i="22"/>
  <c r="DH18" i="22" s="1"/>
  <c r="DC83" i="23"/>
  <c r="DD83" i="23" s="1"/>
  <c r="BT19" i="16"/>
  <c r="BU19" i="16" s="1"/>
  <c r="DC15" i="23"/>
  <c r="DD15" i="23" s="1"/>
  <c r="CB11" i="1"/>
  <c r="CC11" i="1" s="1"/>
  <c r="DG45" i="22"/>
  <c r="DH45" i="22" s="1"/>
  <c r="BL12" i="20"/>
  <c r="BM12" i="20" s="1"/>
  <c r="CX80" i="24"/>
  <c r="CY80" i="24" s="1"/>
  <c r="DC81" i="23"/>
  <c r="DD81" i="23" s="1"/>
  <c r="DN81" i="23" s="1"/>
  <c r="DO81" i="23" s="1"/>
  <c r="DV81" i="23" s="1"/>
  <c r="DW81" i="23" s="1"/>
  <c r="DY81" i="23" s="1"/>
  <c r="DG74" i="22"/>
  <c r="DH74" i="22" s="1"/>
  <c r="DG54" i="22"/>
  <c r="DH54" i="22" s="1"/>
  <c r="DG91" i="22"/>
  <c r="DH91" i="22" s="1"/>
  <c r="CX42" i="24"/>
  <c r="CY42" i="24" s="1"/>
  <c r="CX79" i="24"/>
  <c r="CY79" i="24" s="1"/>
  <c r="DB46" i="25" l="1"/>
  <c r="DC46" i="25" s="1"/>
  <c r="DB54" i="25"/>
  <c r="DC54" i="25" s="1"/>
  <c r="DH54" i="25" s="1"/>
  <c r="DI54" i="25" s="1"/>
  <c r="DM54" i="25" s="1"/>
  <c r="DB36" i="25"/>
  <c r="DC36" i="25" s="1"/>
  <c r="DH36" i="25" s="1"/>
  <c r="DI36" i="25" s="1"/>
  <c r="DM36" i="25" s="1"/>
  <c r="DB25" i="25"/>
  <c r="DC25" i="25" s="1"/>
  <c r="DH25" i="25" s="1"/>
  <c r="DI25" i="25" s="1"/>
  <c r="DM25" i="25" s="1"/>
  <c r="DB61" i="25"/>
  <c r="DC61" i="25" s="1"/>
  <c r="DH61" i="25" s="1"/>
  <c r="DI61" i="25" s="1"/>
  <c r="DM61" i="25" s="1"/>
  <c r="DB40" i="25"/>
  <c r="DC40" i="25" s="1"/>
  <c r="DH40" i="25" s="1"/>
  <c r="DI40" i="25" s="1"/>
  <c r="DM40" i="25" s="1"/>
  <c r="DB21" i="25"/>
  <c r="DC21" i="25" s="1"/>
  <c r="DH21" i="25" s="1"/>
  <c r="DI21" i="25" s="1"/>
  <c r="DM21" i="25" s="1"/>
  <c r="DP74" i="22"/>
  <c r="DQ74" i="22" s="1"/>
  <c r="DX74" i="22" s="1"/>
  <c r="DY74" i="22" s="1"/>
  <c r="EB74" i="22" s="1"/>
  <c r="DN83" i="23"/>
  <c r="DO83" i="23" s="1"/>
  <c r="DV83" i="23" s="1"/>
  <c r="DW83" i="23" s="1"/>
  <c r="DY83" i="23" s="1"/>
  <c r="DN16" i="23"/>
  <c r="DO16" i="23" s="1"/>
  <c r="DV16" i="23" s="1"/>
  <c r="DW16" i="23" s="1"/>
  <c r="DY16" i="23" s="1"/>
  <c r="DP87" i="22"/>
  <c r="DQ87" i="22" s="1"/>
  <c r="DX87" i="22" s="1"/>
  <c r="DY87" i="22" s="1"/>
  <c r="EB87" i="22" s="1"/>
  <c r="DN77" i="23"/>
  <c r="DO77" i="23" s="1"/>
  <c r="DV77" i="23" s="1"/>
  <c r="DW77" i="23" s="1"/>
  <c r="DY77" i="23" s="1"/>
  <c r="DP55" i="22"/>
  <c r="DQ55" i="22" s="1"/>
  <c r="DX55" i="22" s="1"/>
  <c r="DY55" i="22" s="1"/>
  <c r="EB55" i="22" s="1"/>
  <c r="DP18" i="22"/>
  <c r="DQ18" i="22" s="1"/>
  <c r="DX18" i="22" s="1"/>
  <c r="DY18" i="22" s="1"/>
  <c r="EB18" i="22" s="1"/>
  <c r="DP12" i="22"/>
  <c r="DQ12" i="22" s="1"/>
  <c r="DX12" i="22" s="1"/>
  <c r="DY12" i="22" s="1"/>
  <c r="EB12" i="22" s="1"/>
  <c r="CK13" i="26"/>
  <c r="CL13" i="26" s="1"/>
  <c r="CQ13" i="26" s="1"/>
  <c r="CR13" i="26" s="1"/>
  <c r="CV13" i="26" s="1"/>
  <c r="DH80" i="24"/>
  <c r="DI80" i="24" s="1"/>
  <c r="DQ80" i="24" s="1"/>
  <c r="DR80" i="24" s="1"/>
  <c r="DV80" i="24" s="1"/>
  <c r="DH74" i="24"/>
  <c r="DI74" i="24" s="1"/>
  <c r="DQ74" i="24" s="1"/>
  <c r="DR74" i="24" s="1"/>
  <c r="DV74" i="24" s="1"/>
  <c r="DH33" i="24"/>
  <c r="DI33" i="24" s="1"/>
  <c r="DQ33" i="24" s="1"/>
  <c r="DR33" i="24" s="1"/>
  <c r="DV33" i="24" s="1"/>
  <c r="DH13" i="24"/>
  <c r="DI13" i="24" s="1"/>
  <c r="DQ13" i="24" s="1"/>
  <c r="DR13" i="24" s="1"/>
  <c r="DV13" i="24" s="1"/>
  <c r="DH67" i="24"/>
  <c r="DI67" i="24" s="1"/>
  <c r="DQ67" i="24" s="1"/>
  <c r="DR67" i="24" s="1"/>
  <c r="DV67" i="24" s="1"/>
  <c r="DN15" i="23"/>
  <c r="DO15" i="23" s="1"/>
  <c r="DV15" i="23" s="1"/>
  <c r="DW15" i="23" s="1"/>
  <c r="DY15" i="23" s="1"/>
  <c r="DN86" i="23"/>
  <c r="DO86" i="23" s="1"/>
  <c r="DV86" i="23" s="1"/>
  <c r="DW86" i="23" s="1"/>
  <c r="DY86" i="23" s="1"/>
  <c r="DN40" i="23"/>
  <c r="DO40" i="23" s="1"/>
  <c r="DV40" i="23" s="1"/>
  <c r="DW40" i="23" s="1"/>
  <c r="DY40" i="23" s="1"/>
  <c r="DN76" i="23"/>
  <c r="DO76" i="23" s="1"/>
  <c r="DV76" i="23" s="1"/>
  <c r="DW76" i="23" s="1"/>
  <c r="DY76" i="23" s="1"/>
  <c r="DN78" i="23"/>
  <c r="DO78" i="23" s="1"/>
  <c r="DV78" i="23" s="1"/>
  <c r="DW78" i="23" s="1"/>
  <c r="DY78" i="23" s="1"/>
  <c r="DP45" i="22"/>
  <c r="DQ45" i="22" s="1"/>
  <c r="DX45" i="22" s="1"/>
  <c r="DY45" i="22" s="1"/>
  <c r="EB45" i="22" s="1"/>
  <c r="DP84" i="22"/>
  <c r="DQ84" i="22" s="1"/>
  <c r="DX84" i="22" s="1"/>
  <c r="DY84" i="22" s="1"/>
  <c r="EB84" i="22" s="1"/>
  <c r="DP47" i="22"/>
  <c r="DQ47" i="22" s="1"/>
  <c r="DX47" i="22" s="1"/>
  <c r="DY47" i="22" s="1"/>
  <c r="EB47" i="22" s="1"/>
  <c r="DP73" i="22"/>
  <c r="DQ73" i="22" s="1"/>
  <c r="DX73" i="22" s="1"/>
  <c r="DY73" i="22" s="1"/>
  <c r="EB73" i="22" s="1"/>
  <c r="CC19" i="16"/>
  <c r="CD19" i="16" s="1"/>
  <c r="CK19" i="16" s="1"/>
  <c r="CL19" i="16" s="1"/>
  <c r="CP19" i="16" s="1"/>
  <c r="CL21" i="19"/>
  <c r="CM21" i="19" s="1"/>
  <c r="CR21" i="19" s="1"/>
  <c r="CS21" i="19" s="1"/>
  <c r="CW21" i="19" s="1"/>
  <c r="CK11" i="1"/>
  <c r="CL11" i="1" s="1"/>
  <c r="CR11" i="1" s="1"/>
  <c r="CS11" i="1" s="1"/>
  <c r="CW11" i="1" s="1"/>
  <c r="CK16" i="26"/>
  <c r="CL16" i="26" s="1"/>
  <c r="CQ16" i="26" s="1"/>
  <c r="CR16" i="26" s="1"/>
  <c r="CV16" i="26" s="1"/>
  <c r="DH46" i="25"/>
  <c r="DI46" i="25" s="1"/>
  <c r="DM46" i="25" s="1"/>
  <c r="DH77" i="24"/>
  <c r="DI77" i="24" s="1"/>
  <c r="DQ77" i="24" s="1"/>
  <c r="DR77" i="24" s="1"/>
  <c r="DV77" i="24" s="1"/>
  <c r="DH72" i="24"/>
  <c r="DI72" i="24" s="1"/>
  <c r="DQ72" i="24" s="1"/>
  <c r="DR72" i="24" s="1"/>
  <c r="DV72" i="24" s="1"/>
  <c r="DH42" i="24"/>
  <c r="DI42" i="24" s="1"/>
  <c r="DQ42" i="24" s="1"/>
  <c r="DR42" i="24" s="1"/>
  <c r="DV42" i="24" s="1"/>
  <c r="DH78" i="24"/>
  <c r="DI78" i="24" s="1"/>
  <c r="DQ78" i="24" s="1"/>
  <c r="DR78" i="24" s="1"/>
  <c r="DV78" i="24" s="1"/>
  <c r="DH75" i="24"/>
  <c r="DI75" i="24" s="1"/>
  <c r="DQ75" i="24" s="1"/>
  <c r="DR75" i="24" s="1"/>
  <c r="DV75" i="24" s="1"/>
  <c r="DH11" i="24"/>
  <c r="DI11" i="24" s="1"/>
  <c r="DQ11" i="24" s="1"/>
  <c r="DR11" i="24" s="1"/>
  <c r="DV11" i="24" s="1"/>
  <c r="DH56" i="24"/>
  <c r="DI56" i="24" s="1"/>
  <c r="DQ56" i="24" s="1"/>
  <c r="DR56" i="24" s="1"/>
  <c r="DV56" i="24" s="1"/>
  <c r="DH69" i="24"/>
  <c r="DI69" i="24" s="1"/>
  <c r="DQ69" i="24" s="1"/>
  <c r="DR69" i="24" s="1"/>
  <c r="DV69" i="24" s="1"/>
  <c r="DH79" i="24"/>
  <c r="DI79" i="24" s="1"/>
  <c r="DQ79" i="24" s="1"/>
  <c r="DR79" i="24" s="1"/>
  <c r="DV79" i="24" s="1"/>
  <c r="DH22" i="24"/>
  <c r="DI22" i="24" s="1"/>
  <c r="DQ22" i="24" s="1"/>
  <c r="DR22" i="24" s="1"/>
  <c r="DV22" i="24" s="1"/>
  <c r="DN80" i="23"/>
  <c r="DO80" i="23" s="1"/>
  <c r="DV80" i="23" s="1"/>
  <c r="DW80" i="23" s="1"/>
  <c r="DY80" i="23" s="1"/>
  <c r="DN85" i="23"/>
  <c r="DO85" i="23" s="1"/>
  <c r="DV85" i="23" s="1"/>
  <c r="DW85" i="23" s="1"/>
  <c r="DY85" i="23" s="1"/>
  <c r="DN79" i="23"/>
  <c r="DO79" i="23" s="1"/>
  <c r="DV79" i="23" s="1"/>
  <c r="DW79" i="23" s="1"/>
  <c r="DY79" i="23" s="1"/>
  <c r="DP54" i="22"/>
  <c r="DQ54" i="22" s="1"/>
  <c r="DX54" i="22" s="1"/>
  <c r="DY54" i="22" s="1"/>
  <c r="EB54" i="22" s="1"/>
  <c r="DP19" i="22"/>
  <c r="DQ19" i="22" s="1"/>
  <c r="DX19" i="22" s="1"/>
  <c r="DY19" i="22" s="1"/>
  <c r="EB19" i="22" s="1"/>
  <c r="DP28" i="22"/>
  <c r="DQ28" i="22" s="1"/>
  <c r="DX28" i="22" s="1"/>
  <c r="DY28" i="22" s="1"/>
  <c r="EB28" i="22" s="1"/>
  <c r="DP91" i="22"/>
  <c r="DQ91" i="22" s="1"/>
  <c r="DX91" i="22" s="1"/>
  <c r="DY91" i="22" s="1"/>
  <c r="EB91" i="22" s="1"/>
  <c r="DP34" i="22"/>
  <c r="DQ34" i="22" s="1"/>
  <c r="DX34" i="22" s="1"/>
  <c r="DY34" i="22" s="1"/>
  <c r="EB34" i="22" s="1"/>
  <c r="DP90" i="22"/>
  <c r="DQ90" i="22" s="1"/>
  <c r="DX90" i="22" s="1"/>
  <c r="DY90" i="22" s="1"/>
  <c r="EB90" i="22" s="1"/>
  <c r="DP40" i="22"/>
  <c r="DQ40" i="22" s="1"/>
  <c r="DX40" i="22" s="1"/>
  <c r="DY40" i="22" s="1"/>
  <c r="EB40" i="22" s="1"/>
  <c r="DH21" i="24"/>
  <c r="DI21" i="24" s="1"/>
  <c r="DQ21" i="24" s="1"/>
  <c r="DR21" i="24" s="1"/>
  <c r="DV21" i="24" s="1"/>
  <c r="CW11" i="29"/>
  <c r="CX11" i="29" s="1"/>
  <c r="DF11" i="29" s="1"/>
  <c r="DG11" i="29" s="1"/>
  <c r="DJ11" i="29" s="1"/>
  <c r="BP12" i="21"/>
  <c r="BQ12" i="21" s="1"/>
  <c r="BX12" i="21" s="1"/>
  <c r="BY12" i="21" s="1"/>
  <c r="CB12" i="21" s="1"/>
  <c r="CW12" i="29"/>
  <c r="CX12" i="29" s="1"/>
  <c r="DF12" i="29" s="1"/>
  <c r="DG12" i="29" s="1"/>
  <c r="DJ12" i="29" s="1"/>
  <c r="CK13" i="1"/>
  <c r="CL13" i="1" s="1"/>
  <c r="CR13" i="1" s="1"/>
  <c r="CS13" i="1" s="1"/>
  <c r="CW13" i="1" s="1"/>
  <c r="BP12" i="20"/>
  <c r="BQ12" i="20" s="1"/>
  <c r="BT12" i="20" s="1"/>
  <c r="BU12" i="20" s="1"/>
  <c r="BW12" i="20" s="1"/>
  <c r="CT20" i="17"/>
  <c r="CU20" i="17" s="1"/>
  <c r="DB20" i="17" s="1"/>
  <c r="DC20" i="17" s="1"/>
  <c r="DF20" i="17" s="1"/>
  <c r="CR12" i="25"/>
  <c r="CS12" i="25" s="1"/>
  <c r="CR59" i="25"/>
  <c r="CS59" i="25" s="1"/>
  <c r="CR62" i="25"/>
  <c r="CS62" i="25" s="1"/>
  <c r="CT12" i="25"/>
  <c r="CT59" i="25"/>
  <c r="CT62" i="25"/>
  <c r="CX73" i="24"/>
  <c r="CY73" i="24" s="1"/>
  <c r="CZ40" i="24"/>
  <c r="CZ52" i="24"/>
  <c r="CZ73" i="24"/>
  <c r="CZ76" i="24"/>
  <c r="CX76" i="24"/>
  <c r="CY76" i="24" s="1"/>
  <c r="CX40" i="24"/>
  <c r="CY40" i="24" s="1"/>
  <c r="CX52" i="24"/>
  <c r="CY52" i="24" s="1"/>
  <c r="DG83" i="22"/>
  <c r="DH83" i="22" s="1"/>
  <c r="DI83" i="22"/>
  <c r="CB15" i="1"/>
  <c r="CC15" i="1" s="1"/>
  <c r="CD15" i="1"/>
  <c r="DC42" i="23"/>
  <c r="DD42" i="23" s="1"/>
  <c r="DC51" i="23"/>
  <c r="DD51" i="23" s="1"/>
  <c r="DE74" i="23"/>
  <c r="DE48" i="23"/>
  <c r="DE13" i="23"/>
  <c r="DE42" i="23"/>
  <c r="DE51" i="23"/>
  <c r="DC13" i="23"/>
  <c r="DD13" i="23" s="1"/>
  <c r="DC74" i="23"/>
  <c r="DD74" i="23" s="1"/>
  <c r="DC48" i="23"/>
  <c r="DD48" i="23" s="1"/>
  <c r="DG77" i="22"/>
  <c r="DH77" i="22" s="1"/>
  <c r="DG44" i="22"/>
  <c r="DH44" i="22" s="1"/>
  <c r="DG33" i="22"/>
  <c r="DH33" i="22" s="1"/>
  <c r="DG15" i="22"/>
  <c r="DH15" i="22" s="1"/>
  <c r="BF77" i="22"/>
  <c r="BG77" i="22" s="1"/>
  <c r="CG77" i="22" s="1"/>
  <c r="CH77" i="22" s="1"/>
  <c r="CO77" i="22" s="1"/>
  <c r="CT77" i="22" s="1"/>
  <c r="DA77" i="22" s="1"/>
  <c r="BF44" i="22"/>
  <c r="BG44" i="22" s="1"/>
  <c r="CG44" i="22" s="1"/>
  <c r="CH44" i="22" s="1"/>
  <c r="CO44" i="22" s="1"/>
  <c r="CT44" i="22" s="1"/>
  <c r="DA44" i="22" s="1"/>
  <c r="BF33" i="22"/>
  <c r="BG33" i="22" s="1"/>
  <c r="CG33" i="22" s="1"/>
  <c r="CH33" i="22" s="1"/>
  <c r="CO33" i="22" s="1"/>
  <c r="CT33" i="22" s="1"/>
  <c r="DA33" i="22" s="1"/>
  <c r="BF15" i="22"/>
  <c r="BG15" i="22" s="1"/>
  <c r="CG15" i="22" s="1"/>
  <c r="CH15" i="22" s="1"/>
  <c r="CO15" i="22" s="1"/>
  <c r="CT15" i="22" s="1"/>
  <c r="DA15" i="22" s="1"/>
  <c r="DC20" i="23"/>
  <c r="DD20" i="23" s="1"/>
  <c r="BB20" i="23"/>
  <c r="BC20" i="23" s="1"/>
  <c r="CD20" i="23" s="1"/>
  <c r="CE20" i="23" s="1"/>
  <c r="CL20" i="23" s="1"/>
  <c r="CM20" i="23" s="1"/>
  <c r="CT20" i="23" s="1"/>
  <c r="AU16" i="24"/>
  <c r="AV16" i="24" s="1"/>
  <c r="BU16" i="24" s="1"/>
  <c r="BV16" i="24" s="1"/>
  <c r="CC16" i="24" s="1"/>
  <c r="CH16" i="24" s="1"/>
  <c r="CO16" i="24" s="1"/>
  <c r="CR34" i="25"/>
  <c r="CS34" i="25" s="1"/>
  <c r="AT34" i="25"/>
  <c r="AU34" i="25" s="1"/>
  <c r="BV34" i="25" s="1"/>
  <c r="BW34" i="25" s="1"/>
  <c r="CD34" i="25" s="1"/>
  <c r="CE34" i="25" s="1"/>
  <c r="CL34" i="25" s="1"/>
  <c r="CF21" i="26"/>
  <c r="CG21" i="26" s="1"/>
  <c r="CF27" i="26"/>
  <c r="CG27" i="26" s="1"/>
  <c r="CF11" i="26"/>
  <c r="CG11" i="26" s="1"/>
  <c r="AP21" i="26"/>
  <c r="AQ21" i="26" s="1"/>
  <c r="BI21" i="26" s="1"/>
  <c r="BJ21" i="26" s="1"/>
  <c r="BQ21" i="26" s="1"/>
  <c r="BR21" i="26" s="1"/>
  <c r="BY21" i="26" s="1"/>
  <c r="AP27" i="26"/>
  <c r="AQ27" i="26" s="1"/>
  <c r="BI27" i="26" s="1"/>
  <c r="BJ27" i="26" s="1"/>
  <c r="BQ27" i="26" s="1"/>
  <c r="BR27" i="26" s="1"/>
  <c r="BY27" i="26" s="1"/>
  <c r="AP11" i="26"/>
  <c r="AQ11" i="26" s="1"/>
  <c r="BI11" i="26" s="1"/>
  <c r="BJ11" i="26" s="1"/>
  <c r="BQ11" i="26" s="1"/>
  <c r="BR11" i="26" s="1"/>
  <c r="BY11" i="26" s="1"/>
  <c r="Z11" i="27"/>
  <c r="AA11" i="27" s="1"/>
  <c r="AM11" i="27" s="1"/>
  <c r="AN11" i="27" s="1"/>
  <c r="AU11" i="27" s="1"/>
  <c r="AV11" i="27" s="1"/>
  <c r="BC11" i="27" s="1"/>
  <c r="BJ11" i="27"/>
  <c r="BK11" i="27" s="1"/>
  <c r="CB14" i="1"/>
  <c r="CC14" i="1" s="1"/>
  <c r="AM14" i="1"/>
  <c r="AN14" i="1" s="1"/>
  <c r="BE14" i="1" s="1"/>
  <c r="BF14" i="1" s="1"/>
  <c r="BM14" i="1" s="1"/>
  <c r="BS14" i="1" s="1"/>
  <c r="BZ14" i="1" s="1"/>
  <c r="AF11" i="16"/>
  <c r="AG11" i="16" s="1"/>
  <c r="AX11" i="16" s="1"/>
  <c r="AY11" i="16" s="1"/>
  <c r="BF11" i="16" s="1"/>
  <c r="BG11" i="16" s="1"/>
  <c r="BN11" i="16" s="1"/>
  <c r="BT11" i="16"/>
  <c r="BU11" i="16" s="1"/>
  <c r="AO11" i="17"/>
  <c r="AP11" i="17" s="1"/>
  <c r="BK11" i="17" s="1"/>
  <c r="BL11" i="17" s="1"/>
  <c r="BS11" i="17" s="1"/>
  <c r="BT11" i="17" s="1"/>
  <c r="CA11" i="17" s="1"/>
  <c r="CI11" i="17"/>
  <c r="CJ11" i="17" s="1"/>
  <c r="BN13" i="20"/>
  <c r="BL13" i="20"/>
  <c r="BM13" i="20" s="1"/>
  <c r="DB59" i="25" l="1"/>
  <c r="DC59" i="25" s="1"/>
  <c r="DB62" i="25"/>
  <c r="DC62" i="25" s="1"/>
  <c r="DH62" i="25" s="1"/>
  <c r="DI62" i="25" s="1"/>
  <c r="DM62" i="25" s="1"/>
  <c r="DB12" i="25"/>
  <c r="DC12" i="25" s="1"/>
  <c r="DH12" i="25" s="1"/>
  <c r="DI12" i="25" s="1"/>
  <c r="DM12" i="25" s="1"/>
  <c r="DH73" i="24"/>
  <c r="DI73" i="24" s="1"/>
  <c r="DQ73" i="24" s="1"/>
  <c r="DR73" i="24" s="1"/>
  <c r="DV73" i="24" s="1"/>
  <c r="DN48" i="23"/>
  <c r="DO48" i="23" s="1"/>
  <c r="DV48" i="23" s="1"/>
  <c r="DW48" i="23" s="1"/>
  <c r="DY48" i="23" s="1"/>
  <c r="DN74" i="23"/>
  <c r="DO74" i="23" s="1"/>
  <c r="DV74" i="23" s="1"/>
  <c r="DW74" i="23" s="1"/>
  <c r="DY74" i="23" s="1"/>
  <c r="DN13" i="23"/>
  <c r="DO13" i="23" s="1"/>
  <c r="DV13" i="23" s="1"/>
  <c r="DW13" i="23" s="1"/>
  <c r="DY13" i="23" s="1"/>
  <c r="DH59" i="25"/>
  <c r="DI59" i="25" s="1"/>
  <c r="DM59" i="25" s="1"/>
  <c r="DH76" i="24"/>
  <c r="DI76" i="24" s="1"/>
  <c r="DQ76" i="24" s="1"/>
  <c r="DR76" i="24" s="1"/>
  <c r="DV76" i="24" s="1"/>
  <c r="DH52" i="24"/>
  <c r="DI52" i="24" s="1"/>
  <c r="DQ52" i="24" s="1"/>
  <c r="DR52" i="24" s="1"/>
  <c r="DV52" i="24" s="1"/>
  <c r="DN51" i="23"/>
  <c r="DO51" i="23" s="1"/>
  <c r="DV51" i="23" s="1"/>
  <c r="DW51" i="23" s="1"/>
  <c r="DY51" i="23" s="1"/>
  <c r="DN42" i="23"/>
  <c r="DO42" i="23" s="1"/>
  <c r="DV42" i="23" s="1"/>
  <c r="DW42" i="23" s="1"/>
  <c r="DY42" i="23" s="1"/>
  <c r="DP83" i="22"/>
  <c r="DQ83" i="22" s="1"/>
  <c r="DX83" i="22" s="1"/>
  <c r="DY83" i="22" s="1"/>
  <c r="EB83" i="22" s="1"/>
  <c r="DH40" i="24"/>
  <c r="DI40" i="24" s="1"/>
  <c r="DQ40" i="24" s="1"/>
  <c r="DR40" i="24" s="1"/>
  <c r="DV40" i="24" s="1"/>
  <c r="BP13" i="20"/>
  <c r="BQ13" i="20" s="1"/>
  <c r="BT13" i="20" s="1"/>
  <c r="BU13" i="20" s="1"/>
  <c r="BW13" i="20" s="1"/>
  <c r="BL11" i="27"/>
  <c r="BQ11" i="27" s="1"/>
  <c r="BR11" i="27" s="1"/>
  <c r="BY11" i="27" s="1"/>
  <c r="BZ11" i="27" s="1"/>
  <c r="CK11" i="17"/>
  <c r="CT11" i="17" s="1"/>
  <c r="CU11" i="17" s="1"/>
  <c r="DB11" i="17" s="1"/>
  <c r="DC11" i="17" s="1"/>
  <c r="DF11" i="17" s="1"/>
  <c r="CD14" i="1"/>
  <c r="CK14" i="1" s="1"/>
  <c r="CL14" i="1" s="1"/>
  <c r="CR14" i="1" s="1"/>
  <c r="CS14" i="1" s="1"/>
  <c r="CW14" i="1" s="1"/>
  <c r="BV11" i="16"/>
  <c r="CC11" i="16" s="1"/>
  <c r="CD11" i="16" s="1"/>
  <c r="CK11" i="16" s="1"/>
  <c r="CL11" i="16" s="1"/>
  <c r="CP11" i="16" s="1"/>
  <c r="CK15" i="1"/>
  <c r="CL15" i="1" s="1"/>
  <c r="CR15" i="1" s="1"/>
  <c r="CS15" i="1" s="1"/>
  <c r="CW15" i="1" s="1"/>
  <c r="CH21" i="26"/>
  <c r="CK21" i="26" s="1"/>
  <c r="CL21" i="26" s="1"/>
  <c r="CQ21" i="26" s="1"/>
  <c r="CR21" i="26" s="1"/>
  <c r="CV21" i="26" s="1"/>
  <c r="CH11" i="26"/>
  <c r="CK11" i="26" s="1"/>
  <c r="CL11" i="26" s="1"/>
  <c r="CQ11" i="26" s="1"/>
  <c r="CR11" i="26" s="1"/>
  <c r="CV11" i="26" s="1"/>
  <c r="CH27" i="26"/>
  <c r="CK27" i="26" s="1"/>
  <c r="CL27" i="26" s="1"/>
  <c r="CQ27" i="26" s="1"/>
  <c r="CR27" i="26" s="1"/>
  <c r="CV27" i="26" s="1"/>
  <c r="CT34" i="25"/>
  <c r="DB34" i="25" s="1"/>
  <c r="DC34" i="25" s="1"/>
  <c r="DI15" i="22"/>
  <c r="DP15" i="22" s="1"/>
  <c r="DQ15" i="22" s="1"/>
  <c r="DX15" i="22" s="1"/>
  <c r="DY15" i="22" s="1"/>
  <c r="EB15" i="22" s="1"/>
  <c r="DI44" i="22"/>
  <c r="DP44" i="22" s="1"/>
  <c r="DQ44" i="22" s="1"/>
  <c r="DX44" i="22" s="1"/>
  <c r="DY44" i="22" s="1"/>
  <c r="EB44" i="22" s="1"/>
  <c r="DI77" i="22"/>
  <c r="DP77" i="22" s="1"/>
  <c r="DQ77" i="22" s="1"/>
  <c r="DX77" i="22" s="1"/>
  <c r="DY77" i="22" s="1"/>
  <c r="EB77" i="22" s="1"/>
  <c r="DI33" i="22"/>
  <c r="DP33" i="22" s="1"/>
  <c r="DQ33" i="22" s="1"/>
  <c r="DX33" i="22" s="1"/>
  <c r="DY33" i="22" s="1"/>
  <c r="EB33" i="22" s="1"/>
  <c r="DE20" i="23"/>
  <c r="DN20" i="23" s="1"/>
  <c r="DO20" i="23" s="1"/>
  <c r="DV20" i="23" s="1"/>
  <c r="DW20" i="23" s="1"/>
  <c r="DY20" i="23" s="1"/>
  <c r="U11" i="21"/>
  <c r="V11" i="21" s="1"/>
  <c r="AL11" i="21" s="1"/>
  <c r="AM11" i="21" s="1"/>
  <c r="AT11" i="21" s="1"/>
  <c r="AU11" i="21" s="1"/>
  <c r="BB11" i="21" s="1"/>
  <c r="U15" i="21"/>
  <c r="V15" i="21" s="1"/>
  <c r="AL15" i="21" s="1"/>
  <c r="AM15" i="21" s="1"/>
  <c r="AT15" i="21" s="1"/>
  <c r="AU15" i="21" s="1"/>
  <c r="BB15" i="21" s="1"/>
  <c r="AJ16" i="19"/>
  <c r="AK16" i="19" s="1"/>
  <c r="BF16" i="19" s="1"/>
  <c r="BG16" i="19" s="1"/>
  <c r="BN16" i="19" s="1"/>
  <c r="BO16" i="19" s="1"/>
  <c r="BV16" i="19" s="1"/>
  <c r="AJ11" i="19"/>
  <c r="AO26" i="29"/>
  <c r="AP26" i="29" s="1"/>
  <c r="BL26" i="29" s="1"/>
  <c r="BM26" i="29" s="1"/>
  <c r="BT26" i="29" s="1"/>
  <c r="BU26" i="29" s="1"/>
  <c r="CB26" i="29" s="1"/>
  <c r="AO17" i="29"/>
  <c r="AF25" i="16"/>
  <c r="AG25" i="16" s="1"/>
  <c r="AX25" i="16" s="1"/>
  <c r="AY25" i="16" s="1"/>
  <c r="BF25" i="16" s="1"/>
  <c r="BG25" i="16" s="1"/>
  <c r="BN25" i="16" s="1"/>
  <c r="AF20" i="16"/>
  <c r="AG20" i="16" s="1"/>
  <c r="AX20" i="16" s="1"/>
  <c r="AY20" i="16" s="1"/>
  <c r="BF20" i="16" s="1"/>
  <c r="BG20" i="16" s="1"/>
  <c r="BN20" i="16" s="1"/>
  <c r="AF13" i="16"/>
  <c r="AG13" i="16" s="1"/>
  <c r="AX13" i="16" s="1"/>
  <c r="AY13" i="16" s="1"/>
  <c r="BF13" i="16" s="1"/>
  <c r="BG13" i="16" s="1"/>
  <c r="BN13" i="16" s="1"/>
  <c r="AT53" i="25"/>
  <c r="AU53" i="25" s="1"/>
  <c r="BV53" i="25" s="1"/>
  <c r="BW53" i="25" s="1"/>
  <c r="CD53" i="25" s="1"/>
  <c r="CE53" i="25" s="1"/>
  <c r="CL53" i="25" s="1"/>
  <c r="AT55" i="25"/>
  <c r="AU55" i="25" s="1"/>
  <c r="BV55" i="25" s="1"/>
  <c r="BW55" i="25" s="1"/>
  <c r="CD55" i="25" s="1"/>
  <c r="CE55" i="25" s="1"/>
  <c r="CL55" i="25" s="1"/>
  <c r="AT11" i="25"/>
  <c r="AU11" i="25" s="1"/>
  <c r="BV11" i="25" s="1"/>
  <c r="BW11" i="25" s="1"/>
  <c r="CD11" i="25" s="1"/>
  <c r="CE11" i="25" s="1"/>
  <c r="CL11" i="25" s="1"/>
  <c r="AT22" i="25"/>
  <c r="AU22" i="25" s="1"/>
  <c r="BV22" i="25" s="1"/>
  <c r="BW22" i="25" s="1"/>
  <c r="CD22" i="25" s="1"/>
  <c r="CE22" i="25" s="1"/>
  <c r="CL22" i="25" s="1"/>
  <c r="AT15" i="25"/>
  <c r="AU15" i="25" s="1"/>
  <c r="BV15" i="25" s="1"/>
  <c r="BW15" i="25" s="1"/>
  <c r="CD15" i="25" s="1"/>
  <c r="CE15" i="25" s="1"/>
  <c r="CL15" i="25" s="1"/>
  <c r="AT60" i="25"/>
  <c r="AU60" i="25" s="1"/>
  <c r="BV60" i="25" s="1"/>
  <c r="BW60" i="25" s="1"/>
  <c r="CD60" i="25" s="1"/>
  <c r="CE60" i="25" s="1"/>
  <c r="CL60" i="25" s="1"/>
  <c r="AU62" i="24"/>
  <c r="AV62" i="24" s="1"/>
  <c r="BU62" i="24" s="1"/>
  <c r="BV62" i="24" s="1"/>
  <c r="CC62" i="24" s="1"/>
  <c r="CH62" i="24" s="1"/>
  <c r="CO62" i="24" s="1"/>
  <c r="AU18" i="24"/>
  <c r="AV18" i="24" s="1"/>
  <c r="BU18" i="24" s="1"/>
  <c r="BV18" i="24" s="1"/>
  <c r="CC18" i="24" s="1"/>
  <c r="CH18" i="24" s="1"/>
  <c r="CO18" i="24" s="1"/>
  <c r="AU41" i="24"/>
  <c r="AV41" i="24" s="1"/>
  <c r="BU41" i="24" s="1"/>
  <c r="BV41" i="24" s="1"/>
  <c r="CC41" i="24" s="1"/>
  <c r="CH41" i="24" s="1"/>
  <c r="CO41" i="24" s="1"/>
  <c r="AU65" i="24"/>
  <c r="AV65" i="24" s="1"/>
  <c r="BU65" i="24" s="1"/>
  <c r="BV65" i="24" s="1"/>
  <c r="CC65" i="24" s="1"/>
  <c r="CH65" i="24" s="1"/>
  <c r="CO65" i="24" s="1"/>
  <c r="AU68" i="24"/>
  <c r="AU66" i="24"/>
  <c r="BB73" i="23"/>
  <c r="BC73" i="23" s="1"/>
  <c r="CD73" i="23" s="1"/>
  <c r="CE73" i="23" s="1"/>
  <c r="CL73" i="23" s="1"/>
  <c r="CM73" i="23" s="1"/>
  <c r="CT73" i="23" s="1"/>
  <c r="BB82" i="23"/>
  <c r="BC82" i="23" s="1"/>
  <c r="CD82" i="23" s="1"/>
  <c r="CE82" i="23" s="1"/>
  <c r="CL82" i="23" s="1"/>
  <c r="CM82" i="23" s="1"/>
  <c r="CT82" i="23" s="1"/>
  <c r="BB84" i="23"/>
  <c r="BC84" i="23" s="1"/>
  <c r="CD84" i="23" s="1"/>
  <c r="CE84" i="23" s="1"/>
  <c r="CL84" i="23" s="1"/>
  <c r="CM84" i="23" s="1"/>
  <c r="CT84" i="23" s="1"/>
  <c r="BB75" i="23"/>
  <c r="BC75" i="23" s="1"/>
  <c r="CD75" i="23" s="1"/>
  <c r="CE75" i="23" s="1"/>
  <c r="CL75" i="23" s="1"/>
  <c r="CM75" i="23" s="1"/>
  <c r="CT75" i="23" s="1"/>
  <c r="BF76" i="22"/>
  <c r="BG76" i="22" s="1"/>
  <c r="CG76" i="22" s="1"/>
  <c r="CH76" i="22" s="1"/>
  <c r="CO76" i="22" s="1"/>
  <c r="CT76" i="22" s="1"/>
  <c r="DA76" i="22" s="1"/>
  <c r="BF75" i="22"/>
  <c r="BG75" i="22" s="1"/>
  <c r="CG75" i="22" s="1"/>
  <c r="CH75" i="22" s="1"/>
  <c r="CO75" i="22" s="1"/>
  <c r="CT75" i="22" s="1"/>
  <c r="DA75" i="22" s="1"/>
  <c r="BF81" i="22"/>
  <c r="BG81" i="22" s="1"/>
  <c r="CG81" i="22" s="1"/>
  <c r="CH81" i="22" s="1"/>
  <c r="CO81" i="22" s="1"/>
  <c r="CT81" i="22" s="1"/>
  <c r="DA81" i="22" s="1"/>
  <c r="BF13" i="22"/>
  <c r="BG13" i="22" s="1"/>
  <c r="CG13" i="22" s="1"/>
  <c r="CH13" i="22" s="1"/>
  <c r="CO13" i="22" s="1"/>
  <c r="CT13" i="22" s="1"/>
  <c r="DA13" i="22" s="1"/>
  <c r="BF88" i="22"/>
  <c r="BG88" i="22" s="1"/>
  <c r="CG88" i="22" s="1"/>
  <c r="CH88" i="22" s="1"/>
  <c r="CO88" i="22" s="1"/>
  <c r="CT88" i="22" s="1"/>
  <c r="DA88" i="22" s="1"/>
  <c r="BF89" i="22"/>
  <c r="BG89" i="22" s="1"/>
  <c r="CG89" i="22" s="1"/>
  <c r="CH89" i="22" s="1"/>
  <c r="CO89" i="22" s="1"/>
  <c r="CT89" i="22" s="1"/>
  <c r="DA89" i="22" s="1"/>
  <c r="BF85" i="22"/>
  <c r="BG85" i="22" s="1"/>
  <c r="CG85" i="22" s="1"/>
  <c r="CH85" i="22" s="1"/>
  <c r="CO85" i="22" s="1"/>
  <c r="CT85" i="22" s="1"/>
  <c r="DA85" i="22" s="1"/>
  <c r="BF14" i="22"/>
  <c r="BF92" i="22"/>
  <c r="BG92" i="22" s="1"/>
  <c r="CG92" i="22" s="1"/>
  <c r="CH92" i="22" s="1"/>
  <c r="CO92" i="22" s="1"/>
  <c r="CT92" i="22" s="1"/>
  <c r="DA92" i="22" s="1"/>
  <c r="BF86" i="22"/>
  <c r="BF16" i="22"/>
  <c r="BF80" i="22"/>
  <c r="BG80" i="22" s="1"/>
  <c r="CG80" i="22" s="1"/>
  <c r="CH80" i="22" s="1"/>
  <c r="CO80" i="22" s="1"/>
  <c r="CT80" i="22" s="1"/>
  <c r="DA80" i="22" s="1"/>
  <c r="BF79" i="22"/>
  <c r="BG79" i="22" s="1"/>
  <c r="CG79" i="22" s="1"/>
  <c r="CH79" i="22" s="1"/>
  <c r="CO79" i="22" s="1"/>
  <c r="CT79" i="22" s="1"/>
  <c r="DA79" i="22" s="1"/>
  <c r="BF23" i="22"/>
  <c r="BG23" i="22" s="1"/>
  <c r="CG23" i="22" s="1"/>
  <c r="CH23" i="22" s="1"/>
  <c r="CO23" i="22" s="1"/>
  <c r="CT23" i="22" s="1"/>
  <c r="DA23" i="22" s="1"/>
  <c r="BF25" i="22"/>
  <c r="BF20" i="22"/>
  <c r="DH34" i="25" l="1"/>
  <c r="DI34" i="25" s="1"/>
  <c r="DM34" i="25" s="1"/>
  <c r="BI11" i="21"/>
  <c r="BV13" i="16"/>
  <c r="BV20" i="16"/>
  <c r="BV25" i="16"/>
  <c r="BI15" i="21"/>
  <c r="CD16" i="19"/>
  <c r="CN26" i="29"/>
  <c r="CT60" i="25"/>
  <c r="CT15" i="25"/>
  <c r="CT22" i="25"/>
  <c r="CT11" i="25"/>
  <c r="CT55" i="25"/>
  <c r="CT53" i="25"/>
  <c r="BX11" i="19"/>
  <c r="CB11" i="19" s="1"/>
  <c r="CC11" i="19" s="1"/>
  <c r="AK11" i="19"/>
  <c r="BF11" i="19" s="1"/>
  <c r="BG11" i="19" s="1"/>
  <c r="BN11" i="19" s="1"/>
  <c r="BO11" i="19" s="1"/>
  <c r="BV11" i="19" s="1"/>
  <c r="CD17" i="29"/>
  <c r="CL17" i="29" s="1"/>
  <c r="CM17" i="29" s="1"/>
  <c r="AP17" i="29"/>
  <c r="BL17" i="29" s="1"/>
  <c r="BM17" i="29" s="1"/>
  <c r="BT17" i="29" s="1"/>
  <c r="BU17" i="29" s="1"/>
  <c r="CB17" i="29" s="1"/>
  <c r="CZ65" i="24"/>
  <c r="CZ41" i="24"/>
  <c r="CZ62" i="24"/>
  <c r="CZ18" i="24"/>
  <c r="DI79" i="22"/>
  <c r="DI75" i="22"/>
  <c r="DI88" i="22"/>
  <c r="DI81" i="22"/>
  <c r="DI23" i="22"/>
  <c r="DI80" i="22"/>
  <c r="DI76" i="22"/>
  <c r="DI92" i="22"/>
  <c r="DI85" i="22"/>
  <c r="DI13" i="22"/>
  <c r="DI89" i="22"/>
  <c r="DE75" i="23"/>
  <c r="DE73" i="23"/>
  <c r="DE84" i="23"/>
  <c r="DE82" i="23"/>
  <c r="CQ68" i="24"/>
  <c r="CX68" i="24" s="1"/>
  <c r="CY68" i="24" s="1"/>
  <c r="AV68" i="24"/>
  <c r="BU68" i="24" s="1"/>
  <c r="BV68" i="24" s="1"/>
  <c r="CC68" i="24" s="1"/>
  <c r="CH68" i="24" s="1"/>
  <c r="CO68" i="24" s="1"/>
  <c r="CQ66" i="24"/>
  <c r="CX66" i="24" s="1"/>
  <c r="CY66" i="24" s="1"/>
  <c r="AV66" i="24"/>
  <c r="BU66" i="24" s="1"/>
  <c r="BV66" i="24" s="1"/>
  <c r="CC66" i="24" s="1"/>
  <c r="CH66" i="24" s="1"/>
  <c r="CO66" i="24" s="1"/>
  <c r="DC16" i="22"/>
  <c r="DG16" i="22" s="1"/>
  <c r="BG16" i="22"/>
  <c r="CG16" i="22" s="1"/>
  <c r="CH16" i="22" s="1"/>
  <c r="CO16" i="22" s="1"/>
  <c r="CT16" i="22" s="1"/>
  <c r="DA16" i="22" s="1"/>
  <c r="DC86" i="22"/>
  <c r="DG86" i="22" s="1"/>
  <c r="DH86" i="22" s="1"/>
  <c r="BG86" i="22"/>
  <c r="CG86" i="22" s="1"/>
  <c r="CH86" i="22" s="1"/>
  <c r="CO86" i="22" s="1"/>
  <c r="CT86" i="22" s="1"/>
  <c r="DA86" i="22" s="1"/>
  <c r="DC14" i="22"/>
  <c r="DG14" i="22" s="1"/>
  <c r="DH14" i="22" s="1"/>
  <c r="BG14" i="22"/>
  <c r="CG14" i="22" s="1"/>
  <c r="CH14" i="22" s="1"/>
  <c r="CO14" i="22" s="1"/>
  <c r="CT14" i="22" s="1"/>
  <c r="DA14" i="22" s="1"/>
  <c r="DC20" i="22"/>
  <c r="DG20" i="22" s="1"/>
  <c r="DH20" i="22" s="1"/>
  <c r="BG20" i="22"/>
  <c r="CG20" i="22" s="1"/>
  <c r="CH20" i="22" s="1"/>
  <c r="CO20" i="22" s="1"/>
  <c r="CT20" i="22" s="1"/>
  <c r="DA20" i="22" s="1"/>
  <c r="DC25" i="22"/>
  <c r="DG25" i="22" s="1"/>
  <c r="DH25" i="22" s="1"/>
  <c r="BG25" i="22"/>
  <c r="CG25" i="22" s="1"/>
  <c r="CH25" i="22" s="1"/>
  <c r="CO25" i="22" s="1"/>
  <c r="CT25" i="22" s="1"/>
  <c r="DA25" i="22" s="1"/>
  <c r="BP13" i="16"/>
  <c r="BT13" i="16" s="1"/>
  <c r="BU13" i="16" s="1"/>
  <c r="CV73" i="23"/>
  <c r="DC73" i="23" s="1"/>
  <c r="DD73" i="23" s="1"/>
  <c r="CV82" i="23"/>
  <c r="DC82" i="23" s="1"/>
  <c r="DD82" i="23" s="1"/>
  <c r="CV84" i="23"/>
  <c r="DC84" i="23" s="1"/>
  <c r="DD84" i="23" s="1"/>
  <c r="CV75" i="23"/>
  <c r="DC75" i="23" s="1"/>
  <c r="DD75" i="23" s="1"/>
  <c r="DC89" i="22"/>
  <c r="DG89" i="22" s="1"/>
  <c r="DC80" i="22"/>
  <c r="DG80" i="22" s="1"/>
  <c r="DC79" i="22"/>
  <c r="DG79" i="22" s="1"/>
  <c r="CQ41" i="24"/>
  <c r="CX41" i="24" s="1"/>
  <c r="CY41" i="24" s="1"/>
  <c r="CQ62" i="24"/>
  <c r="CX62" i="24" s="1"/>
  <c r="CY62" i="24" s="1"/>
  <c r="CQ18" i="24"/>
  <c r="CX18" i="24" s="1"/>
  <c r="CY18" i="24" s="1"/>
  <c r="CN22" i="25"/>
  <c r="CR22" i="25" s="1"/>
  <c r="CS22" i="25" s="1"/>
  <c r="CN11" i="25"/>
  <c r="CR11" i="25" s="1"/>
  <c r="CS11" i="25" s="1"/>
  <c r="BD15" i="21"/>
  <c r="BG15" i="21" s="1"/>
  <c r="BH15" i="21" s="1"/>
  <c r="BP20" i="16"/>
  <c r="BT20" i="16" s="1"/>
  <c r="BU20" i="16" s="1"/>
  <c r="DN82" i="23" l="1"/>
  <c r="DO82" i="23" s="1"/>
  <c r="DV82" i="23" s="1"/>
  <c r="DW82" i="23" s="1"/>
  <c r="DY82" i="23" s="1"/>
  <c r="DB22" i="25"/>
  <c r="DC22" i="25" s="1"/>
  <c r="DH22" i="25" s="1"/>
  <c r="DI22" i="25" s="1"/>
  <c r="DM22" i="25" s="1"/>
  <c r="DB11" i="25"/>
  <c r="DC11" i="25" s="1"/>
  <c r="DH11" i="25" s="1"/>
  <c r="DI11" i="25" s="1"/>
  <c r="DM11" i="25" s="1"/>
  <c r="CC13" i="16"/>
  <c r="CD13" i="16" s="1"/>
  <c r="CK13" i="16" s="1"/>
  <c r="CL13" i="16" s="1"/>
  <c r="CP13" i="16" s="1"/>
  <c r="DN75" i="23"/>
  <c r="DO75" i="23" s="1"/>
  <c r="DV75" i="23" s="1"/>
  <c r="DW75" i="23" s="1"/>
  <c r="DY75" i="23" s="1"/>
  <c r="DN73" i="23"/>
  <c r="DO73" i="23" s="1"/>
  <c r="DV73" i="23" s="1"/>
  <c r="DW73" i="23" s="1"/>
  <c r="DY73" i="23" s="1"/>
  <c r="CC20" i="16"/>
  <c r="CD20" i="16" s="1"/>
  <c r="CK20" i="16" s="1"/>
  <c r="CL20" i="16" s="1"/>
  <c r="CP20" i="16" s="1"/>
  <c r="DH18" i="24"/>
  <c r="DI18" i="24" s="1"/>
  <c r="DQ18" i="24" s="1"/>
  <c r="DR18" i="24" s="1"/>
  <c r="DV18" i="24" s="1"/>
  <c r="DH62" i="24"/>
  <c r="DI62" i="24" s="1"/>
  <c r="DQ62" i="24" s="1"/>
  <c r="DR62" i="24" s="1"/>
  <c r="DV62" i="24" s="1"/>
  <c r="DH41" i="24"/>
  <c r="DI41" i="24" s="1"/>
  <c r="DQ41" i="24" s="1"/>
  <c r="DR41" i="24" s="1"/>
  <c r="DV41" i="24" s="1"/>
  <c r="DN84" i="23"/>
  <c r="DO84" i="23" s="1"/>
  <c r="DV84" i="23" s="1"/>
  <c r="DW84" i="23" s="1"/>
  <c r="DY84" i="23" s="1"/>
  <c r="BP15" i="21"/>
  <c r="BQ15" i="21" s="1"/>
  <c r="BX15" i="21" s="1"/>
  <c r="BY15" i="21" s="1"/>
  <c r="CB15" i="21" s="1"/>
  <c r="CD11" i="19"/>
  <c r="CL11" i="19" s="1"/>
  <c r="CM11" i="19" s="1"/>
  <c r="CR11" i="19" s="1"/>
  <c r="CS11" i="19" s="1"/>
  <c r="CW11" i="19" s="1"/>
  <c r="CN17" i="29"/>
  <c r="CW17" i="29" s="1"/>
  <c r="CX17" i="29" s="1"/>
  <c r="DF17" i="29" s="1"/>
  <c r="DG17" i="29" s="1"/>
  <c r="DJ17" i="29" s="1"/>
  <c r="CZ66" i="24"/>
  <c r="DH66" i="24" s="1"/>
  <c r="DI66" i="24" s="1"/>
  <c r="DQ66" i="24" s="1"/>
  <c r="DR66" i="24" s="1"/>
  <c r="DV66" i="24" s="1"/>
  <c r="CZ68" i="24"/>
  <c r="DH68" i="24" s="1"/>
  <c r="DI68" i="24" s="1"/>
  <c r="DQ68" i="24" s="1"/>
  <c r="DR68" i="24" s="1"/>
  <c r="DV68" i="24" s="1"/>
  <c r="DI86" i="22"/>
  <c r="DP86" i="22" s="1"/>
  <c r="DQ86" i="22" s="1"/>
  <c r="DX86" i="22" s="1"/>
  <c r="DY86" i="22" s="1"/>
  <c r="EB86" i="22" s="1"/>
  <c r="DI20" i="22"/>
  <c r="DP20" i="22" s="1"/>
  <c r="DQ20" i="22" s="1"/>
  <c r="DX20" i="22" s="1"/>
  <c r="DY20" i="22" s="1"/>
  <c r="EB20" i="22" s="1"/>
  <c r="DI16" i="22"/>
  <c r="DI14" i="22"/>
  <c r="DP14" i="22" s="1"/>
  <c r="DQ14" i="22" s="1"/>
  <c r="DX14" i="22" s="1"/>
  <c r="DY14" i="22" s="1"/>
  <c r="EB14" i="22" s="1"/>
  <c r="DI25" i="22"/>
  <c r="DP25" i="22" s="1"/>
  <c r="DQ25" i="22" s="1"/>
  <c r="DX25" i="22" s="1"/>
  <c r="DY25" i="22" s="1"/>
  <c r="EB25" i="22" s="1"/>
  <c r="DH89" i="22"/>
  <c r="DP89" i="22" s="1"/>
  <c r="DQ89" i="22" s="1"/>
  <c r="DX89" i="22" s="1"/>
  <c r="DY89" i="22" s="1"/>
  <c r="EB89" i="22" s="1"/>
  <c r="DH79" i="22"/>
  <c r="DP79" i="22" s="1"/>
  <c r="DQ79" i="22" s="1"/>
  <c r="DX79" i="22" s="1"/>
  <c r="DY79" i="22" s="1"/>
  <c r="EB79" i="22" s="1"/>
  <c r="DH16" i="22"/>
  <c r="DH80" i="22"/>
  <c r="DP80" i="22" s="1"/>
  <c r="DQ80" i="22" s="1"/>
  <c r="DX80" i="22" s="1"/>
  <c r="DY80" i="22" s="1"/>
  <c r="EB80" i="22" s="1"/>
  <c r="DC75" i="22"/>
  <c r="DG75" i="22" s="1"/>
  <c r="DC85" i="22"/>
  <c r="DG85" i="22" s="1"/>
  <c r="DC88" i="22"/>
  <c r="DG88" i="22" s="1"/>
  <c r="DC13" i="22"/>
  <c r="DG13" i="22" s="1"/>
  <c r="DC23" i="22"/>
  <c r="DG23" i="22" s="1"/>
  <c r="BX16" i="19"/>
  <c r="CB16" i="19" s="1"/>
  <c r="CC16" i="19" s="1"/>
  <c r="CL16" i="19" s="1"/>
  <c r="CM16" i="19" s="1"/>
  <c r="CR16" i="19" s="1"/>
  <c r="CS16" i="19" s="1"/>
  <c r="CW16" i="19" s="1"/>
  <c r="BP25" i="16"/>
  <c r="BT25" i="16" s="1"/>
  <c r="BU25" i="16" s="1"/>
  <c r="CC25" i="16" s="1"/>
  <c r="CD25" i="16" s="1"/>
  <c r="CK25" i="16" s="1"/>
  <c r="CL25" i="16" s="1"/>
  <c r="CP25" i="16" s="1"/>
  <c r="CN53" i="25"/>
  <c r="CR53" i="25" s="1"/>
  <c r="CS53" i="25" s="1"/>
  <c r="CN60" i="25"/>
  <c r="CR60" i="25" s="1"/>
  <c r="CS60" i="25" s="1"/>
  <c r="DC92" i="22"/>
  <c r="DG92" i="22" s="1"/>
  <c r="CN55" i="25"/>
  <c r="CR55" i="25" s="1"/>
  <c r="CS55" i="25" s="1"/>
  <c r="CN15" i="25"/>
  <c r="CR15" i="25" s="1"/>
  <c r="CS15" i="25" s="1"/>
  <c r="CQ65" i="24"/>
  <c r="CX65" i="24" s="1"/>
  <c r="CY65" i="24" s="1"/>
  <c r="DH65" i="24" s="1"/>
  <c r="DI65" i="24" s="1"/>
  <c r="DQ65" i="24" s="1"/>
  <c r="DR65" i="24" s="1"/>
  <c r="DV65" i="24" s="1"/>
  <c r="DC76" i="22"/>
  <c r="DG76" i="22" s="1"/>
  <c r="DC81" i="22"/>
  <c r="DG81" i="22" s="1"/>
  <c r="BD11" i="21"/>
  <c r="BG11" i="21" s="1"/>
  <c r="BH11" i="21" s="1"/>
  <c r="BP11" i="21" s="1"/>
  <c r="BQ11" i="21" s="1"/>
  <c r="BX11" i="21" s="1"/>
  <c r="BY11" i="21" s="1"/>
  <c r="DB60" i="25" l="1"/>
  <c r="DC60" i="25" s="1"/>
  <c r="DH60" i="25" s="1"/>
  <c r="DI60" i="25" s="1"/>
  <c r="DM60" i="25" s="1"/>
  <c r="DB15" i="25"/>
  <c r="DC15" i="25" s="1"/>
  <c r="DH15" i="25" s="1"/>
  <c r="DI15" i="25" s="1"/>
  <c r="DM15" i="25" s="1"/>
  <c r="DB55" i="25"/>
  <c r="DC55" i="25" s="1"/>
  <c r="DH55" i="25" s="1"/>
  <c r="DI55" i="25" s="1"/>
  <c r="DM55" i="25" s="1"/>
  <c r="DB53" i="25"/>
  <c r="DC53" i="25" s="1"/>
  <c r="DH53" i="25" s="1"/>
  <c r="DI53" i="25" s="1"/>
  <c r="DM53" i="25" s="1"/>
  <c r="DP16" i="22"/>
  <c r="DQ16" i="22" s="1"/>
  <c r="DX16" i="22" s="1"/>
  <c r="DY16" i="22" s="1"/>
  <c r="EB16" i="22" s="1"/>
  <c r="DH76" i="22"/>
  <c r="DP76" i="22" s="1"/>
  <c r="DQ76" i="22" s="1"/>
  <c r="DX76" i="22" s="1"/>
  <c r="DY76" i="22" s="1"/>
  <c r="EB76" i="22" s="1"/>
  <c r="DH75" i="22"/>
  <c r="DP75" i="22" s="1"/>
  <c r="DQ75" i="22" s="1"/>
  <c r="DX75" i="22" s="1"/>
  <c r="DY75" i="22" s="1"/>
  <c r="EB75" i="22" s="1"/>
  <c r="DH81" i="22"/>
  <c r="DP81" i="22" s="1"/>
  <c r="DQ81" i="22" s="1"/>
  <c r="DX81" i="22" s="1"/>
  <c r="DY81" i="22" s="1"/>
  <c r="EB81" i="22" s="1"/>
  <c r="DH23" i="22"/>
  <c r="DP23" i="22" s="1"/>
  <c r="DQ23" i="22" s="1"/>
  <c r="DX23" i="22" s="1"/>
  <c r="DY23" i="22" s="1"/>
  <c r="EB23" i="22" s="1"/>
  <c r="DH13" i="22"/>
  <c r="DP13" i="22" s="1"/>
  <c r="DQ13" i="22" s="1"/>
  <c r="DX13" i="22" s="1"/>
  <c r="DY13" i="22" s="1"/>
  <c r="EB13" i="22" s="1"/>
  <c r="DH88" i="22"/>
  <c r="DP88" i="22" s="1"/>
  <c r="DQ88" i="22" s="1"/>
  <c r="DX88" i="22" s="1"/>
  <c r="DY88" i="22" s="1"/>
  <c r="EB88" i="22" s="1"/>
  <c r="DH92" i="22"/>
  <c r="DP92" i="22" s="1"/>
  <c r="DQ92" i="22" s="1"/>
  <c r="DX92" i="22" s="1"/>
  <c r="DY92" i="22" s="1"/>
  <c r="EB92" i="22" s="1"/>
  <c r="DH85" i="22"/>
  <c r="DP85" i="22" s="1"/>
  <c r="DQ85" i="22" s="1"/>
  <c r="DX85" i="22" s="1"/>
  <c r="DY85" i="22" s="1"/>
  <c r="EB85" i="22" s="1"/>
  <c r="CD26" i="29"/>
  <c r="CL26" i="29" s="1"/>
  <c r="CM26" i="29" s="1"/>
  <c r="CW26" i="29" s="1"/>
  <c r="CX26" i="29" s="1"/>
  <c r="DF26" i="29" s="1"/>
  <c r="DG26" i="29" s="1"/>
  <c r="DJ26" i="29" s="1"/>
  <c r="R14" i="19"/>
  <c r="S14" i="19" s="1"/>
  <c r="AJ14" i="19" s="1"/>
  <c r="AK14" i="19" s="1"/>
  <c r="BF14" i="19" s="1"/>
  <c r="BG14" i="19" s="1"/>
  <c r="BN14" i="19" s="1"/>
  <c r="BO14" i="19" s="1"/>
  <c r="BV14" i="19" s="1"/>
  <c r="Y16" i="1"/>
  <c r="Z16" i="1" s="1"/>
  <c r="AM16" i="1" s="1"/>
  <c r="AN16" i="1" s="1"/>
  <c r="BE16" i="1" s="1"/>
  <c r="BF16" i="1" s="1"/>
  <c r="BM16" i="1" s="1"/>
  <c r="BS16" i="1" s="1"/>
  <c r="BZ16" i="1" s="1"/>
  <c r="Q11" i="28"/>
  <c r="R11" i="28" s="1"/>
  <c r="Z11" i="28" s="1"/>
  <c r="AA11" i="28" s="1"/>
  <c r="AL11" i="28" s="1"/>
  <c r="AM11" i="28" s="1"/>
  <c r="AT11" i="28" s="1"/>
  <c r="AU11" i="28" s="1"/>
  <c r="BB11" i="28" s="1"/>
  <c r="AE64" i="24"/>
  <c r="AF64" i="24" s="1"/>
  <c r="AU64" i="24" s="1"/>
  <c r="AV64" i="24" s="1"/>
  <c r="BU64" i="24" s="1"/>
  <c r="BV64" i="24" s="1"/>
  <c r="CC64" i="24" s="1"/>
  <c r="CH64" i="24" s="1"/>
  <c r="CO64" i="24" s="1"/>
  <c r="AE63" i="24"/>
  <c r="AF63" i="24" s="1"/>
  <c r="AU63" i="24" s="1"/>
  <c r="AV63" i="24" s="1"/>
  <c r="BU63" i="24" s="1"/>
  <c r="BV63" i="24" s="1"/>
  <c r="CC63" i="24" s="1"/>
  <c r="CH63" i="24" s="1"/>
  <c r="CO63" i="24" s="1"/>
  <c r="AE23" i="24"/>
  <c r="AF23" i="24" s="1"/>
  <c r="AU23" i="24" s="1"/>
  <c r="AV23" i="24" s="1"/>
  <c r="BU23" i="24" s="1"/>
  <c r="BV23" i="24" s="1"/>
  <c r="CC23" i="24" s="1"/>
  <c r="CH23" i="24" s="1"/>
  <c r="CO23" i="24" s="1"/>
  <c r="AF78" i="22"/>
  <c r="AG78" i="22" s="1"/>
  <c r="BF78" i="22" s="1"/>
  <c r="BG78" i="22" s="1"/>
  <c r="CG78" i="22" s="1"/>
  <c r="CH78" i="22" s="1"/>
  <c r="CO78" i="22" s="1"/>
  <c r="CT78" i="22" s="1"/>
  <c r="DA78" i="22" s="1"/>
  <c r="BK11" i="28" l="1"/>
  <c r="CD16" i="1"/>
  <c r="CD14" i="19"/>
  <c r="CZ63" i="24"/>
  <c r="CZ23" i="24"/>
  <c r="CZ64" i="24"/>
  <c r="DI78" i="22"/>
  <c r="CQ64" i="24"/>
  <c r="CX64" i="24" s="1"/>
  <c r="CY64" i="24" s="1"/>
  <c r="CQ63" i="24"/>
  <c r="CX63" i="24" s="1"/>
  <c r="CY63" i="24" s="1"/>
  <c r="CQ23" i="24"/>
  <c r="CX23" i="24" s="1"/>
  <c r="CY23" i="24" s="1"/>
  <c r="BD11" i="28"/>
  <c r="BI11" i="28" s="1"/>
  <c r="BJ11" i="28" s="1"/>
  <c r="DC78" i="22"/>
  <c r="DG78" i="22" s="1"/>
  <c r="BX14" i="19"/>
  <c r="CB14" i="19" s="1"/>
  <c r="CC14" i="19" s="1"/>
  <c r="BN16" i="1"/>
  <c r="CB16" i="1" s="1"/>
  <c r="BR11" i="28" l="1"/>
  <c r="BS11" i="28" s="1"/>
  <c r="BY11" i="28" s="1"/>
  <c r="BZ11" i="28" s="1"/>
  <c r="DH64" i="24"/>
  <c r="DI64" i="24" s="1"/>
  <c r="DQ64" i="24" s="1"/>
  <c r="DR64" i="24" s="1"/>
  <c r="DV64" i="24" s="1"/>
  <c r="DH23" i="24"/>
  <c r="DI23" i="24" s="1"/>
  <c r="DQ23" i="24" s="1"/>
  <c r="DR23" i="24" s="1"/>
  <c r="DV23" i="24" s="1"/>
  <c r="CL14" i="19"/>
  <c r="CM14" i="19" s="1"/>
  <c r="CR14" i="19" s="1"/>
  <c r="CS14" i="19" s="1"/>
  <c r="CW14" i="19" s="1"/>
  <c r="CC16" i="1"/>
  <c r="CK16" i="1" s="1"/>
  <c r="CL16" i="1" s="1"/>
  <c r="CR16" i="1" s="1"/>
  <c r="CS16" i="1" s="1"/>
  <c r="CW16" i="1" s="1"/>
  <c r="DH63" i="24"/>
  <c r="DI63" i="24" s="1"/>
  <c r="DQ63" i="24" s="1"/>
  <c r="DR63" i="24" s="1"/>
  <c r="DV63" i="24" s="1"/>
  <c r="DH78" i="22"/>
  <c r="DP78" i="22" s="1"/>
  <c r="DQ78" i="22" s="1"/>
  <c r="DX78" i="22" s="1"/>
  <c r="DY78" i="22" s="1"/>
  <c r="EB78" i="22" s="1"/>
  <c r="Y19" i="17"/>
  <c r="Z19" i="17" s="1"/>
  <c r="AO19" i="17" s="1"/>
  <c r="AP19" i="17" s="1"/>
  <c r="BK19" i="17" s="1"/>
  <c r="BL19" i="17" s="1"/>
  <c r="BS19" i="17" s="1"/>
  <c r="BT19" i="17" s="1"/>
  <c r="CA19" i="17" s="1"/>
  <c r="CK19" i="17" l="1"/>
  <c r="CC19" i="17"/>
  <c r="CI19" i="17" s="1"/>
  <c r="CJ19" i="17" s="1"/>
  <c r="H14" i="21"/>
  <c r="I14" i="21" s="1"/>
  <c r="U14" i="21" s="1"/>
  <c r="V14" i="21" s="1"/>
  <c r="AL14" i="21" s="1"/>
  <c r="AM14" i="21" s="1"/>
  <c r="AT14" i="21" s="1"/>
  <c r="AU14" i="21" s="1"/>
  <c r="BB14" i="21" s="1"/>
  <c r="CT19" i="17" l="1"/>
  <c r="CU19" i="17" s="1"/>
  <c r="DB19" i="17" s="1"/>
  <c r="DC19" i="17" s="1"/>
  <c r="DF19" i="17" s="1"/>
  <c r="BI14" i="21"/>
  <c r="BD14" i="21"/>
  <c r="BG14" i="21" s="1"/>
  <c r="BH14" i="21" s="1"/>
  <c r="BP14" i="21" l="1"/>
  <c r="BQ14" i="21" s="1"/>
  <c r="BX14" i="21" s="1"/>
  <c r="BY14" i="21" s="1"/>
  <c r="CB14" i="21" s="1"/>
</calcChain>
</file>

<file path=xl/sharedStrings.xml><?xml version="1.0" encoding="utf-8"?>
<sst xmlns="http://schemas.openxmlformats.org/spreadsheetml/2006/main" count="4191" uniqueCount="738">
  <si>
    <t>CATEG.</t>
  </si>
  <si>
    <t>SEXO</t>
  </si>
  <si>
    <t>PESO</t>
  </si>
  <si>
    <t>FEDERACION DE JUDO DE CHILE</t>
  </si>
  <si>
    <t>NOMBRE</t>
  </si>
  <si>
    <t>CLUB</t>
  </si>
  <si>
    <t>TOTAL</t>
  </si>
  <si>
    <t>F</t>
  </si>
  <si>
    <t>PUDETO</t>
  </si>
  <si>
    <t>YAMA HARASHI</t>
  </si>
  <si>
    <t>PUDAHUEL</t>
  </si>
  <si>
    <t>NICOLAS</t>
  </si>
  <si>
    <t>JOSE</t>
  </si>
  <si>
    <t>FRANCISCO</t>
  </si>
  <si>
    <t>SHIRU</t>
  </si>
  <si>
    <t>MAHO</t>
  </si>
  <si>
    <t>PANGUI</t>
  </si>
  <si>
    <t>LUCAS</t>
  </si>
  <si>
    <t>KUMIKATA</t>
  </si>
  <si>
    <t>MAGOTACHI</t>
  </si>
  <si>
    <t>CONSTANZA</t>
  </si>
  <si>
    <t>GABRIELA</t>
  </si>
  <si>
    <t>APELLIDOS</t>
  </si>
  <si>
    <t>MARTINA</t>
  </si>
  <si>
    <t>NAC</t>
  </si>
  <si>
    <t>LEONES TARAPACA</t>
  </si>
  <si>
    <t>M100</t>
  </si>
  <si>
    <t>RE</t>
  </si>
  <si>
    <t>XII</t>
  </si>
  <si>
    <t>SUB 21</t>
  </si>
  <si>
    <t>M</t>
  </si>
  <si>
    <t>PE</t>
  </si>
  <si>
    <t>PERU</t>
  </si>
  <si>
    <t>GUTIERREZ</t>
  </si>
  <si>
    <t>ALVAREZ</t>
  </si>
  <si>
    <t>MORENO</t>
  </si>
  <si>
    <t>SUZUKI</t>
  </si>
  <si>
    <t>PORTILLA</t>
  </si>
  <si>
    <t>SILVA</t>
  </si>
  <si>
    <t>EASTMAN</t>
  </si>
  <si>
    <t>SANDOVAL</t>
  </si>
  <si>
    <t>PEREZ</t>
  </si>
  <si>
    <t xml:space="preserve">CARPIO </t>
  </si>
  <si>
    <t>CARPIO</t>
  </si>
  <si>
    <t>HERNANDEZ</t>
  </si>
  <si>
    <t>TOMAS</t>
  </si>
  <si>
    <t>SHOGAI ÑUÑOA</t>
  </si>
  <si>
    <t>CASTRO</t>
  </si>
  <si>
    <t>SAKURA NEWEN</t>
  </si>
  <si>
    <t>VENEGAS</t>
  </si>
  <si>
    <t>NAGASAKI</t>
  </si>
  <si>
    <t>ORELLANA</t>
  </si>
  <si>
    <t>GALLARDO</t>
  </si>
  <si>
    <t>BUDOKAN</t>
  </si>
  <si>
    <t>XV</t>
  </si>
  <si>
    <t>DIAZ</t>
  </si>
  <si>
    <t>I</t>
  </si>
  <si>
    <t>ROJAS</t>
  </si>
  <si>
    <t>LUIS</t>
  </si>
  <si>
    <t>GOMEZ</t>
  </si>
  <si>
    <t>BENJAMIN</t>
  </si>
  <si>
    <t>VIII</t>
  </si>
  <si>
    <t>ALEJANDRO</t>
  </si>
  <si>
    <t>SEBASTIAN</t>
  </si>
  <si>
    <t>GARCIA</t>
  </si>
  <si>
    <t>VALENTINA</t>
  </si>
  <si>
    <t>IX</t>
  </si>
  <si>
    <t>CASAS</t>
  </si>
  <si>
    <t>IAN</t>
  </si>
  <si>
    <t>SHIN YU</t>
  </si>
  <si>
    <t>FIGUEROA</t>
  </si>
  <si>
    <t>JORGE</t>
  </si>
  <si>
    <t>NA CC</t>
  </si>
  <si>
    <t>STGO</t>
  </si>
  <si>
    <t>MUÑOZ</t>
  </si>
  <si>
    <t>ZENRYOKU</t>
  </si>
  <si>
    <t>RIO CRUCES</t>
  </si>
  <si>
    <t>ANAHIS</t>
  </si>
  <si>
    <t>ANTONIA</t>
  </si>
  <si>
    <t>JIMENEZ</t>
  </si>
  <si>
    <t>ANTONELLA</t>
  </si>
  <si>
    <t>CATALAN</t>
  </si>
  <si>
    <t>QUEZADA</t>
  </si>
  <si>
    <t>LEIVA</t>
  </si>
  <si>
    <t>JUAN</t>
  </si>
  <si>
    <t>ASTO</t>
  </si>
  <si>
    <t>OSCAR</t>
  </si>
  <si>
    <t>PAREDES</t>
  </si>
  <si>
    <t>DIEGO</t>
  </si>
  <si>
    <t>AGUSTIN</t>
  </si>
  <si>
    <t>SOTO</t>
  </si>
  <si>
    <t>BRIAN</t>
  </si>
  <si>
    <t>VEGA</t>
  </si>
  <si>
    <t>POBLETE</t>
  </si>
  <si>
    <t>SAMARA</t>
  </si>
  <si>
    <t>CACERES</t>
  </si>
  <si>
    <t>GALAZ</t>
  </si>
  <si>
    <t>AGUILAR</t>
  </si>
  <si>
    <t>VASQUEZ</t>
  </si>
  <si>
    <t>NA ZS</t>
  </si>
  <si>
    <t>PAN</t>
  </si>
  <si>
    <t>SAN MARTIN</t>
  </si>
  <si>
    <t>FUJIYAMA</t>
  </si>
  <si>
    <t>KOSAI</t>
  </si>
  <si>
    <t>MARTIN</t>
  </si>
  <si>
    <t>URRA</t>
  </si>
  <si>
    <t>PATRICIO</t>
  </si>
  <si>
    <t>JAVIERA</t>
  </si>
  <si>
    <t>ESCOBAR</t>
  </si>
  <si>
    <t>MEYER</t>
  </si>
  <si>
    <t>FABRICIO</t>
  </si>
  <si>
    <t>CARAB ARICA</t>
  </si>
  <si>
    <t>GUAJARDO</t>
  </si>
  <si>
    <t>FELIPE</t>
  </si>
  <si>
    <t>CASTELLANOS</t>
  </si>
  <si>
    <t>MALDONADO</t>
  </si>
  <si>
    <t>JOFRE</t>
  </si>
  <si>
    <t>SELEC</t>
  </si>
  <si>
    <t>RAMOS</t>
  </si>
  <si>
    <t>HIROSHIMA</t>
  </si>
  <si>
    <t>JOAQUIN</t>
  </si>
  <si>
    <t>MATIAS</t>
  </si>
  <si>
    <t>SEISHIN</t>
  </si>
  <si>
    <t>MARTINEZ</t>
  </si>
  <si>
    <t>AMMY</t>
  </si>
  <si>
    <t>V</t>
  </si>
  <si>
    <t>CRISTOBAL</t>
  </si>
  <si>
    <t>CARDENAS</t>
  </si>
  <si>
    <t>III-IV</t>
  </si>
  <si>
    <t>RISEI SAKURA</t>
  </si>
  <si>
    <t>II</t>
  </si>
  <si>
    <t>DINASTIA</t>
  </si>
  <si>
    <t>ZS</t>
  </si>
  <si>
    <t>SJM</t>
  </si>
  <si>
    <t>ZC</t>
  </si>
  <si>
    <t>VIÑA</t>
  </si>
  <si>
    <t>GONZALEZ</t>
  </si>
  <si>
    <t>DANIEL</t>
  </si>
  <si>
    <t>SAMURAI</t>
  </si>
  <si>
    <t>FRANCISCA</t>
  </si>
  <si>
    <t>IQQ</t>
  </si>
  <si>
    <t>ZN</t>
  </si>
  <si>
    <t>LUCIANO</t>
  </si>
  <si>
    <t>CARLOS</t>
  </si>
  <si>
    <t>HUERTA</t>
  </si>
  <si>
    <t>CHOL CHOL</t>
  </si>
  <si>
    <t>NA ZC</t>
  </si>
  <si>
    <t>CHAVEZ</t>
  </si>
  <si>
    <t>IRIGOYEN</t>
  </si>
  <si>
    <t>XIV</t>
  </si>
  <si>
    <t>CALISAYA</t>
  </si>
  <si>
    <t>MUN</t>
  </si>
  <si>
    <t>ECU</t>
  </si>
  <si>
    <t>MENESES</t>
  </si>
  <si>
    <t>COLCHAGUA</t>
  </si>
  <si>
    <t>VI</t>
  </si>
  <si>
    <t>CASTILLO</t>
  </si>
  <si>
    <t>ALONSO</t>
  </si>
  <si>
    <t>ESCUELA ITALO CORDOVA</t>
  </si>
  <si>
    <t>XI</t>
  </si>
  <si>
    <t>TIARE</t>
  </si>
  <si>
    <t>REP DOM</t>
  </si>
  <si>
    <t>XIII</t>
  </si>
  <si>
    <t>ATARI</t>
  </si>
  <si>
    <t>CP</t>
  </si>
  <si>
    <t>FERNANDA</t>
  </si>
  <si>
    <t>LA MERCED</t>
  </si>
  <si>
    <t>COL</t>
  </si>
  <si>
    <t>NA ZN</t>
  </si>
  <si>
    <t>AH</t>
  </si>
  <si>
    <t>KAZOKU TOME</t>
  </si>
  <si>
    <t>SU</t>
  </si>
  <si>
    <t>ARG</t>
  </si>
  <si>
    <t>NA</t>
  </si>
  <si>
    <t>FN</t>
  </si>
  <si>
    <t>% RANKING</t>
  </si>
  <si>
    <t>NACIONAL</t>
  </si>
  <si>
    <t>CP COL</t>
  </si>
  <si>
    <t xml:space="preserve">TOTAL </t>
  </si>
  <si>
    <t>02.04</t>
  </si>
  <si>
    <t>01.04</t>
  </si>
  <si>
    <t>KHARLA</t>
  </si>
  <si>
    <t>LEON</t>
  </si>
  <si>
    <t>JESUS</t>
  </si>
  <si>
    <t>LEONES DE TARAPACA</t>
  </si>
  <si>
    <t>08.04</t>
  </si>
  <si>
    <t>EGGERS</t>
  </si>
  <si>
    <t>SENSEI PARRA</t>
  </si>
  <si>
    <t>YONATHAN</t>
  </si>
  <si>
    <t>15.04</t>
  </si>
  <si>
    <t>QUISPE</t>
  </si>
  <si>
    <t>RODRIGO</t>
  </si>
  <si>
    <t>NIKOLAS</t>
  </si>
  <si>
    <t>29.04</t>
  </si>
  <si>
    <t>SAN IGNACIO</t>
  </si>
  <si>
    <t>VICENTE</t>
  </si>
  <si>
    <t>KODOMOTACHI</t>
  </si>
  <si>
    <t>ALGARROBO</t>
  </si>
  <si>
    <t>ARAYA</t>
  </si>
  <si>
    <t>SHIJOUKOU</t>
  </si>
  <si>
    <t>ISC SAN BERNARDO</t>
  </si>
  <si>
    <t>BELLUNE</t>
  </si>
  <si>
    <t>MAX</t>
  </si>
  <si>
    <t>CASAKANO</t>
  </si>
  <si>
    <t>BORIS</t>
  </si>
  <si>
    <t>ANGEL</t>
  </si>
  <si>
    <t>ACADEMIA ROMO</t>
  </si>
  <si>
    <t>MERCADO</t>
  </si>
  <si>
    <t>CORROTEA</t>
  </si>
  <si>
    <t>PAULETTE</t>
  </si>
  <si>
    <t>SANCHEZ</t>
  </si>
  <si>
    <t>ARP</t>
  </si>
  <si>
    <t>JACQUELINE</t>
  </si>
  <si>
    <t>27.05</t>
  </si>
  <si>
    <t>CP CHI</t>
  </si>
  <si>
    <t>20.05</t>
  </si>
  <si>
    <t>10.06</t>
  </si>
  <si>
    <t>ZO</t>
  </si>
  <si>
    <t>17.06</t>
  </si>
  <si>
    <t>GUERRERO</t>
  </si>
  <si>
    <t>WILSON</t>
  </si>
  <si>
    <t>CORONADO</t>
  </si>
  <si>
    <t>JULIO</t>
  </si>
  <si>
    <t>MORA</t>
  </si>
  <si>
    <t>NAYARETT</t>
  </si>
  <si>
    <t>OSORNO</t>
  </si>
  <si>
    <t>LEYAN</t>
  </si>
  <si>
    <t>KARIME</t>
  </si>
  <si>
    <t>24.06</t>
  </si>
  <si>
    <t>PALMA</t>
  </si>
  <si>
    <t>CHRISTIAN</t>
  </si>
  <si>
    <t>ÑIQUEN</t>
  </si>
  <si>
    <t>DAVILA</t>
  </si>
  <si>
    <t>ALEXANDRA</t>
  </si>
  <si>
    <t>01.07</t>
  </si>
  <si>
    <t>ALVARES</t>
  </si>
  <si>
    <t>DAVID</t>
  </si>
  <si>
    <t>RICARDO</t>
  </si>
  <si>
    <t>CP ARG</t>
  </si>
  <si>
    <t>CP PERU</t>
  </si>
  <si>
    <t>15.07</t>
  </si>
  <si>
    <t>FERNANDEZ</t>
  </si>
  <si>
    <t>29.07</t>
  </si>
  <si>
    <t>CARCAMO</t>
  </si>
  <si>
    <t>RIOS</t>
  </si>
  <si>
    <t>ZAPATA</t>
  </si>
  <si>
    <t>BELEN</t>
  </si>
  <si>
    <t>YAMASHITA</t>
  </si>
  <si>
    <t>GODOI</t>
  </si>
  <si>
    <t>MATILDE</t>
  </si>
  <si>
    <t>ALEMAN</t>
  </si>
  <si>
    <t>V-VI</t>
  </si>
  <si>
    <t>05.08</t>
  </si>
  <si>
    <t>BANZAI</t>
  </si>
  <si>
    <t>12.08</t>
  </si>
  <si>
    <t>PAR</t>
  </si>
  <si>
    <t>19.08</t>
  </si>
  <si>
    <t>ORDOÑEZ</t>
  </si>
  <si>
    <t>26.08</t>
  </si>
  <si>
    <t>IGNACIO</t>
  </si>
  <si>
    <t>PONCE</t>
  </si>
  <si>
    <t>ENZO</t>
  </si>
  <si>
    <t>PANAM</t>
  </si>
  <si>
    <t>CAN</t>
  </si>
  <si>
    <t xml:space="preserve">     SU</t>
  </si>
  <si>
    <t xml:space="preserve">    PAR</t>
  </si>
  <si>
    <t>09.09</t>
  </si>
  <si>
    <t>VII-VIII-XVI</t>
  </si>
  <si>
    <t>30.09</t>
  </si>
  <si>
    <t>ARANDA</t>
  </si>
  <si>
    <t>VARGAS</t>
  </si>
  <si>
    <t>CHRISTOPHER</t>
  </si>
  <si>
    <t>GABRIEL</t>
  </si>
  <si>
    <t>CHEHUAN</t>
  </si>
  <si>
    <t>CARVAJAL</t>
  </si>
  <si>
    <t>MU</t>
  </si>
  <si>
    <t>POR</t>
  </si>
  <si>
    <t>07.10</t>
  </si>
  <si>
    <t>X</t>
  </si>
  <si>
    <t>08.10</t>
  </si>
  <si>
    <t>14.10</t>
  </si>
  <si>
    <t>11.11</t>
  </si>
  <si>
    <t>CP CAN</t>
  </si>
  <si>
    <t>CJ</t>
  </si>
  <si>
    <t>CHI</t>
  </si>
  <si>
    <t>CAMPOS</t>
  </si>
  <si>
    <t>ANTONIO</t>
  </si>
  <si>
    <t>ZAMIR</t>
  </si>
  <si>
    <t>OLIVARES</t>
  </si>
  <si>
    <t>09.12</t>
  </si>
  <si>
    <t>BACHMAN</t>
  </si>
  <si>
    <t>JUAN PABLO</t>
  </si>
  <si>
    <t>REYES</t>
  </si>
  <si>
    <t>ALTAMIRANO</t>
  </si>
  <si>
    <t>LINARES</t>
  </si>
  <si>
    <t>PASCAL</t>
  </si>
  <si>
    <t>SEL</t>
  </si>
  <si>
    <t>NUÑEZ</t>
  </si>
  <si>
    <t>MARIA</t>
  </si>
  <si>
    <t>CORREA</t>
  </si>
  <si>
    <t>ISIDORA</t>
  </si>
  <si>
    <t>DRAGON</t>
  </si>
  <si>
    <t>TOLOZA</t>
  </si>
  <si>
    <t>AYINKO</t>
  </si>
  <si>
    <t>TALCAHUANO</t>
  </si>
  <si>
    <t>MARKO</t>
  </si>
  <si>
    <t>LEDEZMA</t>
  </si>
  <si>
    <t>JUSTIN</t>
  </si>
  <si>
    <t>ESCRICH</t>
  </si>
  <si>
    <t>KENJI</t>
  </si>
  <si>
    <t>ALARCON</t>
  </si>
  <si>
    <t>VALPARAISO</t>
  </si>
  <si>
    <t>PALOMO</t>
  </si>
  <si>
    <t>ANDRES</t>
  </si>
  <si>
    <t>CABRERA</t>
  </si>
  <si>
    <t>STUARDO</t>
  </si>
  <si>
    <t>AUKAN</t>
  </si>
  <si>
    <t>06.04</t>
  </si>
  <si>
    <t>URTUBIA</t>
  </si>
  <si>
    <t>MORALES</t>
  </si>
  <si>
    <t>TADRES</t>
  </si>
  <si>
    <t>RENZO</t>
  </si>
  <si>
    <t>GUERRA</t>
  </si>
  <si>
    <t>FUKUOKA</t>
  </si>
  <si>
    <t>TORRES</t>
  </si>
  <si>
    <t>LETELIER</t>
  </si>
  <si>
    <t>VILCHES</t>
  </si>
  <si>
    <t>PGN</t>
  </si>
  <si>
    <t>VII-VIII-VXI</t>
  </si>
  <si>
    <t>CUEVAS</t>
  </si>
  <si>
    <t>MARIANGEL</t>
  </si>
  <si>
    <t>VILLALOBOS</t>
  </si>
  <si>
    <t>ISRAEL</t>
  </si>
  <si>
    <t>TOME</t>
  </si>
  <si>
    <t>CHAVARRIA</t>
  </si>
  <si>
    <t>EMILIA</t>
  </si>
  <si>
    <t>DE LA GUARDA</t>
  </si>
  <si>
    <t>VICTOR</t>
  </si>
  <si>
    <t>SALOMON</t>
  </si>
  <si>
    <t>VIDAL</t>
  </si>
  <si>
    <t>JJBB</t>
  </si>
  <si>
    <t>BOL</t>
  </si>
  <si>
    <t>12.04</t>
  </si>
  <si>
    <t>25.02</t>
  </si>
  <si>
    <t>MELLA</t>
  </si>
  <si>
    <t>13.04</t>
  </si>
  <si>
    <t>RM</t>
  </si>
  <si>
    <t>NAVIA</t>
  </si>
  <si>
    <t>RENATO</t>
  </si>
  <si>
    <t>ORIAN</t>
  </si>
  <si>
    <t>MAXIMILIANO</t>
  </si>
  <si>
    <t>COL REP SIRIA</t>
  </si>
  <si>
    <t>FERNANDO</t>
  </si>
  <si>
    <t>MY GARDEN</t>
  </si>
  <si>
    <t>BRA</t>
  </si>
  <si>
    <t>23.04</t>
  </si>
  <si>
    <t>20.04</t>
  </si>
  <si>
    <t>MADRIGUERA</t>
  </si>
  <si>
    <t>MADARIAGA</t>
  </si>
  <si>
    <t>HUME</t>
  </si>
  <si>
    <t>VERGARA</t>
  </si>
  <si>
    <t>CCRSH</t>
  </si>
  <si>
    <t>FELIX</t>
  </si>
  <si>
    <t>RAUL</t>
  </si>
  <si>
    <t>HOSEI</t>
  </si>
  <si>
    <t>TABILO</t>
  </si>
  <si>
    <t>PARRA</t>
  </si>
  <si>
    <t>ORTIZ</t>
  </si>
  <si>
    <t>IKEDA</t>
  </si>
  <si>
    <t>EMERY</t>
  </si>
  <si>
    <t>RIVAS</t>
  </si>
  <si>
    <t>ANTIQUERA</t>
  </si>
  <si>
    <t>AHYSURY</t>
  </si>
  <si>
    <t>27.04</t>
  </si>
  <si>
    <t>GROVER</t>
  </si>
  <si>
    <t>VALENCIA</t>
  </si>
  <si>
    <t>MARIA CAMILA</t>
  </si>
  <si>
    <t>BORGEAUD</t>
  </si>
  <si>
    <t>ARIEL</t>
  </si>
  <si>
    <t>VICTOR SAITO</t>
  </si>
  <si>
    <t>ROMERO</t>
  </si>
  <si>
    <t>JALLOIS</t>
  </si>
  <si>
    <t>CALDERON</t>
  </si>
  <si>
    <t>AMARO</t>
  </si>
  <si>
    <t>18.05</t>
  </si>
  <si>
    <t>MADRID</t>
  </si>
  <si>
    <t>JOHN</t>
  </si>
  <si>
    <t>BANEGAS</t>
  </si>
  <si>
    <t>ZEPEDA</t>
  </si>
  <si>
    <t>ENRIQUE</t>
  </si>
  <si>
    <t>ABARCA</t>
  </si>
  <si>
    <t>ARCOS</t>
  </si>
  <si>
    <t>KAROL</t>
  </si>
  <si>
    <t>LLANCAMAN</t>
  </si>
  <si>
    <t>OZANAM</t>
  </si>
  <si>
    <t>SOFIA</t>
  </si>
  <si>
    <t>CC</t>
  </si>
  <si>
    <t>01.06</t>
  </si>
  <si>
    <t>CRISTOFER</t>
  </si>
  <si>
    <t>YAHIR</t>
  </si>
  <si>
    <t>CULIPRAN</t>
  </si>
  <si>
    <t>FUENTES</t>
  </si>
  <si>
    <t>ERIC</t>
  </si>
  <si>
    <t>SAAVEDRA</t>
  </si>
  <si>
    <t>ARUKI KATA</t>
  </si>
  <si>
    <t>15.06</t>
  </si>
  <si>
    <t>HUGO</t>
  </si>
  <si>
    <t>CARRILLO</t>
  </si>
  <si>
    <t>TOMODACHI</t>
  </si>
  <si>
    <t>VERA</t>
  </si>
  <si>
    <t>MARTIAS</t>
  </si>
  <si>
    <t>SHIJOUKI</t>
  </si>
  <si>
    <t>EDGAR</t>
  </si>
  <si>
    <t>AMOYAO</t>
  </si>
  <si>
    <t>RICHARD</t>
  </si>
  <si>
    <t>LEAL</t>
  </si>
  <si>
    <t>22.06</t>
  </si>
  <si>
    <t>SANQUEA</t>
  </si>
  <si>
    <t>MATHIAS</t>
  </si>
  <si>
    <t>PER</t>
  </si>
  <si>
    <t>KAZOKU LS</t>
  </si>
  <si>
    <t>13.07</t>
  </si>
  <si>
    <t>FRANKO</t>
  </si>
  <si>
    <t>ALBORNOZ</t>
  </si>
  <si>
    <t>ARUQUIPA</t>
  </si>
  <si>
    <t>JHON</t>
  </si>
  <si>
    <t>RUJANO</t>
  </si>
  <si>
    <t>DEREK</t>
  </si>
  <si>
    <t>GASPAR</t>
  </si>
  <si>
    <t>AUKI KATA</t>
  </si>
  <si>
    <t>CARAYANIS</t>
  </si>
  <si>
    <t>SAIGO KIDS</t>
  </si>
  <si>
    <t>PALLERES</t>
  </si>
  <si>
    <t>JORQUERA</t>
  </si>
  <si>
    <t>YERLY</t>
  </si>
  <si>
    <t>SUZAKU</t>
  </si>
  <si>
    <t>VILLANUEVA</t>
  </si>
  <si>
    <t>DOM</t>
  </si>
  <si>
    <t>10.08</t>
  </si>
  <si>
    <t>17.08</t>
  </si>
  <si>
    <t>31.08</t>
  </si>
  <si>
    <t>24.08</t>
  </si>
  <si>
    <t>ACHURRA</t>
  </si>
  <si>
    <t>LUCCAS</t>
  </si>
  <si>
    <t>CRSH</t>
  </si>
  <si>
    <t>07.09</t>
  </si>
  <si>
    <t>GALLEGOS</t>
  </si>
  <si>
    <t>ESFO CHILLAN</t>
  </si>
  <si>
    <t>SANHUEZA</t>
  </si>
  <si>
    <t>VILLABLANCA</t>
  </si>
  <si>
    <t>MARCELO</t>
  </si>
  <si>
    <t>ULISES</t>
  </si>
  <si>
    <t>REP SIRIA</t>
  </si>
  <si>
    <t>CERDA</t>
  </si>
  <si>
    <t>JOSEFA</t>
  </si>
  <si>
    <t>08.09</t>
  </si>
  <si>
    <t>14.09</t>
  </si>
  <si>
    <t>15.09</t>
  </si>
  <si>
    <t>X-XIV</t>
  </si>
  <si>
    <t>28.09</t>
  </si>
  <si>
    <t>IKIKATA</t>
  </si>
  <si>
    <t>TIZNADO</t>
  </si>
  <si>
    <t>TAJ</t>
  </si>
  <si>
    <t>03.10</t>
  </si>
  <si>
    <t>TRANAMIL</t>
  </si>
  <si>
    <t>12.10</t>
  </si>
  <si>
    <t>NAPOLITANO</t>
  </si>
  <si>
    <t>FULEHO</t>
  </si>
  <si>
    <t>DIANA</t>
  </si>
  <si>
    <t>VALERIA</t>
  </si>
  <si>
    <t>ARIANY</t>
  </si>
  <si>
    <t>CF</t>
  </si>
  <si>
    <t>02.11</t>
  </si>
  <si>
    <t>14.11</t>
  </si>
  <si>
    <t>23.11</t>
  </si>
  <si>
    <t>CONCE</t>
  </si>
  <si>
    <t>14.12</t>
  </si>
  <si>
    <t>RE / ZO / NA</t>
  </si>
  <si>
    <t>BARRA</t>
  </si>
  <si>
    <t>DOMINICKE</t>
  </si>
  <si>
    <t>FEB</t>
  </si>
  <si>
    <t>ALEJANDRA</t>
  </si>
  <si>
    <t>CATALINA</t>
  </si>
  <si>
    <t>ESPINOSA</t>
  </si>
  <si>
    <t>M.JOSE</t>
  </si>
  <si>
    <t>PEDEMONTE</t>
  </si>
  <si>
    <t>HELENA</t>
  </si>
  <si>
    <t>VIZA</t>
  </si>
  <si>
    <t>ESCONDIDA</t>
  </si>
  <si>
    <t>FABIAN</t>
  </si>
  <si>
    <t>PASTEN</t>
  </si>
  <si>
    <t>ROJANO</t>
  </si>
  <si>
    <t>REIJH</t>
  </si>
  <si>
    <t>ANDREW</t>
  </si>
  <si>
    <t>JAVIER</t>
  </si>
  <si>
    <t>BAEZ</t>
  </si>
  <si>
    <t>SAIT</t>
  </si>
  <si>
    <t>MIRANDA</t>
  </si>
  <si>
    <t>FUJILOLEN</t>
  </si>
  <si>
    <t>PEÑA</t>
  </si>
  <si>
    <t>VALDES</t>
  </si>
  <si>
    <t>OLYMPIC DREAMS</t>
  </si>
  <si>
    <t>AGUILA</t>
  </si>
  <si>
    <t>JULIAN</t>
  </si>
  <si>
    <t>ULLOA</t>
  </si>
  <si>
    <t>UNIVERSIDAD DE CHILE</t>
  </si>
  <si>
    <t>VEGAS</t>
  </si>
  <si>
    <t>EILIN</t>
  </si>
  <si>
    <t>NAVARRO</t>
  </si>
  <si>
    <t>SHIN GI TAI</t>
  </si>
  <si>
    <t>CUELLAR</t>
  </si>
  <si>
    <t>JOHAN</t>
  </si>
  <si>
    <t>LABRA</t>
  </si>
  <si>
    <t>PIERA</t>
  </si>
  <si>
    <t>VIVANCO</t>
  </si>
  <si>
    <t>SHOUJIKI</t>
  </si>
  <si>
    <t>URIBE</t>
  </si>
  <si>
    <t>ESPAÑA</t>
  </si>
  <si>
    <t>HINODE</t>
  </si>
  <si>
    <t>PIA</t>
  </si>
  <si>
    <t>JUDO GUZMAN</t>
  </si>
  <si>
    <t>ETCHEGOYEN</t>
  </si>
  <si>
    <t>JHOEL</t>
  </si>
  <si>
    <t>AZOCAR</t>
  </si>
  <si>
    <t>ALEXIS</t>
  </si>
  <si>
    <t>RIVERA</t>
  </si>
  <si>
    <t>EBENSPERGER</t>
  </si>
  <si>
    <t>19.04</t>
  </si>
  <si>
    <t>MANSILLA</t>
  </si>
  <si>
    <t>KIREI</t>
  </si>
  <si>
    <t>EMILIO</t>
  </si>
  <si>
    <t>KOBAYASHI</t>
  </si>
  <si>
    <t>CAES DE RUA</t>
  </si>
  <si>
    <t>ISAHIAS</t>
  </si>
  <si>
    <t>ANTHONY</t>
  </si>
  <si>
    <t>TELLEZ</t>
  </si>
  <si>
    <t>CISTERNAS</t>
  </si>
  <si>
    <t>RIOJA</t>
  </si>
  <si>
    <t>MONTILLA</t>
  </si>
  <si>
    <t>JEREMY</t>
  </si>
  <si>
    <t>BARRIA</t>
  </si>
  <si>
    <t>SAMUEL</t>
  </si>
  <si>
    <t>ARANCIBIA</t>
  </si>
  <si>
    <t>ALVARO</t>
  </si>
  <si>
    <t>ARELLANO</t>
  </si>
  <si>
    <t>PINO</t>
  </si>
  <si>
    <t>BRUNO</t>
  </si>
  <si>
    <t>TAPIA</t>
  </si>
  <si>
    <t>MIGUEL</t>
  </si>
  <si>
    <t>LARROZA</t>
  </si>
  <si>
    <t>FLAVIA</t>
  </si>
  <si>
    <t>VICTORIA</t>
  </si>
  <si>
    <t>CARMEN</t>
  </si>
  <si>
    <t>GUAITIAO</t>
  </si>
  <si>
    <t>JIN KAN</t>
  </si>
  <si>
    <t>ALFARO</t>
  </si>
  <si>
    <t>M78</t>
  </si>
  <si>
    <t>30.05</t>
  </si>
  <si>
    <t>HENRIQUEZ</t>
  </si>
  <si>
    <t>BRAYAN</t>
  </si>
  <si>
    <t>ZAMUDIO</t>
  </si>
  <si>
    <t>ISC SAN BERNADO</t>
  </si>
  <si>
    <t>FLORES</t>
  </si>
  <si>
    <t>FABIO</t>
  </si>
  <si>
    <t>RODRIGUEZ</t>
  </si>
  <si>
    <t>MAIKOL</t>
  </si>
  <si>
    <t>CELPA</t>
  </si>
  <si>
    <t>ALDO</t>
  </si>
  <si>
    <t>AGUAYO</t>
  </si>
  <si>
    <t>EMILIANO</t>
  </si>
  <si>
    <t>JUDO ORIENTE</t>
  </si>
  <si>
    <t>BARRIENTOS</t>
  </si>
  <si>
    <t>RONALDO</t>
  </si>
  <si>
    <t>MILLING</t>
  </si>
  <si>
    <t>KOIVUSAARI</t>
  </si>
  <si>
    <t>STELLA</t>
  </si>
  <si>
    <t>MANCILLA</t>
  </si>
  <si>
    <t>HELLEN</t>
  </si>
  <si>
    <t>ARANTXA</t>
  </si>
  <si>
    <t>OSSA</t>
  </si>
  <si>
    <t>ORTEGA</t>
  </si>
  <si>
    <t>FRANKLIN</t>
  </si>
  <si>
    <t>PENAGOS</t>
  </si>
  <si>
    <t>MARIO</t>
  </si>
  <si>
    <t>RISEI AKURA</t>
  </si>
  <si>
    <t>KATHERINE</t>
  </si>
  <si>
    <t>27.06</t>
  </si>
  <si>
    <t>ARTUR</t>
  </si>
  <si>
    <t>ARUKIKATA</t>
  </si>
  <si>
    <t>EMMA</t>
  </si>
  <si>
    <t>GIOVANNI</t>
  </si>
  <si>
    <t>FUJI TAMAYA</t>
  </si>
  <si>
    <t>RUIZ</t>
  </si>
  <si>
    <t>VIVALLO</t>
  </si>
  <si>
    <t>EMIR</t>
  </si>
  <si>
    <t>U ANTOFAGASTA</t>
  </si>
  <si>
    <t>BUROTTO</t>
  </si>
  <si>
    <t>RENATA</t>
  </si>
  <si>
    <t>ANAHIZ</t>
  </si>
  <si>
    <t>ACEVEDO</t>
  </si>
  <si>
    <t>ESC SUB OF EJERCITO</t>
  </si>
  <si>
    <t>CHACON</t>
  </si>
  <si>
    <t>SALVADOR</t>
  </si>
  <si>
    <t>MIRTHA</t>
  </si>
  <si>
    <t>ROBLEDO</t>
  </si>
  <si>
    <t>VALENZUELA</t>
  </si>
  <si>
    <t>DEIVY</t>
  </si>
  <si>
    <t>ROBLES</t>
  </si>
  <si>
    <t>SERGIO</t>
  </si>
  <si>
    <t>NAVARETTE</t>
  </si>
  <si>
    <t>MONTOYA</t>
  </si>
  <si>
    <t>SHIHAN</t>
  </si>
  <si>
    <t>TALAMILLA</t>
  </si>
  <si>
    <t>KODOKAN</t>
  </si>
  <si>
    <t>NILO</t>
  </si>
  <si>
    <t>SANTANDER</t>
  </si>
  <si>
    <t>05.10</t>
  </si>
  <si>
    <t>LICARAYEN</t>
  </si>
  <si>
    <t>CCSH</t>
  </si>
  <si>
    <t>GIL</t>
  </si>
  <si>
    <t>MEJIA</t>
  </si>
  <si>
    <t>JHORDY</t>
  </si>
  <si>
    <t>VAKENTINA</t>
  </si>
  <si>
    <t>ARRIAGADA</t>
  </si>
  <si>
    <t>PACHECO</t>
  </si>
  <si>
    <t>EZEQUIEL</t>
  </si>
  <si>
    <t>MARIPAN</t>
  </si>
  <si>
    <t>PAMELA</t>
  </si>
  <si>
    <t>MAUREIRA</t>
  </si>
  <si>
    <t>SALATIER</t>
  </si>
  <si>
    <t>VELASQUEZ</t>
  </si>
  <si>
    <t>FRANCO</t>
  </si>
  <si>
    <t>23.10</t>
  </si>
  <si>
    <t>ROCHA</t>
  </si>
  <si>
    <t>OCTAVIO</t>
  </si>
  <si>
    <t>13.11</t>
  </si>
  <si>
    <t>CDUSS</t>
  </si>
  <si>
    <t>VALERO</t>
  </si>
  <si>
    <t>XPRO</t>
  </si>
  <si>
    <t>ROMINA</t>
  </si>
  <si>
    <t>RANKING NACIONAL 2026</t>
  </si>
  <si>
    <t>RANKING INTERNACIONAL 2026</t>
  </si>
  <si>
    <t xml:space="preserve"> </t>
  </si>
  <si>
    <t>MAURICIO</t>
  </si>
  <si>
    <t>JAIME CHARLES</t>
  </si>
  <si>
    <t>CASABLANCA</t>
  </si>
  <si>
    <t>ADAMS</t>
  </si>
  <si>
    <t>INOSTROZA</t>
  </si>
  <si>
    <t>U DE CHILE</t>
  </si>
  <si>
    <t>AROS</t>
  </si>
  <si>
    <t>LA PINTANA</t>
  </si>
  <si>
    <t>KIDO CURACAVI</t>
  </si>
  <si>
    <t>SIMON</t>
  </si>
  <si>
    <t>KLEYVER</t>
  </si>
  <si>
    <t>KODOKAN CHILE</t>
  </si>
  <si>
    <t>CONTENTE</t>
  </si>
  <si>
    <t>AGUSTINA</t>
  </si>
  <si>
    <t>LUIS MIGUEL</t>
  </si>
  <si>
    <t>ESCOBILLANA</t>
  </si>
  <si>
    <t>MOLERO</t>
  </si>
  <si>
    <t>DOMINIK</t>
  </si>
  <si>
    <t>MELINAO</t>
  </si>
  <si>
    <t>MAYA</t>
  </si>
  <si>
    <t>KYOUDAI</t>
  </si>
  <si>
    <t>MERA</t>
  </si>
  <si>
    <t>MARCO</t>
  </si>
  <si>
    <t>CERNA</t>
  </si>
  <si>
    <t>DIP</t>
  </si>
  <si>
    <t>JUDO TRUENO</t>
  </si>
  <si>
    <t>BECAR</t>
  </si>
  <si>
    <t>CONSUELO</t>
  </si>
  <si>
    <t>ARIAS</t>
  </si>
  <si>
    <t>DYLAN</t>
  </si>
  <si>
    <t>CLAROS</t>
  </si>
  <si>
    <t>UTA</t>
  </si>
  <si>
    <t>STEPHANIA</t>
  </si>
  <si>
    <t>CARRIZO</t>
  </si>
  <si>
    <t>VIDELA</t>
  </si>
  <si>
    <t>ZAMBRA</t>
  </si>
  <si>
    <t>TOVAR</t>
  </si>
  <si>
    <t>DEVON</t>
  </si>
  <si>
    <t>ESQUIVEL</t>
  </si>
  <si>
    <t>TAYRA</t>
  </si>
  <si>
    <t>GUILLERMO</t>
  </si>
  <si>
    <t>EYDAN</t>
  </si>
  <si>
    <t>SEGOVIA</t>
  </si>
  <si>
    <t>PINA</t>
  </si>
  <si>
    <t>TRUENO</t>
  </si>
  <si>
    <t>EDUAR</t>
  </si>
  <si>
    <t>ALBERTO</t>
  </si>
  <si>
    <t>PENA</t>
  </si>
  <si>
    <t>ALFONSINA</t>
  </si>
  <si>
    <t>LEVILL</t>
  </si>
  <si>
    <t>BLANCO</t>
  </si>
  <si>
    <t>EL CIRCULO</t>
  </si>
  <si>
    <t>CHUSEIKAN</t>
  </si>
  <si>
    <t>ALMENDRA</t>
  </si>
  <si>
    <t>JITA KYOEI</t>
  </si>
  <si>
    <t>CARRION</t>
  </si>
  <si>
    <t>AYLEN</t>
  </si>
  <si>
    <t>DELGADO</t>
  </si>
  <si>
    <t>OÑATE</t>
  </si>
  <si>
    <t>DANTE</t>
  </si>
  <si>
    <t>PULQUILLANCA</t>
  </si>
  <si>
    <t>YAMAARASHI ANCUD</t>
  </si>
  <si>
    <t>LEHNEBACH</t>
  </si>
  <si>
    <t>ALFONSO</t>
  </si>
  <si>
    <t>UACH</t>
  </si>
  <si>
    <t>ADOLFO</t>
  </si>
  <si>
    <t>YEPEZ</t>
  </si>
  <si>
    <t>GELVES</t>
  </si>
  <si>
    <t>PROY G NAVIA</t>
  </si>
  <si>
    <t>KRISHTYAN</t>
  </si>
  <si>
    <t>U CATOLICA DE NORTE</t>
  </si>
  <si>
    <t>ZEGARRA</t>
  </si>
  <si>
    <t>ANDRE</t>
  </si>
  <si>
    <t>GALEAS</t>
  </si>
  <si>
    <t>DUSTIN</t>
  </si>
  <si>
    <t>FLORENCIA</t>
  </si>
  <si>
    <t>LILITH</t>
  </si>
  <si>
    <t xml:space="preserve">GAETE </t>
  </si>
  <si>
    <t>OP</t>
  </si>
  <si>
    <t>31.05</t>
  </si>
  <si>
    <t>04.06</t>
  </si>
  <si>
    <t>18.06</t>
  </si>
  <si>
    <t>KIDO</t>
  </si>
  <si>
    <t>ZAIDA</t>
  </si>
  <si>
    <t>CID</t>
  </si>
  <si>
    <t>ISABELLA</t>
  </si>
  <si>
    <t>MOSCOSO</t>
  </si>
  <si>
    <t>BRUNA</t>
  </si>
  <si>
    <t>RAYEN</t>
  </si>
  <si>
    <t>NARVAEZ</t>
  </si>
  <si>
    <t>AGREDA</t>
  </si>
  <si>
    <t>TRIANA</t>
  </si>
  <si>
    <t>KIARA</t>
  </si>
  <si>
    <t>CRISTIAN</t>
  </si>
  <si>
    <t>FAUNDEZ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</si>
</sst>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17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17" fontId="0" fillId="0" borderId="1" xfId="0" applyNumberFormat="1" applyBorder="1"/>
    <xf numFmtId="0" fontId="0" fillId="0" borderId="11" xfId="0" applyBorder="1"/>
    <xf numFmtId="17" fontId="0" fillId="0" borderId="2" xfId="0" applyNumberFormat="1" applyBorder="1"/>
    <xf numFmtId="17" fontId="0" fillId="0" borderId="11" xfId="0" applyNumberFormat="1" applyBorder="1"/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7" fontId="0" fillId="0" borderId="11" xfId="0" applyNumberForma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17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2" borderId="0" xfId="0" applyFill="1"/>
    <xf numFmtId="17" fontId="0" fillId="0" borderId="8" xfId="0" applyNumberFormat="1" applyBorder="1" applyAlignment="1">
      <alignment horizontal="center"/>
    </xf>
    <xf numFmtId="17" fontId="0" fillId="0" borderId="13" xfId="0" applyNumberForma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0" fontId="0" fillId="0" borderId="14" xfId="0" applyBorder="1"/>
    <xf numFmtId="0" fontId="4" fillId="3" borderId="5" xfId="0" applyFont="1" applyFill="1" applyBorder="1"/>
    <xf numFmtId="0" fontId="0" fillId="6" borderId="5" xfId="0" applyFill="1" applyBorder="1"/>
    <xf numFmtId="0" fontId="0" fillId="7" borderId="5" xfId="0" applyFill="1" applyBorder="1" applyAlignment="1">
      <alignment horizontal="center"/>
    </xf>
    <xf numFmtId="0" fontId="0" fillId="7" borderId="5" xfId="0" applyFill="1" applyBorder="1"/>
    <xf numFmtId="0" fontId="0" fillId="8" borderId="0" xfId="0" applyFill="1"/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7" xfId="0" applyNumberForma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3.xml"/><Relationship Id="rId21" Type="http://schemas.microsoft.com/office/2017/10/relationships/person" Target="persons/person0.xml"/><Relationship Id="rId42" Type="http://schemas.microsoft.com/office/2017/10/relationships/person" Target="persons/person20.xml"/><Relationship Id="rId47" Type="http://schemas.microsoft.com/office/2017/10/relationships/person" Target="persons/person25.xml"/><Relationship Id="rId63" Type="http://schemas.microsoft.com/office/2017/10/relationships/person" Target="persons/person41.xml"/><Relationship Id="rId68" Type="http://schemas.microsoft.com/office/2017/10/relationships/person" Target="persons/person48.xml"/><Relationship Id="rId16" Type="http://schemas.openxmlformats.org/officeDocument/2006/relationships/styles" Target="styles.xml"/><Relationship Id="rId11" Type="http://schemas.openxmlformats.org/officeDocument/2006/relationships/worksheet" Target="worksheets/sheet11.xml"/><Relationship Id="rId40" Type="http://schemas.microsoft.com/office/2017/10/relationships/person" Target="persons/person19.xml"/><Relationship Id="rId24" Type="http://schemas.microsoft.com/office/2017/10/relationships/person" Target="persons/person4.xml"/><Relationship Id="rId32" Type="http://schemas.microsoft.com/office/2017/10/relationships/person" Target="persons/person10.xml"/><Relationship Id="rId37" Type="http://schemas.microsoft.com/office/2017/10/relationships/person" Target="persons/person17.xml"/><Relationship Id="rId45" Type="http://schemas.microsoft.com/office/2017/10/relationships/person" Target="persons/person24.xml"/><Relationship Id="rId53" Type="http://schemas.microsoft.com/office/2017/10/relationships/person" Target="persons/person32.xml"/><Relationship Id="rId58" Type="http://schemas.microsoft.com/office/2017/10/relationships/person" Target="persons/person36.xml"/><Relationship Id="rId66" Type="http://schemas.microsoft.com/office/2017/10/relationships/person" Target="persons/person46.xml"/><Relationship Id="rId74" Type="http://schemas.microsoft.com/office/2017/10/relationships/person" Target="persons/person54.xml"/><Relationship Id="rId79" Type="http://schemas.microsoft.com/office/2017/10/relationships/person" Target="persons/person59.xml"/><Relationship Id="rId5" Type="http://schemas.openxmlformats.org/officeDocument/2006/relationships/worksheet" Target="worksheets/sheet5.xml"/><Relationship Id="rId61" Type="http://schemas.microsoft.com/office/2017/10/relationships/person" Target="persons/person39.xml"/><Relationship Id="rId14" Type="http://schemas.openxmlformats.org/officeDocument/2006/relationships/worksheet" Target="worksheets/sheet14.xml"/><Relationship Id="rId48" Type="http://schemas.microsoft.com/office/2017/10/relationships/person" Target="persons/person29.xml"/><Relationship Id="rId43" Type="http://schemas.microsoft.com/office/2017/10/relationships/person" Target="persons/person22.xml"/><Relationship Id="rId35" Type="http://schemas.microsoft.com/office/2017/10/relationships/person" Target="persons/person15.xml"/><Relationship Id="rId27" Type="http://schemas.microsoft.com/office/2017/10/relationships/person" Target="persons/person12.xml"/><Relationship Id="rId30" Type="http://schemas.microsoft.com/office/2017/10/relationships/person" Target="persons/person9.xml"/><Relationship Id="rId22" Type="http://schemas.microsoft.com/office/2017/10/relationships/person" Target="persons/person2.xml"/><Relationship Id="rId56" Type="http://schemas.microsoft.com/office/2017/10/relationships/person" Target="persons/person35.xml"/><Relationship Id="rId64" Type="http://schemas.microsoft.com/office/2017/10/relationships/person" Target="persons/person43.xml"/><Relationship Id="rId69" Type="http://schemas.microsoft.com/office/2017/10/relationships/person" Target="persons/person49.xml"/><Relationship Id="rId77" Type="http://schemas.microsoft.com/office/2017/10/relationships/person" Target="persons/person56.xml"/><Relationship Id="rId8" Type="http://schemas.openxmlformats.org/officeDocument/2006/relationships/worksheet" Target="worksheets/sheet8.xml"/><Relationship Id="rId51" Type="http://schemas.microsoft.com/office/2017/10/relationships/person" Target="persons/person28.xml"/><Relationship Id="rId72" Type="http://schemas.microsoft.com/office/2017/10/relationships/person" Target="persons/person52.xml"/><Relationship Id="rId80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46" Type="http://schemas.microsoft.com/office/2017/10/relationships/person" Target="persons/person27.xml"/><Relationship Id="rId25" Type="http://schemas.microsoft.com/office/2017/10/relationships/person" Target="persons/person5.xml"/><Relationship Id="rId33" Type="http://schemas.microsoft.com/office/2017/10/relationships/person" Target="persons/person11.xml"/><Relationship Id="rId38" Type="http://schemas.microsoft.com/office/2017/10/relationships/person" Target="persons/person18.xml"/><Relationship Id="rId59" Type="http://schemas.microsoft.com/office/2017/10/relationships/person" Target="persons/person38.xml"/><Relationship Id="rId67" Type="http://schemas.microsoft.com/office/2017/10/relationships/person" Target="persons/person47.xml"/><Relationship Id="rId20" Type="http://schemas.microsoft.com/office/2017/10/relationships/person" Target="persons/person45.xml"/><Relationship Id="rId62" Type="http://schemas.microsoft.com/office/2017/10/relationships/person" Target="persons/person42.xml"/><Relationship Id="rId54" Type="http://schemas.microsoft.com/office/2017/10/relationships/person" Target="persons/person34.xml"/><Relationship Id="rId41" Type="http://schemas.microsoft.com/office/2017/10/relationships/person" Target="persons/person21.xml"/><Relationship Id="rId70" Type="http://schemas.microsoft.com/office/2017/10/relationships/person" Target="persons/person50.xml"/><Relationship Id="rId75" Type="http://schemas.microsoft.com/office/2017/10/relationships/person" Target="persons/person5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theme" Target="theme/theme1.xml"/><Relationship Id="rId57" Type="http://schemas.microsoft.com/office/2017/10/relationships/person" Target="persons/person37.xml"/><Relationship Id="rId23" Type="http://schemas.microsoft.com/office/2017/10/relationships/person" Target="persons/person1.xml"/><Relationship Id="rId28" Type="http://schemas.microsoft.com/office/2017/10/relationships/person" Target="persons/person6.xml"/><Relationship Id="rId36" Type="http://schemas.microsoft.com/office/2017/10/relationships/person" Target="persons/person14.xml"/><Relationship Id="rId49" Type="http://schemas.microsoft.com/office/2017/10/relationships/person" Target="persons/person26.xml"/><Relationship Id="rId10" Type="http://schemas.openxmlformats.org/officeDocument/2006/relationships/worksheet" Target="worksheets/sheet10.xml"/><Relationship Id="rId65" Type="http://schemas.microsoft.com/office/2017/10/relationships/person" Target="persons/person44.xml"/><Relationship Id="rId60" Type="http://schemas.microsoft.com/office/2017/10/relationships/person" Target="persons/person40.xml"/><Relationship Id="rId31" Type="http://schemas.microsoft.com/office/2017/10/relationships/person" Target="persons/person8.xml"/><Relationship Id="rId44" Type="http://schemas.microsoft.com/office/2017/10/relationships/person" Target="persons/person23.xml"/><Relationship Id="rId52" Type="http://schemas.microsoft.com/office/2017/10/relationships/person" Target="persons/person31.xml"/><Relationship Id="rId73" Type="http://schemas.microsoft.com/office/2017/10/relationships/person" Target="persons/person53.xml"/><Relationship Id="rId78" Type="http://schemas.microsoft.com/office/2017/10/relationships/person" Target="persons/person5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9" Type="http://schemas.microsoft.com/office/2017/10/relationships/person" Target="persons/person16.xml"/><Relationship Id="rId76" Type="http://schemas.microsoft.com/office/2017/10/relationships/person" Target="persons/person57.xml"/><Relationship Id="rId34" Type="http://schemas.microsoft.com/office/2017/10/relationships/person" Target="persons/person13.xml"/><Relationship Id="rId50" Type="http://schemas.microsoft.com/office/2017/10/relationships/person" Target="persons/person30.xml"/><Relationship Id="rId55" Type="http://schemas.microsoft.com/office/2017/10/relationships/person" Target="persons/person33.xml"/><Relationship Id="rId7" Type="http://schemas.openxmlformats.org/officeDocument/2006/relationships/worksheet" Target="worksheets/sheet7.xml"/><Relationship Id="rId71" Type="http://schemas.microsoft.com/office/2017/10/relationships/person" Target="persons/person51.xml"/><Relationship Id="rId2" Type="http://schemas.openxmlformats.org/officeDocument/2006/relationships/worksheet" Target="worksheets/sheet2.xml"/><Relationship Id="rId29" Type="http://schemas.microsoft.com/office/2017/10/relationships/person" Target="persons/person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82</xdr:col>
      <xdr:colOff>57150</xdr:colOff>
      <xdr:row>0</xdr:row>
      <xdr:rowOff>276225</xdr:rowOff>
    </xdr:from>
    <xdr:to>
      <xdr:col>95</xdr:col>
      <xdr:colOff>304800</xdr:colOff>
      <xdr:row>2</xdr:row>
      <xdr:rowOff>68580</xdr:rowOff>
    </xdr:to>
    <xdr:sp macro="" textlink="">
      <xdr:nvSpPr>
        <xdr:cNvPr id="2053" name="AutoShape 5" descr="Feju Chile - Home | Facebook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7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101</xdr:col>
      <xdr:colOff>50006</xdr:colOff>
      <xdr:row>0</xdr:row>
      <xdr:rowOff>7144</xdr:rowOff>
    </xdr:from>
    <xdr:to>
      <xdr:col>101</xdr:col>
      <xdr:colOff>664145</xdr:colOff>
      <xdr:row>4</xdr:row>
      <xdr:rowOff>15399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8162" y="7144"/>
          <a:ext cx="614139" cy="925036"/>
        </a:xfrm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0</xdr:row>
      <xdr:rowOff>0</xdr:rowOff>
    </xdr:from>
    <xdr:to>
      <xdr:col>95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50DEEBE2-8015-4DD2-AFEB-237371FD822F}"/>
            </a:ext>
          </a:extLst>
        </xdr:cNvPr>
        <xdr:cNvSpPr>
          <a:spLocks noChangeAspect="1" noChangeArrowheads="1"/>
        </xdr:cNvSpPr>
      </xdr:nvSpPr>
      <xdr:spPr bwMode="auto">
        <a:xfrm>
          <a:off x="9395460" y="0"/>
          <a:ext cx="304800" cy="448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57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94</xdr:col>
      <xdr:colOff>23813</xdr:colOff>
      <xdr:row>0</xdr:row>
      <xdr:rowOff>4762</xdr:rowOff>
    </xdr:from>
    <xdr:to>
      <xdr:col>94</xdr:col>
      <xdr:colOff>693103</xdr:colOff>
      <xdr:row>4</xdr:row>
      <xdr:rowOff>37272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9782" y="4762"/>
          <a:ext cx="669290" cy="949291"/>
        </a:xfrm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0</xdr:row>
      <xdr:rowOff>0</xdr:rowOff>
    </xdr:from>
    <xdr:to>
      <xdr:col>88</xdr:col>
      <xdr:colOff>304800</xdr:colOff>
      <xdr:row>1</xdr:row>
      <xdr:rowOff>118745</xdr:rowOff>
    </xdr:to>
    <xdr:sp macro="" textlink="">
      <xdr:nvSpPr>
        <xdr:cNvPr id="4" name="AutoShape 5" descr="Feju Chile - Home | Facebook">
          <a:extLst>
            <a:ext uri="{FF2B5EF4-FFF2-40B4-BE49-F238E27FC236}">
              <a16:creationId xmlns:a16="http://schemas.microsoft.com/office/drawing/2014/main" id="{C5817986-EDFC-45CE-A6CA-CE5A06755A58}"/>
            </a:ext>
          </a:extLst>
        </xdr:cNvPr>
        <xdr:cNvSpPr>
          <a:spLocks noChangeAspect="1" noChangeArrowheads="1"/>
        </xdr:cNvSpPr>
      </xdr:nvSpPr>
      <xdr:spPr bwMode="auto">
        <a:xfrm>
          <a:off x="8770620" y="0"/>
          <a:ext cx="304800" cy="448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0</xdr:row>
      <xdr:rowOff>0</xdr:rowOff>
    </xdr:from>
    <xdr:to>
      <xdr:col>70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53770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110</xdr:col>
      <xdr:colOff>30617</xdr:colOff>
      <xdr:row>0</xdr:row>
      <xdr:rowOff>39120</xdr:rowOff>
    </xdr:from>
    <xdr:to>
      <xdr:col>110</xdr:col>
      <xdr:colOff>626882</xdr:colOff>
      <xdr:row>4</xdr:row>
      <xdr:rowOff>45314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6367" y="39120"/>
          <a:ext cx="596265" cy="922975"/>
        </a:xfrm>
        <a:prstGeom prst="rect">
          <a:avLst/>
        </a:prstGeom>
      </xdr:spPr>
    </xdr:pic>
    <xdr:clientData/>
  </xdr:twoCellAnchor>
  <xdr:twoCellAnchor editAs="oneCell">
    <xdr:from>
      <xdr:col>86</xdr:col>
      <xdr:colOff>0</xdr:colOff>
      <xdr:row>0</xdr:row>
      <xdr:rowOff>0</xdr:rowOff>
    </xdr:from>
    <xdr:to>
      <xdr:col>105</xdr:col>
      <xdr:colOff>304800</xdr:colOff>
      <xdr:row>1</xdr:row>
      <xdr:rowOff>118745</xdr:rowOff>
    </xdr:to>
    <xdr:sp macro="" textlink="">
      <xdr:nvSpPr>
        <xdr:cNvPr id="4" name="AutoShape 5" descr="Feju Chile - Home | Facebook">
          <a:extLst>
            <a:ext uri="{FF2B5EF4-FFF2-40B4-BE49-F238E27FC236}">
              <a16:creationId xmlns:a16="http://schemas.microsoft.com/office/drawing/2014/main" id="{063CC5D1-FEB8-421A-A3A3-39A5F27493D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0"/>
          <a:ext cx="304800" cy="448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113</xdr:col>
      <xdr:colOff>758938</xdr:colOff>
      <xdr:row>0</xdr:row>
      <xdr:rowOff>8846</xdr:rowOff>
    </xdr:from>
    <xdr:to>
      <xdr:col>114</xdr:col>
      <xdr:colOff>726281</xdr:colOff>
      <xdr:row>5</xdr:row>
      <xdr:rowOff>15830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E81EC06-5735-4E7B-ACB4-24E56B3F8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3751" y="8846"/>
          <a:ext cx="729343" cy="11142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65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101</xdr:col>
      <xdr:colOff>30276</xdr:colOff>
      <xdr:row>0</xdr:row>
      <xdr:rowOff>0</xdr:rowOff>
    </xdr:from>
    <xdr:to>
      <xdr:col>101</xdr:col>
      <xdr:colOff>662830</xdr:colOff>
      <xdr:row>4</xdr:row>
      <xdr:rowOff>180340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03714" y="0"/>
          <a:ext cx="632554" cy="10971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48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75</xdr:col>
      <xdr:colOff>18120</xdr:colOff>
      <xdr:row>0</xdr:row>
      <xdr:rowOff>21606</xdr:rowOff>
    </xdr:from>
    <xdr:to>
      <xdr:col>75</xdr:col>
      <xdr:colOff>639244</xdr:colOff>
      <xdr:row>4</xdr:row>
      <xdr:rowOff>167656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3090" y="21606"/>
          <a:ext cx="621124" cy="10637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45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27100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80</xdr:col>
      <xdr:colOff>40480</xdr:colOff>
      <xdr:row>0</xdr:row>
      <xdr:rowOff>33337</xdr:rowOff>
    </xdr:from>
    <xdr:to>
      <xdr:col>80</xdr:col>
      <xdr:colOff>666749</xdr:colOff>
      <xdr:row>5</xdr:row>
      <xdr:rowOff>169867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1449" y="33337"/>
          <a:ext cx="626269" cy="12438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0</xdr:row>
      <xdr:rowOff>0</xdr:rowOff>
    </xdr:from>
    <xdr:to>
      <xdr:col>92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53770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132</xdr:col>
      <xdr:colOff>20751</xdr:colOff>
      <xdr:row>0</xdr:row>
      <xdr:rowOff>33678</xdr:rowOff>
    </xdr:from>
    <xdr:to>
      <xdr:col>132</xdr:col>
      <xdr:colOff>709091</xdr:colOff>
      <xdr:row>4</xdr:row>
      <xdr:rowOff>83843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77032" y="33678"/>
          <a:ext cx="688340" cy="966946"/>
        </a:xfrm>
        <a:prstGeom prst="rect">
          <a:avLst/>
        </a:prstGeom>
      </xdr:spPr>
    </xdr:pic>
    <xdr:clientData/>
  </xdr:twoCellAnchor>
  <xdr:twoCellAnchor editAs="oneCell">
    <xdr:from>
      <xdr:col>110</xdr:col>
      <xdr:colOff>0</xdr:colOff>
      <xdr:row>0</xdr:row>
      <xdr:rowOff>0</xdr:rowOff>
    </xdr:from>
    <xdr:to>
      <xdr:col>127</xdr:col>
      <xdr:colOff>304800</xdr:colOff>
      <xdr:row>1</xdr:row>
      <xdr:rowOff>118745</xdr:rowOff>
    </xdr:to>
    <xdr:sp macro="" textlink="">
      <xdr:nvSpPr>
        <xdr:cNvPr id="4" name="AutoShape 5" descr="Feju Chile - Home | Facebook">
          <a:extLst>
            <a:ext uri="{FF2B5EF4-FFF2-40B4-BE49-F238E27FC236}">
              <a16:creationId xmlns:a16="http://schemas.microsoft.com/office/drawing/2014/main" id="{EC47FA4B-016A-47E0-93BC-C90958712CFE}"/>
            </a:ext>
          </a:extLst>
        </xdr:cNvPr>
        <xdr:cNvSpPr>
          <a:spLocks noChangeAspect="1" noChangeArrowheads="1"/>
        </xdr:cNvSpPr>
      </xdr:nvSpPr>
      <xdr:spPr bwMode="auto">
        <a:xfrm>
          <a:off x="9258300" y="0"/>
          <a:ext cx="304800" cy="448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128</xdr:col>
      <xdr:colOff>0</xdr:colOff>
      <xdr:row>0</xdr:row>
      <xdr:rowOff>0</xdr:rowOff>
    </xdr:from>
    <xdr:to>
      <xdr:col>128</xdr:col>
      <xdr:colOff>304800</xdr:colOff>
      <xdr:row>4</xdr:row>
      <xdr:rowOff>34925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0739437" y="0"/>
          <a:ext cx="304800" cy="951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L"/>
        </a:p>
      </xdr:txBody>
    </xdr:sp>
    <xdr:clientData/>
  </xdr:twoCellAnchor>
  <xdr:twoCellAnchor editAs="oneCell">
    <xdr:from>
      <xdr:col>106</xdr:col>
      <xdr:colOff>0</xdr:colOff>
      <xdr:row>0</xdr:row>
      <xdr:rowOff>0</xdr:rowOff>
    </xdr:from>
    <xdr:to>
      <xdr:col>125</xdr:col>
      <xdr:colOff>304800</xdr:colOff>
      <xdr:row>1</xdr:row>
      <xdr:rowOff>118745</xdr:rowOff>
    </xdr:to>
    <xdr:sp macro="" textlink="">
      <xdr:nvSpPr>
        <xdr:cNvPr id="5" name="AutoShape 5" descr="Feju Chile - Home | Facebook">
          <a:extLst>
            <a:ext uri="{FF2B5EF4-FFF2-40B4-BE49-F238E27FC236}">
              <a16:creationId xmlns:a16="http://schemas.microsoft.com/office/drawing/2014/main" id="{940AC87E-E2CB-401C-8413-F4678C650086}"/>
            </a:ext>
          </a:extLst>
        </xdr:cNvPr>
        <xdr:cNvSpPr>
          <a:spLocks noChangeAspect="1" noChangeArrowheads="1"/>
        </xdr:cNvSpPr>
      </xdr:nvSpPr>
      <xdr:spPr bwMode="auto">
        <a:xfrm>
          <a:off x="8519160" y="0"/>
          <a:ext cx="304800" cy="448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129</xdr:col>
      <xdr:colOff>39916</xdr:colOff>
      <xdr:row>0</xdr:row>
      <xdr:rowOff>0</xdr:rowOff>
    </xdr:from>
    <xdr:to>
      <xdr:col>129</xdr:col>
      <xdr:colOff>690156</xdr:colOff>
      <xdr:row>4</xdr:row>
      <xdr:rowOff>55880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42F981-847E-4C7C-BC9F-048934FE5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8072" y="0"/>
          <a:ext cx="650240" cy="97266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126</xdr:col>
      <xdr:colOff>30614</xdr:colOff>
      <xdr:row>0</xdr:row>
      <xdr:rowOff>34698</xdr:rowOff>
    </xdr:from>
    <xdr:to>
      <xdr:col>126</xdr:col>
      <xdr:colOff>589414</xdr:colOff>
      <xdr:row>4</xdr:row>
      <xdr:rowOff>66447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8270" y="34698"/>
          <a:ext cx="558800" cy="9485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73</xdr:col>
      <xdr:colOff>108858</xdr:colOff>
      <xdr:row>0</xdr:row>
      <xdr:rowOff>32658</xdr:rowOff>
    </xdr:from>
    <xdr:to>
      <xdr:col>81</xdr:col>
      <xdr:colOff>306705</xdr:colOff>
      <xdr:row>3</xdr:row>
      <xdr:rowOff>73933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464629" y="32658"/>
          <a:ext cx="304800" cy="759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117</xdr:col>
      <xdr:colOff>33679</xdr:colOff>
      <xdr:row>0</xdr:row>
      <xdr:rowOff>0</xdr:rowOff>
    </xdr:from>
    <xdr:to>
      <xdr:col>117</xdr:col>
      <xdr:colOff>727734</xdr:colOff>
      <xdr:row>4</xdr:row>
      <xdr:rowOff>89535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97429" y="0"/>
          <a:ext cx="694055" cy="1006316"/>
        </a:xfrm>
        <a:prstGeom prst="rect">
          <a:avLst/>
        </a:prstGeom>
      </xdr:spPr>
    </xdr:pic>
    <xdr:clientData/>
  </xdr:twoCellAnchor>
  <xdr:twoCellAnchor editAs="oneCell">
    <xdr:from>
      <xdr:col>95</xdr:col>
      <xdr:colOff>0</xdr:colOff>
      <xdr:row>0</xdr:row>
      <xdr:rowOff>0</xdr:rowOff>
    </xdr:from>
    <xdr:to>
      <xdr:col>111</xdr:col>
      <xdr:colOff>304800</xdr:colOff>
      <xdr:row>1</xdr:row>
      <xdr:rowOff>118745</xdr:rowOff>
    </xdr:to>
    <xdr:sp macro="" textlink="">
      <xdr:nvSpPr>
        <xdr:cNvPr id="4" name="AutoShape 5" descr="Feju Chile - Home | Facebook">
          <a:extLst>
            <a:ext uri="{FF2B5EF4-FFF2-40B4-BE49-F238E27FC236}">
              <a16:creationId xmlns:a16="http://schemas.microsoft.com/office/drawing/2014/main" id="{0223A6B3-B930-4E28-BB7C-0F143256987F}"/>
            </a:ext>
          </a:extLst>
        </xdr:cNvPr>
        <xdr:cNvSpPr>
          <a:spLocks noChangeAspect="1" noChangeArrowheads="1"/>
        </xdr:cNvSpPr>
      </xdr:nvSpPr>
      <xdr:spPr bwMode="auto">
        <a:xfrm>
          <a:off x="10416540" y="0"/>
          <a:ext cx="304800" cy="448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100</xdr:col>
      <xdr:colOff>32656</xdr:colOff>
      <xdr:row>0</xdr:row>
      <xdr:rowOff>21771</xdr:rowOff>
    </xdr:from>
    <xdr:to>
      <xdr:col>100</xdr:col>
      <xdr:colOff>719365</xdr:colOff>
      <xdr:row>5</xdr:row>
      <xdr:rowOff>72571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1281" y="21771"/>
          <a:ext cx="686709" cy="1158081"/>
        </a:xfrm>
        <a:prstGeom prst="rect">
          <a:avLst/>
        </a:prstGeom>
      </xdr:spPr>
    </xdr:pic>
    <xdr:clientData/>
  </xdr:twoCellAnchor>
  <xdr:twoCellAnchor editAs="oneCell">
    <xdr:from>
      <xdr:col>83</xdr:col>
      <xdr:colOff>0</xdr:colOff>
      <xdr:row>0</xdr:row>
      <xdr:rowOff>0</xdr:rowOff>
    </xdr:from>
    <xdr:to>
      <xdr:col>94</xdr:col>
      <xdr:colOff>304800</xdr:colOff>
      <xdr:row>1</xdr:row>
      <xdr:rowOff>118745</xdr:rowOff>
    </xdr:to>
    <xdr:sp macro="" textlink="">
      <xdr:nvSpPr>
        <xdr:cNvPr id="4" name="AutoShape 5" descr="Feju Chile - Home | Facebook">
          <a:extLst>
            <a:ext uri="{FF2B5EF4-FFF2-40B4-BE49-F238E27FC236}">
              <a16:creationId xmlns:a16="http://schemas.microsoft.com/office/drawing/2014/main" id="{B29D5E97-5F07-42C6-90AB-3097BBB12813}"/>
            </a:ext>
          </a:extLst>
        </xdr:cNvPr>
        <xdr:cNvSpPr>
          <a:spLocks noChangeAspect="1" noChangeArrowheads="1"/>
        </xdr:cNvSpPr>
      </xdr:nvSpPr>
      <xdr:spPr bwMode="auto">
        <a:xfrm>
          <a:off x="10469880" y="0"/>
          <a:ext cx="304800" cy="448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46</xdr:col>
      <xdr:colOff>304800</xdr:colOff>
      <xdr:row>3</xdr:row>
      <xdr:rowOff>41275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271000" y="0"/>
          <a:ext cx="3048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81</xdr:col>
      <xdr:colOff>7144</xdr:colOff>
      <xdr:row>0</xdr:row>
      <xdr:rowOff>0</xdr:rowOff>
    </xdr:from>
    <xdr:to>
      <xdr:col>81</xdr:col>
      <xdr:colOff>680244</xdr:colOff>
      <xdr:row>4</xdr:row>
      <xdr:rowOff>72390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7175" y="0"/>
          <a:ext cx="673100" cy="989171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0</xdr:row>
      <xdr:rowOff>0</xdr:rowOff>
    </xdr:from>
    <xdr:to>
      <xdr:col>76</xdr:col>
      <xdr:colOff>304800</xdr:colOff>
      <xdr:row>1</xdr:row>
      <xdr:rowOff>118745</xdr:rowOff>
    </xdr:to>
    <xdr:sp macro="" textlink="">
      <xdr:nvSpPr>
        <xdr:cNvPr id="4" name="AutoShape 5" descr="Feju Chile - Home | Facebook">
          <a:extLst>
            <a:ext uri="{FF2B5EF4-FFF2-40B4-BE49-F238E27FC236}">
              <a16:creationId xmlns:a16="http://schemas.microsoft.com/office/drawing/2014/main" id="{02F0CD92-689F-41BD-BF4A-65D0F8C6DBBD}"/>
            </a:ext>
          </a:extLst>
        </xdr:cNvPr>
        <xdr:cNvSpPr>
          <a:spLocks noChangeAspect="1" noChangeArrowheads="1"/>
        </xdr:cNvSpPr>
      </xdr:nvSpPr>
      <xdr:spPr bwMode="auto">
        <a:xfrm>
          <a:off x="9395460" y="0"/>
          <a:ext cx="304800" cy="448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81</xdr:col>
      <xdr:colOff>33338</xdr:colOff>
      <xdr:row>0</xdr:row>
      <xdr:rowOff>21433</xdr:rowOff>
    </xdr:from>
    <xdr:to>
      <xdr:col>81</xdr:col>
      <xdr:colOff>668338</xdr:colOff>
      <xdr:row>4</xdr:row>
      <xdr:rowOff>83663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9557" y="21433"/>
          <a:ext cx="635000" cy="979011"/>
        </a:xfrm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0</xdr:row>
      <xdr:rowOff>0</xdr:rowOff>
    </xdr:from>
    <xdr:to>
      <xdr:col>76</xdr:col>
      <xdr:colOff>304800</xdr:colOff>
      <xdr:row>1</xdr:row>
      <xdr:rowOff>118745</xdr:rowOff>
    </xdr:to>
    <xdr:sp macro="" textlink="">
      <xdr:nvSpPr>
        <xdr:cNvPr id="4" name="AutoShape 5" descr="Feju Chile - Home | Facebook">
          <a:extLst>
            <a:ext uri="{FF2B5EF4-FFF2-40B4-BE49-F238E27FC236}">
              <a16:creationId xmlns:a16="http://schemas.microsoft.com/office/drawing/2014/main" id="{4E6CC989-2100-46A8-9374-BE44865820BB}"/>
            </a:ext>
          </a:extLst>
        </xdr:cNvPr>
        <xdr:cNvSpPr>
          <a:spLocks noChangeAspect="1" noChangeArrowheads="1"/>
        </xdr:cNvSpPr>
      </xdr:nvSpPr>
      <xdr:spPr bwMode="auto">
        <a:xfrm>
          <a:off x="8587740" y="0"/>
          <a:ext cx="304800" cy="448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persons/person55.xml><?xml version="1.0" encoding="utf-8"?>
<personList xmlns="http://schemas.microsoft.com/office/spreadsheetml/2018/threadedcomments" xmlns:x="http://schemas.openxmlformats.org/spreadsheetml/2006/main"/>
</file>

<file path=xl/persons/person56.xml><?xml version="1.0" encoding="utf-8"?>
<personList xmlns="http://schemas.microsoft.com/office/spreadsheetml/2018/threadedcomments" xmlns:x="http://schemas.openxmlformats.org/spreadsheetml/2006/main"/>
</file>

<file path=xl/persons/person57.xml><?xml version="1.0" encoding="utf-8"?>
<personList xmlns="http://schemas.microsoft.com/office/spreadsheetml/2018/threadedcomments" xmlns:x="http://schemas.openxmlformats.org/spreadsheetml/2006/main"/>
</file>

<file path=xl/persons/person58.xml><?xml version="1.0" encoding="utf-8"?>
<personList xmlns="http://schemas.microsoft.com/office/spreadsheetml/2018/threadedcomments" xmlns:x="http://schemas.openxmlformats.org/spreadsheetml/2006/main"/>
</file>

<file path=xl/persons/person59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3"/>
  <sheetViews>
    <sheetView zoomScale="80" zoomScaleNormal="80" workbookViewId="0">
      <selection activeCell="BX32" sqref="BX32"/>
    </sheetView>
  </sheetViews>
  <sheetFormatPr baseColWidth="10" defaultRowHeight="15" x14ac:dyDescent="0.25"/>
  <cols>
    <col min="1" max="1" width="4.140625" bestFit="1" customWidth="1"/>
    <col min="2" max="2" width="14.42578125" bestFit="1" customWidth="1"/>
    <col min="3" max="3" width="13.5703125" bestFit="1" customWidth="1"/>
    <col min="4" max="4" width="15" bestFit="1" customWidth="1"/>
    <col min="5" max="5" width="17" bestFit="1" customWidth="1"/>
    <col min="6" max="6" width="6.7109375" hidden="1" customWidth="1"/>
    <col min="7" max="7" width="6.42578125" hidden="1" customWidth="1"/>
    <col min="8" max="8" width="6.5703125" hidden="1" customWidth="1"/>
    <col min="9" max="10" width="6.42578125" hidden="1" customWidth="1"/>
    <col min="11" max="12" width="7.28515625" hidden="1" customWidth="1"/>
    <col min="13" max="13" width="6.28515625" hidden="1" customWidth="1"/>
    <col min="14" max="15" width="6.28515625" style="7" hidden="1" customWidth="1"/>
    <col min="16" max="19" width="6.7109375" style="7" hidden="1" customWidth="1"/>
    <col min="20" max="20" width="9" style="7" hidden="1" customWidth="1"/>
    <col min="21" max="22" width="7.28515625" style="7" hidden="1" customWidth="1"/>
    <col min="23" max="24" width="6.42578125" style="7" hidden="1" customWidth="1"/>
    <col min="25" max="25" width="10.28515625" hidden="1" customWidth="1"/>
    <col min="26" max="26" width="6.7109375" hidden="1" customWidth="1"/>
    <col min="27" max="38" width="5.5703125" style="7" hidden="1" customWidth="1"/>
    <col min="39" max="40" width="7.85546875" hidden="1" customWidth="1"/>
    <col min="41" max="41" width="10.5703125" hidden="1" customWidth="1"/>
    <col min="42" max="45" width="5.5703125" hidden="1" customWidth="1"/>
    <col min="46" max="55" width="5.5703125" style="7" hidden="1" customWidth="1"/>
    <col min="56" max="56" width="6.85546875" style="7" hidden="1" customWidth="1"/>
    <col min="57" max="58" width="7.85546875" hidden="1" customWidth="1"/>
    <col min="59" max="64" width="7.85546875" style="7" hidden="1" customWidth="1"/>
    <col min="65" max="65" width="7.85546875" customWidth="1"/>
    <col min="66" max="66" width="11" hidden="1" customWidth="1"/>
    <col min="67" max="67" width="6.5703125" hidden="1" customWidth="1"/>
    <col min="68" max="68" width="6.7109375" hidden="1" customWidth="1"/>
    <col min="69" max="69" width="7.28515625" hidden="1" customWidth="1"/>
    <col min="70" max="70" width="6.7109375" style="7" hidden="1" customWidth="1"/>
    <col min="71" max="71" width="7.85546875" style="7" bestFit="1" customWidth="1"/>
    <col min="72" max="79" width="6.7109375" style="7" customWidth="1"/>
    <col min="80" max="80" width="0" hidden="1" customWidth="1"/>
    <col min="81" max="81" width="0" style="7" hidden="1" customWidth="1"/>
    <col min="82" max="82" width="0" hidden="1" customWidth="1"/>
    <col min="83" max="83" width="6.5703125" style="7" hidden="1" customWidth="1"/>
    <col min="84" max="88" width="5.5703125" style="7" hidden="1" customWidth="1"/>
    <col min="89" max="90" width="9" hidden="1" customWidth="1"/>
    <col min="91" max="91" width="5" style="7" hidden="1" customWidth="1"/>
    <col min="92" max="93" width="6" hidden="1" customWidth="1"/>
    <col min="94" max="94" width="6" style="7" hidden="1" customWidth="1"/>
    <col min="95" max="95" width="5.5703125" style="7" hidden="1" customWidth="1"/>
    <col min="98" max="98" width="6" bestFit="1" customWidth="1"/>
    <col min="99" max="100" width="6" style="7" customWidth="1"/>
  </cols>
  <sheetData>
    <row r="1" spans="1:101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</row>
    <row r="2" spans="1:101" ht="15.75" thickBot="1" x14ac:dyDescent="0.3">
      <c r="C2" s="7"/>
      <c r="D2" s="7"/>
      <c r="E2" s="7"/>
      <c r="F2" s="7"/>
      <c r="G2" s="7"/>
    </row>
    <row r="3" spans="1:101" ht="15.75" thickTop="1" x14ac:dyDescent="0.25">
      <c r="B3" s="1" t="s">
        <v>0</v>
      </c>
      <c r="C3" s="4" t="s">
        <v>29</v>
      </c>
    </row>
    <row r="4" spans="1:101" ht="14.65" customHeight="1" x14ac:dyDescent="0.25">
      <c r="B4" s="2" t="s">
        <v>1</v>
      </c>
      <c r="C4" s="10" t="s">
        <v>7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56" t="s">
        <v>641</v>
      </c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</row>
    <row r="5" spans="1:101" ht="15" customHeight="1" thickBot="1" x14ac:dyDescent="0.3">
      <c r="B5" s="3" t="s">
        <v>2</v>
      </c>
      <c r="C5" s="34">
        <v>-48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</row>
    <row r="6" spans="1:101" ht="15.75" thickTop="1" x14ac:dyDescent="0.25"/>
    <row r="7" spans="1:101" ht="15.75" thickBot="1" x14ac:dyDescent="0.3"/>
    <row r="8" spans="1:101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27</v>
      </c>
      <c r="H8" s="4" t="s">
        <v>31</v>
      </c>
      <c r="I8" s="4" t="s">
        <v>27</v>
      </c>
      <c r="J8" s="4" t="s">
        <v>72</v>
      </c>
      <c r="K8" s="4" t="s">
        <v>99</v>
      </c>
      <c r="L8" s="4" t="s">
        <v>134</v>
      </c>
      <c r="M8" s="4" t="s">
        <v>132</v>
      </c>
      <c r="N8" s="4" t="s">
        <v>141</v>
      </c>
      <c r="O8" s="4" t="s">
        <v>146</v>
      </c>
      <c r="P8" s="4" t="s">
        <v>27</v>
      </c>
      <c r="Q8" s="4" t="s">
        <v>151</v>
      </c>
      <c r="R8" s="4" t="s">
        <v>27</v>
      </c>
      <c r="S8" s="4" t="s">
        <v>27</v>
      </c>
      <c r="T8" s="4" t="s">
        <v>164</v>
      </c>
      <c r="U8" s="4" t="s">
        <v>27</v>
      </c>
      <c r="V8" s="4" t="s">
        <v>168</v>
      </c>
      <c r="W8" s="4" t="s">
        <v>27</v>
      </c>
      <c r="X8" s="4" t="s">
        <v>173</v>
      </c>
      <c r="Y8" s="1"/>
      <c r="Z8" s="12">
        <v>44927</v>
      </c>
      <c r="AA8" s="4" t="s">
        <v>27</v>
      </c>
      <c r="AB8" s="17" t="s">
        <v>173</v>
      </c>
      <c r="AC8" s="17" t="s">
        <v>27</v>
      </c>
      <c r="AD8" s="17" t="s">
        <v>27</v>
      </c>
      <c r="AE8" s="17" t="s">
        <v>217</v>
      </c>
      <c r="AF8" s="17" t="s">
        <v>217</v>
      </c>
      <c r="AG8" s="17" t="s">
        <v>173</v>
      </c>
      <c r="AH8" s="17" t="s">
        <v>27</v>
      </c>
      <c r="AI8" s="17" t="s">
        <v>173</v>
      </c>
      <c r="AJ8" s="16" t="s">
        <v>27</v>
      </c>
      <c r="AK8" s="16" t="s">
        <v>27</v>
      </c>
      <c r="AL8" s="17" t="s">
        <v>174</v>
      </c>
      <c r="AM8" s="4" t="s">
        <v>6</v>
      </c>
      <c r="AN8" s="16">
        <v>45292</v>
      </c>
      <c r="AO8" s="16" t="s">
        <v>27</v>
      </c>
      <c r="AP8" s="16" t="s">
        <v>27</v>
      </c>
      <c r="AQ8" s="16" t="s">
        <v>27</v>
      </c>
      <c r="AR8" s="16" t="s">
        <v>27</v>
      </c>
      <c r="AS8" s="16" t="s">
        <v>173</v>
      </c>
      <c r="AT8" s="16" t="s">
        <v>173</v>
      </c>
      <c r="AU8" s="16" t="s">
        <v>217</v>
      </c>
      <c r="AV8" s="16" t="s">
        <v>217</v>
      </c>
      <c r="AW8" s="16" t="s">
        <v>217</v>
      </c>
      <c r="AX8" s="16" t="s">
        <v>173</v>
      </c>
      <c r="AY8" s="16" t="s">
        <v>27</v>
      </c>
      <c r="AZ8" s="16" t="s">
        <v>27</v>
      </c>
      <c r="BA8" s="16" t="s">
        <v>27</v>
      </c>
      <c r="BB8" s="16" t="s">
        <v>27</v>
      </c>
      <c r="BC8" s="16" t="s">
        <v>173</v>
      </c>
      <c r="BD8" s="16" t="s">
        <v>174</v>
      </c>
      <c r="BE8" s="16" t="s">
        <v>6</v>
      </c>
      <c r="BF8" s="16">
        <v>45658</v>
      </c>
      <c r="BG8" s="16"/>
      <c r="BH8" s="16"/>
      <c r="BI8" s="38"/>
      <c r="BJ8" s="39"/>
      <c r="BK8" s="39"/>
      <c r="BL8" s="40"/>
      <c r="BM8" s="16" t="s">
        <v>6</v>
      </c>
      <c r="BN8" s="1" t="s">
        <v>175</v>
      </c>
      <c r="BO8" s="1" t="s">
        <v>214</v>
      </c>
      <c r="BP8" s="1" t="s">
        <v>171</v>
      </c>
      <c r="BQ8" s="1" t="s">
        <v>282</v>
      </c>
      <c r="BR8" s="4" t="s">
        <v>283</v>
      </c>
      <c r="BS8" s="16">
        <v>46023</v>
      </c>
      <c r="BT8" s="16"/>
      <c r="BU8" s="16"/>
      <c r="BV8" s="38"/>
      <c r="BW8" s="39"/>
      <c r="BX8" s="39"/>
      <c r="BY8" s="40"/>
      <c r="BZ8" s="16" t="s">
        <v>178</v>
      </c>
      <c r="CB8" s="1" t="s">
        <v>6</v>
      </c>
      <c r="CC8" s="16">
        <v>45292</v>
      </c>
      <c r="CD8" s="4" t="s">
        <v>175</v>
      </c>
      <c r="CE8" s="4" t="s">
        <v>296</v>
      </c>
      <c r="CF8" s="4" t="s">
        <v>31</v>
      </c>
      <c r="CG8" s="4" t="s">
        <v>164</v>
      </c>
      <c r="CH8" s="4" t="s">
        <v>164</v>
      </c>
      <c r="CI8" s="4" t="s">
        <v>171</v>
      </c>
      <c r="CJ8" s="4" t="s">
        <v>283</v>
      </c>
      <c r="CK8" s="1" t="s">
        <v>6</v>
      </c>
      <c r="CL8" s="12">
        <v>45658</v>
      </c>
      <c r="CM8" s="4" t="s">
        <v>296</v>
      </c>
      <c r="CN8" s="4" t="s">
        <v>164</v>
      </c>
      <c r="CO8" s="4" t="s">
        <v>31</v>
      </c>
      <c r="CP8" s="4" t="s">
        <v>171</v>
      </c>
      <c r="CQ8" s="4" t="s">
        <v>283</v>
      </c>
      <c r="CR8" s="4" t="s">
        <v>178</v>
      </c>
      <c r="CS8" s="16">
        <v>46023</v>
      </c>
      <c r="CT8" s="4" t="s">
        <v>31</v>
      </c>
      <c r="CU8" s="4" t="s">
        <v>721</v>
      </c>
      <c r="CV8" s="4" t="s">
        <v>171</v>
      </c>
      <c r="CW8" s="1" t="s">
        <v>6</v>
      </c>
    </row>
    <row r="9" spans="1:101" x14ac:dyDescent="0.25">
      <c r="B9" s="50"/>
      <c r="C9" s="51"/>
      <c r="D9" s="2"/>
      <c r="E9" s="2"/>
      <c r="F9" s="10" t="s">
        <v>73</v>
      </c>
      <c r="G9" s="10" t="s">
        <v>54</v>
      </c>
      <c r="H9" s="8" t="s">
        <v>32</v>
      </c>
      <c r="I9" s="10" t="s">
        <v>66</v>
      </c>
      <c r="J9" s="10" t="s">
        <v>73</v>
      </c>
      <c r="K9" s="10" t="s">
        <v>100</v>
      </c>
      <c r="L9" s="10" t="s">
        <v>135</v>
      </c>
      <c r="M9" s="10" t="s">
        <v>133</v>
      </c>
      <c r="N9" s="10" t="s">
        <v>140</v>
      </c>
      <c r="O9" s="10" t="s">
        <v>73</v>
      </c>
      <c r="P9" s="10" t="s">
        <v>56</v>
      </c>
      <c r="Q9" s="10" t="s">
        <v>152</v>
      </c>
      <c r="R9" s="10" t="s">
        <v>54</v>
      </c>
      <c r="S9" s="10" t="s">
        <v>159</v>
      </c>
      <c r="T9" s="10" t="s">
        <v>161</v>
      </c>
      <c r="U9" s="10" t="s">
        <v>149</v>
      </c>
      <c r="V9" s="10" t="s">
        <v>169</v>
      </c>
      <c r="W9" s="10" t="s">
        <v>66</v>
      </c>
      <c r="X9" s="10" t="s">
        <v>174</v>
      </c>
      <c r="Y9" s="2" t="s">
        <v>6</v>
      </c>
      <c r="Z9" s="2"/>
      <c r="AA9" s="10" t="s">
        <v>28</v>
      </c>
      <c r="AB9" s="18" t="s">
        <v>134</v>
      </c>
      <c r="AC9" s="18" t="s">
        <v>162</v>
      </c>
      <c r="AD9" s="18" t="s">
        <v>66</v>
      </c>
      <c r="AE9" s="18" t="s">
        <v>132</v>
      </c>
      <c r="AF9" s="18" t="s">
        <v>134</v>
      </c>
      <c r="AG9" s="18" t="s">
        <v>132</v>
      </c>
      <c r="AH9" s="18" t="s">
        <v>162</v>
      </c>
      <c r="AI9" s="18" t="s">
        <v>141</v>
      </c>
      <c r="AJ9" s="10" t="s">
        <v>66</v>
      </c>
      <c r="AK9" s="10" t="s">
        <v>28</v>
      </c>
      <c r="AL9" s="18"/>
      <c r="AM9" s="2"/>
      <c r="AN9" s="10"/>
      <c r="AO9" s="10" t="s">
        <v>328</v>
      </c>
      <c r="AP9" s="10" t="s">
        <v>159</v>
      </c>
      <c r="AQ9" s="10" t="s">
        <v>56</v>
      </c>
      <c r="AR9" s="10" t="s">
        <v>66</v>
      </c>
      <c r="AS9" s="10" t="s">
        <v>132</v>
      </c>
      <c r="AT9" s="10" t="s">
        <v>396</v>
      </c>
      <c r="AU9" s="10" t="s">
        <v>132</v>
      </c>
      <c r="AV9" s="10" t="s">
        <v>134</v>
      </c>
      <c r="AW9" s="10" t="s">
        <v>141</v>
      </c>
      <c r="AX9" s="10" t="s">
        <v>134</v>
      </c>
      <c r="AY9" s="10" t="s">
        <v>346</v>
      </c>
      <c r="AZ9" s="10" t="s">
        <v>56</v>
      </c>
      <c r="BA9" s="10" t="s">
        <v>28</v>
      </c>
      <c r="BB9" s="10" t="s">
        <v>66</v>
      </c>
      <c r="BC9" s="10" t="s">
        <v>141</v>
      </c>
      <c r="BD9" s="10" t="s">
        <v>475</v>
      </c>
      <c r="BE9" s="10"/>
      <c r="BF9" s="10"/>
      <c r="BG9" s="8" t="s">
        <v>27</v>
      </c>
      <c r="BH9" s="8" t="s">
        <v>217</v>
      </c>
      <c r="BI9" s="52" t="s">
        <v>477</v>
      </c>
      <c r="BJ9" s="53"/>
      <c r="BK9" s="53"/>
      <c r="BL9" s="54"/>
      <c r="BM9" s="10"/>
      <c r="BN9" s="2" t="s">
        <v>176</v>
      </c>
      <c r="BO9" s="2"/>
      <c r="BP9" s="2" t="s">
        <v>255</v>
      </c>
      <c r="BQ9" s="2"/>
      <c r="BR9" s="10" t="s">
        <v>284</v>
      </c>
      <c r="BS9" s="10"/>
      <c r="BT9" s="8" t="s">
        <v>27</v>
      </c>
      <c r="BU9" s="8" t="s">
        <v>217</v>
      </c>
      <c r="BV9" s="52" t="s">
        <v>477</v>
      </c>
      <c r="BW9" s="53"/>
      <c r="BX9" s="53"/>
      <c r="BY9" s="54"/>
      <c r="BZ9" s="8"/>
      <c r="CB9" s="2"/>
      <c r="CD9" s="10" t="s">
        <v>176</v>
      </c>
      <c r="CE9" s="10"/>
      <c r="CF9" s="10" t="s">
        <v>354</v>
      </c>
      <c r="CG9" s="10" t="s">
        <v>419</v>
      </c>
      <c r="CH9" s="10" t="s">
        <v>255</v>
      </c>
      <c r="CI9" s="10" t="s">
        <v>255</v>
      </c>
      <c r="CJ9" s="10" t="s">
        <v>73</v>
      </c>
      <c r="CK9" s="2"/>
      <c r="CL9" s="2"/>
      <c r="CM9" s="10"/>
      <c r="CN9" s="10" t="s">
        <v>100</v>
      </c>
      <c r="CO9" s="10" t="s">
        <v>419</v>
      </c>
      <c r="CP9" s="10" t="s">
        <v>255</v>
      </c>
      <c r="CQ9" s="10" t="s">
        <v>73</v>
      </c>
      <c r="CR9" s="10"/>
      <c r="CS9" s="10"/>
      <c r="CT9" s="10" t="s">
        <v>152</v>
      </c>
      <c r="CU9" s="10" t="s">
        <v>32</v>
      </c>
      <c r="CV9" s="10" t="s">
        <v>419</v>
      </c>
      <c r="CW9" s="2"/>
    </row>
    <row r="10" spans="1:101" x14ac:dyDescent="0.25">
      <c r="B10" s="57"/>
      <c r="C10" s="58"/>
      <c r="D10" s="2" t="s">
        <v>4</v>
      </c>
      <c r="E10" s="2" t="s">
        <v>5</v>
      </c>
      <c r="F10" s="9">
        <v>44577</v>
      </c>
      <c r="G10" s="9">
        <v>44660</v>
      </c>
      <c r="H10" s="9">
        <v>44661</v>
      </c>
      <c r="I10" s="9">
        <v>44674</v>
      </c>
      <c r="J10" s="9">
        <v>44681</v>
      </c>
      <c r="K10" s="9">
        <v>44695</v>
      </c>
      <c r="L10" s="9">
        <v>44730</v>
      </c>
      <c r="M10" s="9">
        <v>44730</v>
      </c>
      <c r="N10" s="9">
        <v>44737</v>
      </c>
      <c r="O10" s="9">
        <v>44758</v>
      </c>
      <c r="P10" s="9">
        <v>44779</v>
      </c>
      <c r="Q10" s="9">
        <v>44783</v>
      </c>
      <c r="R10" s="9">
        <v>44793</v>
      </c>
      <c r="S10" s="9">
        <v>44800</v>
      </c>
      <c r="T10" s="9">
        <v>44812</v>
      </c>
      <c r="U10" s="9">
        <v>44814</v>
      </c>
      <c r="V10" s="9">
        <v>44829</v>
      </c>
      <c r="W10" s="9">
        <v>44863</v>
      </c>
      <c r="X10" s="9">
        <v>44906</v>
      </c>
      <c r="Y10" s="2">
        <v>2022</v>
      </c>
      <c r="Z10" s="2"/>
      <c r="AA10" s="10" t="s">
        <v>179</v>
      </c>
      <c r="AB10" s="18" t="s">
        <v>193</v>
      </c>
      <c r="AC10" s="18" t="s">
        <v>213</v>
      </c>
      <c r="AD10" s="18" t="s">
        <v>216</v>
      </c>
      <c r="AE10" s="18" t="s">
        <v>218</v>
      </c>
      <c r="AF10" s="18" t="s">
        <v>234</v>
      </c>
      <c r="AG10" s="18" t="s">
        <v>242</v>
      </c>
      <c r="AH10" s="18" t="s">
        <v>256</v>
      </c>
      <c r="AI10" s="18" t="s">
        <v>268</v>
      </c>
      <c r="AJ10" s="10" t="s">
        <v>280</v>
      </c>
      <c r="AK10" s="10" t="s">
        <v>280</v>
      </c>
      <c r="AL10" s="18" t="s">
        <v>289</v>
      </c>
      <c r="AM10" s="2">
        <v>2023</v>
      </c>
      <c r="AN10" s="31"/>
      <c r="AO10" s="31" t="s">
        <v>317</v>
      </c>
      <c r="AP10" s="31" t="s">
        <v>317</v>
      </c>
      <c r="AQ10" s="31" t="s">
        <v>373</v>
      </c>
      <c r="AR10" s="31" t="s">
        <v>373</v>
      </c>
      <c r="AS10" s="31" t="s">
        <v>384</v>
      </c>
      <c r="AT10" s="31" t="s">
        <v>397</v>
      </c>
      <c r="AU10" s="31" t="s">
        <v>405</v>
      </c>
      <c r="AV10" s="31" t="s">
        <v>405</v>
      </c>
      <c r="AW10" s="31" t="s">
        <v>416</v>
      </c>
      <c r="AX10" s="31" t="s">
        <v>421</v>
      </c>
      <c r="AY10" s="31" t="s">
        <v>441</v>
      </c>
      <c r="AZ10" s="31" t="s">
        <v>445</v>
      </c>
      <c r="BA10" s="31" t="s">
        <v>455</v>
      </c>
      <c r="BB10" s="31" t="s">
        <v>456</v>
      </c>
      <c r="BC10" s="31" t="s">
        <v>465</v>
      </c>
      <c r="BD10" s="31" t="s">
        <v>476</v>
      </c>
      <c r="BE10" s="31">
        <v>2024</v>
      </c>
      <c r="BF10" s="10"/>
      <c r="BG10" s="10"/>
      <c r="BH10" s="10"/>
      <c r="BI10" s="10">
        <v>1</v>
      </c>
      <c r="BJ10" s="10">
        <v>2</v>
      </c>
      <c r="BK10" s="10">
        <v>3</v>
      </c>
      <c r="BL10" s="10">
        <v>4</v>
      </c>
      <c r="BM10" s="10">
        <v>2025</v>
      </c>
      <c r="BN10" s="2"/>
      <c r="BO10" s="14">
        <v>45078</v>
      </c>
      <c r="BP10" s="14">
        <v>45154</v>
      </c>
      <c r="BQ10" s="14">
        <v>45246</v>
      </c>
      <c r="BR10" s="8">
        <v>45255</v>
      </c>
      <c r="BS10" s="10"/>
      <c r="BT10" s="10"/>
      <c r="BU10" s="10"/>
      <c r="BV10" s="10">
        <v>1</v>
      </c>
      <c r="BW10" s="10">
        <v>2</v>
      </c>
      <c r="BX10" s="10">
        <v>3</v>
      </c>
      <c r="BY10" s="10">
        <v>4</v>
      </c>
      <c r="BZ10" s="10">
        <v>2026</v>
      </c>
      <c r="CB10" s="2">
        <v>2023</v>
      </c>
      <c r="CD10" s="10"/>
      <c r="CE10" s="9">
        <v>45347</v>
      </c>
      <c r="CF10" s="9" t="s">
        <v>355</v>
      </c>
      <c r="CG10" s="9" t="s">
        <v>228</v>
      </c>
      <c r="CH10" s="9" t="s">
        <v>456</v>
      </c>
      <c r="CI10" s="9" t="s">
        <v>457</v>
      </c>
      <c r="CJ10" s="9" t="s">
        <v>474</v>
      </c>
      <c r="CK10" s="2">
        <v>2024</v>
      </c>
      <c r="CL10" s="2"/>
      <c r="CM10" s="10" t="s">
        <v>480</v>
      </c>
      <c r="CN10" s="10" t="s">
        <v>317</v>
      </c>
      <c r="CO10" s="10" t="s">
        <v>527</v>
      </c>
      <c r="CP10" s="10" t="s">
        <v>632</v>
      </c>
      <c r="CQ10" s="10" t="s">
        <v>474</v>
      </c>
      <c r="CR10" s="10">
        <v>2025</v>
      </c>
      <c r="CS10" s="10"/>
      <c r="CT10" s="10" t="s">
        <v>193</v>
      </c>
      <c r="CU10" s="10" t="s">
        <v>722</v>
      </c>
      <c r="CV10" s="10" t="s">
        <v>723</v>
      </c>
      <c r="CW10" s="2">
        <v>2026</v>
      </c>
    </row>
    <row r="11" spans="1:101" x14ac:dyDescent="0.25">
      <c r="A11">
        <v>1</v>
      </c>
      <c r="B11" s="23" t="s">
        <v>375</v>
      </c>
      <c r="C11" s="20"/>
      <c r="D11" s="20" t="s">
        <v>376</v>
      </c>
      <c r="E11" s="20" t="s">
        <v>119</v>
      </c>
      <c r="F11" s="5"/>
      <c r="G11" s="5"/>
      <c r="H11" s="5"/>
      <c r="I11" s="5"/>
      <c r="J11" s="5"/>
      <c r="K11" s="5"/>
      <c r="L11" s="5"/>
      <c r="M11" s="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5"/>
      <c r="Z11" s="5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5"/>
      <c r="AN11" s="5"/>
      <c r="AO11" s="5"/>
      <c r="AP11" s="5"/>
      <c r="AQ11" s="5">
        <v>48</v>
      </c>
      <c r="AR11" s="5"/>
      <c r="AS11" s="5">
        <v>150</v>
      </c>
      <c r="AT11" s="11">
        <v>100</v>
      </c>
      <c r="AU11" s="11"/>
      <c r="AV11" s="11"/>
      <c r="AW11" s="11">
        <v>80</v>
      </c>
      <c r="AX11" s="11">
        <v>150</v>
      </c>
      <c r="AY11" s="11"/>
      <c r="AZ11" s="11">
        <v>36</v>
      </c>
      <c r="BA11" s="11"/>
      <c r="BB11" s="11"/>
      <c r="BC11" s="11">
        <v>150</v>
      </c>
      <c r="BD11" s="11">
        <v>200</v>
      </c>
      <c r="BE11" s="5">
        <f>SUM(AN11:BD11)</f>
        <v>914</v>
      </c>
      <c r="BF11" s="5">
        <f>(BE11-AN11)/2</f>
        <v>457</v>
      </c>
      <c r="BG11" s="11">
        <v>48</v>
      </c>
      <c r="BH11" s="11">
        <v>64</v>
      </c>
      <c r="BI11" s="11">
        <v>150</v>
      </c>
      <c r="BJ11" s="11">
        <v>80</v>
      </c>
      <c r="BK11" s="11">
        <v>200</v>
      </c>
      <c r="BL11" s="11">
        <v>120</v>
      </c>
      <c r="BM11" s="5">
        <f t="shared" ref="BM11:BM16" si="0">SUM(BF11:BL11)</f>
        <v>1119</v>
      </c>
      <c r="BN11" s="41"/>
      <c r="BO11" s="5"/>
      <c r="BP11" s="5"/>
      <c r="BQ11" s="5"/>
      <c r="BR11" s="35"/>
      <c r="BS11" s="11">
        <f t="shared" ref="BS11:BS16" si="1">(BM11-BF11)/2</f>
        <v>331</v>
      </c>
      <c r="BT11" s="11">
        <v>36</v>
      </c>
      <c r="BU11" s="11">
        <v>48</v>
      </c>
      <c r="BV11" s="11">
        <v>150</v>
      </c>
      <c r="BW11" s="11"/>
      <c r="BX11" s="11"/>
      <c r="BY11" s="11"/>
      <c r="BZ11" s="11">
        <f t="shared" ref="BZ11:BZ23" si="2">SUM(BS11:BY11)</f>
        <v>565</v>
      </c>
      <c r="CB11" s="5">
        <f>SUM(BN11:BP11)</f>
        <v>0</v>
      </c>
      <c r="CC11" s="11">
        <f>(CB11)/2</f>
        <v>0</v>
      </c>
      <c r="CD11" s="11">
        <f>BE11/4</f>
        <v>228.5</v>
      </c>
      <c r="CE11" s="11"/>
      <c r="CF11" s="11"/>
      <c r="CG11" s="11"/>
      <c r="CH11" s="11">
        <v>7.5</v>
      </c>
      <c r="CI11" s="11">
        <v>26</v>
      </c>
      <c r="CJ11" s="11">
        <v>30</v>
      </c>
      <c r="CK11" s="5">
        <f>SUM(CC11:CJ11)</f>
        <v>292</v>
      </c>
      <c r="CL11" s="11">
        <f>(CK11-CC11)/2</f>
        <v>146</v>
      </c>
      <c r="CM11" s="11">
        <v>30</v>
      </c>
      <c r="CN11" s="11">
        <v>39</v>
      </c>
      <c r="CO11" s="11">
        <v>108</v>
      </c>
      <c r="CP11" s="11">
        <v>100</v>
      </c>
      <c r="CQ11" s="11">
        <v>40</v>
      </c>
      <c r="CR11" s="11">
        <f>SUM(CL11:CQ11)</f>
        <v>463</v>
      </c>
      <c r="CS11" s="5">
        <f t="shared" ref="CS11:CS23" si="3">(CR11-CL11)/2</f>
        <v>158.5</v>
      </c>
      <c r="CT11" s="5">
        <v>150</v>
      </c>
      <c r="CU11" s="11">
        <v>75</v>
      </c>
      <c r="CV11" s="11">
        <v>50</v>
      </c>
      <c r="CW11" s="20">
        <f>SUM(CS11:CV11)</f>
        <v>433.5</v>
      </c>
    </row>
    <row r="12" spans="1:101" x14ac:dyDescent="0.25">
      <c r="A12">
        <v>2</v>
      </c>
      <c r="B12" s="11" t="s">
        <v>409</v>
      </c>
      <c r="C12" s="5"/>
      <c r="D12" s="5" t="s">
        <v>246</v>
      </c>
      <c r="E12" s="5" t="s">
        <v>10</v>
      </c>
      <c r="F12" s="5"/>
      <c r="G12" s="5"/>
      <c r="H12" s="5"/>
      <c r="I12" s="5"/>
      <c r="J12" s="5"/>
      <c r="K12" s="5"/>
      <c r="L12" s="5"/>
      <c r="M12" s="5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5"/>
      <c r="Z12" s="5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5"/>
      <c r="AN12" s="5"/>
      <c r="AO12" s="5"/>
      <c r="AP12" s="5"/>
      <c r="AQ12" s="5"/>
      <c r="AR12" s="5"/>
      <c r="AS12" s="5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5"/>
      <c r="BF12" s="5"/>
      <c r="BG12" s="11">
        <v>36</v>
      </c>
      <c r="BH12" s="11">
        <v>64</v>
      </c>
      <c r="BI12" s="11">
        <v>75</v>
      </c>
      <c r="BJ12" s="11">
        <v>56</v>
      </c>
      <c r="BK12" s="11">
        <v>100</v>
      </c>
      <c r="BL12" s="11"/>
      <c r="BM12" s="5">
        <f t="shared" si="0"/>
        <v>331</v>
      </c>
      <c r="BN12" s="41"/>
      <c r="BO12" s="5"/>
      <c r="BP12" s="5"/>
      <c r="BQ12" s="5"/>
      <c r="BR12" s="35"/>
      <c r="BS12" s="11">
        <f t="shared" si="1"/>
        <v>165.5</v>
      </c>
      <c r="BT12" s="11">
        <v>48</v>
      </c>
      <c r="BU12" s="11">
        <v>48</v>
      </c>
      <c r="BV12" s="11">
        <v>105</v>
      </c>
      <c r="BW12" s="11">
        <v>80</v>
      </c>
      <c r="BX12" s="11">
        <v>48</v>
      </c>
      <c r="BY12" s="11"/>
      <c r="BZ12" s="11">
        <f t="shared" si="2"/>
        <v>494.5</v>
      </c>
      <c r="CB12" s="5"/>
      <c r="CC12" s="11"/>
      <c r="CD12" s="5"/>
      <c r="CE12" s="11"/>
      <c r="CF12" s="11"/>
      <c r="CG12" s="11"/>
      <c r="CH12" s="11"/>
      <c r="CI12" s="11"/>
      <c r="CJ12" s="11"/>
      <c r="CK12" s="5"/>
      <c r="CL12" s="5"/>
      <c r="CM12" s="11">
        <v>18</v>
      </c>
      <c r="CN12" s="5"/>
      <c r="CO12" s="5"/>
      <c r="CP12" s="11">
        <v>50</v>
      </c>
      <c r="CQ12" s="11">
        <v>2</v>
      </c>
      <c r="CR12" s="11">
        <f>SUM(CL12:CQ12)</f>
        <v>70</v>
      </c>
      <c r="CS12" s="5">
        <f t="shared" si="3"/>
        <v>35</v>
      </c>
      <c r="CT12" s="5"/>
      <c r="CU12" s="11"/>
      <c r="CV12" s="11"/>
      <c r="CW12" s="5">
        <f>SUM(CS12:CT12)</f>
        <v>35</v>
      </c>
    </row>
    <row r="13" spans="1:101" x14ac:dyDescent="0.25">
      <c r="A13">
        <v>3</v>
      </c>
      <c r="B13" s="25" t="s">
        <v>391</v>
      </c>
      <c r="C13" s="22"/>
      <c r="D13" s="22" t="s">
        <v>392</v>
      </c>
      <c r="E13" s="22" t="s">
        <v>102</v>
      </c>
      <c r="F13" s="5"/>
      <c r="G13" s="5"/>
      <c r="H13" s="5"/>
      <c r="I13" s="5"/>
      <c r="J13" s="5"/>
      <c r="K13" s="5"/>
      <c r="L13" s="5"/>
      <c r="M13" s="5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5"/>
      <c r="Z13" s="5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5"/>
      <c r="AN13" s="5"/>
      <c r="AO13" s="5"/>
      <c r="AP13" s="5"/>
      <c r="AQ13" s="5"/>
      <c r="AR13" s="5"/>
      <c r="AS13" s="5">
        <v>7.5</v>
      </c>
      <c r="AT13" s="11"/>
      <c r="AU13" s="11"/>
      <c r="AV13" s="11"/>
      <c r="AW13" s="11">
        <v>56</v>
      </c>
      <c r="AX13" s="11"/>
      <c r="AY13" s="11"/>
      <c r="AZ13" s="11"/>
      <c r="BA13" s="11"/>
      <c r="BB13" s="11"/>
      <c r="BC13" s="11"/>
      <c r="BD13" s="11"/>
      <c r="BE13" s="5">
        <f>SUM(AN13:BD13)</f>
        <v>63.5</v>
      </c>
      <c r="BF13" s="5">
        <f>(BE13-AN13)/2</f>
        <v>31.75</v>
      </c>
      <c r="BG13" s="11">
        <v>36</v>
      </c>
      <c r="BH13" s="11">
        <v>3.2</v>
      </c>
      <c r="BI13" s="11">
        <v>100</v>
      </c>
      <c r="BJ13" s="11">
        <v>105</v>
      </c>
      <c r="BK13" s="11">
        <v>60</v>
      </c>
      <c r="BL13" s="11">
        <v>36</v>
      </c>
      <c r="BM13" s="5">
        <f t="shared" si="0"/>
        <v>371.95</v>
      </c>
      <c r="BN13" s="41"/>
      <c r="BO13" s="5"/>
      <c r="BP13" s="5"/>
      <c r="BQ13" s="5"/>
      <c r="BR13" s="35"/>
      <c r="BS13" s="11">
        <f t="shared" si="1"/>
        <v>170.1</v>
      </c>
      <c r="BT13" s="11">
        <v>48</v>
      </c>
      <c r="BU13" s="11">
        <v>56</v>
      </c>
      <c r="BV13" s="11">
        <v>75</v>
      </c>
      <c r="BW13" s="11">
        <v>4</v>
      </c>
      <c r="BX13" s="11">
        <v>36</v>
      </c>
      <c r="BY13" s="11"/>
      <c r="BZ13" s="11">
        <f t="shared" si="2"/>
        <v>389.1</v>
      </c>
      <c r="CB13" s="5">
        <f>SUM(BN13:BP13)</f>
        <v>0</v>
      </c>
      <c r="CC13" s="11">
        <f>(CB13)/2</f>
        <v>0</v>
      </c>
      <c r="CD13" s="11">
        <f>BE13/4</f>
        <v>15.875</v>
      </c>
      <c r="CE13" s="11"/>
      <c r="CF13" s="11"/>
      <c r="CG13" s="11"/>
      <c r="CH13" s="11"/>
      <c r="CI13" s="11"/>
      <c r="CJ13" s="11"/>
      <c r="CK13" s="5">
        <f>SUM(CC13:CE13)</f>
        <v>15.875</v>
      </c>
      <c r="CL13" s="11">
        <f>(CK13-CC13)/2</f>
        <v>7.9375</v>
      </c>
      <c r="CM13" s="11"/>
      <c r="CN13" s="11"/>
      <c r="CO13" s="11"/>
      <c r="CP13" s="11"/>
      <c r="CQ13" s="11"/>
      <c r="CR13" s="11">
        <f>SUM(CL13:CN13)</f>
        <v>7.9375</v>
      </c>
      <c r="CS13" s="5">
        <f t="shared" si="3"/>
        <v>0</v>
      </c>
      <c r="CT13" s="5"/>
      <c r="CU13" s="11"/>
      <c r="CV13" s="11">
        <v>36</v>
      </c>
      <c r="CW13" s="22">
        <f>SUM(CS13:CV13)</f>
        <v>36</v>
      </c>
    </row>
    <row r="14" spans="1:101" x14ac:dyDescent="0.25">
      <c r="A14" s="46">
        <v>4</v>
      </c>
      <c r="B14" s="24" t="s">
        <v>207</v>
      </c>
      <c r="C14" s="21"/>
      <c r="D14" s="21" t="s">
        <v>107</v>
      </c>
      <c r="E14" s="21" t="s">
        <v>119</v>
      </c>
      <c r="AM14" s="5">
        <f>SUM(Z14:AL14)</f>
        <v>0</v>
      </c>
      <c r="AN14" s="5">
        <f>(AM14-Z14)/2</f>
        <v>0</v>
      </c>
      <c r="AO14" s="5"/>
      <c r="AP14" s="5"/>
      <c r="AQ14" s="5">
        <v>2.4</v>
      </c>
      <c r="AR14" s="5"/>
      <c r="AS14" s="5">
        <v>54</v>
      </c>
      <c r="AT14" s="11"/>
      <c r="AU14" s="11"/>
      <c r="AV14" s="11"/>
      <c r="AW14" s="11">
        <v>40</v>
      </c>
      <c r="AX14" s="11">
        <v>7.5</v>
      </c>
      <c r="AY14" s="11"/>
      <c r="AZ14" s="11"/>
      <c r="BA14" s="11"/>
      <c r="BB14" s="11"/>
      <c r="BC14" s="11">
        <v>7.5</v>
      </c>
      <c r="BD14" s="11"/>
      <c r="BE14" s="5">
        <f>SUM(AN14:BD14)</f>
        <v>111.4</v>
      </c>
      <c r="BF14" s="5">
        <f>(BE14-AN14)/2</f>
        <v>55.7</v>
      </c>
      <c r="BG14" s="11">
        <v>2.4</v>
      </c>
      <c r="BH14" s="11">
        <v>44.8</v>
      </c>
      <c r="BI14" s="11">
        <v>105</v>
      </c>
      <c r="BJ14" s="11">
        <v>75</v>
      </c>
      <c r="BK14" s="11">
        <v>105</v>
      </c>
      <c r="BL14" s="11">
        <v>72</v>
      </c>
      <c r="BM14" s="5">
        <f t="shared" si="0"/>
        <v>459.9</v>
      </c>
      <c r="BS14" s="11">
        <f t="shared" si="1"/>
        <v>202.1</v>
      </c>
      <c r="BT14" s="11"/>
      <c r="BU14" s="11">
        <v>40</v>
      </c>
      <c r="BV14" s="11">
        <v>54</v>
      </c>
      <c r="BW14" s="11"/>
      <c r="BX14" s="11"/>
      <c r="BY14" s="11"/>
      <c r="BZ14" s="11">
        <f t="shared" si="2"/>
        <v>296.10000000000002</v>
      </c>
      <c r="CB14" s="5">
        <f>SUM(BN14:BP14)</f>
        <v>0</v>
      </c>
      <c r="CC14" s="11">
        <f>(CB14)/2</f>
        <v>0</v>
      </c>
      <c r="CD14" s="11">
        <f>BE14/4</f>
        <v>27.85</v>
      </c>
      <c r="CE14" s="11">
        <v>1.5</v>
      </c>
      <c r="CF14" s="11"/>
      <c r="CG14" s="11"/>
      <c r="CH14" s="11"/>
      <c r="CI14" s="11"/>
      <c r="CJ14" s="11"/>
      <c r="CK14" s="5">
        <f>SUM(CC14:CE14)</f>
        <v>29.35</v>
      </c>
      <c r="CL14" s="11">
        <f>(CK14-CC14)/2</f>
        <v>14.675000000000001</v>
      </c>
      <c r="CM14" s="11"/>
      <c r="CN14" s="11"/>
      <c r="CO14" s="11"/>
      <c r="CP14" s="11">
        <v>70</v>
      </c>
      <c r="CQ14" s="11">
        <v>28</v>
      </c>
      <c r="CR14" s="11">
        <f>SUM(CL14:CQ14)</f>
        <v>112.675</v>
      </c>
      <c r="CS14" s="5">
        <f t="shared" si="3"/>
        <v>49</v>
      </c>
      <c r="CT14" s="5"/>
      <c r="CU14" s="11">
        <v>7.5</v>
      </c>
      <c r="CV14" s="11">
        <v>5</v>
      </c>
      <c r="CW14" s="21">
        <f>SUM(CS14:CV14)</f>
        <v>61.5</v>
      </c>
    </row>
    <row r="15" spans="1:101" x14ac:dyDescent="0.25">
      <c r="A15">
        <v>5</v>
      </c>
      <c r="B15" s="11" t="s">
        <v>74</v>
      </c>
      <c r="C15" s="5"/>
      <c r="D15" s="5" t="s">
        <v>23</v>
      </c>
      <c r="E15" s="5" t="s">
        <v>336</v>
      </c>
      <c r="AM15" s="5"/>
      <c r="AN15" s="5"/>
      <c r="AO15" s="5">
        <v>36</v>
      </c>
      <c r="AP15" s="5"/>
      <c r="AQ15" s="5"/>
      <c r="AR15" s="5"/>
      <c r="AS15" s="5"/>
      <c r="AT15" s="11">
        <v>5</v>
      </c>
      <c r="AU15" s="11">
        <v>40</v>
      </c>
      <c r="AV15" s="11"/>
      <c r="AW15" s="11"/>
      <c r="AX15" s="11">
        <v>7.5</v>
      </c>
      <c r="AY15" s="11"/>
      <c r="AZ15" s="11"/>
      <c r="BA15" s="11"/>
      <c r="BB15" s="11"/>
      <c r="BC15" s="11"/>
      <c r="BD15" s="11"/>
      <c r="BE15" s="5">
        <f>SUM(AN15:BD15)</f>
        <v>88.5</v>
      </c>
      <c r="BF15" s="5">
        <f>(BE15-AN15)/2</f>
        <v>44.25</v>
      </c>
      <c r="BG15" s="11">
        <v>2.4</v>
      </c>
      <c r="BH15" s="11">
        <v>48</v>
      </c>
      <c r="BI15" s="11">
        <v>7.5</v>
      </c>
      <c r="BJ15" s="11">
        <v>48</v>
      </c>
      <c r="BK15" s="11">
        <v>52</v>
      </c>
      <c r="BL15" s="11"/>
      <c r="BM15" s="5">
        <f t="shared" si="0"/>
        <v>202.15</v>
      </c>
      <c r="BS15" s="11">
        <f t="shared" si="1"/>
        <v>78.95</v>
      </c>
      <c r="BT15" s="11">
        <v>48</v>
      </c>
      <c r="BU15" s="11"/>
      <c r="BV15" s="11">
        <v>75</v>
      </c>
      <c r="BW15" s="11"/>
      <c r="BX15" s="11"/>
      <c r="BY15" s="11"/>
      <c r="BZ15" s="11">
        <f t="shared" si="2"/>
        <v>201.95</v>
      </c>
      <c r="CB15" s="5">
        <f>SUM(BN15:BP15)</f>
        <v>0</v>
      </c>
      <c r="CC15" s="11">
        <f>(CB15)/2</f>
        <v>0</v>
      </c>
      <c r="CD15" s="11">
        <f>BE15/4</f>
        <v>22.125</v>
      </c>
      <c r="CE15" s="11"/>
      <c r="CF15" s="11"/>
      <c r="CG15" s="11"/>
      <c r="CH15" s="11"/>
      <c r="CI15" s="11"/>
      <c r="CJ15" s="11"/>
      <c r="CK15" s="5">
        <f>SUM(CC15:CE15)</f>
        <v>22.125</v>
      </c>
      <c r="CL15" s="11">
        <f>(CK15-CC15)/2</f>
        <v>11.0625</v>
      </c>
      <c r="CM15" s="11">
        <v>1.5</v>
      </c>
      <c r="CN15" s="11"/>
      <c r="CO15" s="11"/>
      <c r="CP15" s="11"/>
      <c r="CQ15" s="11"/>
      <c r="CR15" s="11">
        <f t="shared" ref="CR15:CR23" si="4">SUM(CL15:CN15)</f>
        <v>12.5625</v>
      </c>
      <c r="CS15" s="5">
        <f t="shared" si="3"/>
        <v>0.75</v>
      </c>
      <c r="CT15" s="5"/>
      <c r="CU15" s="11"/>
      <c r="CV15" s="11"/>
      <c r="CW15" s="5">
        <f t="shared" ref="CW15:CW23" si="5">SUM(CS15:CT15)</f>
        <v>0.75</v>
      </c>
    </row>
    <row r="16" spans="1:101" x14ac:dyDescent="0.25">
      <c r="A16">
        <v>6</v>
      </c>
      <c r="B16" s="28" t="s">
        <v>41</v>
      </c>
      <c r="C16" s="28" t="s">
        <v>95</v>
      </c>
      <c r="D16" s="29" t="s">
        <v>77</v>
      </c>
      <c r="E16" s="29" t="s">
        <v>9</v>
      </c>
      <c r="F16" s="7"/>
      <c r="J16" s="7">
        <v>56</v>
      </c>
      <c r="K16" s="7"/>
      <c r="L16" s="7"/>
      <c r="M16" s="7"/>
      <c r="O16" s="7">
        <v>70</v>
      </c>
      <c r="V16" s="7">
        <v>4</v>
      </c>
      <c r="Y16" s="19">
        <f>SUM(F16:X16)</f>
        <v>130</v>
      </c>
      <c r="Z16">
        <f>Y16/2</f>
        <v>65</v>
      </c>
      <c r="AA16" s="7">
        <v>36</v>
      </c>
      <c r="AB16" s="7">
        <v>80</v>
      </c>
      <c r="AE16" s="7">
        <v>64</v>
      </c>
      <c r="AG16" s="7">
        <v>70</v>
      </c>
      <c r="AK16" s="7">
        <v>36</v>
      </c>
      <c r="AL16" s="7">
        <v>75</v>
      </c>
      <c r="AM16" s="29">
        <f>SUM(Z16:AL16)</f>
        <v>426</v>
      </c>
      <c r="AN16" s="29">
        <f>(AM16-Z16)/2</f>
        <v>180.5</v>
      </c>
      <c r="AO16" s="29"/>
      <c r="AP16" s="29"/>
      <c r="AQ16" s="29"/>
      <c r="AR16" s="29"/>
      <c r="AS16" s="29">
        <v>75</v>
      </c>
      <c r="AT16" s="28">
        <v>50</v>
      </c>
      <c r="AU16" s="28"/>
      <c r="AV16" s="28"/>
      <c r="AW16" s="28"/>
      <c r="AX16" s="28">
        <v>75</v>
      </c>
      <c r="AY16" s="28"/>
      <c r="AZ16" s="28"/>
      <c r="BA16" s="28">
        <v>36</v>
      </c>
      <c r="BB16" s="28"/>
      <c r="BC16" s="28">
        <v>75</v>
      </c>
      <c r="BD16" s="28">
        <v>10</v>
      </c>
      <c r="BE16" s="5">
        <f>SUM(AN16:BD16)</f>
        <v>501.5</v>
      </c>
      <c r="BF16" s="5">
        <f>(BE16-AN16)/2</f>
        <v>160.5</v>
      </c>
      <c r="BG16" s="11">
        <v>36</v>
      </c>
      <c r="BH16" s="11"/>
      <c r="BI16" s="11">
        <v>75</v>
      </c>
      <c r="BJ16" s="11">
        <v>150</v>
      </c>
      <c r="BK16" s="11">
        <v>140</v>
      </c>
      <c r="BL16" s="11"/>
      <c r="BM16" s="5">
        <f t="shared" si="0"/>
        <v>561.5</v>
      </c>
      <c r="BN16">
        <f>AM16/4</f>
        <v>106.5</v>
      </c>
      <c r="BO16">
        <v>100</v>
      </c>
      <c r="BS16" s="11">
        <f t="shared" si="1"/>
        <v>200.5</v>
      </c>
      <c r="BT16" s="11"/>
      <c r="BU16" s="11"/>
      <c r="BV16" s="11"/>
      <c r="BW16" s="11"/>
      <c r="BX16" s="11"/>
      <c r="BY16" s="11"/>
      <c r="BZ16" s="11">
        <f t="shared" si="2"/>
        <v>200.5</v>
      </c>
      <c r="CB16" s="5">
        <f>SUM(BN16:BP16)</f>
        <v>206.5</v>
      </c>
      <c r="CC16" s="11">
        <f>(CB16)/2</f>
        <v>103.25</v>
      </c>
      <c r="CD16" s="11">
        <f>BE16/4</f>
        <v>125.375</v>
      </c>
      <c r="CE16" s="11"/>
      <c r="CF16" s="11"/>
      <c r="CG16" s="11">
        <v>7.5</v>
      </c>
      <c r="CH16" s="11"/>
      <c r="CI16" s="11"/>
      <c r="CJ16" s="11"/>
      <c r="CK16" s="5">
        <f>SUM(CC16:CG16)</f>
        <v>236.125</v>
      </c>
      <c r="CL16" s="11">
        <f>(CK16-CC16)/2</f>
        <v>66.4375</v>
      </c>
      <c r="CM16" s="11"/>
      <c r="CN16" s="11"/>
      <c r="CO16" s="11"/>
      <c r="CP16" s="11"/>
      <c r="CQ16" s="11"/>
      <c r="CR16" s="11">
        <f t="shared" si="4"/>
        <v>66.4375</v>
      </c>
      <c r="CS16" s="5">
        <f t="shared" si="3"/>
        <v>0</v>
      </c>
      <c r="CT16" s="5"/>
      <c r="CU16" s="11"/>
      <c r="CV16" s="11"/>
      <c r="CW16" s="5">
        <f t="shared" si="5"/>
        <v>0</v>
      </c>
    </row>
    <row r="17" spans="1:101" x14ac:dyDescent="0.25">
      <c r="A17">
        <v>7</v>
      </c>
      <c r="B17" s="11" t="s">
        <v>136</v>
      </c>
      <c r="C17" s="5"/>
      <c r="D17" s="5" t="s">
        <v>718</v>
      </c>
      <c r="E17" s="5" t="s">
        <v>532</v>
      </c>
      <c r="F17" s="5"/>
      <c r="G17" s="5"/>
      <c r="H17" s="5"/>
      <c r="I17" s="5"/>
      <c r="J17" s="5"/>
      <c r="K17" s="5"/>
      <c r="L17" s="5"/>
      <c r="M17" s="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5"/>
      <c r="Z17" s="5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5"/>
      <c r="AN17" s="5"/>
      <c r="AO17" s="5"/>
      <c r="AP17" s="5"/>
      <c r="AQ17" s="5"/>
      <c r="AR17" s="5"/>
      <c r="AS17" s="5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5"/>
      <c r="BF17" s="5"/>
      <c r="BG17" s="11"/>
      <c r="BH17" s="11"/>
      <c r="BI17" s="11"/>
      <c r="BJ17" s="11"/>
      <c r="BK17" s="11"/>
      <c r="BL17" s="11"/>
      <c r="BM17" s="5"/>
      <c r="BS17" s="11"/>
      <c r="BT17" s="11"/>
      <c r="BU17" s="11">
        <v>80</v>
      </c>
      <c r="BV17" s="11"/>
      <c r="BW17" s="11"/>
      <c r="BX17" s="11"/>
      <c r="BY17" s="11"/>
      <c r="BZ17" s="11">
        <f t="shared" si="2"/>
        <v>80</v>
      </c>
      <c r="CB17" s="5"/>
      <c r="CC17" s="11"/>
      <c r="CD17" s="5"/>
      <c r="CE17" s="11"/>
      <c r="CF17" s="11"/>
      <c r="CG17" s="11"/>
      <c r="CH17" s="11"/>
      <c r="CI17" s="11"/>
      <c r="CJ17" s="11"/>
      <c r="CK17" s="5"/>
      <c r="CL17" s="5"/>
      <c r="CM17" s="11"/>
      <c r="CN17" s="5"/>
      <c r="CO17" s="5"/>
      <c r="CP17" s="11"/>
      <c r="CQ17" s="11"/>
      <c r="CR17" s="11">
        <f t="shared" si="4"/>
        <v>0</v>
      </c>
      <c r="CS17" s="5">
        <f t="shared" si="3"/>
        <v>0</v>
      </c>
      <c r="CT17" s="5"/>
      <c r="CU17" s="11"/>
      <c r="CV17" s="11"/>
      <c r="CW17" s="5">
        <f t="shared" si="5"/>
        <v>0</v>
      </c>
    </row>
    <row r="18" spans="1:101" x14ac:dyDescent="0.25">
      <c r="A18">
        <v>8</v>
      </c>
      <c r="B18" s="28" t="s">
        <v>614</v>
      </c>
      <c r="C18" s="29"/>
      <c r="D18" s="29" t="s">
        <v>300</v>
      </c>
      <c r="E18" s="29" t="s">
        <v>520</v>
      </c>
      <c r="F18" s="29"/>
      <c r="G18" s="29"/>
      <c r="H18" s="29"/>
      <c r="I18" s="29"/>
      <c r="J18" s="29"/>
      <c r="K18" s="29"/>
      <c r="L18" s="29"/>
      <c r="M18" s="29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9"/>
      <c r="Z18" s="29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9"/>
      <c r="AN18" s="29"/>
      <c r="AO18" s="29"/>
      <c r="AP18" s="29"/>
      <c r="AQ18" s="29"/>
      <c r="AR18" s="29"/>
      <c r="AS18" s="29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9"/>
      <c r="BF18" s="29"/>
      <c r="BG18" s="28">
        <v>48</v>
      </c>
      <c r="BH18" s="28">
        <v>3.2</v>
      </c>
      <c r="BI18" s="28">
        <v>8</v>
      </c>
      <c r="BJ18" s="28"/>
      <c r="BK18" s="28"/>
      <c r="BL18" s="28"/>
      <c r="BM18" s="29">
        <f>SUM(BF18:BL18)</f>
        <v>59.2</v>
      </c>
      <c r="BS18" s="28">
        <f>(BM18-BF18)/2</f>
        <v>29.6</v>
      </c>
      <c r="BT18" s="28">
        <v>33.6</v>
      </c>
      <c r="BU18" s="28"/>
      <c r="BV18" s="28">
        <v>7.5</v>
      </c>
      <c r="BW18" s="28"/>
      <c r="BX18" s="28"/>
      <c r="BY18" s="28"/>
      <c r="BZ18" s="11">
        <f t="shared" si="2"/>
        <v>70.7</v>
      </c>
      <c r="CK18" s="5">
        <f>SUM(CC18:CE18)</f>
        <v>0</v>
      </c>
      <c r="CL18" s="11">
        <f>(CK18-CC18)/2</f>
        <v>0</v>
      </c>
      <c r="CM18" s="11"/>
      <c r="CN18" s="11"/>
      <c r="CO18" s="11"/>
      <c r="CP18" s="11"/>
      <c r="CQ18" s="11"/>
      <c r="CR18" s="11">
        <f t="shared" si="4"/>
        <v>0</v>
      </c>
      <c r="CS18" s="5">
        <f t="shared" si="3"/>
        <v>0</v>
      </c>
      <c r="CT18" s="5"/>
      <c r="CU18" s="11"/>
      <c r="CV18" s="11"/>
      <c r="CW18" s="5">
        <f t="shared" si="5"/>
        <v>0</v>
      </c>
    </row>
    <row r="19" spans="1:101" x14ac:dyDescent="0.25">
      <c r="A19">
        <v>9</v>
      </c>
      <c r="B19" s="11" t="s">
        <v>681</v>
      </c>
      <c r="C19" s="5"/>
      <c r="D19" s="5" t="s">
        <v>682</v>
      </c>
      <c r="E19" s="5" t="s">
        <v>521</v>
      </c>
      <c r="F19" s="5"/>
      <c r="G19" s="5"/>
      <c r="H19" s="5"/>
      <c r="I19" s="5"/>
      <c r="J19" s="5"/>
      <c r="K19" s="5"/>
      <c r="L19" s="5"/>
      <c r="M19" s="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5"/>
      <c r="Z19" s="5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5"/>
      <c r="AN19" s="5"/>
      <c r="AO19" s="5"/>
      <c r="AP19" s="5"/>
      <c r="AQ19" s="5"/>
      <c r="AR19" s="5"/>
      <c r="AS19" s="5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5"/>
      <c r="BF19" s="5"/>
      <c r="BG19" s="11"/>
      <c r="BH19" s="11"/>
      <c r="BI19" s="11"/>
      <c r="BJ19" s="11"/>
      <c r="BK19" s="11"/>
      <c r="BL19" s="11"/>
      <c r="BM19" s="5"/>
      <c r="BN19" s="5"/>
      <c r="BO19" s="5"/>
      <c r="BP19" s="5"/>
      <c r="BQ19" s="5"/>
      <c r="BR19" s="11"/>
      <c r="BS19" s="11"/>
      <c r="BT19" s="11">
        <v>2.4</v>
      </c>
      <c r="BU19" s="11">
        <v>48</v>
      </c>
      <c r="BV19" s="11"/>
      <c r="BW19" s="11"/>
      <c r="BX19" s="11"/>
      <c r="BY19" s="11"/>
      <c r="BZ19" s="11">
        <f t="shared" si="2"/>
        <v>50.4</v>
      </c>
      <c r="CR19" s="11">
        <f t="shared" si="4"/>
        <v>0</v>
      </c>
      <c r="CS19" s="5">
        <f t="shared" si="3"/>
        <v>0</v>
      </c>
      <c r="CT19" s="5"/>
      <c r="CU19" s="11"/>
      <c r="CV19" s="11"/>
      <c r="CW19" s="5">
        <f t="shared" si="5"/>
        <v>0</v>
      </c>
    </row>
    <row r="20" spans="1:101" x14ac:dyDescent="0.25">
      <c r="A20">
        <v>10</v>
      </c>
      <c r="B20" s="11" t="s">
        <v>310</v>
      </c>
      <c r="C20" s="5"/>
      <c r="D20" s="5" t="s">
        <v>23</v>
      </c>
      <c r="E20" s="5" t="s">
        <v>353</v>
      </c>
      <c r="F20" s="5"/>
      <c r="G20" s="5"/>
      <c r="H20" s="5"/>
      <c r="I20" s="5"/>
      <c r="J20" s="5"/>
      <c r="K20" s="5"/>
      <c r="L20" s="5"/>
      <c r="M20" s="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5"/>
      <c r="Z20" s="5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5"/>
      <c r="AN20" s="5"/>
      <c r="AO20" s="5"/>
      <c r="AP20" s="5"/>
      <c r="AQ20" s="5"/>
      <c r="AR20" s="5"/>
      <c r="AS20" s="5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5"/>
      <c r="BF20" s="5"/>
      <c r="BG20" s="11"/>
      <c r="BH20" s="11"/>
      <c r="BI20" s="11"/>
      <c r="BJ20" s="11"/>
      <c r="BK20" s="11"/>
      <c r="BL20" s="11"/>
      <c r="BM20" s="5"/>
      <c r="BN20" s="5"/>
      <c r="BO20" s="5"/>
      <c r="BP20" s="5"/>
      <c r="BQ20" s="5"/>
      <c r="BR20" s="11"/>
      <c r="BS20" s="11"/>
      <c r="BT20" s="11">
        <v>2.4</v>
      </c>
      <c r="BU20" s="11"/>
      <c r="BV20" s="11">
        <v>7.5</v>
      </c>
      <c r="BW20" s="11">
        <v>2.4</v>
      </c>
      <c r="BX20" s="11"/>
      <c r="BY20" s="11"/>
      <c r="BZ20" s="11">
        <f t="shared" si="2"/>
        <v>12.3</v>
      </c>
      <c r="CR20" s="11">
        <f t="shared" si="4"/>
        <v>0</v>
      </c>
      <c r="CS20" s="5">
        <f t="shared" si="3"/>
        <v>0</v>
      </c>
      <c r="CT20" s="5"/>
      <c r="CU20" s="11"/>
      <c r="CV20" s="11"/>
      <c r="CW20" s="5">
        <f t="shared" si="5"/>
        <v>0</v>
      </c>
    </row>
    <row r="21" spans="1:101" x14ac:dyDescent="0.25">
      <c r="A21">
        <v>11</v>
      </c>
      <c r="B21" s="11" t="s">
        <v>478</v>
      </c>
      <c r="C21" s="5"/>
      <c r="D21" s="5" t="s">
        <v>479</v>
      </c>
      <c r="E21" s="5" t="s">
        <v>24</v>
      </c>
      <c r="F21" s="5"/>
      <c r="G21" s="5"/>
      <c r="H21" s="5"/>
      <c r="I21" s="5"/>
      <c r="J21" s="5"/>
      <c r="K21" s="5"/>
      <c r="L21" s="5"/>
      <c r="M21" s="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5"/>
      <c r="Z21" s="5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5"/>
      <c r="AN21" s="5"/>
      <c r="AO21" s="5"/>
      <c r="AP21" s="5"/>
      <c r="AQ21" s="5"/>
      <c r="AR21" s="5"/>
      <c r="AS21" s="5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5"/>
      <c r="BF21" s="5"/>
      <c r="BG21" s="11"/>
      <c r="BH21" s="11"/>
      <c r="BI21" s="11">
        <v>7.5</v>
      </c>
      <c r="BJ21" s="11">
        <v>4</v>
      </c>
      <c r="BK21" s="11"/>
      <c r="BL21" s="11"/>
      <c r="BM21" s="5">
        <f>SUM(BF21:BL21)</f>
        <v>11.5</v>
      </c>
      <c r="BN21" s="5"/>
      <c r="BO21" s="5"/>
      <c r="BP21" s="5"/>
      <c r="BQ21" s="5"/>
      <c r="BR21" s="11"/>
      <c r="BS21" s="11">
        <f>(BM21-BF21)/2</f>
        <v>5.75</v>
      </c>
      <c r="BT21" s="11"/>
      <c r="BU21" s="11"/>
      <c r="BV21" s="11"/>
      <c r="BW21" s="11"/>
      <c r="BX21" s="11"/>
      <c r="BY21" s="11"/>
      <c r="BZ21" s="11">
        <f t="shared" si="2"/>
        <v>5.75</v>
      </c>
      <c r="CM21" s="7">
        <v>15</v>
      </c>
      <c r="CR21" s="11">
        <f t="shared" si="4"/>
        <v>15</v>
      </c>
      <c r="CS21" s="5">
        <f t="shared" si="3"/>
        <v>7.5</v>
      </c>
      <c r="CT21" s="5"/>
      <c r="CU21" s="11"/>
      <c r="CV21" s="11"/>
      <c r="CW21" s="5">
        <f t="shared" si="5"/>
        <v>7.5</v>
      </c>
    </row>
    <row r="22" spans="1:101" x14ac:dyDescent="0.25">
      <c r="A22">
        <v>12</v>
      </c>
      <c r="B22" s="11" t="s">
        <v>562</v>
      </c>
      <c r="C22" s="5"/>
      <c r="D22" s="5" t="s">
        <v>719</v>
      </c>
      <c r="E22" s="5" t="s">
        <v>24</v>
      </c>
      <c r="F22" s="5"/>
      <c r="G22" s="5"/>
      <c r="H22" s="5"/>
      <c r="I22" s="5"/>
      <c r="J22" s="5"/>
      <c r="K22" s="5"/>
      <c r="L22" s="5"/>
      <c r="M22" s="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5"/>
      <c r="Z22" s="5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5"/>
      <c r="AN22" s="5"/>
      <c r="AO22" s="5"/>
      <c r="AP22" s="5"/>
      <c r="AQ22" s="5"/>
      <c r="AR22" s="5"/>
      <c r="AS22" s="5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5"/>
      <c r="BF22" s="5"/>
      <c r="BG22" s="11"/>
      <c r="BH22" s="11"/>
      <c r="BI22" s="11"/>
      <c r="BJ22" s="11"/>
      <c r="BK22" s="11"/>
      <c r="BL22" s="11"/>
      <c r="BM22" s="5"/>
      <c r="BN22" s="5"/>
      <c r="BO22" s="5"/>
      <c r="BP22" s="5"/>
      <c r="BQ22" s="5"/>
      <c r="BR22" s="11"/>
      <c r="BS22" s="11"/>
      <c r="BT22" s="11"/>
      <c r="BU22" s="11">
        <v>4</v>
      </c>
      <c r="BV22" s="11"/>
      <c r="BW22" s="11"/>
      <c r="BX22" s="11"/>
      <c r="BY22" s="11"/>
      <c r="BZ22" s="11">
        <f t="shared" si="2"/>
        <v>4</v>
      </c>
      <c r="CR22" s="11">
        <f t="shared" si="4"/>
        <v>0</v>
      </c>
      <c r="CS22" s="5">
        <f t="shared" si="3"/>
        <v>0</v>
      </c>
      <c r="CT22" s="5"/>
      <c r="CU22" s="11"/>
      <c r="CV22" s="11"/>
      <c r="CW22" s="5">
        <f t="shared" si="5"/>
        <v>0</v>
      </c>
    </row>
    <row r="23" spans="1:101" x14ac:dyDescent="0.25">
      <c r="A23">
        <v>13</v>
      </c>
      <c r="B23" s="11" t="s">
        <v>730</v>
      </c>
      <c r="C23" s="5"/>
      <c r="D23" s="5" t="s">
        <v>731</v>
      </c>
      <c r="E23" s="5" t="s">
        <v>420</v>
      </c>
      <c r="F23" s="5"/>
      <c r="G23" s="5"/>
      <c r="H23" s="5"/>
      <c r="I23" s="5"/>
      <c r="J23" s="5"/>
      <c r="K23" s="5"/>
      <c r="L23" s="5"/>
      <c r="M23" s="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5"/>
      <c r="Z23" s="5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5"/>
      <c r="AN23" s="5"/>
      <c r="AO23" s="5"/>
      <c r="AP23" s="5"/>
      <c r="AQ23" s="5"/>
      <c r="AR23" s="5"/>
      <c r="AS23" s="5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5"/>
      <c r="BF23" s="5"/>
      <c r="BG23" s="11"/>
      <c r="BH23" s="11"/>
      <c r="BI23" s="11"/>
      <c r="BJ23" s="11"/>
      <c r="BK23" s="11"/>
      <c r="BL23" s="11"/>
      <c r="BM23" s="5"/>
      <c r="BN23" s="5"/>
      <c r="BO23" s="5"/>
      <c r="BP23" s="5"/>
      <c r="BQ23" s="5"/>
      <c r="BR23" s="11"/>
      <c r="BS23" s="11"/>
      <c r="BT23" s="11">
        <v>2.4</v>
      </c>
      <c r="BU23" s="11"/>
      <c r="BV23" s="11"/>
      <c r="BW23" s="11"/>
      <c r="BX23" s="11"/>
      <c r="BY23" s="11"/>
      <c r="BZ23" s="11">
        <f t="shared" si="2"/>
        <v>2.4</v>
      </c>
      <c r="CR23" s="11">
        <f t="shared" si="4"/>
        <v>0</v>
      </c>
      <c r="CS23" s="5">
        <f t="shared" si="3"/>
        <v>0</v>
      </c>
      <c r="CT23" s="5"/>
      <c r="CU23" s="11"/>
      <c r="CV23" s="11"/>
      <c r="CW23" s="5">
        <f t="shared" si="5"/>
        <v>0</v>
      </c>
    </row>
  </sheetData>
  <sortState xmlns:xlrd2="http://schemas.microsoft.com/office/spreadsheetml/2017/richdata2" ref="B11:CW23">
    <sortCondition descending="1" ref="BZ11:BZ23"/>
  </sortState>
  <mergeCells count="6">
    <mergeCell ref="B1:CW1"/>
    <mergeCell ref="B8:C10"/>
    <mergeCell ref="BI9:BL9"/>
    <mergeCell ref="BV9:BY9"/>
    <mergeCell ref="D4:BZ5"/>
    <mergeCell ref="CK4:CW5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26"/>
  <sheetViews>
    <sheetView zoomScale="80" zoomScaleNormal="80" workbookViewId="0">
      <selection activeCell="BL35" sqref="BL35"/>
    </sheetView>
  </sheetViews>
  <sheetFormatPr baseColWidth="10" defaultRowHeight="15" x14ac:dyDescent="0.25"/>
  <cols>
    <col min="1" max="1" width="3" bestFit="1" customWidth="1"/>
    <col min="2" max="2" width="13.5703125" bestFit="1" customWidth="1"/>
    <col min="3" max="3" width="13.28515625" bestFit="1" customWidth="1"/>
    <col min="4" max="4" width="11.7109375" bestFit="1" customWidth="1"/>
    <col min="5" max="5" width="17.28515625" bestFit="1" customWidth="1"/>
    <col min="6" max="6" width="6.7109375" hidden="1" customWidth="1"/>
    <col min="7" max="10" width="6.42578125" hidden="1" customWidth="1"/>
    <col min="11" max="11" width="7.28515625" hidden="1" customWidth="1"/>
    <col min="12" max="12" width="6.28515625" hidden="1" customWidth="1"/>
    <col min="13" max="13" width="6.28515625" style="7" hidden="1" customWidth="1"/>
    <col min="14" max="14" width="6.7109375" style="7" hidden="1" customWidth="1"/>
    <col min="15" max="17" width="7.28515625" style="7" hidden="1" customWidth="1"/>
    <col min="18" max="18" width="0" hidden="1" customWidth="1"/>
    <col min="19" max="19" width="7.140625" hidden="1" customWidth="1"/>
    <col min="20" max="31" width="5.5703125" style="19" hidden="1" customWidth="1"/>
    <col min="32" max="33" width="9.85546875" hidden="1" customWidth="1"/>
    <col min="34" max="48" width="5.5703125" hidden="1" customWidth="1"/>
    <col min="49" max="49" width="6.85546875" style="7" hidden="1" customWidth="1"/>
    <col min="50" max="51" width="9.85546875" hidden="1" customWidth="1"/>
    <col min="52" max="53" width="7" style="7" hidden="1" customWidth="1"/>
    <col min="54" max="54" width="7.5703125" style="7" hidden="1" customWidth="1"/>
    <col min="55" max="55" width="6.7109375" style="7" hidden="1" customWidth="1"/>
    <col min="56" max="56" width="7.7109375" style="7" hidden="1" customWidth="1"/>
    <col min="57" max="57" width="6.7109375" style="7" hidden="1" customWidth="1"/>
    <col min="58" max="59" width="9.85546875" customWidth="1"/>
    <col min="60" max="63" width="9.85546875" style="7" customWidth="1"/>
    <col min="64" max="67" width="9.85546875" customWidth="1"/>
    <col min="68" max="68" width="11" hidden="1" customWidth="1"/>
    <col min="69" max="69" width="6.5703125" hidden="1" customWidth="1"/>
    <col min="70" max="71" width="6.7109375" hidden="1" customWidth="1"/>
    <col min="72" max="74" width="0" hidden="1" customWidth="1"/>
    <col min="75" max="75" width="6.5703125" hidden="1" customWidth="1"/>
    <col min="76" max="79" width="5.5703125" hidden="1" customWidth="1"/>
    <col min="80" max="80" width="5.5703125" style="7" hidden="1" customWidth="1"/>
    <col min="81" max="81" width="0" hidden="1" customWidth="1"/>
    <col min="82" max="82" width="9" hidden="1" customWidth="1"/>
    <col min="83" max="83" width="5" style="7" hidden="1" customWidth="1"/>
    <col min="84" max="85" width="5.5703125" hidden="1" customWidth="1"/>
    <col min="86" max="88" width="6" hidden="1" customWidth="1"/>
    <col min="91" max="91" width="6" bestFit="1" customWidth="1"/>
    <col min="92" max="92" width="6" customWidth="1"/>
    <col min="93" max="93" width="6" style="7" customWidth="1"/>
  </cols>
  <sheetData>
    <row r="1" spans="1:94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</row>
    <row r="2" spans="1:94" ht="15.75" thickBot="1" x14ac:dyDescent="0.3">
      <c r="C2" s="7"/>
      <c r="D2" s="7"/>
      <c r="E2" s="7"/>
      <c r="F2" s="7"/>
      <c r="G2" s="7"/>
      <c r="H2" s="7"/>
    </row>
    <row r="3" spans="1:94" ht="15.75" thickTop="1" x14ac:dyDescent="0.25">
      <c r="B3" s="1" t="s">
        <v>0</v>
      </c>
      <c r="C3" s="4" t="s">
        <v>29</v>
      </c>
    </row>
    <row r="4" spans="1:94" ht="14.65" customHeight="1" x14ac:dyDescent="0.25">
      <c r="B4" s="2" t="s">
        <v>1</v>
      </c>
      <c r="C4" s="10" t="s">
        <v>7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30"/>
      <c r="BP4" s="56" t="s">
        <v>641</v>
      </c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</row>
    <row r="5" spans="1:94" ht="15" customHeight="1" thickBot="1" x14ac:dyDescent="0.3">
      <c r="B5" s="3" t="s">
        <v>2</v>
      </c>
      <c r="C5" s="34">
        <v>-52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30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</row>
    <row r="6" spans="1:94" ht="15.75" thickTop="1" x14ac:dyDescent="0.25"/>
    <row r="7" spans="1:94" ht="15.75" thickBot="1" x14ac:dyDescent="0.3"/>
    <row r="8" spans="1:94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27</v>
      </c>
      <c r="H8" s="4" t="s">
        <v>27</v>
      </c>
      <c r="I8" s="4" t="s">
        <v>31</v>
      </c>
      <c r="J8" s="4" t="s">
        <v>72</v>
      </c>
      <c r="K8" s="4" t="s">
        <v>99</v>
      </c>
      <c r="L8" s="4" t="s">
        <v>132</v>
      </c>
      <c r="M8" s="4" t="s">
        <v>146</v>
      </c>
      <c r="N8" s="4" t="s">
        <v>27</v>
      </c>
      <c r="O8" s="4" t="s">
        <v>168</v>
      </c>
      <c r="P8" s="4" t="s">
        <v>171</v>
      </c>
      <c r="Q8" s="4" t="s">
        <v>173</v>
      </c>
      <c r="R8" s="1"/>
      <c r="S8" s="12">
        <v>44927</v>
      </c>
      <c r="T8" s="17" t="s">
        <v>27</v>
      </c>
      <c r="U8" s="17" t="s">
        <v>173</v>
      </c>
      <c r="V8" s="17" t="s">
        <v>27</v>
      </c>
      <c r="W8" s="17" t="s">
        <v>27</v>
      </c>
      <c r="X8" s="17" t="s">
        <v>217</v>
      </c>
      <c r="Y8" s="17" t="s">
        <v>217</v>
      </c>
      <c r="Z8" s="17" t="s">
        <v>173</v>
      </c>
      <c r="AA8" s="17" t="s">
        <v>27</v>
      </c>
      <c r="AB8" s="17" t="s">
        <v>27</v>
      </c>
      <c r="AC8" s="17" t="s">
        <v>173</v>
      </c>
      <c r="AD8" s="17" t="s">
        <v>27</v>
      </c>
      <c r="AE8" s="17" t="s">
        <v>174</v>
      </c>
      <c r="AF8" s="4" t="s">
        <v>6</v>
      </c>
      <c r="AG8" s="16">
        <v>45292</v>
      </c>
      <c r="AH8" s="16" t="s">
        <v>27</v>
      </c>
      <c r="AI8" s="16" t="s">
        <v>27</v>
      </c>
      <c r="AJ8" s="16" t="s">
        <v>27</v>
      </c>
      <c r="AK8" s="16" t="s">
        <v>27</v>
      </c>
      <c r="AL8" s="16" t="s">
        <v>173</v>
      </c>
      <c r="AM8" s="16" t="s">
        <v>27</v>
      </c>
      <c r="AN8" s="16" t="s">
        <v>173</v>
      </c>
      <c r="AO8" s="16" t="s">
        <v>217</v>
      </c>
      <c r="AP8" s="16" t="s">
        <v>217</v>
      </c>
      <c r="AQ8" s="16" t="s">
        <v>173</v>
      </c>
      <c r="AR8" s="16" t="s">
        <v>27</v>
      </c>
      <c r="AS8" s="16" t="s">
        <v>27</v>
      </c>
      <c r="AT8" s="16" t="s">
        <v>27</v>
      </c>
      <c r="AU8" s="16" t="s">
        <v>173</v>
      </c>
      <c r="AV8" s="16" t="s">
        <v>471</v>
      </c>
      <c r="AW8" s="16" t="s">
        <v>174</v>
      </c>
      <c r="AX8" s="16" t="s">
        <v>6</v>
      </c>
      <c r="AY8" s="16">
        <v>45658</v>
      </c>
      <c r="AZ8" s="16"/>
      <c r="BA8" s="16"/>
      <c r="BB8" s="38"/>
      <c r="BC8" s="39"/>
      <c r="BD8" s="39"/>
      <c r="BE8" s="40"/>
      <c r="BF8" s="16" t="s">
        <v>6</v>
      </c>
      <c r="BG8" s="16">
        <v>46023</v>
      </c>
      <c r="BH8" s="16"/>
      <c r="BI8" s="16"/>
      <c r="BJ8" s="38"/>
      <c r="BK8" s="39"/>
      <c r="BL8" s="39"/>
      <c r="BM8" s="40"/>
      <c r="BN8" s="16" t="s">
        <v>178</v>
      </c>
      <c r="BO8" s="32"/>
      <c r="BP8" s="1" t="s">
        <v>175</v>
      </c>
      <c r="BQ8" s="1" t="s">
        <v>214</v>
      </c>
      <c r="BR8" s="1" t="s">
        <v>171</v>
      </c>
      <c r="BS8" s="4" t="s">
        <v>283</v>
      </c>
      <c r="BT8" s="1" t="s">
        <v>6</v>
      </c>
      <c r="BU8" s="16">
        <v>45292</v>
      </c>
      <c r="BV8" s="4" t="s">
        <v>175</v>
      </c>
      <c r="BW8" s="4" t="s">
        <v>296</v>
      </c>
      <c r="BX8" s="4" t="s">
        <v>340</v>
      </c>
      <c r="BY8" s="4" t="s">
        <v>164</v>
      </c>
      <c r="BZ8" s="4" t="s">
        <v>164</v>
      </c>
      <c r="CA8" s="4" t="s">
        <v>171</v>
      </c>
      <c r="CB8" s="4" t="s">
        <v>283</v>
      </c>
      <c r="CC8" s="1" t="s">
        <v>6</v>
      </c>
      <c r="CD8" s="12">
        <v>45658</v>
      </c>
      <c r="CE8" s="4" t="s">
        <v>296</v>
      </c>
      <c r="CF8" s="4" t="s">
        <v>164</v>
      </c>
      <c r="CG8" s="4" t="s">
        <v>31</v>
      </c>
      <c r="CH8" s="4" t="s">
        <v>275</v>
      </c>
      <c r="CI8" s="4" t="s">
        <v>171</v>
      </c>
      <c r="CJ8" s="4" t="s">
        <v>283</v>
      </c>
      <c r="CK8" s="4" t="s">
        <v>178</v>
      </c>
      <c r="CL8" s="16">
        <v>46023</v>
      </c>
      <c r="CM8" s="4" t="s">
        <v>31</v>
      </c>
      <c r="CN8" s="4" t="s">
        <v>721</v>
      </c>
      <c r="CO8" s="4" t="s">
        <v>171</v>
      </c>
      <c r="CP8" s="1" t="s">
        <v>6</v>
      </c>
    </row>
    <row r="9" spans="1:94" x14ac:dyDescent="0.25">
      <c r="B9" s="50"/>
      <c r="C9" s="51"/>
      <c r="D9" s="2"/>
      <c r="E9" s="2"/>
      <c r="F9" s="10" t="s">
        <v>73</v>
      </c>
      <c r="G9" s="10" t="s">
        <v>61</v>
      </c>
      <c r="H9" s="10" t="s">
        <v>56</v>
      </c>
      <c r="I9" s="8" t="s">
        <v>32</v>
      </c>
      <c r="J9" s="10" t="s">
        <v>73</v>
      </c>
      <c r="K9" s="10" t="s">
        <v>100</v>
      </c>
      <c r="L9" s="10" t="s">
        <v>133</v>
      </c>
      <c r="M9" s="10" t="s">
        <v>73</v>
      </c>
      <c r="N9" s="10" t="s">
        <v>159</v>
      </c>
      <c r="O9" s="10" t="s">
        <v>169</v>
      </c>
      <c r="P9" s="10" t="s">
        <v>172</v>
      </c>
      <c r="Q9" s="10" t="s">
        <v>174</v>
      </c>
      <c r="R9" s="2" t="s">
        <v>6</v>
      </c>
      <c r="S9" s="2"/>
      <c r="T9" s="18" t="s">
        <v>54</v>
      </c>
      <c r="U9" s="18" t="s">
        <v>134</v>
      </c>
      <c r="V9" s="18" t="s">
        <v>162</v>
      </c>
      <c r="W9" s="18" t="s">
        <v>66</v>
      </c>
      <c r="X9" s="18" t="s">
        <v>132</v>
      </c>
      <c r="Y9" s="18" t="s">
        <v>141</v>
      </c>
      <c r="Z9" s="18" t="s">
        <v>132</v>
      </c>
      <c r="AA9" s="18" t="s">
        <v>130</v>
      </c>
      <c r="AB9" s="18" t="s">
        <v>54</v>
      </c>
      <c r="AC9" s="18" t="s">
        <v>141</v>
      </c>
      <c r="AD9" s="18" t="s">
        <v>278</v>
      </c>
      <c r="AE9" s="18"/>
      <c r="AF9" s="2"/>
      <c r="AG9" s="10"/>
      <c r="AH9" s="10" t="s">
        <v>128</v>
      </c>
      <c r="AI9" s="10" t="s">
        <v>346</v>
      </c>
      <c r="AJ9" s="10" t="s">
        <v>54</v>
      </c>
      <c r="AK9" s="10" t="s">
        <v>66</v>
      </c>
      <c r="AL9" s="10" t="s">
        <v>132</v>
      </c>
      <c r="AM9" s="10" t="s">
        <v>278</v>
      </c>
      <c r="AN9" s="10" t="s">
        <v>396</v>
      </c>
      <c r="AO9" s="10" t="s">
        <v>132</v>
      </c>
      <c r="AP9" s="10" t="s">
        <v>134</v>
      </c>
      <c r="AQ9" s="10" t="s">
        <v>134</v>
      </c>
      <c r="AR9" s="10" t="s">
        <v>346</v>
      </c>
      <c r="AS9" s="10" t="s">
        <v>128</v>
      </c>
      <c r="AT9" s="10" t="s">
        <v>458</v>
      </c>
      <c r="AU9" s="10" t="s">
        <v>141</v>
      </c>
      <c r="AV9" s="10" t="s">
        <v>346</v>
      </c>
      <c r="AW9" s="10" t="s">
        <v>475</v>
      </c>
      <c r="AX9" s="10"/>
      <c r="AY9" s="10"/>
      <c r="AZ9" s="8" t="s">
        <v>27</v>
      </c>
      <c r="BA9" s="8" t="s">
        <v>217</v>
      </c>
      <c r="BB9" s="52" t="s">
        <v>477</v>
      </c>
      <c r="BC9" s="53"/>
      <c r="BD9" s="53"/>
      <c r="BE9" s="54"/>
      <c r="BF9" s="10"/>
      <c r="BG9" s="10"/>
      <c r="BH9" s="8" t="s">
        <v>27</v>
      </c>
      <c r="BI9" s="8" t="s">
        <v>217</v>
      </c>
      <c r="BJ9" s="52" t="s">
        <v>477</v>
      </c>
      <c r="BK9" s="53"/>
      <c r="BL9" s="53"/>
      <c r="BM9" s="54"/>
      <c r="BN9" s="8"/>
      <c r="BO9" s="7"/>
      <c r="BP9" s="2" t="s">
        <v>176</v>
      </c>
      <c r="BQ9" s="2"/>
      <c r="BR9" s="2" t="s">
        <v>255</v>
      </c>
      <c r="BS9" s="10" t="s">
        <v>284</v>
      </c>
      <c r="BT9" s="2"/>
      <c r="BU9" s="7"/>
      <c r="BV9" s="10" t="s">
        <v>176</v>
      </c>
      <c r="BW9" s="10"/>
      <c r="BX9" s="10" t="s">
        <v>341</v>
      </c>
      <c r="BY9" s="10" t="s">
        <v>419</v>
      </c>
      <c r="BZ9" s="10" t="s">
        <v>255</v>
      </c>
      <c r="CA9" s="10" t="s">
        <v>255</v>
      </c>
      <c r="CB9" s="10" t="s">
        <v>73</v>
      </c>
      <c r="CC9" s="2"/>
      <c r="CD9" s="2"/>
      <c r="CE9" s="10"/>
      <c r="CF9" s="10" t="s">
        <v>100</v>
      </c>
      <c r="CG9" s="10" t="s">
        <v>419</v>
      </c>
      <c r="CH9" s="10" t="s">
        <v>419</v>
      </c>
      <c r="CI9" s="10" t="s">
        <v>255</v>
      </c>
      <c r="CJ9" s="10" t="s">
        <v>73</v>
      </c>
      <c r="CK9" s="10"/>
      <c r="CL9" s="10"/>
      <c r="CM9" s="10" t="s">
        <v>152</v>
      </c>
      <c r="CN9" s="10" t="s">
        <v>32</v>
      </c>
      <c r="CO9" s="10" t="s">
        <v>419</v>
      </c>
      <c r="CP9" s="2"/>
    </row>
    <row r="10" spans="1:94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44654</v>
      </c>
      <c r="H10" s="9">
        <v>44660</v>
      </c>
      <c r="I10" s="9">
        <v>44661</v>
      </c>
      <c r="J10" s="9">
        <v>44681</v>
      </c>
      <c r="K10" s="9">
        <v>44695</v>
      </c>
      <c r="L10" s="9">
        <v>44730</v>
      </c>
      <c r="M10" s="9">
        <v>44758</v>
      </c>
      <c r="N10" s="9">
        <v>44800</v>
      </c>
      <c r="O10" s="9">
        <v>44829</v>
      </c>
      <c r="P10" s="9">
        <v>44867</v>
      </c>
      <c r="Q10" s="9">
        <v>44906</v>
      </c>
      <c r="R10" s="2">
        <v>2022</v>
      </c>
      <c r="S10" s="2"/>
      <c r="T10" s="18" t="s">
        <v>189</v>
      </c>
      <c r="U10" s="18" t="s">
        <v>193</v>
      </c>
      <c r="V10" s="18" t="s">
        <v>213</v>
      </c>
      <c r="W10" s="18" t="s">
        <v>216</v>
      </c>
      <c r="X10" s="18" t="s">
        <v>218</v>
      </c>
      <c r="Y10" s="18" t="s">
        <v>228</v>
      </c>
      <c r="Z10" s="18" t="s">
        <v>242</v>
      </c>
      <c r="AA10" s="18" t="s">
        <v>256</v>
      </c>
      <c r="AB10" s="18" t="s">
        <v>258</v>
      </c>
      <c r="AC10" s="18" t="s">
        <v>268</v>
      </c>
      <c r="AD10" s="18" t="s">
        <v>279</v>
      </c>
      <c r="AE10" s="18" t="s">
        <v>289</v>
      </c>
      <c r="AF10" s="2">
        <v>2023</v>
      </c>
      <c r="AG10" s="31"/>
      <c r="AH10" s="31" t="s">
        <v>317</v>
      </c>
      <c r="AI10" s="31" t="s">
        <v>317</v>
      </c>
      <c r="AJ10" s="31" t="s">
        <v>356</v>
      </c>
      <c r="AK10" s="31" t="s">
        <v>373</v>
      </c>
      <c r="AL10" s="31" t="s">
        <v>384</v>
      </c>
      <c r="AM10" s="31" t="s">
        <v>397</v>
      </c>
      <c r="AN10" s="31" t="s">
        <v>397</v>
      </c>
      <c r="AO10" s="31" t="s">
        <v>405</v>
      </c>
      <c r="AP10" s="31" t="s">
        <v>405</v>
      </c>
      <c r="AQ10" s="31" t="s">
        <v>421</v>
      </c>
      <c r="AR10" s="31" t="s">
        <v>441</v>
      </c>
      <c r="AS10" s="31" t="s">
        <v>456</v>
      </c>
      <c r="AT10" s="31" t="s">
        <v>459</v>
      </c>
      <c r="AU10" s="31" t="s">
        <v>465</v>
      </c>
      <c r="AV10" s="31" t="s">
        <v>472</v>
      </c>
      <c r="AW10" s="31" t="s">
        <v>476</v>
      </c>
      <c r="AX10" s="31">
        <v>2024</v>
      </c>
      <c r="AY10" s="10"/>
      <c r="AZ10" s="10"/>
      <c r="BA10" s="10"/>
      <c r="BB10" s="10">
        <v>1</v>
      </c>
      <c r="BC10" s="10">
        <v>2</v>
      </c>
      <c r="BD10" s="10">
        <v>3</v>
      </c>
      <c r="BE10" s="10">
        <v>4</v>
      </c>
      <c r="BF10" s="10">
        <v>2025</v>
      </c>
      <c r="BG10" s="10"/>
      <c r="BH10" s="10"/>
      <c r="BI10" s="10"/>
      <c r="BJ10" s="10">
        <v>1</v>
      </c>
      <c r="BK10" s="10">
        <v>2</v>
      </c>
      <c r="BL10" s="10">
        <v>3</v>
      </c>
      <c r="BM10" s="10">
        <v>4</v>
      </c>
      <c r="BN10" s="10">
        <v>2026</v>
      </c>
      <c r="BO10" s="7"/>
      <c r="BP10" s="2"/>
      <c r="BQ10" s="14">
        <v>45078</v>
      </c>
      <c r="BR10" s="14">
        <v>45154</v>
      </c>
      <c r="BS10" s="8">
        <v>45255</v>
      </c>
      <c r="BT10" s="2">
        <v>2023</v>
      </c>
      <c r="BU10" s="7"/>
      <c r="BV10" s="10"/>
      <c r="BW10" s="9" t="s">
        <v>343</v>
      </c>
      <c r="BX10" s="9" t="s">
        <v>342</v>
      </c>
      <c r="BY10" s="9" t="s">
        <v>228</v>
      </c>
      <c r="BZ10" s="9" t="s">
        <v>456</v>
      </c>
      <c r="CA10" s="9" t="s">
        <v>457</v>
      </c>
      <c r="CB10" s="9" t="s">
        <v>474</v>
      </c>
      <c r="CC10" s="2">
        <v>2024</v>
      </c>
      <c r="CD10" s="2"/>
      <c r="CE10" s="10" t="s">
        <v>480</v>
      </c>
      <c r="CF10" s="10" t="s">
        <v>317</v>
      </c>
      <c r="CG10" s="10" t="s">
        <v>527</v>
      </c>
      <c r="CH10" s="10" t="s">
        <v>616</v>
      </c>
      <c r="CI10" s="10" t="s">
        <v>632</v>
      </c>
      <c r="CJ10" s="10" t="s">
        <v>474</v>
      </c>
      <c r="CK10" s="10">
        <v>2025</v>
      </c>
      <c r="CL10" s="10"/>
      <c r="CM10" s="10" t="s">
        <v>193</v>
      </c>
      <c r="CN10" s="10" t="s">
        <v>722</v>
      </c>
      <c r="CO10" s="10" t="s">
        <v>723</v>
      </c>
      <c r="CP10" s="2">
        <v>2026</v>
      </c>
    </row>
    <row r="11" spans="1:94" x14ac:dyDescent="0.25">
      <c r="A11">
        <v>1</v>
      </c>
      <c r="B11" s="24" t="s">
        <v>101</v>
      </c>
      <c r="C11" s="24"/>
      <c r="D11" s="21" t="s">
        <v>20</v>
      </c>
      <c r="E11" s="21" t="s">
        <v>10</v>
      </c>
      <c r="F11" s="5"/>
      <c r="G11" s="5"/>
      <c r="H11" s="5"/>
      <c r="I11" s="5"/>
      <c r="J11" s="5"/>
      <c r="K11" s="5"/>
      <c r="L11" s="5"/>
      <c r="M11" s="11"/>
      <c r="N11" s="11"/>
      <c r="O11" s="11"/>
      <c r="P11" s="11"/>
      <c r="Q11" s="11"/>
      <c r="R11" s="5"/>
      <c r="S11" s="5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5">
        <f>SUM(S11:AE11)</f>
        <v>0</v>
      </c>
      <c r="AG11" s="5">
        <f>(AF11-S11)/2</f>
        <v>0</v>
      </c>
      <c r="AH11" s="5"/>
      <c r="AI11" s="5"/>
      <c r="AJ11" s="5"/>
      <c r="AK11" s="5"/>
      <c r="AL11" s="5">
        <v>105</v>
      </c>
      <c r="AM11" s="5"/>
      <c r="AN11" s="5">
        <v>60</v>
      </c>
      <c r="AO11" s="5"/>
      <c r="AP11" s="5">
        <v>40</v>
      </c>
      <c r="AQ11" s="5">
        <v>75</v>
      </c>
      <c r="AR11" s="5">
        <v>36</v>
      </c>
      <c r="AS11" s="5"/>
      <c r="AT11" s="5"/>
      <c r="AU11" s="5">
        <v>7.5</v>
      </c>
      <c r="AV11" s="5">
        <v>80</v>
      </c>
      <c r="AW11" s="11"/>
      <c r="AX11" s="5">
        <f>SUM(AG11:AW11)</f>
        <v>403.5</v>
      </c>
      <c r="AY11" s="5">
        <f>(AX11-AG11)/2</f>
        <v>201.75</v>
      </c>
      <c r="AZ11" s="11">
        <v>48</v>
      </c>
      <c r="BA11" s="11">
        <v>64</v>
      </c>
      <c r="BB11" s="11">
        <v>105</v>
      </c>
      <c r="BC11" s="11">
        <v>80</v>
      </c>
      <c r="BD11" s="11">
        <v>75</v>
      </c>
      <c r="BE11" s="11">
        <v>140</v>
      </c>
      <c r="BF11" s="5">
        <f>SUM(AY11:BE11)</f>
        <v>713.75</v>
      </c>
      <c r="BG11" s="5">
        <f>(BF11-AY11)/2</f>
        <v>256</v>
      </c>
      <c r="BH11" s="11">
        <v>48</v>
      </c>
      <c r="BI11" s="11">
        <v>64</v>
      </c>
      <c r="BJ11" s="11">
        <v>105</v>
      </c>
      <c r="BK11" s="11">
        <v>56</v>
      </c>
      <c r="BL11" s="5">
        <v>2.4</v>
      </c>
      <c r="BM11" s="5"/>
      <c r="BN11" s="5">
        <f>SUM(BG11:BM11)</f>
        <v>531.4</v>
      </c>
      <c r="BP11" s="5"/>
      <c r="BQ11" s="5"/>
      <c r="BR11" s="5"/>
      <c r="BS11" s="5"/>
      <c r="BT11" s="5">
        <f>SUM(BP11:BQ11)</f>
        <v>0</v>
      </c>
      <c r="BU11" s="11">
        <f>BT11/2</f>
        <v>0</v>
      </c>
      <c r="BV11" s="11">
        <f>AX11/4</f>
        <v>100.875</v>
      </c>
      <c r="BW11" s="5">
        <v>18.75</v>
      </c>
      <c r="BX11" s="5"/>
      <c r="BY11" s="5">
        <v>7.5</v>
      </c>
      <c r="BZ11" s="5"/>
      <c r="CA11" s="5">
        <v>26</v>
      </c>
      <c r="CB11" s="35">
        <v>25</v>
      </c>
      <c r="CC11" s="5">
        <f>SUM(BU11:CB11)</f>
        <v>178.125</v>
      </c>
      <c r="CD11" s="5">
        <f>(CC11-BU11)/2</f>
        <v>89.0625</v>
      </c>
      <c r="CE11" s="11">
        <v>22.5</v>
      </c>
      <c r="CF11" s="11"/>
      <c r="CG11" s="11"/>
      <c r="CH11" s="11">
        <v>25</v>
      </c>
      <c r="CI11" s="11">
        <v>100</v>
      </c>
      <c r="CJ11" s="11">
        <v>28</v>
      </c>
      <c r="CK11" s="11">
        <f>SUM(CD11:CJ11)</f>
        <v>264.5625</v>
      </c>
      <c r="CL11" s="5">
        <f>(CK11-CD11)/2</f>
        <v>87.75</v>
      </c>
      <c r="CM11" s="5">
        <v>15</v>
      </c>
      <c r="CN11" s="5"/>
      <c r="CO11" s="11">
        <v>50</v>
      </c>
      <c r="CP11" s="21">
        <f>SUM(CL11:CO11)</f>
        <v>152.75</v>
      </c>
    </row>
    <row r="12" spans="1:94" x14ac:dyDescent="0.25">
      <c r="A12">
        <v>2</v>
      </c>
      <c r="B12" s="11" t="s">
        <v>241</v>
      </c>
      <c r="C12" s="5"/>
      <c r="D12" s="5" t="s">
        <v>481</v>
      </c>
      <c r="E12" s="5" t="s">
        <v>304</v>
      </c>
      <c r="F12" s="5"/>
      <c r="G12" s="5"/>
      <c r="H12" s="5"/>
      <c r="I12" s="5"/>
      <c r="J12" s="5"/>
      <c r="K12" s="5"/>
      <c r="L12" s="5"/>
      <c r="M12" s="11"/>
      <c r="N12" s="11"/>
      <c r="O12" s="11"/>
      <c r="P12" s="11"/>
      <c r="Q12" s="11"/>
      <c r="R12" s="5"/>
      <c r="S12" s="5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11"/>
      <c r="AX12" s="5"/>
      <c r="AY12" s="5"/>
      <c r="AZ12" s="11">
        <v>36</v>
      </c>
      <c r="BA12" s="11">
        <v>64</v>
      </c>
      <c r="BB12" s="11">
        <v>105</v>
      </c>
      <c r="BC12" s="11">
        <v>150</v>
      </c>
      <c r="BD12" s="11">
        <v>44.8</v>
      </c>
      <c r="BE12" s="11">
        <v>100</v>
      </c>
      <c r="BF12" s="5">
        <f>SUM(AY12:BE12)</f>
        <v>499.8</v>
      </c>
      <c r="BG12" s="5">
        <f>(BF12-AY12)/2</f>
        <v>249.9</v>
      </c>
      <c r="BH12" s="11">
        <v>36</v>
      </c>
      <c r="BI12" s="11"/>
      <c r="BJ12" s="11">
        <v>75</v>
      </c>
      <c r="BK12" s="11"/>
      <c r="BL12" s="5"/>
      <c r="BM12" s="5"/>
      <c r="BN12" s="5">
        <f>SUM(BG12:BM12)</f>
        <v>360.9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35"/>
      <c r="CC12" s="5"/>
      <c r="CD12" s="5"/>
      <c r="CE12" s="11">
        <v>18</v>
      </c>
      <c r="CF12" s="5"/>
      <c r="CG12" s="5"/>
      <c r="CH12" s="5"/>
      <c r="CI12" s="5"/>
      <c r="CJ12" s="5"/>
      <c r="CK12" s="11">
        <f>SUM(CD12:CF12)</f>
        <v>18</v>
      </c>
      <c r="CL12" s="5">
        <f>(CK12-CD12)/2</f>
        <v>9</v>
      </c>
      <c r="CM12" s="5"/>
      <c r="CN12" s="5"/>
      <c r="CO12" s="11"/>
      <c r="CP12" s="5">
        <f>SUM(CL12:CM12)</f>
        <v>9</v>
      </c>
    </row>
    <row r="13" spans="1:94" x14ac:dyDescent="0.25">
      <c r="A13">
        <v>3</v>
      </c>
      <c r="B13" s="11" t="s">
        <v>123</v>
      </c>
      <c r="C13" s="11" t="s">
        <v>33</v>
      </c>
      <c r="D13" s="5" t="s">
        <v>124</v>
      </c>
      <c r="E13" s="5" t="s">
        <v>25</v>
      </c>
      <c r="F13" s="5"/>
      <c r="G13" s="5"/>
      <c r="H13" s="5"/>
      <c r="I13" s="5"/>
      <c r="J13" s="5"/>
      <c r="K13" s="5"/>
      <c r="L13" s="5"/>
      <c r="M13" s="11"/>
      <c r="N13" s="11"/>
      <c r="O13" s="11"/>
      <c r="P13" s="11"/>
      <c r="Q13" s="11"/>
      <c r="R13" s="5"/>
      <c r="S13" s="5"/>
      <c r="T13" s="6"/>
      <c r="U13" s="6"/>
      <c r="V13" s="6"/>
      <c r="W13" s="6"/>
      <c r="X13" s="6"/>
      <c r="Y13" s="6">
        <v>4</v>
      </c>
      <c r="Z13" s="6"/>
      <c r="AA13" s="6"/>
      <c r="AB13" s="6"/>
      <c r="AC13" s="6"/>
      <c r="AD13" s="6"/>
      <c r="AE13" s="6"/>
      <c r="AF13" s="5">
        <f>SUM(S13:AE13)</f>
        <v>4</v>
      </c>
      <c r="AG13" s="5">
        <f>(AF13-S13)/2</f>
        <v>2</v>
      </c>
      <c r="AH13" s="5"/>
      <c r="AI13" s="5"/>
      <c r="AJ13" s="5"/>
      <c r="AK13" s="5"/>
      <c r="AL13" s="5"/>
      <c r="AM13" s="5"/>
      <c r="AN13" s="5"/>
      <c r="AO13" s="5"/>
      <c r="AP13" s="5"/>
      <c r="AQ13" s="5">
        <v>75</v>
      </c>
      <c r="AR13" s="5"/>
      <c r="AS13" s="5"/>
      <c r="AT13" s="5"/>
      <c r="AU13" s="5">
        <v>7.5</v>
      </c>
      <c r="AV13" s="5"/>
      <c r="AW13" s="11"/>
      <c r="AX13" s="5">
        <f>SUM(AG13:AW13)</f>
        <v>84.5</v>
      </c>
      <c r="AY13" s="5">
        <f>(AX13-AG13)/2</f>
        <v>41.25</v>
      </c>
      <c r="AZ13" s="11">
        <v>36</v>
      </c>
      <c r="BA13" s="11">
        <v>64</v>
      </c>
      <c r="BB13" s="11">
        <v>105</v>
      </c>
      <c r="BC13" s="11">
        <v>64</v>
      </c>
      <c r="BD13" s="11">
        <v>105</v>
      </c>
      <c r="BE13" s="11"/>
      <c r="BF13" s="5">
        <f>SUM(AY13:BE13)</f>
        <v>415.25</v>
      </c>
      <c r="BG13" s="5">
        <f>(BF13-AY13)/2</f>
        <v>187</v>
      </c>
      <c r="BH13" s="11"/>
      <c r="BI13" s="11">
        <v>48</v>
      </c>
      <c r="BJ13" s="11"/>
      <c r="BK13" s="11"/>
      <c r="BL13" s="5"/>
      <c r="BM13" s="5"/>
      <c r="BN13" s="5">
        <f>SUM(BG13:BM13)</f>
        <v>235</v>
      </c>
      <c r="BP13" s="5">
        <f>AF13/4</f>
        <v>1</v>
      </c>
      <c r="BQ13" s="5"/>
      <c r="BR13" s="5"/>
      <c r="BS13" s="5"/>
      <c r="BT13" s="5">
        <f>SUM(BP13:BQ13)</f>
        <v>1</v>
      </c>
      <c r="BU13" s="11">
        <f>BT13/2</f>
        <v>0.5</v>
      </c>
      <c r="BV13" s="11">
        <f>AX13/4</f>
        <v>21.125</v>
      </c>
      <c r="BW13" s="11"/>
      <c r="BX13" s="11"/>
      <c r="BY13" s="11"/>
      <c r="BZ13" s="11"/>
      <c r="CA13" s="11"/>
      <c r="CB13" s="35"/>
      <c r="CC13" s="5">
        <f>SUM(BU13:CB13)</f>
        <v>21.625</v>
      </c>
      <c r="CD13" s="5">
        <f>(CC13-BU13)/2</f>
        <v>10.5625</v>
      </c>
      <c r="CE13" s="11"/>
      <c r="CF13" s="11"/>
      <c r="CG13" s="11"/>
      <c r="CH13" s="11"/>
      <c r="CI13" s="11"/>
      <c r="CJ13" s="11"/>
      <c r="CK13" s="11">
        <f>SUM(CD13:CF13)</f>
        <v>10.5625</v>
      </c>
      <c r="CL13" s="5">
        <f>(CK13-CD13)/2</f>
        <v>0</v>
      </c>
      <c r="CM13" s="5"/>
      <c r="CN13" s="5"/>
      <c r="CO13" s="11"/>
      <c r="CP13" s="5">
        <f>SUM(CL13:CM13)</f>
        <v>0</v>
      </c>
    </row>
    <row r="14" spans="1:94" x14ac:dyDescent="0.25">
      <c r="A14" s="46">
        <v>4</v>
      </c>
      <c r="B14" s="11" t="s">
        <v>293</v>
      </c>
      <c r="C14" s="5"/>
      <c r="D14" s="5" t="s">
        <v>622</v>
      </c>
      <c r="E14" s="5" t="s">
        <v>39</v>
      </c>
      <c r="F14" s="5"/>
      <c r="G14" s="5"/>
      <c r="H14" s="5"/>
      <c r="I14" s="5"/>
      <c r="J14" s="5"/>
      <c r="K14" s="5"/>
      <c r="L14" s="5"/>
      <c r="M14" s="11"/>
      <c r="N14" s="11"/>
      <c r="O14" s="11"/>
      <c r="P14" s="11"/>
      <c r="Q14" s="11"/>
      <c r="R14" s="5"/>
      <c r="S14" s="5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11"/>
      <c r="AX14" s="5"/>
      <c r="AY14" s="5"/>
      <c r="AZ14" s="11"/>
      <c r="BA14" s="11"/>
      <c r="BB14" s="11">
        <v>150</v>
      </c>
      <c r="BC14" s="11">
        <v>200</v>
      </c>
      <c r="BD14" s="11"/>
      <c r="BE14" s="11"/>
      <c r="BF14" s="5">
        <f>SUM(AY14:BE14)</f>
        <v>350</v>
      </c>
      <c r="BG14" s="5">
        <f>(BF14-AY14)/2</f>
        <v>175</v>
      </c>
      <c r="BH14" s="11"/>
      <c r="BI14" s="11"/>
      <c r="BJ14" s="11"/>
      <c r="BK14" s="11"/>
      <c r="BL14" s="5"/>
      <c r="BM14" s="5"/>
      <c r="BN14" s="5">
        <f>SUM(BG14:BM14)</f>
        <v>175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35"/>
      <c r="CC14" s="5"/>
      <c r="CD14" s="5"/>
      <c r="CE14" s="11"/>
      <c r="CF14" s="5"/>
      <c r="CG14" s="5"/>
      <c r="CH14" s="5"/>
      <c r="CI14" s="5"/>
      <c r="CJ14" s="11">
        <v>40</v>
      </c>
      <c r="CK14" s="11">
        <f>SUM(CD14:CJ14)</f>
        <v>40</v>
      </c>
      <c r="CL14" s="5">
        <f>(CK14-CD14)/2</f>
        <v>20</v>
      </c>
      <c r="CM14" s="5"/>
      <c r="CN14" s="5"/>
      <c r="CO14" s="11"/>
      <c r="CP14" s="5">
        <f>SUM(CL14:CM14)</f>
        <v>20</v>
      </c>
    </row>
    <row r="15" spans="1:94" x14ac:dyDescent="0.25">
      <c r="A15">
        <v>5</v>
      </c>
      <c r="B15" s="11" t="s">
        <v>292</v>
      </c>
      <c r="C15" s="5"/>
      <c r="D15" s="5" t="s">
        <v>551</v>
      </c>
      <c r="E15" s="5" t="s">
        <v>75</v>
      </c>
      <c r="F15" s="5"/>
      <c r="G15" s="5"/>
      <c r="H15" s="5"/>
      <c r="I15" s="5"/>
      <c r="J15" s="5"/>
      <c r="K15" s="5"/>
      <c r="L15" s="5"/>
      <c r="M15" s="11"/>
      <c r="N15" s="11"/>
      <c r="O15" s="11"/>
      <c r="P15" s="11"/>
      <c r="Q15" s="11"/>
      <c r="R15" s="5"/>
      <c r="S15" s="5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11"/>
      <c r="AX15" s="5"/>
      <c r="AY15" s="5"/>
      <c r="AZ15" s="11"/>
      <c r="BA15" s="11"/>
      <c r="BB15" s="11"/>
      <c r="BC15" s="11"/>
      <c r="BD15" s="11"/>
      <c r="BE15" s="11"/>
      <c r="BF15" s="5"/>
      <c r="BG15" s="5"/>
      <c r="BH15" s="11">
        <v>33.6</v>
      </c>
      <c r="BI15" s="11">
        <v>44.8</v>
      </c>
      <c r="BJ15" s="11">
        <v>7.5</v>
      </c>
      <c r="BK15" s="11">
        <v>80</v>
      </c>
      <c r="BL15" s="5"/>
      <c r="BM15" s="5"/>
      <c r="BN15" s="5">
        <f>SUM(BG15:BM15)</f>
        <v>165.9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35"/>
      <c r="CC15" s="5"/>
      <c r="CD15" s="5"/>
      <c r="CE15" s="11"/>
      <c r="CF15" s="5"/>
      <c r="CG15" s="5"/>
      <c r="CH15" s="5"/>
      <c r="CI15" s="5"/>
      <c r="CJ15" s="5"/>
      <c r="CK15" s="11">
        <f>SUM(CD15:CF15)</f>
        <v>0</v>
      </c>
      <c r="CL15" s="5">
        <f>(CK15-CD15)/2</f>
        <v>0</v>
      </c>
      <c r="CM15" s="5"/>
      <c r="CN15" s="5"/>
      <c r="CO15" s="11"/>
      <c r="CP15" s="5">
        <f>SUM(CL15:CO15)</f>
        <v>0</v>
      </c>
    </row>
    <row r="16" spans="1:94" x14ac:dyDescent="0.25">
      <c r="A16">
        <v>6</v>
      </c>
      <c r="B16" s="23" t="s">
        <v>302</v>
      </c>
      <c r="C16" s="20"/>
      <c r="D16" s="20" t="s">
        <v>303</v>
      </c>
      <c r="E16" s="20" t="s">
        <v>16</v>
      </c>
      <c r="F16" s="5"/>
      <c r="G16" s="5"/>
      <c r="H16" s="5"/>
      <c r="I16" s="5"/>
      <c r="J16" s="5"/>
      <c r="K16" s="5"/>
      <c r="L16" s="5"/>
      <c r="M16" s="11"/>
      <c r="N16" s="11"/>
      <c r="O16" s="11"/>
      <c r="P16" s="11"/>
      <c r="Q16" s="11"/>
      <c r="R16" s="5"/>
      <c r="S16" s="5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11"/>
      <c r="AX16" s="5"/>
      <c r="AY16" s="5"/>
      <c r="AZ16" s="11"/>
      <c r="BA16" s="11"/>
      <c r="BB16" s="11"/>
      <c r="BC16" s="11"/>
      <c r="BD16" s="11"/>
      <c r="BE16" s="11"/>
      <c r="BF16" s="5"/>
      <c r="BG16" s="5"/>
      <c r="BH16" s="11"/>
      <c r="BI16" s="11"/>
      <c r="BJ16" s="11">
        <v>150</v>
      </c>
      <c r="BK16" s="11"/>
      <c r="BL16" s="5"/>
      <c r="BM16" s="5"/>
      <c r="BN16" s="5">
        <f>SUM(BG16:BM16)</f>
        <v>150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35"/>
      <c r="CC16" s="5"/>
      <c r="CD16" s="5"/>
      <c r="CE16" s="11"/>
      <c r="CF16" s="5"/>
      <c r="CG16" s="5"/>
      <c r="CH16" s="5"/>
      <c r="CI16" s="5"/>
      <c r="CJ16" s="5"/>
      <c r="CK16" s="11">
        <f>SUM(CD16:CF16)</f>
        <v>0</v>
      </c>
      <c r="CL16" s="5">
        <f>(CK16-CD16)/2</f>
        <v>0</v>
      </c>
      <c r="CM16" s="5">
        <v>15</v>
      </c>
      <c r="CN16" s="5">
        <v>105</v>
      </c>
      <c r="CO16" s="11">
        <v>70</v>
      </c>
      <c r="CP16" s="20">
        <f>SUM(CL16:CO16)</f>
        <v>190</v>
      </c>
    </row>
    <row r="17" spans="1:94" x14ac:dyDescent="0.25">
      <c r="A17">
        <v>7</v>
      </c>
      <c r="B17" s="28" t="s">
        <v>136</v>
      </c>
      <c r="C17" s="29"/>
      <c r="D17" s="28" t="s">
        <v>617</v>
      </c>
      <c r="E17" s="29" t="s">
        <v>18</v>
      </c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8"/>
      <c r="AX17" s="5"/>
      <c r="AY17" s="5"/>
      <c r="AZ17" s="11"/>
      <c r="BA17" s="11"/>
      <c r="BB17" s="11">
        <v>100</v>
      </c>
      <c r="BC17" s="11"/>
      <c r="BD17" s="11"/>
      <c r="BE17" s="11"/>
      <c r="BF17" s="5">
        <f>SUM(AY17:BE17)</f>
        <v>100</v>
      </c>
      <c r="BG17" s="5">
        <f>(BF17-AY17)/2</f>
        <v>50</v>
      </c>
      <c r="BH17" s="11"/>
      <c r="BI17" s="11"/>
      <c r="BJ17" s="11">
        <v>75</v>
      </c>
      <c r="BK17" s="11"/>
      <c r="BL17" s="5"/>
      <c r="BM17" s="5"/>
      <c r="BN17" s="5">
        <f>SUM(BG17:BM17)</f>
        <v>125</v>
      </c>
      <c r="BT17" s="5"/>
      <c r="BU17" s="5"/>
      <c r="BV17" s="5"/>
      <c r="BW17" s="5"/>
      <c r="BX17" s="5"/>
      <c r="BY17" s="5"/>
      <c r="BZ17" s="5"/>
      <c r="CA17" s="5"/>
      <c r="CB17" s="35"/>
      <c r="CC17" s="5"/>
      <c r="CD17" s="5"/>
      <c r="CE17" s="11"/>
      <c r="CF17" s="5"/>
      <c r="CG17" s="5"/>
      <c r="CH17" s="5"/>
      <c r="CI17" s="5"/>
      <c r="CJ17" s="5"/>
      <c r="CK17" s="11">
        <f>SUM(CD17:CF17)</f>
        <v>0</v>
      </c>
      <c r="CL17" s="5">
        <f>(CK17-CD17)/2</f>
        <v>0</v>
      </c>
      <c r="CM17" s="5"/>
      <c r="CN17" s="5"/>
      <c r="CO17" s="11"/>
      <c r="CP17" s="5">
        <f>SUM(CL17:CO17)</f>
        <v>0</v>
      </c>
    </row>
    <row r="18" spans="1:94" x14ac:dyDescent="0.25">
      <c r="A18">
        <v>8</v>
      </c>
      <c r="B18" s="11" t="s">
        <v>573</v>
      </c>
      <c r="C18" s="5"/>
      <c r="D18" s="5" t="s">
        <v>165</v>
      </c>
      <c r="E18" s="5" t="s">
        <v>24</v>
      </c>
      <c r="F18" s="5"/>
      <c r="G18" s="5"/>
      <c r="H18" s="5"/>
      <c r="I18" s="5"/>
      <c r="J18" s="5"/>
      <c r="K18" s="5"/>
      <c r="L18" s="5"/>
      <c r="M18" s="11"/>
      <c r="N18" s="11"/>
      <c r="O18" s="11"/>
      <c r="P18" s="11"/>
      <c r="Q18" s="11"/>
      <c r="R18" s="5"/>
      <c r="S18" s="5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11"/>
      <c r="AX18" s="5"/>
      <c r="AY18" s="5"/>
      <c r="AZ18" s="11"/>
      <c r="BA18" s="11">
        <v>3.2</v>
      </c>
      <c r="BB18" s="11">
        <v>56</v>
      </c>
      <c r="BC18" s="11">
        <v>75</v>
      </c>
      <c r="BD18" s="11">
        <v>7.5</v>
      </c>
      <c r="BE18" s="11"/>
      <c r="BF18" s="5">
        <f>SUM(AY18:BE18)</f>
        <v>141.69999999999999</v>
      </c>
      <c r="BG18" s="5">
        <f>(BF18-AY18)/2</f>
        <v>70.849999999999994</v>
      </c>
      <c r="BH18" s="11">
        <v>36</v>
      </c>
      <c r="BI18" s="11"/>
      <c r="BJ18" s="11"/>
      <c r="BK18" s="11"/>
      <c r="BL18" s="5"/>
      <c r="BM18" s="5"/>
      <c r="BN18" s="5">
        <f>SUM(BG18:BM18)</f>
        <v>106.85</v>
      </c>
      <c r="BT18" s="5"/>
      <c r="BU18" s="5"/>
      <c r="BV18" s="5"/>
      <c r="BW18" s="5"/>
      <c r="BX18" s="5"/>
      <c r="BY18" s="5"/>
      <c r="BZ18" s="5"/>
      <c r="CA18" s="5"/>
      <c r="CB18" s="35"/>
      <c r="CC18" s="5"/>
      <c r="CD18" s="5"/>
      <c r="CE18" s="11"/>
      <c r="CF18" s="5"/>
      <c r="CG18" s="5"/>
      <c r="CH18" s="5">
        <v>25</v>
      </c>
      <c r="CI18" s="5"/>
      <c r="CJ18" s="5"/>
      <c r="CK18" s="11">
        <f>SUM(CD18:CH18)</f>
        <v>25</v>
      </c>
      <c r="CL18" s="5">
        <f>(CK18-CD18)/2</f>
        <v>12.5</v>
      </c>
      <c r="CM18" s="5"/>
      <c r="CN18" s="5"/>
      <c r="CO18" s="11"/>
      <c r="CP18" s="5">
        <f>SUM(CL18:CO18)</f>
        <v>12.5</v>
      </c>
    </row>
    <row r="19" spans="1:94" x14ac:dyDescent="0.25">
      <c r="A19">
        <v>9</v>
      </c>
      <c r="B19" s="11" t="s">
        <v>381</v>
      </c>
      <c r="C19" s="11"/>
      <c r="D19" s="5" t="s">
        <v>249</v>
      </c>
      <c r="E19" s="5" t="s">
        <v>138</v>
      </c>
      <c r="F19" s="5"/>
      <c r="G19" s="5"/>
      <c r="H19" s="5"/>
      <c r="I19" s="5"/>
      <c r="J19" s="5"/>
      <c r="K19" s="5"/>
      <c r="L19" s="5"/>
      <c r="M19" s="11"/>
      <c r="N19" s="11"/>
      <c r="O19" s="11"/>
      <c r="P19" s="11"/>
      <c r="Q19" s="11"/>
      <c r="R19" s="5"/>
      <c r="S19" s="5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5"/>
      <c r="AG19" s="5"/>
      <c r="AH19" s="5"/>
      <c r="AI19" s="5">
        <v>36</v>
      </c>
      <c r="AJ19" s="5"/>
      <c r="AK19" s="5"/>
      <c r="AL19" s="5">
        <v>75</v>
      </c>
      <c r="AM19" s="5"/>
      <c r="AN19" s="5"/>
      <c r="AO19" s="5"/>
      <c r="AP19" s="5">
        <v>56</v>
      </c>
      <c r="AQ19" s="5">
        <v>7.5</v>
      </c>
      <c r="AR19" s="5"/>
      <c r="AS19" s="5"/>
      <c r="AT19" s="5"/>
      <c r="AU19" s="5">
        <v>75</v>
      </c>
      <c r="AV19" s="5">
        <v>56</v>
      </c>
      <c r="AW19" s="11">
        <v>10</v>
      </c>
      <c r="AX19" s="5">
        <f>SUM(AG19:AW19)</f>
        <v>315.5</v>
      </c>
      <c r="AY19" s="5">
        <f>(AX19-AG19)/2</f>
        <v>157.75</v>
      </c>
      <c r="AZ19" s="11">
        <v>2.4</v>
      </c>
      <c r="BA19" s="11"/>
      <c r="BB19" s="11"/>
      <c r="BC19" s="11"/>
      <c r="BD19" s="11"/>
      <c r="BE19" s="11"/>
      <c r="BF19" s="5">
        <f>SUM(AY19:BE19)</f>
        <v>160.15</v>
      </c>
      <c r="BG19" s="5">
        <f>(BF19-AY19)/2</f>
        <v>1.2000000000000028</v>
      </c>
      <c r="BH19" s="11">
        <v>48</v>
      </c>
      <c r="BI19" s="11"/>
      <c r="BJ19" s="11">
        <v>2.4</v>
      </c>
      <c r="BK19" s="11">
        <v>40</v>
      </c>
      <c r="BL19" s="5"/>
      <c r="BM19" s="5"/>
      <c r="BN19" s="5">
        <f>SUM(BG19:BM19)</f>
        <v>91.6</v>
      </c>
      <c r="BT19" s="5">
        <f>SUM(BP19:BQ19)</f>
        <v>0</v>
      </c>
      <c r="BU19" s="11">
        <f>BT19/2</f>
        <v>0</v>
      </c>
      <c r="BV19" s="11">
        <f>AX19/4</f>
        <v>78.875</v>
      </c>
      <c r="BW19" s="5"/>
      <c r="BX19" s="5"/>
      <c r="BY19" s="5"/>
      <c r="BZ19" s="5"/>
      <c r="CA19" s="5"/>
      <c r="CB19" s="35">
        <v>50</v>
      </c>
      <c r="CC19" s="5">
        <f>SUM(BU19:CB19)</f>
        <v>128.875</v>
      </c>
      <c r="CD19" s="5">
        <f>(CC19-BU19)/2</f>
        <v>64.4375</v>
      </c>
      <c r="CE19" s="11">
        <v>12</v>
      </c>
      <c r="CF19" s="11"/>
      <c r="CG19" s="11"/>
      <c r="CH19" s="11"/>
      <c r="CI19" s="11"/>
      <c r="CJ19" s="11"/>
      <c r="CK19" s="11">
        <f>SUM(CD19:CF19)</f>
        <v>76.4375</v>
      </c>
      <c r="CL19" s="5">
        <f>(CK19-CD19)/2</f>
        <v>6</v>
      </c>
      <c r="CM19" s="5"/>
      <c r="CN19" s="5"/>
      <c r="CO19" s="11">
        <v>5</v>
      </c>
      <c r="CP19" s="5">
        <f>SUM(CL19:CO19)</f>
        <v>11</v>
      </c>
    </row>
    <row r="20" spans="1:94" x14ac:dyDescent="0.25">
      <c r="A20">
        <v>10</v>
      </c>
      <c r="B20" s="11" t="s">
        <v>223</v>
      </c>
      <c r="C20" s="11" t="s">
        <v>244</v>
      </c>
      <c r="D20" s="5" t="s">
        <v>224</v>
      </c>
      <c r="E20" s="5" t="s">
        <v>529</v>
      </c>
      <c r="X20" s="19">
        <v>44.8</v>
      </c>
      <c r="Z20" s="19">
        <v>50</v>
      </c>
      <c r="AD20" s="19">
        <v>36</v>
      </c>
      <c r="AE20" s="19">
        <v>6</v>
      </c>
      <c r="AF20">
        <f>SUM(S20:AE20)</f>
        <v>136.80000000000001</v>
      </c>
      <c r="AG20">
        <f>(AF20-S20)/2</f>
        <v>68.400000000000006</v>
      </c>
      <c r="AM20">
        <v>36</v>
      </c>
      <c r="AO20">
        <v>48</v>
      </c>
      <c r="AQ20">
        <v>54</v>
      </c>
      <c r="AT20">
        <v>36</v>
      </c>
      <c r="AV20">
        <v>4</v>
      </c>
      <c r="AX20" s="5">
        <f>SUM(AG20:AW20)</f>
        <v>246.4</v>
      </c>
      <c r="AY20" s="5">
        <f>(AX20-AG20)/2</f>
        <v>89</v>
      </c>
      <c r="AZ20" s="11">
        <v>36</v>
      </c>
      <c r="BA20" s="11">
        <v>3.2</v>
      </c>
      <c r="BB20" s="11">
        <v>54</v>
      </c>
      <c r="BC20" s="11">
        <v>3.2</v>
      </c>
      <c r="BD20" s="11">
        <v>36</v>
      </c>
      <c r="BE20" s="11"/>
      <c r="BF20" s="5">
        <f>SUM(AY20:BE20)</f>
        <v>221.39999999999998</v>
      </c>
      <c r="BG20" s="5">
        <f>(BF20-AY20)/2</f>
        <v>66.199999999999989</v>
      </c>
      <c r="BH20" s="11"/>
      <c r="BI20" s="11"/>
      <c r="BJ20" s="11"/>
      <c r="BK20" s="11"/>
      <c r="BL20" s="5"/>
      <c r="BM20" s="5"/>
      <c r="BN20" s="5">
        <f>SUM(BG20:BM20)</f>
        <v>66.199999999999989</v>
      </c>
      <c r="BP20">
        <f>AF20/4</f>
        <v>34.200000000000003</v>
      </c>
      <c r="BT20">
        <f>SUM(BP20:BQ20)</f>
        <v>34.200000000000003</v>
      </c>
      <c r="BU20" s="7">
        <f>BT20/2</f>
        <v>17.100000000000001</v>
      </c>
      <c r="BV20" s="7">
        <f>AX20/4</f>
        <v>61.6</v>
      </c>
      <c r="BW20" s="7"/>
      <c r="BX20" s="7"/>
      <c r="BY20" s="7"/>
      <c r="BZ20" s="7"/>
      <c r="CA20" s="7"/>
      <c r="CC20" s="5">
        <f>SUM(BU20:CB20)</f>
        <v>78.7</v>
      </c>
      <c r="CD20" s="5">
        <f>(CC20-BU20)/2</f>
        <v>30.8</v>
      </c>
      <c r="CE20" s="11"/>
      <c r="CF20" s="11"/>
      <c r="CG20" s="11"/>
      <c r="CH20" s="11"/>
      <c r="CI20" s="11"/>
      <c r="CJ20" s="11"/>
      <c r="CK20" s="11">
        <f>SUM(CD20:CF20)</f>
        <v>30.8</v>
      </c>
      <c r="CL20" s="5">
        <f>(CK20-CD20)/2</f>
        <v>0</v>
      </c>
      <c r="CM20" s="5"/>
      <c r="CN20" s="5"/>
      <c r="CO20" s="11"/>
      <c r="CP20" s="5">
        <f>SUM(CL20:CO20)</f>
        <v>0</v>
      </c>
    </row>
    <row r="21" spans="1:94" x14ac:dyDescent="0.25">
      <c r="A21">
        <v>11</v>
      </c>
      <c r="B21" s="11" t="s">
        <v>366</v>
      </c>
      <c r="C21" s="5"/>
      <c r="D21" s="5" t="s">
        <v>21</v>
      </c>
      <c r="E21" s="5" t="s">
        <v>138</v>
      </c>
      <c r="F21" s="5"/>
      <c r="G21" s="5"/>
      <c r="H21" s="5"/>
      <c r="I21" s="5"/>
      <c r="J21" s="5"/>
      <c r="K21" s="5"/>
      <c r="L21" s="5"/>
      <c r="M21" s="11"/>
      <c r="N21" s="11"/>
      <c r="O21" s="11"/>
      <c r="P21" s="11"/>
      <c r="Q21" s="11"/>
      <c r="R21" s="5"/>
      <c r="S21" s="5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11"/>
      <c r="AX21" s="5"/>
      <c r="AY21" s="5"/>
      <c r="AZ21" s="11"/>
      <c r="BA21" s="11">
        <v>3.2</v>
      </c>
      <c r="BB21" s="11">
        <v>75</v>
      </c>
      <c r="BC21" s="11">
        <v>4</v>
      </c>
      <c r="BD21" s="11">
        <v>7.5</v>
      </c>
      <c r="BE21" s="11"/>
      <c r="BF21" s="5">
        <f>SUM(AY21:BE21)</f>
        <v>89.7</v>
      </c>
      <c r="BG21" s="5">
        <f>(BF21-AY21)/2</f>
        <v>44.85</v>
      </c>
      <c r="BH21" s="11"/>
      <c r="BI21" s="11"/>
      <c r="BJ21" s="11"/>
      <c r="BK21" s="11"/>
      <c r="BL21" s="5"/>
      <c r="BM21" s="5"/>
      <c r="BN21" s="5">
        <f>SUM(BG21:BM21)</f>
        <v>44.85</v>
      </c>
      <c r="CC21" s="5"/>
      <c r="CD21" s="5"/>
      <c r="CE21" s="11">
        <v>12</v>
      </c>
      <c r="CF21" s="5"/>
      <c r="CG21" s="5"/>
      <c r="CH21" s="5"/>
      <c r="CI21" s="5"/>
      <c r="CJ21" s="5"/>
      <c r="CK21" s="11">
        <f>SUM(CD21:CF21)</f>
        <v>12</v>
      </c>
      <c r="CL21" s="5">
        <f>(CK21-CD21)/2</f>
        <v>6</v>
      </c>
      <c r="CM21" s="5"/>
      <c r="CN21" s="5"/>
      <c r="CO21" s="11"/>
      <c r="CP21" s="5">
        <f>SUM(CL21:CO21)</f>
        <v>6</v>
      </c>
    </row>
    <row r="22" spans="1:94" x14ac:dyDescent="0.25">
      <c r="A22">
        <v>12</v>
      </c>
      <c r="B22" s="11" t="s">
        <v>661</v>
      </c>
      <c r="C22" s="5"/>
      <c r="D22" s="5" t="s">
        <v>662</v>
      </c>
      <c r="E22" s="5" t="s">
        <v>663</v>
      </c>
      <c r="F22" s="5"/>
      <c r="G22" s="5"/>
      <c r="H22" s="5"/>
      <c r="I22" s="5"/>
      <c r="J22" s="5"/>
      <c r="K22" s="5"/>
      <c r="L22" s="5"/>
      <c r="M22" s="11"/>
      <c r="N22" s="11"/>
      <c r="O22" s="11"/>
      <c r="P22" s="11"/>
      <c r="Q22" s="11"/>
      <c r="R22" s="5"/>
      <c r="S22" s="5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11"/>
      <c r="AX22" s="5"/>
      <c r="AY22" s="5"/>
      <c r="AZ22" s="11"/>
      <c r="BA22" s="11"/>
      <c r="BB22" s="11"/>
      <c r="BC22" s="11"/>
      <c r="BD22" s="11"/>
      <c r="BE22" s="11"/>
      <c r="BF22" s="5"/>
      <c r="BG22" s="5"/>
      <c r="BH22" s="11">
        <v>36</v>
      </c>
      <c r="BI22" s="11"/>
      <c r="BJ22" s="11">
        <v>7.5</v>
      </c>
      <c r="BK22" s="11"/>
      <c r="BL22" s="5"/>
      <c r="BM22" s="5"/>
      <c r="BN22" s="5">
        <f>SUM(BG22:BM22)</f>
        <v>43.5</v>
      </c>
      <c r="CC22" s="5"/>
      <c r="CD22" s="5"/>
      <c r="CE22" s="11"/>
      <c r="CF22" s="5"/>
      <c r="CG22" s="5"/>
      <c r="CH22" s="5"/>
      <c r="CI22" s="5"/>
      <c r="CJ22" s="5"/>
      <c r="CK22" s="11">
        <f>SUM(CD22:CF22)</f>
        <v>0</v>
      </c>
      <c r="CL22" s="5">
        <f>(CK22-CD22)/2</f>
        <v>0</v>
      </c>
      <c r="CM22" s="5"/>
      <c r="CN22" s="5"/>
      <c r="CO22" s="11"/>
      <c r="CP22" s="5">
        <f>SUM(CL22:CO22)</f>
        <v>0</v>
      </c>
    </row>
    <row r="23" spans="1:94" x14ac:dyDescent="0.25">
      <c r="A23">
        <v>13</v>
      </c>
      <c r="B23" s="11" t="s">
        <v>549</v>
      </c>
      <c r="C23" s="5"/>
      <c r="D23" s="5" t="s">
        <v>550</v>
      </c>
      <c r="E23" s="5" t="s">
        <v>119</v>
      </c>
      <c r="F23" s="5"/>
      <c r="G23" s="5"/>
      <c r="H23" s="5"/>
      <c r="I23" s="5"/>
      <c r="J23" s="5"/>
      <c r="K23" s="5"/>
      <c r="L23" s="5"/>
      <c r="M23" s="11"/>
      <c r="N23" s="11"/>
      <c r="O23" s="11"/>
      <c r="P23" s="11"/>
      <c r="Q23" s="11"/>
      <c r="R23" s="5"/>
      <c r="S23" s="5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11"/>
      <c r="AX23" s="5"/>
      <c r="AY23" s="5"/>
      <c r="AZ23" s="11"/>
      <c r="BA23" s="11"/>
      <c r="BB23" s="11">
        <v>75</v>
      </c>
      <c r="BC23" s="11"/>
      <c r="BD23" s="11"/>
      <c r="BE23" s="11"/>
      <c r="BF23" s="5">
        <f>SUM(AY23:BE23)</f>
        <v>75</v>
      </c>
      <c r="BG23" s="5">
        <f>(BF23-AY23)/2</f>
        <v>37.5</v>
      </c>
      <c r="BH23" s="11"/>
      <c r="BI23" s="11"/>
      <c r="BJ23" s="11"/>
      <c r="BK23" s="11"/>
      <c r="BL23" s="5"/>
      <c r="BM23" s="5"/>
      <c r="BN23" s="5">
        <f>SUM(BG23:BM23)</f>
        <v>37.5</v>
      </c>
      <c r="CC23" s="5"/>
      <c r="CD23" s="5"/>
      <c r="CE23" s="11"/>
      <c r="CF23" s="5"/>
      <c r="CG23" s="5"/>
      <c r="CH23" s="5"/>
      <c r="CI23" s="5"/>
      <c r="CJ23" s="5"/>
      <c r="CK23" s="11">
        <f>SUM(CD23:CF23)</f>
        <v>0</v>
      </c>
      <c r="CL23" s="5">
        <f>(CK23-CD23)/2</f>
        <v>0</v>
      </c>
      <c r="CM23" s="5"/>
      <c r="CN23" s="5"/>
      <c r="CO23" s="11"/>
      <c r="CP23" s="5">
        <f>SUM(CL23:CO23)</f>
        <v>0</v>
      </c>
    </row>
    <row r="24" spans="1:94" x14ac:dyDescent="0.25">
      <c r="A24">
        <v>14</v>
      </c>
      <c r="B24" s="11" t="s">
        <v>604</v>
      </c>
      <c r="C24" s="5"/>
      <c r="D24" s="5" t="s">
        <v>160</v>
      </c>
      <c r="E24" s="5" t="s">
        <v>102</v>
      </c>
      <c r="F24" s="5"/>
      <c r="G24" s="5"/>
      <c r="H24" s="5"/>
      <c r="I24" s="5"/>
      <c r="J24" s="5"/>
      <c r="K24" s="5"/>
      <c r="L24" s="5"/>
      <c r="M24" s="11"/>
      <c r="N24" s="11"/>
      <c r="O24" s="11"/>
      <c r="P24" s="11"/>
      <c r="Q24" s="11"/>
      <c r="R24" s="5"/>
      <c r="S24" s="5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11"/>
      <c r="AX24" s="5"/>
      <c r="AY24" s="5"/>
      <c r="AZ24" s="11">
        <v>36</v>
      </c>
      <c r="BA24" s="11">
        <v>3.2</v>
      </c>
      <c r="BB24" s="11"/>
      <c r="BC24" s="11"/>
      <c r="BD24" s="11"/>
      <c r="BE24" s="11"/>
      <c r="BF24" s="5">
        <f>SUM(AY24:BE24)</f>
        <v>39.200000000000003</v>
      </c>
      <c r="BG24" s="5">
        <f>(BF24-AY24)/2</f>
        <v>19.600000000000001</v>
      </c>
      <c r="BH24" s="11"/>
      <c r="BI24" s="11"/>
      <c r="BJ24" s="11"/>
      <c r="BK24" s="11"/>
      <c r="BL24" s="5"/>
      <c r="BM24" s="5"/>
      <c r="BN24" s="5">
        <f>SUM(BG24:BM24)</f>
        <v>19.600000000000001</v>
      </c>
      <c r="CK24" s="11">
        <f>SUM(CD24:CF24)</f>
        <v>0</v>
      </c>
      <c r="CL24" s="5">
        <f>(CK24-CD24)/2</f>
        <v>0</v>
      </c>
      <c r="CM24" s="5"/>
      <c r="CN24" s="5"/>
      <c r="CO24" s="11"/>
      <c r="CP24" s="5">
        <f>SUM(CL24:CO24)</f>
        <v>0</v>
      </c>
    </row>
    <row r="25" spans="1:94" x14ac:dyDescent="0.25">
      <c r="A25">
        <v>15</v>
      </c>
      <c r="B25" s="11" t="s">
        <v>208</v>
      </c>
      <c r="C25" s="11"/>
      <c r="D25" s="5" t="s">
        <v>209</v>
      </c>
      <c r="E25" s="5" t="s">
        <v>24</v>
      </c>
      <c r="F25" s="5"/>
      <c r="G25" s="5"/>
      <c r="H25" s="5"/>
      <c r="I25" s="5"/>
      <c r="J25" s="5"/>
      <c r="K25" s="5"/>
      <c r="L25" s="5"/>
      <c r="M25" s="11"/>
      <c r="N25" s="11"/>
      <c r="O25" s="11"/>
      <c r="P25" s="11"/>
      <c r="Q25" s="11"/>
      <c r="R25" s="5"/>
      <c r="S25" s="5"/>
      <c r="T25" s="6"/>
      <c r="U25" s="6">
        <v>70</v>
      </c>
      <c r="V25" s="6"/>
      <c r="W25" s="6"/>
      <c r="X25" s="6"/>
      <c r="Y25" s="6">
        <v>40</v>
      </c>
      <c r="Z25" s="6">
        <v>5</v>
      </c>
      <c r="AA25" s="6"/>
      <c r="AB25" s="6">
        <v>48</v>
      </c>
      <c r="AC25" s="6">
        <v>50</v>
      </c>
      <c r="AD25" s="6"/>
      <c r="AE25" s="6"/>
      <c r="AF25" s="5">
        <f>SUM(S25:AE25)</f>
        <v>213</v>
      </c>
      <c r="AG25" s="5">
        <f>(AF25-S25)/2</f>
        <v>106.5</v>
      </c>
      <c r="AH25" s="5"/>
      <c r="AI25" s="5"/>
      <c r="AJ25" s="5">
        <v>36</v>
      </c>
      <c r="AK25" s="5"/>
      <c r="AL25" s="5">
        <v>150</v>
      </c>
      <c r="AM25" s="5"/>
      <c r="AN25" s="5"/>
      <c r="AO25" s="5"/>
      <c r="AP25" s="5"/>
      <c r="AQ25" s="5">
        <v>150</v>
      </c>
      <c r="AR25" s="5"/>
      <c r="AS25" s="5"/>
      <c r="AT25" s="5"/>
      <c r="AU25" s="5"/>
      <c r="AV25" s="5"/>
      <c r="AW25" s="11">
        <v>100</v>
      </c>
      <c r="AX25" s="5">
        <f>SUM(AG25:AW25)</f>
        <v>542.5</v>
      </c>
      <c r="AY25" s="5">
        <f>(AX25-AG25)/2</f>
        <v>218</v>
      </c>
      <c r="AZ25" s="11">
        <v>36</v>
      </c>
      <c r="BA25" s="11"/>
      <c r="BB25" s="11"/>
      <c r="BC25" s="11"/>
      <c r="BD25" s="11"/>
      <c r="BE25" s="11"/>
      <c r="BF25" s="5">
        <f>SUM(AY25:BE25)</f>
        <v>254</v>
      </c>
      <c r="BG25" s="5">
        <f>(BF25-AY25)/2</f>
        <v>18</v>
      </c>
      <c r="BH25" s="11"/>
      <c r="BI25" s="11"/>
      <c r="BJ25" s="11"/>
      <c r="BK25" s="11"/>
      <c r="BL25" s="5"/>
      <c r="BM25" s="5"/>
      <c r="BN25" s="5">
        <f>SUM(BG25:BM25)</f>
        <v>18</v>
      </c>
      <c r="BP25">
        <f>AF25/4</f>
        <v>53.25</v>
      </c>
      <c r="BR25">
        <v>36</v>
      </c>
      <c r="BT25">
        <f>SUM(BP25:BR25)</f>
        <v>89.25</v>
      </c>
      <c r="BU25" s="7">
        <f>BT25/2</f>
        <v>44.625</v>
      </c>
      <c r="BV25" s="7">
        <f>AX25/4</f>
        <v>135.625</v>
      </c>
      <c r="BW25" s="7">
        <v>1.25</v>
      </c>
      <c r="BX25" s="7">
        <v>140</v>
      </c>
      <c r="BY25" s="7">
        <v>7.5</v>
      </c>
      <c r="BZ25" s="7"/>
      <c r="CA25" s="7"/>
      <c r="CC25">
        <f>SUM(BU25:BY25)</f>
        <v>329</v>
      </c>
      <c r="CD25">
        <f>(CC25-BU25)/2</f>
        <v>142.1875</v>
      </c>
      <c r="CF25" s="7"/>
      <c r="CG25" s="7"/>
      <c r="CH25" s="7"/>
      <c r="CI25" s="7"/>
      <c r="CJ25" s="7"/>
      <c r="CK25" s="11">
        <f>SUM(CD25:CF25)</f>
        <v>142.1875</v>
      </c>
      <c r="CL25" s="5">
        <f>(CK25-CD25)/2</f>
        <v>0</v>
      </c>
      <c r="CM25" s="5"/>
      <c r="CN25" s="5"/>
      <c r="CO25" s="11"/>
      <c r="CP25" s="5">
        <f>SUM(CL25:CO25)</f>
        <v>0</v>
      </c>
    </row>
    <row r="26" spans="1:94" x14ac:dyDescent="0.25">
      <c r="A26">
        <v>16</v>
      </c>
      <c r="B26" s="11" t="s">
        <v>92</v>
      </c>
      <c r="C26" s="5"/>
      <c r="D26" s="5" t="s">
        <v>20</v>
      </c>
      <c r="E26" s="5" t="s">
        <v>435</v>
      </c>
      <c r="F26" s="5"/>
      <c r="G26" s="5"/>
      <c r="H26" s="5"/>
      <c r="I26" s="5"/>
      <c r="J26" s="5"/>
      <c r="K26" s="5"/>
      <c r="L26" s="5"/>
      <c r="M26" s="11"/>
      <c r="N26" s="11"/>
      <c r="O26" s="11"/>
      <c r="P26" s="11"/>
      <c r="Q26" s="11"/>
      <c r="R26" s="5"/>
      <c r="S26" s="5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11"/>
      <c r="AX26" s="5"/>
      <c r="AY26" s="5"/>
      <c r="AZ26" s="11"/>
      <c r="BA26" s="11"/>
      <c r="BB26" s="11">
        <v>7.5</v>
      </c>
      <c r="BC26" s="11"/>
      <c r="BD26" s="11"/>
      <c r="BE26" s="11"/>
      <c r="BF26" s="5">
        <f>SUM(AY26:BE26)</f>
        <v>7.5</v>
      </c>
      <c r="BG26" s="5">
        <f>(BF26-AY26)/2</f>
        <v>3.75</v>
      </c>
      <c r="BH26" s="11"/>
      <c r="BI26" s="11"/>
      <c r="BJ26" s="11"/>
      <c r="BK26" s="11"/>
      <c r="BL26" s="5"/>
      <c r="BM26" s="5"/>
      <c r="BN26" s="5">
        <f>SUM(BG26:BM26)</f>
        <v>3.75</v>
      </c>
      <c r="CK26" s="11">
        <f>SUM(CD26:CF26)</f>
        <v>0</v>
      </c>
      <c r="CL26" s="5">
        <f>(CK26-CD26)/2</f>
        <v>0</v>
      </c>
      <c r="CM26" s="5"/>
      <c r="CN26" s="5"/>
      <c r="CO26" s="11"/>
      <c r="CP26" s="5">
        <f>SUM(CL26:CO26)</f>
        <v>0</v>
      </c>
    </row>
  </sheetData>
  <sortState xmlns:xlrd2="http://schemas.microsoft.com/office/spreadsheetml/2017/richdata2" ref="B11:CP26">
    <sortCondition descending="1" ref="BN11:BN26"/>
  </sortState>
  <mergeCells count="6">
    <mergeCell ref="B1:CP1"/>
    <mergeCell ref="B8:C10"/>
    <mergeCell ref="BB9:BE9"/>
    <mergeCell ref="BJ9:BM9"/>
    <mergeCell ref="D4:BN5"/>
    <mergeCell ref="BP4:CP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34"/>
  <sheetViews>
    <sheetView zoomScale="80" zoomScaleNormal="80" workbookViewId="0">
      <selection activeCell="BZ37" sqref="BZ37"/>
    </sheetView>
  </sheetViews>
  <sheetFormatPr baseColWidth="10" defaultRowHeight="15" x14ac:dyDescent="0.25"/>
  <cols>
    <col min="1" max="1" width="3.140625" bestFit="1" customWidth="1"/>
    <col min="2" max="2" width="14.28515625" bestFit="1" customWidth="1"/>
    <col min="4" max="4" width="12.28515625" bestFit="1" customWidth="1"/>
    <col min="5" max="5" width="17.85546875" bestFit="1" customWidth="1"/>
    <col min="6" max="6" width="6.7109375" hidden="1" customWidth="1"/>
    <col min="7" max="9" width="6.42578125" hidden="1" customWidth="1"/>
    <col min="10" max="11" width="7.28515625" hidden="1" customWidth="1"/>
    <col min="12" max="16" width="6.28515625" hidden="1" customWidth="1"/>
    <col min="17" max="17" width="6.7109375" hidden="1" customWidth="1"/>
    <col min="18" max="24" width="6.7109375" style="7" hidden="1" customWidth="1"/>
    <col min="25" max="25" width="0" hidden="1" customWidth="1"/>
    <col min="26" max="26" width="7.7109375" hidden="1" customWidth="1"/>
    <col min="27" max="40" width="6" style="7" hidden="1" customWidth="1"/>
    <col min="41" max="44" width="6.85546875" hidden="1" customWidth="1"/>
    <col min="45" max="55" width="6" hidden="1" customWidth="1"/>
    <col min="56" max="56" width="10.85546875" hidden="1" customWidth="1"/>
    <col min="57" max="61" width="6.140625" hidden="1" customWidth="1"/>
    <col min="62" max="62" width="6.140625" style="7" hidden="1" customWidth="1"/>
    <col min="63" max="63" width="6.85546875" hidden="1" customWidth="1"/>
    <col min="64" max="64" width="7.85546875" hidden="1" customWidth="1"/>
    <col min="65" max="70" width="6.85546875" style="7" hidden="1" customWidth="1"/>
    <col min="71" max="71" width="6.85546875" customWidth="1"/>
    <col min="72" max="72" width="7.85546875" bestFit="1" customWidth="1"/>
    <col min="73" max="73" width="6.85546875" customWidth="1"/>
    <col min="74" max="76" width="6.85546875" style="7" customWidth="1"/>
    <col min="77" max="79" width="6.85546875" customWidth="1"/>
    <col min="81" max="81" width="10.7109375" hidden="1" customWidth="1"/>
    <col min="82" max="82" width="6.7109375" hidden="1" customWidth="1"/>
    <col min="83" max="83" width="7.140625" hidden="1" customWidth="1"/>
    <col min="84" max="84" width="7.5703125" hidden="1" customWidth="1"/>
    <col min="85" max="85" width="6.7109375" hidden="1" customWidth="1"/>
    <col min="86" max="86" width="7.140625" hidden="1" customWidth="1"/>
    <col min="87" max="89" width="0" hidden="1" customWidth="1"/>
    <col min="90" max="97" width="6.7109375" style="7" hidden="1" customWidth="1"/>
    <col min="98" max="98" width="0" hidden="1" customWidth="1"/>
    <col min="99" max="99" width="9.85546875" hidden="1" customWidth="1"/>
    <col min="100" max="100" width="5" style="7" hidden="1" customWidth="1"/>
    <col min="101" max="101" width="5.5703125" hidden="1" customWidth="1"/>
    <col min="102" max="103" width="6" hidden="1" customWidth="1"/>
    <col min="104" max="105" width="6" style="7" hidden="1" customWidth="1"/>
    <col min="108" max="108" width="6" bestFit="1" customWidth="1"/>
    <col min="109" max="109" width="6" customWidth="1"/>
  </cols>
  <sheetData>
    <row r="1" spans="1:110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</row>
    <row r="2" spans="1:110" ht="15.75" thickBot="1" x14ac:dyDescent="0.3">
      <c r="C2" s="7"/>
      <c r="D2" s="7"/>
      <c r="E2" s="7"/>
      <c r="F2" s="7"/>
    </row>
    <row r="3" spans="1:110" ht="15.75" thickTop="1" x14ac:dyDescent="0.25">
      <c r="B3" s="1" t="s">
        <v>0</v>
      </c>
      <c r="C3" s="4" t="s">
        <v>29</v>
      </c>
    </row>
    <row r="4" spans="1:110" ht="14.65" customHeight="1" x14ac:dyDescent="0.25">
      <c r="B4" s="2" t="s">
        <v>1</v>
      </c>
      <c r="C4" s="10" t="s">
        <v>7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C4" s="56" t="s">
        <v>641</v>
      </c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</row>
    <row r="5" spans="1:110" ht="15" customHeight="1" thickBot="1" x14ac:dyDescent="0.3">
      <c r="B5" s="3" t="s">
        <v>2</v>
      </c>
      <c r="C5" s="34">
        <v>-57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</row>
    <row r="6" spans="1:110" ht="15.75" thickTop="1" x14ac:dyDescent="0.25"/>
    <row r="7" spans="1:110" ht="15.75" thickBot="1" x14ac:dyDescent="0.3"/>
    <row r="8" spans="1:110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27</v>
      </c>
      <c r="H8" s="4" t="s">
        <v>31</v>
      </c>
      <c r="I8" s="4" t="s">
        <v>72</v>
      </c>
      <c r="J8" s="4" t="s">
        <v>99</v>
      </c>
      <c r="K8" s="4" t="s">
        <v>27</v>
      </c>
      <c r="L8" s="4" t="s">
        <v>134</v>
      </c>
      <c r="M8" s="4" t="s">
        <v>132</v>
      </c>
      <c r="N8" s="4" t="s">
        <v>141</v>
      </c>
      <c r="O8" s="4" t="s">
        <v>146</v>
      </c>
      <c r="P8" s="4" t="s">
        <v>27</v>
      </c>
      <c r="Q8" s="4" t="s">
        <v>151</v>
      </c>
      <c r="R8" s="4" t="s">
        <v>27</v>
      </c>
      <c r="S8" s="4" t="s">
        <v>27</v>
      </c>
      <c r="T8" s="4" t="s">
        <v>27</v>
      </c>
      <c r="U8" s="4" t="s">
        <v>27</v>
      </c>
      <c r="V8" s="4" t="s">
        <v>168</v>
      </c>
      <c r="W8" s="4" t="s">
        <v>171</v>
      </c>
      <c r="X8" s="4" t="s">
        <v>173</v>
      </c>
      <c r="Y8" s="1"/>
      <c r="Z8" s="12">
        <v>44927</v>
      </c>
      <c r="AA8" s="16" t="s">
        <v>27</v>
      </c>
      <c r="AB8" s="4" t="s">
        <v>27</v>
      </c>
      <c r="AC8" s="17" t="s">
        <v>173</v>
      </c>
      <c r="AD8" s="17" t="s">
        <v>217</v>
      </c>
      <c r="AE8" s="17" t="s">
        <v>217</v>
      </c>
      <c r="AF8" s="17" t="s">
        <v>27</v>
      </c>
      <c r="AG8" s="17" t="s">
        <v>173</v>
      </c>
      <c r="AH8" s="17" t="s">
        <v>27</v>
      </c>
      <c r="AI8" s="17" t="s">
        <v>27</v>
      </c>
      <c r="AJ8" s="17" t="s">
        <v>173</v>
      </c>
      <c r="AK8" s="16" t="s">
        <v>27</v>
      </c>
      <c r="AL8" s="16" t="s">
        <v>27</v>
      </c>
      <c r="AM8" s="16" t="s">
        <v>27</v>
      </c>
      <c r="AN8" s="17" t="s">
        <v>174</v>
      </c>
      <c r="AO8" s="4" t="s">
        <v>6</v>
      </c>
      <c r="AP8" s="16">
        <v>45292</v>
      </c>
      <c r="AQ8" s="16" t="s">
        <v>27</v>
      </c>
      <c r="AR8" s="16" t="s">
        <v>27</v>
      </c>
      <c r="AS8" s="16" t="s">
        <v>27</v>
      </c>
      <c r="AT8" s="16" t="s">
        <v>27</v>
      </c>
      <c r="AU8" s="16" t="s">
        <v>27</v>
      </c>
      <c r="AV8" s="16" t="s">
        <v>27</v>
      </c>
      <c r="AW8" s="16" t="s">
        <v>173</v>
      </c>
      <c r="AX8" s="16" t="s">
        <v>173</v>
      </c>
      <c r="AY8" s="16" t="s">
        <v>217</v>
      </c>
      <c r="AZ8" s="16" t="s">
        <v>217</v>
      </c>
      <c r="BA8" s="16" t="s">
        <v>173</v>
      </c>
      <c r="BB8" s="16" t="s">
        <v>27</v>
      </c>
      <c r="BC8" s="16" t="s">
        <v>27</v>
      </c>
      <c r="BD8" s="16" t="s">
        <v>27</v>
      </c>
      <c r="BE8" s="16" t="s">
        <v>27</v>
      </c>
      <c r="BF8" s="16" t="s">
        <v>27</v>
      </c>
      <c r="BG8" s="16" t="s">
        <v>27</v>
      </c>
      <c r="BH8" s="16" t="s">
        <v>173</v>
      </c>
      <c r="BI8" s="16" t="s">
        <v>471</v>
      </c>
      <c r="BJ8" s="16" t="s">
        <v>174</v>
      </c>
      <c r="BK8" s="16" t="s">
        <v>6</v>
      </c>
      <c r="BL8" s="16">
        <v>45658</v>
      </c>
      <c r="BM8" s="16"/>
      <c r="BN8" s="16"/>
      <c r="BO8" s="38"/>
      <c r="BP8" s="39"/>
      <c r="BQ8" s="39"/>
      <c r="BR8" s="40"/>
      <c r="BS8" s="16" t="s">
        <v>6</v>
      </c>
      <c r="BT8" s="16">
        <v>46023</v>
      </c>
      <c r="BU8" s="16"/>
      <c r="BV8" s="16"/>
      <c r="BW8" s="38"/>
      <c r="BX8" s="39"/>
      <c r="BY8" s="39"/>
      <c r="BZ8" s="40"/>
      <c r="CA8" s="16" t="s">
        <v>178</v>
      </c>
      <c r="CC8" s="1" t="s">
        <v>175</v>
      </c>
      <c r="CD8" s="1" t="s">
        <v>214</v>
      </c>
      <c r="CE8" s="1" t="s">
        <v>171</v>
      </c>
      <c r="CF8" s="17" t="s">
        <v>262</v>
      </c>
      <c r="CG8" s="17" t="s">
        <v>275</v>
      </c>
      <c r="CH8" s="4" t="s">
        <v>283</v>
      </c>
      <c r="CI8" s="1" t="s">
        <v>6</v>
      </c>
      <c r="CJ8" s="16">
        <v>45292</v>
      </c>
      <c r="CK8" s="4" t="s">
        <v>175</v>
      </c>
      <c r="CL8" s="4" t="s">
        <v>296</v>
      </c>
      <c r="CM8" s="4" t="s">
        <v>340</v>
      </c>
      <c r="CN8" s="4" t="s">
        <v>31</v>
      </c>
      <c r="CO8" s="4" t="s">
        <v>164</v>
      </c>
      <c r="CP8" s="4" t="s">
        <v>164</v>
      </c>
      <c r="CQ8" s="4" t="s">
        <v>171</v>
      </c>
      <c r="CR8" s="4" t="s">
        <v>164</v>
      </c>
      <c r="CS8" s="4" t="s">
        <v>283</v>
      </c>
      <c r="CT8" s="1" t="s">
        <v>6</v>
      </c>
      <c r="CU8" s="12">
        <v>45658</v>
      </c>
      <c r="CV8" s="4" t="s">
        <v>296</v>
      </c>
      <c r="CW8" s="4" t="s">
        <v>164</v>
      </c>
      <c r="CX8" s="4" t="s">
        <v>31</v>
      </c>
      <c r="CY8" s="4" t="s">
        <v>275</v>
      </c>
      <c r="CZ8" s="4" t="s">
        <v>171</v>
      </c>
      <c r="DA8" s="4" t="s">
        <v>283</v>
      </c>
      <c r="DB8" s="4" t="s">
        <v>178</v>
      </c>
      <c r="DC8" s="16">
        <v>46023</v>
      </c>
      <c r="DD8" s="4" t="s">
        <v>31</v>
      </c>
      <c r="DE8" s="4" t="s">
        <v>171</v>
      </c>
      <c r="DF8" s="1" t="s">
        <v>6</v>
      </c>
    </row>
    <row r="9" spans="1:110" x14ac:dyDescent="0.25">
      <c r="B9" s="50"/>
      <c r="C9" s="51"/>
      <c r="D9" s="2"/>
      <c r="E9" s="2"/>
      <c r="F9" s="10" t="s">
        <v>73</v>
      </c>
      <c r="G9" s="8" t="s">
        <v>28</v>
      </c>
      <c r="H9" s="8" t="s">
        <v>32</v>
      </c>
      <c r="I9" s="10" t="s">
        <v>73</v>
      </c>
      <c r="J9" s="10" t="s">
        <v>100</v>
      </c>
      <c r="K9" s="10" t="s">
        <v>128</v>
      </c>
      <c r="L9" s="10" t="s">
        <v>135</v>
      </c>
      <c r="M9" s="10" t="s">
        <v>133</v>
      </c>
      <c r="N9" s="10" t="s">
        <v>140</v>
      </c>
      <c r="O9" s="10" t="s">
        <v>73</v>
      </c>
      <c r="P9" s="8" t="s">
        <v>149</v>
      </c>
      <c r="Q9" s="10" t="s">
        <v>152</v>
      </c>
      <c r="R9" s="10" t="s">
        <v>159</v>
      </c>
      <c r="S9" s="10" t="s">
        <v>128</v>
      </c>
      <c r="T9" s="10" t="s">
        <v>28</v>
      </c>
      <c r="U9" s="10" t="s">
        <v>149</v>
      </c>
      <c r="V9" s="10" t="s">
        <v>169</v>
      </c>
      <c r="W9" s="10" t="s">
        <v>172</v>
      </c>
      <c r="X9" s="10" t="s">
        <v>174</v>
      </c>
      <c r="Y9" s="2" t="s">
        <v>6</v>
      </c>
      <c r="Z9" s="2"/>
      <c r="AA9" s="10" t="s">
        <v>56</v>
      </c>
      <c r="AB9" s="10" t="s">
        <v>28</v>
      </c>
      <c r="AC9" s="18" t="s">
        <v>134</v>
      </c>
      <c r="AD9" s="18" t="s">
        <v>141</v>
      </c>
      <c r="AE9" s="18" t="s">
        <v>134</v>
      </c>
      <c r="AF9" s="18" t="s">
        <v>128</v>
      </c>
      <c r="AG9" s="18" t="s">
        <v>132</v>
      </c>
      <c r="AH9" s="18" t="s">
        <v>56</v>
      </c>
      <c r="AI9" s="18" t="s">
        <v>149</v>
      </c>
      <c r="AJ9" s="18" t="s">
        <v>141</v>
      </c>
      <c r="AK9" s="10" t="s">
        <v>66</v>
      </c>
      <c r="AL9" s="10" t="s">
        <v>28</v>
      </c>
      <c r="AM9" s="10" t="s">
        <v>159</v>
      </c>
      <c r="AN9" s="18"/>
      <c r="AO9" s="2"/>
      <c r="AP9" s="10"/>
      <c r="AQ9" s="10" t="s">
        <v>28</v>
      </c>
      <c r="AR9" s="10" t="s">
        <v>149</v>
      </c>
      <c r="AS9" s="10" t="s">
        <v>346</v>
      </c>
      <c r="AT9" s="10" t="s">
        <v>128</v>
      </c>
      <c r="AU9" s="10" t="s">
        <v>251</v>
      </c>
      <c r="AV9" s="10" t="s">
        <v>66</v>
      </c>
      <c r="AW9" s="10" t="s">
        <v>132</v>
      </c>
      <c r="AX9" s="10" t="s">
        <v>396</v>
      </c>
      <c r="AY9" s="10" t="s">
        <v>134</v>
      </c>
      <c r="AZ9" s="10" t="s">
        <v>141</v>
      </c>
      <c r="BA9" s="10" t="s">
        <v>134</v>
      </c>
      <c r="BB9" s="10" t="s">
        <v>346</v>
      </c>
      <c r="BC9" s="10" t="s">
        <v>251</v>
      </c>
      <c r="BD9" s="10" t="s">
        <v>328</v>
      </c>
      <c r="BE9" s="10" t="s">
        <v>159</v>
      </c>
      <c r="BF9" s="10" t="s">
        <v>56</v>
      </c>
      <c r="BG9" s="10" t="s">
        <v>128</v>
      </c>
      <c r="BH9" s="10" t="s">
        <v>141</v>
      </c>
      <c r="BI9" s="10" t="s">
        <v>346</v>
      </c>
      <c r="BJ9" s="10" t="s">
        <v>475</v>
      </c>
      <c r="BK9" s="10"/>
      <c r="BL9" s="10"/>
      <c r="BM9" s="8" t="s">
        <v>27</v>
      </c>
      <c r="BN9" s="8" t="s">
        <v>217</v>
      </c>
      <c r="BO9" s="52" t="s">
        <v>477</v>
      </c>
      <c r="BP9" s="53"/>
      <c r="BQ9" s="53"/>
      <c r="BR9" s="54"/>
      <c r="BS9" s="10"/>
      <c r="BT9" s="10"/>
      <c r="BU9" s="8" t="s">
        <v>27</v>
      </c>
      <c r="BV9" s="8" t="s">
        <v>217</v>
      </c>
      <c r="BW9" s="52" t="s">
        <v>477</v>
      </c>
      <c r="BX9" s="53"/>
      <c r="BY9" s="53"/>
      <c r="BZ9" s="54"/>
      <c r="CA9" s="8"/>
      <c r="CC9" s="2" t="s">
        <v>176</v>
      </c>
      <c r="CD9" s="2"/>
      <c r="CE9" s="2" t="s">
        <v>255</v>
      </c>
      <c r="CF9" s="18" t="s">
        <v>263</v>
      </c>
      <c r="CG9" s="18" t="s">
        <v>276</v>
      </c>
      <c r="CH9" s="10" t="s">
        <v>284</v>
      </c>
      <c r="CI9" s="2"/>
      <c r="CJ9" s="7"/>
      <c r="CK9" s="10" t="s">
        <v>176</v>
      </c>
      <c r="CL9" s="10"/>
      <c r="CM9" s="10" t="s">
        <v>341</v>
      </c>
      <c r="CN9" s="10" t="s">
        <v>354</v>
      </c>
      <c r="CO9" s="10" t="s">
        <v>419</v>
      </c>
      <c r="CP9" s="10" t="s">
        <v>255</v>
      </c>
      <c r="CQ9" s="10" t="s">
        <v>255</v>
      </c>
      <c r="CR9" s="10" t="s">
        <v>263</v>
      </c>
      <c r="CS9" s="10" t="s">
        <v>73</v>
      </c>
      <c r="CT9" s="2"/>
      <c r="CU9" s="2"/>
      <c r="CV9" s="10"/>
      <c r="CW9" s="10" t="s">
        <v>100</v>
      </c>
      <c r="CX9" s="10" t="s">
        <v>419</v>
      </c>
      <c r="CY9" s="10" t="s">
        <v>419</v>
      </c>
      <c r="CZ9" s="10" t="s">
        <v>255</v>
      </c>
      <c r="DA9" s="10" t="s">
        <v>73</v>
      </c>
      <c r="DB9" s="10"/>
      <c r="DC9" s="10"/>
      <c r="DD9" s="10" t="s">
        <v>152</v>
      </c>
      <c r="DE9" s="10" t="s">
        <v>419</v>
      </c>
      <c r="DF9" s="2"/>
    </row>
    <row r="10" spans="1:110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44653</v>
      </c>
      <c r="H10" s="9">
        <v>44661</v>
      </c>
      <c r="I10" s="9">
        <v>44681</v>
      </c>
      <c r="J10" s="9">
        <v>44695</v>
      </c>
      <c r="K10" s="9">
        <v>44709</v>
      </c>
      <c r="L10" s="9">
        <v>44730</v>
      </c>
      <c r="M10" s="9">
        <v>44730</v>
      </c>
      <c r="N10" s="9">
        <v>44737</v>
      </c>
      <c r="O10" s="9">
        <v>44758</v>
      </c>
      <c r="P10" s="9">
        <v>44765</v>
      </c>
      <c r="Q10" s="9">
        <v>44783</v>
      </c>
      <c r="R10" s="9">
        <v>44800</v>
      </c>
      <c r="S10" s="9">
        <v>44814</v>
      </c>
      <c r="T10" s="9">
        <v>44814</v>
      </c>
      <c r="U10" s="9">
        <v>44814</v>
      </c>
      <c r="V10" s="9">
        <v>44829</v>
      </c>
      <c r="W10" s="9">
        <v>44867</v>
      </c>
      <c r="X10" s="9">
        <v>44906</v>
      </c>
      <c r="Y10" s="2">
        <v>2022</v>
      </c>
      <c r="Z10" s="2"/>
      <c r="AA10" s="10" t="s">
        <v>180</v>
      </c>
      <c r="AB10" s="10" t="s">
        <v>179</v>
      </c>
      <c r="AC10" s="18" t="s">
        <v>193</v>
      </c>
      <c r="AD10" s="18" t="s">
        <v>228</v>
      </c>
      <c r="AE10" s="18" t="s">
        <v>234</v>
      </c>
      <c r="AF10" s="18" t="s">
        <v>240</v>
      </c>
      <c r="AG10" s="18" t="s">
        <v>242</v>
      </c>
      <c r="AH10" s="18" t="s">
        <v>254</v>
      </c>
      <c r="AI10" s="18" t="s">
        <v>266</v>
      </c>
      <c r="AJ10" s="18" t="s">
        <v>268</v>
      </c>
      <c r="AK10" s="10" t="s">
        <v>280</v>
      </c>
      <c r="AL10" s="10" t="s">
        <v>280</v>
      </c>
      <c r="AM10" s="10" t="s">
        <v>280</v>
      </c>
      <c r="AN10" s="18" t="s">
        <v>289</v>
      </c>
      <c r="AO10" s="2">
        <v>2023</v>
      </c>
      <c r="AP10" s="31"/>
      <c r="AQ10" s="31" t="s">
        <v>317</v>
      </c>
      <c r="AR10" s="31" t="s">
        <v>317</v>
      </c>
      <c r="AS10" s="31" t="s">
        <v>317</v>
      </c>
      <c r="AT10" s="31" t="s">
        <v>317</v>
      </c>
      <c r="AU10" s="31" t="s">
        <v>317</v>
      </c>
      <c r="AV10" s="31" t="s">
        <v>373</v>
      </c>
      <c r="AW10" s="31" t="s">
        <v>384</v>
      </c>
      <c r="AX10" s="31" t="s">
        <v>397</v>
      </c>
      <c r="AY10" s="31" t="s">
        <v>405</v>
      </c>
      <c r="AZ10" s="31" t="s">
        <v>416</v>
      </c>
      <c r="BA10" s="31" t="s">
        <v>421</v>
      </c>
      <c r="BB10" s="31" t="s">
        <v>441</v>
      </c>
      <c r="BC10" s="31" t="s">
        <v>440</v>
      </c>
      <c r="BD10" s="31" t="s">
        <v>445</v>
      </c>
      <c r="BE10" s="31" t="s">
        <v>445</v>
      </c>
      <c r="BF10" s="31" t="s">
        <v>445</v>
      </c>
      <c r="BG10" s="31" t="s">
        <v>456</v>
      </c>
      <c r="BH10" s="31" t="s">
        <v>465</v>
      </c>
      <c r="BI10" s="31" t="s">
        <v>472</v>
      </c>
      <c r="BJ10" s="31" t="s">
        <v>476</v>
      </c>
      <c r="BK10" s="10">
        <v>2024</v>
      </c>
      <c r="BL10" s="10"/>
      <c r="BM10" s="10"/>
      <c r="BN10" s="10"/>
      <c r="BO10" s="10">
        <v>1</v>
      </c>
      <c r="BP10" s="10">
        <v>2</v>
      </c>
      <c r="BQ10" s="10">
        <v>3</v>
      </c>
      <c r="BR10" s="10">
        <v>4</v>
      </c>
      <c r="BS10" s="10">
        <v>2025</v>
      </c>
      <c r="BT10" s="10"/>
      <c r="BU10" s="10"/>
      <c r="BV10" s="10"/>
      <c r="BW10" s="10">
        <v>1</v>
      </c>
      <c r="BX10" s="10">
        <v>2</v>
      </c>
      <c r="BY10" s="10">
        <v>3</v>
      </c>
      <c r="BZ10" s="10">
        <v>4</v>
      </c>
      <c r="CA10" s="10">
        <v>2026</v>
      </c>
      <c r="CC10" s="2"/>
      <c r="CD10" s="14">
        <v>45078</v>
      </c>
      <c r="CE10" s="14">
        <v>45154</v>
      </c>
      <c r="CF10" s="26">
        <v>45178</v>
      </c>
      <c r="CG10" s="27">
        <v>45204</v>
      </c>
      <c r="CH10" s="8">
        <v>45255</v>
      </c>
      <c r="CI10" s="2">
        <v>2023</v>
      </c>
      <c r="CJ10" s="7"/>
      <c r="CK10" s="10"/>
      <c r="CL10" s="9">
        <v>45347</v>
      </c>
      <c r="CM10" s="9" t="s">
        <v>345</v>
      </c>
      <c r="CN10" s="9" t="s">
        <v>355</v>
      </c>
      <c r="CO10" s="9" t="s">
        <v>228</v>
      </c>
      <c r="CP10" s="9" t="s">
        <v>456</v>
      </c>
      <c r="CQ10" s="9" t="s">
        <v>457</v>
      </c>
      <c r="CR10" s="9" t="s">
        <v>473</v>
      </c>
      <c r="CS10" s="9" t="s">
        <v>474</v>
      </c>
      <c r="CT10" s="2">
        <v>2024</v>
      </c>
      <c r="CU10" s="2"/>
      <c r="CV10" s="10" t="s">
        <v>480</v>
      </c>
      <c r="CW10" s="10" t="s">
        <v>317</v>
      </c>
      <c r="CX10" s="10" t="s">
        <v>527</v>
      </c>
      <c r="CY10" s="10" t="s">
        <v>616</v>
      </c>
      <c r="CZ10" s="10" t="s">
        <v>632</v>
      </c>
      <c r="DA10" s="10" t="s">
        <v>474</v>
      </c>
      <c r="DB10" s="10">
        <v>2025</v>
      </c>
      <c r="DC10" s="10"/>
      <c r="DD10" s="10" t="s">
        <v>193</v>
      </c>
      <c r="DE10" s="10" t="s">
        <v>723</v>
      </c>
      <c r="DF10" s="2">
        <v>2026</v>
      </c>
    </row>
    <row r="11" spans="1:110" x14ac:dyDescent="0.25">
      <c r="A11">
        <v>1</v>
      </c>
      <c r="B11" s="23" t="s">
        <v>229</v>
      </c>
      <c r="C11" s="20"/>
      <c r="D11" s="20" t="s">
        <v>300</v>
      </c>
      <c r="E11" s="20" t="s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11"/>
      <c r="S11" s="11"/>
      <c r="T11" s="11"/>
      <c r="U11" s="11"/>
      <c r="V11" s="11"/>
      <c r="W11" s="11"/>
      <c r="X11" s="11"/>
      <c r="Y11" s="5"/>
      <c r="Z11" s="5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5">
        <f>SUM(Z11:AN11)</f>
        <v>0</v>
      </c>
      <c r="AP11" s="5">
        <f>(AO11-Z11)/2</f>
        <v>0</v>
      </c>
      <c r="AQ11" s="5"/>
      <c r="AR11" s="5"/>
      <c r="AS11" s="5">
        <v>33.6</v>
      </c>
      <c r="AT11" s="5"/>
      <c r="AU11" s="5"/>
      <c r="AV11" s="5"/>
      <c r="AW11" s="5">
        <v>75</v>
      </c>
      <c r="AX11" s="5">
        <v>50</v>
      </c>
      <c r="AY11" s="5"/>
      <c r="AZ11" s="5"/>
      <c r="BA11" s="5">
        <v>75</v>
      </c>
      <c r="BB11" s="5">
        <v>36</v>
      </c>
      <c r="BC11" s="5"/>
      <c r="BD11" s="5"/>
      <c r="BE11" s="5"/>
      <c r="BF11" s="5"/>
      <c r="BG11" s="5"/>
      <c r="BH11" s="5">
        <v>150</v>
      </c>
      <c r="BI11" s="5">
        <v>80</v>
      </c>
      <c r="BJ11" s="11">
        <v>140</v>
      </c>
      <c r="BK11" s="5">
        <f>SUM(AP11:BJ11)</f>
        <v>639.6</v>
      </c>
      <c r="BL11" s="5">
        <f>(BK11-AP11)/2</f>
        <v>319.8</v>
      </c>
      <c r="BM11" s="11">
        <v>48</v>
      </c>
      <c r="BN11" s="11">
        <v>64</v>
      </c>
      <c r="BO11" s="11">
        <v>105</v>
      </c>
      <c r="BP11" s="11">
        <v>70</v>
      </c>
      <c r="BQ11" s="11">
        <v>150</v>
      </c>
      <c r="BR11" s="11">
        <v>72</v>
      </c>
      <c r="BS11" s="5">
        <f>SUM(BL11:BR11)</f>
        <v>828.8</v>
      </c>
      <c r="BT11" s="5">
        <f>(BS11-BL11)/2</f>
        <v>254.49999999999997</v>
      </c>
      <c r="BU11" s="5"/>
      <c r="BV11" s="11">
        <v>80</v>
      </c>
      <c r="BW11" s="11">
        <v>150</v>
      </c>
      <c r="BX11" s="11"/>
      <c r="BY11" s="5"/>
      <c r="BZ11" s="5"/>
      <c r="CA11" s="5">
        <f t="shared" ref="CA11:CA34" si="0">SUM(BT11:BZ11)</f>
        <v>484.5</v>
      </c>
      <c r="CC11" s="5"/>
      <c r="CD11" s="5"/>
      <c r="CE11" s="5"/>
      <c r="CF11" s="5"/>
      <c r="CG11" s="5"/>
      <c r="CH11" s="5"/>
      <c r="CI11" s="5">
        <f>SUM(CC11:CH11)</f>
        <v>0</v>
      </c>
      <c r="CJ11" s="11">
        <f>(CI11)/2</f>
        <v>0</v>
      </c>
      <c r="CK11" s="11">
        <f>BK11/4</f>
        <v>159.9</v>
      </c>
      <c r="CL11" s="11">
        <v>15</v>
      </c>
      <c r="CM11" s="11"/>
      <c r="CN11" s="11"/>
      <c r="CO11" s="11">
        <v>75</v>
      </c>
      <c r="CP11" s="11">
        <v>7.5</v>
      </c>
      <c r="CQ11" s="11">
        <v>36</v>
      </c>
      <c r="CR11" s="11"/>
      <c r="CS11" s="11">
        <v>50</v>
      </c>
      <c r="CT11" s="5">
        <f>SUM(CJ11:CS11)</f>
        <v>343.4</v>
      </c>
      <c r="CU11" s="5">
        <f>(CT11-CJ11)/2</f>
        <v>171.7</v>
      </c>
      <c r="CV11" s="11">
        <v>22.5</v>
      </c>
      <c r="CW11" s="11"/>
      <c r="CX11" s="11">
        <v>48</v>
      </c>
      <c r="CY11" s="11">
        <v>25</v>
      </c>
      <c r="CZ11" s="11">
        <v>50</v>
      </c>
      <c r="DA11" s="11">
        <v>28</v>
      </c>
      <c r="DB11" s="5">
        <f>SUM(CU11:DA11)</f>
        <v>345.2</v>
      </c>
      <c r="DC11" s="5">
        <f t="shared" ref="DC11:DC34" si="1">(DB11-CU11)/2</f>
        <v>86.75</v>
      </c>
      <c r="DD11" s="5">
        <v>15</v>
      </c>
      <c r="DE11" s="5">
        <v>50</v>
      </c>
      <c r="DF11" s="20">
        <f>SUM(DC11:DE11)</f>
        <v>151.75</v>
      </c>
    </row>
    <row r="12" spans="1:110" x14ac:dyDescent="0.25">
      <c r="A12">
        <v>2</v>
      </c>
      <c r="B12" s="11" t="s">
        <v>574</v>
      </c>
      <c r="C12" s="5"/>
      <c r="D12" s="5" t="s">
        <v>575</v>
      </c>
      <c r="E12" s="5" t="s">
        <v>404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11"/>
      <c r="S12" s="11"/>
      <c r="T12" s="11"/>
      <c r="U12" s="11"/>
      <c r="V12" s="11"/>
      <c r="W12" s="11"/>
      <c r="X12" s="11"/>
      <c r="Y12" s="5"/>
      <c r="Z12" s="5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11"/>
      <c r="BK12" s="5"/>
      <c r="BL12" s="5"/>
      <c r="BM12" s="11">
        <v>36</v>
      </c>
      <c r="BN12" s="11">
        <v>44.8</v>
      </c>
      <c r="BO12" s="11">
        <v>5</v>
      </c>
      <c r="BP12" s="11">
        <v>7.5</v>
      </c>
      <c r="BQ12" s="11">
        <v>3.2</v>
      </c>
      <c r="BR12" s="11">
        <v>100</v>
      </c>
      <c r="BS12" s="5">
        <f>SUM(BL12:BR12)</f>
        <v>196.5</v>
      </c>
      <c r="BT12" s="5">
        <f>(BS12-BL12)/2</f>
        <v>98.25</v>
      </c>
      <c r="BU12" s="5">
        <v>36</v>
      </c>
      <c r="BV12" s="11">
        <v>48</v>
      </c>
      <c r="BW12" s="11">
        <v>36</v>
      </c>
      <c r="BX12" s="11"/>
      <c r="BY12" s="5"/>
      <c r="BZ12" s="5"/>
      <c r="CA12" s="5">
        <f t="shared" si="0"/>
        <v>218.25</v>
      </c>
      <c r="CC12" s="5"/>
      <c r="CD12" s="5"/>
      <c r="CE12" s="5"/>
      <c r="CF12" s="5"/>
      <c r="CG12" s="5"/>
      <c r="CH12" s="5"/>
      <c r="CI12" s="5"/>
      <c r="CJ12" s="5"/>
      <c r="CK12" s="5"/>
      <c r="CL12" s="11"/>
      <c r="CM12" s="11"/>
      <c r="CN12" s="11"/>
      <c r="CO12" s="11"/>
      <c r="CP12" s="11"/>
      <c r="CQ12" s="11"/>
      <c r="CR12" s="11"/>
      <c r="CS12" s="11"/>
      <c r="CT12" s="5"/>
      <c r="CU12" s="5"/>
      <c r="CV12" s="11"/>
      <c r="CW12" s="5"/>
      <c r="CX12" s="5"/>
      <c r="CY12" s="5"/>
      <c r="CZ12" s="11"/>
      <c r="DA12" s="11"/>
      <c r="DB12" s="5">
        <f>SUM(CU12:CW12)</f>
        <v>0</v>
      </c>
      <c r="DC12" s="5">
        <f t="shared" si="1"/>
        <v>0</v>
      </c>
      <c r="DD12" s="5"/>
      <c r="DE12" s="5"/>
      <c r="DF12" s="5">
        <f t="shared" ref="DF12:DF34" si="2">SUM(DC12:DD12)</f>
        <v>0</v>
      </c>
    </row>
    <row r="13" spans="1:110" x14ac:dyDescent="0.25">
      <c r="A13">
        <v>3</v>
      </c>
      <c r="B13" s="25" t="s">
        <v>302</v>
      </c>
      <c r="C13" s="22"/>
      <c r="D13" s="22" t="s">
        <v>303</v>
      </c>
      <c r="E13" s="22" t="s">
        <v>16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1"/>
      <c r="S13" s="11"/>
      <c r="T13" s="11"/>
      <c r="U13" s="11"/>
      <c r="V13" s="11"/>
      <c r="W13" s="11"/>
      <c r="X13" s="11"/>
      <c r="Y13" s="5"/>
      <c r="Z13" s="5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1"/>
      <c r="BK13" s="5"/>
      <c r="BL13" s="5"/>
      <c r="BM13" s="11"/>
      <c r="BN13" s="11">
        <v>64</v>
      </c>
      <c r="BO13" s="11">
        <v>150</v>
      </c>
      <c r="BP13" s="11">
        <v>50</v>
      </c>
      <c r="BQ13" s="11">
        <v>75</v>
      </c>
      <c r="BR13" s="11">
        <v>64</v>
      </c>
      <c r="BS13" s="5">
        <f>SUM(BL13:BR13)</f>
        <v>403</v>
      </c>
      <c r="BT13" s="5">
        <f>(BS13-BL13)/2</f>
        <v>201.5</v>
      </c>
      <c r="BU13" s="5"/>
      <c r="BV13" s="11"/>
      <c r="BW13" s="11"/>
      <c r="BX13" s="11"/>
      <c r="BY13" s="5"/>
      <c r="BZ13" s="5"/>
      <c r="CA13" s="5">
        <f t="shared" si="0"/>
        <v>201.5</v>
      </c>
      <c r="CC13" s="5"/>
      <c r="CD13" s="5"/>
      <c r="CE13" s="5"/>
      <c r="CF13" s="5"/>
      <c r="CG13" s="5"/>
      <c r="CH13" s="5"/>
      <c r="CI13" s="5"/>
      <c r="CJ13" s="5"/>
      <c r="CK13" s="5"/>
      <c r="CL13" s="11"/>
      <c r="CM13" s="11"/>
      <c r="CN13" s="11"/>
      <c r="CO13" s="11"/>
      <c r="CP13" s="11"/>
      <c r="CQ13" s="11"/>
      <c r="CR13" s="11"/>
      <c r="CS13" s="11"/>
      <c r="CT13" s="5"/>
      <c r="CU13" s="5"/>
      <c r="CV13" s="11"/>
      <c r="CW13" s="5"/>
      <c r="CX13" s="5"/>
      <c r="CY13" s="5"/>
      <c r="CZ13" s="11">
        <v>70</v>
      </c>
      <c r="DA13" s="11"/>
      <c r="DB13" s="5">
        <f>SUM(CU13:CZ13)</f>
        <v>70</v>
      </c>
      <c r="DC13" s="5">
        <f t="shared" si="1"/>
        <v>35</v>
      </c>
      <c r="DD13" s="5">
        <v>15</v>
      </c>
      <c r="DE13" s="5"/>
      <c r="DF13" s="22">
        <f t="shared" si="2"/>
        <v>50</v>
      </c>
    </row>
    <row r="14" spans="1:110" x14ac:dyDescent="0.25">
      <c r="A14" s="46">
        <v>4</v>
      </c>
      <c r="B14" s="11" t="s">
        <v>79</v>
      </c>
      <c r="C14" s="5"/>
      <c r="D14" s="5" t="s">
        <v>78</v>
      </c>
      <c r="E14" s="5" t="s">
        <v>694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1"/>
      <c r="S14" s="11"/>
      <c r="T14" s="11"/>
      <c r="U14" s="11"/>
      <c r="V14" s="11"/>
      <c r="W14" s="11"/>
      <c r="X14" s="11"/>
      <c r="Y14" s="5"/>
      <c r="Z14" s="5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11"/>
      <c r="BK14" s="5"/>
      <c r="BL14" s="5"/>
      <c r="BM14" s="11"/>
      <c r="BN14" s="11"/>
      <c r="BO14" s="11"/>
      <c r="BP14" s="11"/>
      <c r="BQ14" s="11"/>
      <c r="BR14" s="11"/>
      <c r="BS14" s="5"/>
      <c r="BT14" s="5"/>
      <c r="BU14" s="5">
        <v>33.6</v>
      </c>
      <c r="BV14" s="11">
        <v>56</v>
      </c>
      <c r="BW14" s="11">
        <v>100</v>
      </c>
      <c r="BX14" s="11"/>
      <c r="BY14" s="5"/>
      <c r="BZ14" s="5"/>
      <c r="CA14" s="5">
        <f t="shared" si="0"/>
        <v>189.6</v>
      </c>
      <c r="CC14" s="5"/>
      <c r="CD14" s="5"/>
      <c r="CE14" s="5"/>
      <c r="CF14" s="5"/>
      <c r="CG14" s="5"/>
      <c r="CH14" s="5"/>
      <c r="CI14" s="5"/>
      <c r="CJ14" s="5"/>
      <c r="CK14" s="5"/>
      <c r="CL14" s="11"/>
      <c r="CM14" s="11"/>
      <c r="CN14" s="11"/>
      <c r="CO14" s="11"/>
      <c r="CP14" s="11"/>
      <c r="CQ14" s="11"/>
      <c r="CR14" s="11"/>
      <c r="CS14" s="11"/>
      <c r="CT14" s="5"/>
      <c r="CU14" s="5"/>
      <c r="CV14" s="11"/>
      <c r="CW14" s="5"/>
      <c r="CX14" s="5"/>
      <c r="CY14" s="5"/>
      <c r="CZ14" s="11"/>
      <c r="DA14" s="11"/>
      <c r="DB14" s="5">
        <f>SUM(CU14:CW14)</f>
        <v>0</v>
      </c>
      <c r="DC14" s="5">
        <f t="shared" si="1"/>
        <v>0</v>
      </c>
      <c r="DD14" s="5"/>
      <c r="DE14" s="5"/>
      <c r="DF14" s="5">
        <f t="shared" si="2"/>
        <v>0</v>
      </c>
    </row>
    <row r="15" spans="1:110" x14ac:dyDescent="0.25">
      <c r="A15">
        <v>5</v>
      </c>
      <c r="B15" s="11" t="s">
        <v>366</v>
      </c>
      <c r="C15" s="5"/>
      <c r="D15" s="5" t="s">
        <v>670</v>
      </c>
      <c r="E15" s="5" t="s">
        <v>668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1"/>
      <c r="S15" s="11"/>
      <c r="T15" s="11"/>
      <c r="U15" s="11"/>
      <c r="V15" s="11"/>
      <c r="W15" s="11"/>
      <c r="X15" s="11"/>
      <c r="Y15" s="5"/>
      <c r="Z15" s="5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11"/>
      <c r="BK15" s="5"/>
      <c r="BL15" s="5"/>
      <c r="BM15" s="11"/>
      <c r="BN15" s="11"/>
      <c r="BO15" s="11"/>
      <c r="BP15" s="11"/>
      <c r="BQ15" s="11"/>
      <c r="BR15" s="11"/>
      <c r="BS15" s="5"/>
      <c r="BT15" s="5"/>
      <c r="BU15" s="5">
        <v>36</v>
      </c>
      <c r="BV15" s="11">
        <v>4</v>
      </c>
      <c r="BW15" s="11">
        <v>105</v>
      </c>
      <c r="BX15" s="11">
        <v>40</v>
      </c>
      <c r="BY15" s="5"/>
      <c r="BZ15" s="5"/>
      <c r="CA15" s="5">
        <f t="shared" si="0"/>
        <v>185</v>
      </c>
      <c r="CC15" s="5"/>
      <c r="CD15" s="5"/>
      <c r="CE15" s="5"/>
      <c r="CF15" s="5"/>
      <c r="CG15" s="5"/>
      <c r="CH15" s="5"/>
      <c r="CI15" s="5"/>
      <c r="CJ15" s="5"/>
      <c r="CK15" s="5"/>
      <c r="CL15" s="11"/>
      <c r="CM15" s="11"/>
      <c r="CN15" s="11"/>
      <c r="CO15" s="11"/>
      <c r="CP15" s="11"/>
      <c r="CQ15" s="11"/>
      <c r="CR15" s="11"/>
      <c r="CS15" s="11"/>
      <c r="CT15" s="5"/>
      <c r="CU15" s="5"/>
      <c r="CV15" s="11"/>
      <c r="CW15" s="5"/>
      <c r="CX15" s="5"/>
      <c r="CY15" s="5"/>
      <c r="CZ15" s="11"/>
      <c r="DA15" s="11"/>
      <c r="DB15" s="5">
        <f>SUM(CU15:CW15)</f>
        <v>0</v>
      </c>
      <c r="DC15" s="5">
        <f t="shared" si="1"/>
        <v>0</v>
      </c>
      <c r="DD15" s="5"/>
      <c r="DE15" s="5"/>
      <c r="DF15" s="5">
        <f t="shared" si="2"/>
        <v>0</v>
      </c>
    </row>
    <row r="16" spans="1:110" x14ac:dyDescent="0.25">
      <c r="A16">
        <v>6</v>
      </c>
      <c r="B16" s="11" t="s">
        <v>506</v>
      </c>
      <c r="C16" s="5"/>
      <c r="D16" s="5" t="s">
        <v>507</v>
      </c>
      <c r="E16" s="5" t="s">
        <v>138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11"/>
      <c r="S16" s="11"/>
      <c r="T16" s="11"/>
      <c r="U16" s="11"/>
      <c r="V16" s="11"/>
      <c r="W16" s="11"/>
      <c r="X16" s="11"/>
      <c r="Y16" s="5"/>
      <c r="Z16" s="5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11"/>
      <c r="BK16" s="5"/>
      <c r="BL16" s="5"/>
      <c r="BM16" s="11">
        <v>33.6</v>
      </c>
      <c r="BN16" s="11">
        <v>44.8</v>
      </c>
      <c r="BO16" s="11">
        <v>75</v>
      </c>
      <c r="BP16" s="11">
        <v>50</v>
      </c>
      <c r="BQ16" s="11">
        <v>100</v>
      </c>
      <c r="BR16" s="11"/>
      <c r="BS16" s="5">
        <f>SUM(BL16:BR16)</f>
        <v>303.39999999999998</v>
      </c>
      <c r="BT16" s="5">
        <f>(BS16-BL16)/2</f>
        <v>151.69999999999999</v>
      </c>
      <c r="BU16" s="5"/>
      <c r="BV16" s="11"/>
      <c r="BW16" s="11"/>
      <c r="BX16" s="11"/>
      <c r="BY16" s="5"/>
      <c r="BZ16" s="5"/>
      <c r="CA16" s="5">
        <f t="shared" si="0"/>
        <v>151.69999999999999</v>
      </c>
      <c r="CC16" s="5"/>
      <c r="CD16" s="5"/>
      <c r="CE16" s="5"/>
      <c r="CF16" s="5"/>
      <c r="CG16" s="5"/>
      <c r="CH16" s="5"/>
      <c r="CI16" s="5"/>
      <c r="CJ16" s="5"/>
      <c r="CK16" s="5"/>
      <c r="CL16" s="11"/>
      <c r="CM16" s="11"/>
      <c r="CN16" s="11"/>
      <c r="CO16" s="11"/>
      <c r="CP16" s="11"/>
      <c r="CQ16" s="11"/>
      <c r="CR16" s="11"/>
      <c r="CS16" s="11"/>
      <c r="CT16" s="5"/>
      <c r="CU16" s="5"/>
      <c r="CV16" s="11"/>
      <c r="CW16" s="5"/>
      <c r="CX16" s="5"/>
      <c r="CY16" s="5"/>
      <c r="CZ16" s="11"/>
      <c r="DA16" s="11"/>
      <c r="DB16" s="5">
        <f>SUM(CU16:CW16)</f>
        <v>0</v>
      </c>
      <c r="DC16" s="5">
        <f t="shared" si="1"/>
        <v>0</v>
      </c>
      <c r="DD16" s="5"/>
      <c r="DE16" s="5"/>
      <c r="DF16" s="5">
        <f t="shared" si="2"/>
        <v>0</v>
      </c>
    </row>
    <row r="17" spans="1:110" x14ac:dyDescent="0.25">
      <c r="A17">
        <v>7</v>
      </c>
      <c r="B17" s="11" t="s">
        <v>33</v>
      </c>
      <c r="C17" s="5"/>
      <c r="D17" s="5" t="s">
        <v>726</v>
      </c>
      <c r="E17" s="5" t="s">
        <v>75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1"/>
      <c r="S17" s="11"/>
      <c r="T17" s="11"/>
      <c r="U17" s="11"/>
      <c r="V17" s="11"/>
      <c r="W17" s="11"/>
      <c r="X17" s="11"/>
      <c r="Y17" s="5"/>
      <c r="Z17" s="5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11"/>
      <c r="BK17" s="5"/>
      <c r="BL17" s="5"/>
      <c r="BM17" s="11"/>
      <c r="BN17" s="11"/>
      <c r="BO17" s="11"/>
      <c r="BP17" s="11"/>
      <c r="BQ17" s="11"/>
      <c r="BR17" s="11"/>
      <c r="BS17" s="5"/>
      <c r="BT17" s="5"/>
      <c r="BU17" s="5">
        <v>48</v>
      </c>
      <c r="BV17" s="11"/>
      <c r="BW17" s="11">
        <v>70</v>
      </c>
      <c r="BX17" s="11"/>
      <c r="BY17" s="5"/>
      <c r="BZ17" s="5"/>
      <c r="CA17" s="5">
        <f t="shared" si="0"/>
        <v>118</v>
      </c>
      <c r="CC17" s="5"/>
      <c r="CD17" s="5"/>
      <c r="CE17" s="5"/>
      <c r="CF17" s="5"/>
      <c r="CG17" s="5"/>
      <c r="CH17" s="5"/>
      <c r="CI17" s="5"/>
      <c r="CJ17" s="5"/>
      <c r="CK17" s="5"/>
      <c r="CL17" s="11"/>
      <c r="CM17" s="11"/>
      <c r="CN17" s="11"/>
      <c r="CO17" s="11"/>
      <c r="CP17" s="11"/>
      <c r="CQ17" s="11"/>
      <c r="CR17" s="11"/>
      <c r="CS17" s="11"/>
      <c r="CT17" s="5"/>
      <c r="CU17" s="5"/>
      <c r="CV17" s="11"/>
      <c r="CW17" s="5"/>
      <c r="CX17" s="5"/>
      <c r="CY17" s="5"/>
      <c r="CZ17" s="11"/>
      <c r="DA17" s="11"/>
      <c r="DB17" s="5">
        <f>SUM(CU17:CW17)</f>
        <v>0</v>
      </c>
      <c r="DC17" s="5">
        <f t="shared" si="1"/>
        <v>0</v>
      </c>
      <c r="DD17" s="5"/>
      <c r="DE17" s="5"/>
      <c r="DF17" s="5">
        <f t="shared" si="2"/>
        <v>0</v>
      </c>
    </row>
    <row r="18" spans="1:110" x14ac:dyDescent="0.25">
      <c r="A18">
        <v>8</v>
      </c>
      <c r="B18" s="11" t="s">
        <v>92</v>
      </c>
      <c r="C18" s="5"/>
      <c r="D18" s="5" t="s">
        <v>20</v>
      </c>
      <c r="E18" s="5" t="s">
        <v>435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1"/>
      <c r="S18" s="11"/>
      <c r="T18" s="11"/>
      <c r="U18" s="11"/>
      <c r="V18" s="11"/>
      <c r="W18" s="11"/>
      <c r="X18" s="11"/>
      <c r="Y18" s="5"/>
      <c r="Z18" s="5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11"/>
      <c r="BK18" s="5"/>
      <c r="BL18" s="5"/>
      <c r="BM18" s="11">
        <v>48</v>
      </c>
      <c r="BN18" s="11">
        <v>44.8</v>
      </c>
      <c r="BO18" s="11">
        <v>36</v>
      </c>
      <c r="BP18" s="11"/>
      <c r="BQ18" s="11"/>
      <c r="BR18" s="11"/>
      <c r="BS18" s="5">
        <f t="shared" ref="BS18:BS24" si="3">SUM(BL18:BR18)</f>
        <v>128.80000000000001</v>
      </c>
      <c r="BT18" s="5">
        <f t="shared" ref="BT18:BT24" si="4">(BS18-BL18)/2</f>
        <v>64.400000000000006</v>
      </c>
      <c r="BU18" s="5">
        <v>36</v>
      </c>
      <c r="BV18" s="11"/>
      <c r="BW18" s="11"/>
      <c r="BX18" s="11"/>
      <c r="BY18" s="5"/>
      <c r="BZ18" s="5"/>
      <c r="CA18" s="5">
        <f t="shared" si="0"/>
        <v>100.4</v>
      </c>
      <c r="CC18" s="5"/>
      <c r="CD18" s="5"/>
      <c r="CE18" s="5"/>
      <c r="CF18" s="5"/>
      <c r="CG18" s="5"/>
      <c r="CH18" s="5"/>
      <c r="CI18" s="5"/>
      <c r="CJ18" s="5"/>
      <c r="CK18" s="5"/>
      <c r="CL18" s="11"/>
      <c r="CM18" s="11"/>
      <c r="CN18" s="11"/>
      <c r="CO18" s="11"/>
      <c r="CP18" s="11"/>
      <c r="CQ18" s="11"/>
      <c r="CR18" s="11"/>
      <c r="CS18" s="11"/>
      <c r="CT18" s="5"/>
      <c r="CU18" s="5"/>
      <c r="CV18" s="11"/>
      <c r="CW18" s="5"/>
      <c r="CX18" s="5"/>
      <c r="CY18" s="5"/>
      <c r="CZ18" s="11"/>
      <c r="DA18" s="11">
        <v>2</v>
      </c>
      <c r="DB18" s="5">
        <f>SUM(CU18:DA18)</f>
        <v>2</v>
      </c>
      <c r="DC18" s="5">
        <f t="shared" si="1"/>
        <v>1</v>
      </c>
      <c r="DD18" s="5"/>
      <c r="DE18" s="5"/>
      <c r="DF18" s="5">
        <f t="shared" si="2"/>
        <v>1</v>
      </c>
    </row>
    <row r="19" spans="1:110" x14ac:dyDescent="0.25">
      <c r="A19">
        <v>9</v>
      </c>
      <c r="B19" s="24" t="s">
        <v>35</v>
      </c>
      <c r="C19" s="24" t="s">
        <v>36</v>
      </c>
      <c r="D19" s="21" t="s">
        <v>23</v>
      </c>
      <c r="E19" s="21" t="s">
        <v>501</v>
      </c>
      <c r="F19" s="11">
        <v>30</v>
      </c>
      <c r="G19" s="6"/>
      <c r="H19" s="6">
        <v>78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f>SUM(F19:W19)</f>
        <v>108</v>
      </c>
      <c r="Z19" s="5">
        <f>Y19/2</f>
        <v>54</v>
      </c>
      <c r="AA19" s="11"/>
      <c r="AB19" s="11"/>
      <c r="AC19" s="11">
        <v>50</v>
      </c>
      <c r="AD19" s="11"/>
      <c r="AE19" s="11">
        <v>56</v>
      </c>
      <c r="AF19" s="11"/>
      <c r="AG19" s="11">
        <v>70</v>
      </c>
      <c r="AH19" s="11"/>
      <c r="AI19" s="11"/>
      <c r="AJ19" s="11" t="s">
        <v>56</v>
      </c>
      <c r="AK19" s="11"/>
      <c r="AL19" s="11"/>
      <c r="AM19" s="11"/>
      <c r="AN19" s="11">
        <v>150</v>
      </c>
      <c r="AO19" s="5">
        <f>SUM(Z19:AN19)</f>
        <v>380</v>
      </c>
      <c r="AP19" s="5">
        <f>(AO19-Z19)/2</f>
        <v>163</v>
      </c>
      <c r="AQ19" s="5"/>
      <c r="AR19" s="5"/>
      <c r="AS19" s="5"/>
      <c r="AT19" s="5"/>
      <c r="AU19" s="5"/>
      <c r="AV19" s="5"/>
      <c r="AW19" s="5">
        <v>150</v>
      </c>
      <c r="AX19" s="5">
        <v>100</v>
      </c>
      <c r="AY19" s="5"/>
      <c r="AZ19" s="5"/>
      <c r="BA19" s="5">
        <v>150</v>
      </c>
      <c r="BB19" s="5"/>
      <c r="BC19" s="5"/>
      <c r="BD19" s="5"/>
      <c r="BE19" s="5"/>
      <c r="BF19" s="5"/>
      <c r="BG19" s="5"/>
      <c r="BH19" s="5"/>
      <c r="BI19" s="5"/>
      <c r="BJ19" s="11">
        <v>200</v>
      </c>
      <c r="BK19" s="5">
        <f>SUM(AP19:BJ19)</f>
        <v>763</v>
      </c>
      <c r="BL19" s="5">
        <f>(BK19-AP19)/2</f>
        <v>300</v>
      </c>
      <c r="BM19" s="11"/>
      <c r="BN19" s="11"/>
      <c r="BO19" s="11">
        <v>105</v>
      </c>
      <c r="BP19" s="11">
        <v>75</v>
      </c>
      <c r="BQ19" s="11"/>
      <c r="BR19" s="11"/>
      <c r="BS19" s="5">
        <f t="shared" si="3"/>
        <v>480</v>
      </c>
      <c r="BT19" s="5">
        <f t="shared" si="4"/>
        <v>90</v>
      </c>
      <c r="BU19" s="5"/>
      <c r="BV19" s="11"/>
      <c r="BW19" s="11"/>
      <c r="BX19" s="11"/>
      <c r="BY19" s="5"/>
      <c r="BZ19" s="5"/>
      <c r="CA19" s="5">
        <f t="shared" si="0"/>
        <v>90</v>
      </c>
      <c r="CC19">
        <f>AO19/4</f>
        <v>95</v>
      </c>
      <c r="CD19">
        <v>5</v>
      </c>
      <c r="CE19">
        <v>70</v>
      </c>
      <c r="CF19">
        <v>78</v>
      </c>
      <c r="CG19">
        <v>25</v>
      </c>
      <c r="CH19">
        <v>100</v>
      </c>
      <c r="CI19" s="5">
        <f>SUM(CC19:CH19)</f>
        <v>373</v>
      </c>
      <c r="CJ19" s="11">
        <f>(CI19)/2</f>
        <v>186.5</v>
      </c>
      <c r="CK19" s="11">
        <f>BK19/4</f>
        <v>190.75</v>
      </c>
      <c r="CL19" s="11">
        <v>30</v>
      </c>
      <c r="CM19" s="11">
        <v>100</v>
      </c>
      <c r="CN19" s="11">
        <v>15</v>
      </c>
      <c r="CO19" s="11">
        <v>54</v>
      </c>
      <c r="CP19" s="11">
        <v>54</v>
      </c>
      <c r="CQ19" s="11">
        <v>70</v>
      </c>
      <c r="CR19" s="11">
        <v>7.5</v>
      </c>
      <c r="CS19" s="11"/>
      <c r="CT19" s="5">
        <f>SUM(CJ19:CR19)</f>
        <v>707.75</v>
      </c>
      <c r="CU19" s="5">
        <f>(CT19-CJ19)/2</f>
        <v>260.625</v>
      </c>
      <c r="CV19" s="11">
        <v>30</v>
      </c>
      <c r="CW19" s="11">
        <v>24</v>
      </c>
      <c r="CX19" s="11">
        <v>48</v>
      </c>
      <c r="CY19" s="11"/>
      <c r="CZ19" s="11"/>
      <c r="DA19" s="11"/>
      <c r="DB19" s="5">
        <f>SUM(CU19:CX19)</f>
        <v>362.625</v>
      </c>
      <c r="DC19" s="5">
        <f t="shared" si="1"/>
        <v>51</v>
      </c>
      <c r="DD19" s="5"/>
      <c r="DE19" s="5"/>
      <c r="DF19" s="21">
        <f t="shared" si="2"/>
        <v>51</v>
      </c>
    </row>
    <row r="20" spans="1:110" x14ac:dyDescent="0.25">
      <c r="A20">
        <v>10</v>
      </c>
      <c r="B20" s="11" t="s">
        <v>393</v>
      </c>
      <c r="C20" s="5"/>
      <c r="D20" s="5" t="s">
        <v>80</v>
      </c>
      <c r="E20" s="5" t="s">
        <v>394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11"/>
      <c r="S20" s="11"/>
      <c r="T20" s="11"/>
      <c r="U20" s="11"/>
      <c r="V20" s="11"/>
      <c r="W20" s="11"/>
      <c r="X20" s="11"/>
      <c r="Y20" s="5"/>
      <c r="Z20" s="5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5"/>
      <c r="AP20" s="5"/>
      <c r="AQ20" s="5"/>
      <c r="AR20" s="5"/>
      <c r="AS20" s="5"/>
      <c r="AT20" s="5"/>
      <c r="AU20" s="5"/>
      <c r="AV20" s="5"/>
      <c r="AW20" s="5">
        <v>7.5</v>
      </c>
      <c r="AX20" s="5">
        <v>40</v>
      </c>
      <c r="AY20" s="5">
        <v>48</v>
      </c>
      <c r="AZ20" s="5"/>
      <c r="BA20" s="5">
        <v>75</v>
      </c>
      <c r="BB20" s="5"/>
      <c r="BC20" s="5"/>
      <c r="BD20" s="5"/>
      <c r="BE20" s="5"/>
      <c r="BF20" s="5"/>
      <c r="BG20" s="5"/>
      <c r="BH20" s="5">
        <v>54</v>
      </c>
      <c r="BI20" s="5"/>
      <c r="BJ20" s="11">
        <v>10</v>
      </c>
      <c r="BK20" s="5">
        <f>SUM(AP20:BJ20)</f>
        <v>234.5</v>
      </c>
      <c r="BL20" s="5">
        <f>(BK20-AP20)/2</f>
        <v>117.25</v>
      </c>
      <c r="BM20" s="11"/>
      <c r="BN20" s="11"/>
      <c r="BO20" s="11">
        <v>54</v>
      </c>
      <c r="BP20" s="11">
        <v>36</v>
      </c>
      <c r="BQ20" s="11">
        <v>54</v>
      </c>
      <c r="BR20" s="11">
        <v>10</v>
      </c>
      <c r="BS20" s="5">
        <f t="shared" si="3"/>
        <v>271.25</v>
      </c>
      <c r="BT20" s="5">
        <f t="shared" si="4"/>
        <v>77</v>
      </c>
      <c r="BU20" s="5">
        <v>2.4</v>
      </c>
      <c r="BV20" s="11"/>
      <c r="BW20" s="11"/>
      <c r="BX20" s="11"/>
      <c r="BY20" s="5"/>
      <c r="BZ20" s="5"/>
      <c r="CA20" s="5">
        <f t="shared" si="0"/>
        <v>79.400000000000006</v>
      </c>
      <c r="CI20" s="5">
        <f>SUM(CC20:CH20)</f>
        <v>0</v>
      </c>
      <c r="CJ20" s="11">
        <f>(CI20)/2</f>
        <v>0</v>
      </c>
      <c r="CK20" s="11">
        <f>BK20/4</f>
        <v>58.625</v>
      </c>
      <c r="CL20" s="11"/>
      <c r="CM20" s="11"/>
      <c r="CN20" s="11"/>
      <c r="CO20" s="11"/>
      <c r="CP20" s="11"/>
      <c r="CQ20" s="11"/>
      <c r="CR20" s="11"/>
      <c r="CS20" s="11"/>
      <c r="CT20" s="5">
        <f>SUM(CJ20:CL20)</f>
        <v>58.625</v>
      </c>
      <c r="CU20" s="5">
        <f>(CT20-CJ20)/2</f>
        <v>29.3125</v>
      </c>
      <c r="CV20" s="11">
        <v>12</v>
      </c>
      <c r="CW20" s="11"/>
      <c r="CX20" s="11"/>
      <c r="CY20" s="11"/>
      <c r="CZ20" s="11"/>
      <c r="DA20" s="11"/>
      <c r="DB20" s="5">
        <f t="shared" ref="DB20:DB34" si="5">SUM(CU20:CW20)</f>
        <v>41.3125</v>
      </c>
      <c r="DC20" s="5">
        <f t="shared" si="1"/>
        <v>6</v>
      </c>
      <c r="DD20" s="5"/>
      <c r="DE20" s="5"/>
      <c r="DF20" s="5">
        <f t="shared" si="2"/>
        <v>6</v>
      </c>
    </row>
    <row r="21" spans="1:110" x14ac:dyDescent="0.25">
      <c r="A21">
        <v>11</v>
      </c>
      <c r="B21" s="11" t="s">
        <v>92</v>
      </c>
      <c r="C21" s="5"/>
      <c r="D21" s="5" t="s">
        <v>482</v>
      </c>
      <c r="E21" s="5" t="s">
        <v>353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1"/>
      <c r="S21" s="11"/>
      <c r="T21" s="11"/>
      <c r="U21" s="11"/>
      <c r="V21" s="11"/>
      <c r="W21" s="11"/>
      <c r="X21" s="11"/>
      <c r="Y21" s="5"/>
      <c r="Z21" s="5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11"/>
      <c r="BK21" s="5"/>
      <c r="BL21" s="5"/>
      <c r="BM21" s="11"/>
      <c r="BN21" s="11"/>
      <c r="BO21" s="11">
        <v>75</v>
      </c>
      <c r="BP21" s="11">
        <v>10</v>
      </c>
      <c r="BQ21" s="11">
        <v>54</v>
      </c>
      <c r="BR21" s="11">
        <v>7.5</v>
      </c>
      <c r="BS21" s="5">
        <f t="shared" si="3"/>
        <v>146.5</v>
      </c>
      <c r="BT21" s="5">
        <f t="shared" si="4"/>
        <v>73.25</v>
      </c>
      <c r="BU21" s="5"/>
      <c r="BV21" s="11">
        <v>4</v>
      </c>
      <c r="BW21" s="11"/>
      <c r="BX21" s="11"/>
      <c r="BY21" s="5"/>
      <c r="BZ21" s="5"/>
      <c r="CA21" s="5">
        <f t="shared" si="0"/>
        <v>77.25</v>
      </c>
      <c r="CI21" s="5"/>
      <c r="CJ21" s="5"/>
      <c r="CK21" s="5"/>
      <c r="CL21" s="11"/>
      <c r="CM21" s="11"/>
      <c r="CN21" s="11"/>
      <c r="CO21" s="11"/>
      <c r="CP21" s="11"/>
      <c r="CQ21" s="11"/>
      <c r="CR21" s="11"/>
      <c r="CS21" s="11"/>
      <c r="CT21" s="5"/>
      <c r="CU21" s="5"/>
      <c r="CV21" s="11"/>
      <c r="CW21" s="5"/>
      <c r="CX21" s="5"/>
      <c r="CY21" s="5"/>
      <c r="CZ21" s="11"/>
      <c r="DA21" s="11"/>
      <c r="DB21" s="5">
        <f t="shared" si="5"/>
        <v>0</v>
      </c>
      <c r="DC21" s="5">
        <f t="shared" si="1"/>
        <v>0</v>
      </c>
      <c r="DD21" s="5"/>
      <c r="DE21" s="5"/>
      <c r="DF21" s="5">
        <f t="shared" si="2"/>
        <v>0</v>
      </c>
    </row>
    <row r="22" spans="1:110" x14ac:dyDescent="0.25">
      <c r="A22">
        <v>12</v>
      </c>
      <c r="B22" s="11" t="s">
        <v>549</v>
      </c>
      <c r="C22" s="5"/>
      <c r="D22" s="5" t="s">
        <v>550</v>
      </c>
      <c r="E22" s="5" t="s">
        <v>119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11"/>
      <c r="S22" s="11"/>
      <c r="T22" s="11"/>
      <c r="U22" s="11"/>
      <c r="V22" s="11"/>
      <c r="W22" s="11"/>
      <c r="X22" s="11"/>
      <c r="Y22" s="5"/>
      <c r="Z22" s="5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11"/>
      <c r="BK22" s="5"/>
      <c r="BL22" s="5"/>
      <c r="BM22" s="11">
        <v>2.4</v>
      </c>
      <c r="BN22" s="11"/>
      <c r="BO22" s="11">
        <v>140</v>
      </c>
      <c r="BP22" s="11"/>
      <c r="BQ22" s="11"/>
      <c r="BR22" s="11"/>
      <c r="BS22" s="5">
        <f t="shared" si="3"/>
        <v>142.4</v>
      </c>
      <c r="BT22" s="5">
        <f t="shared" si="4"/>
        <v>71.2</v>
      </c>
      <c r="BU22" s="5"/>
      <c r="BV22" s="11"/>
      <c r="BW22" s="11"/>
      <c r="BX22" s="11"/>
      <c r="BY22" s="5"/>
      <c r="BZ22" s="5"/>
      <c r="CA22" s="5">
        <f t="shared" si="0"/>
        <v>71.2</v>
      </c>
      <c r="CI22" s="5"/>
      <c r="CJ22" s="5"/>
      <c r="CK22" s="5"/>
      <c r="CL22" s="11"/>
      <c r="CM22" s="11"/>
      <c r="CN22" s="11"/>
      <c r="CO22" s="11"/>
      <c r="CP22" s="11"/>
      <c r="CQ22" s="11"/>
      <c r="CR22" s="11"/>
      <c r="CS22" s="11"/>
      <c r="CT22" s="5"/>
      <c r="CU22" s="5"/>
      <c r="CV22" s="11"/>
      <c r="CW22" s="5"/>
      <c r="CX22" s="5"/>
      <c r="CY22" s="5"/>
      <c r="CZ22" s="11"/>
      <c r="DA22" s="11"/>
      <c r="DB22" s="5">
        <f t="shared" si="5"/>
        <v>0</v>
      </c>
      <c r="DC22" s="5">
        <f t="shared" si="1"/>
        <v>0</v>
      </c>
      <c r="DD22" s="5"/>
      <c r="DE22" s="5"/>
      <c r="DF22" s="5">
        <f t="shared" si="2"/>
        <v>0</v>
      </c>
    </row>
    <row r="23" spans="1:110" x14ac:dyDescent="0.25">
      <c r="A23">
        <v>13</v>
      </c>
      <c r="B23" s="11" t="s">
        <v>596</v>
      </c>
      <c r="C23" s="5"/>
      <c r="D23" s="5" t="s">
        <v>597</v>
      </c>
      <c r="E23" s="5" t="s">
        <v>498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1"/>
      <c r="S23" s="11"/>
      <c r="T23" s="11"/>
      <c r="U23" s="11"/>
      <c r="V23" s="11"/>
      <c r="W23" s="11"/>
      <c r="X23" s="11"/>
      <c r="Y23" s="5"/>
      <c r="Z23" s="5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11"/>
      <c r="BK23" s="5"/>
      <c r="BL23" s="5"/>
      <c r="BM23" s="11">
        <v>2.4</v>
      </c>
      <c r="BN23" s="11">
        <v>48</v>
      </c>
      <c r="BO23" s="11">
        <v>7.5</v>
      </c>
      <c r="BP23" s="11"/>
      <c r="BQ23" s="11"/>
      <c r="BR23" s="11"/>
      <c r="BS23" s="5">
        <f t="shared" si="3"/>
        <v>57.9</v>
      </c>
      <c r="BT23" s="5">
        <f t="shared" si="4"/>
        <v>28.95</v>
      </c>
      <c r="BU23" s="5"/>
      <c r="BV23" s="11">
        <v>40</v>
      </c>
      <c r="BW23" s="11"/>
      <c r="BX23" s="11"/>
      <c r="BY23" s="5"/>
      <c r="BZ23" s="5"/>
      <c r="CA23" s="5">
        <f t="shared" si="0"/>
        <v>68.95</v>
      </c>
      <c r="CT23" s="5"/>
      <c r="CU23" s="5"/>
      <c r="CV23" s="11"/>
      <c r="CW23" s="5"/>
      <c r="CX23" s="5"/>
      <c r="CY23" s="5"/>
      <c r="CZ23" s="11"/>
      <c r="DA23" s="11"/>
      <c r="DB23" s="5">
        <f t="shared" si="5"/>
        <v>0</v>
      </c>
      <c r="DC23" s="5">
        <f t="shared" si="1"/>
        <v>0</v>
      </c>
      <c r="DD23" s="5"/>
      <c r="DE23" s="5"/>
      <c r="DF23" s="5">
        <f t="shared" si="2"/>
        <v>0</v>
      </c>
    </row>
    <row r="24" spans="1:110" x14ac:dyDescent="0.25">
      <c r="A24">
        <v>14</v>
      </c>
      <c r="B24" s="11" t="s">
        <v>367</v>
      </c>
      <c r="C24" s="5"/>
      <c r="D24" s="5" t="s">
        <v>78</v>
      </c>
      <c r="E24" s="5" t="s">
        <v>529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11"/>
      <c r="S24" s="11"/>
      <c r="T24" s="11"/>
      <c r="U24" s="11"/>
      <c r="V24" s="11"/>
      <c r="W24" s="11"/>
      <c r="X24" s="11"/>
      <c r="Y24" s="5"/>
      <c r="Z24" s="5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11"/>
      <c r="BK24" s="5"/>
      <c r="BL24" s="5"/>
      <c r="BM24" s="11"/>
      <c r="BN24" s="11">
        <v>4</v>
      </c>
      <c r="BO24" s="11">
        <v>54</v>
      </c>
      <c r="BP24" s="11">
        <v>72</v>
      </c>
      <c r="BQ24" s="11"/>
      <c r="BR24" s="11"/>
      <c r="BS24" s="5">
        <f t="shared" si="3"/>
        <v>130</v>
      </c>
      <c r="BT24" s="5">
        <f t="shared" si="4"/>
        <v>65</v>
      </c>
      <c r="BU24" s="5"/>
      <c r="BV24" s="11"/>
      <c r="BW24" s="11"/>
      <c r="BX24" s="11"/>
      <c r="BY24" s="5"/>
      <c r="BZ24" s="5"/>
      <c r="CA24" s="5">
        <f t="shared" si="0"/>
        <v>65</v>
      </c>
      <c r="CT24" s="5"/>
      <c r="CU24" s="5"/>
      <c r="CV24" s="11"/>
      <c r="CW24" s="5"/>
      <c r="CX24" s="5"/>
      <c r="CY24" s="5"/>
      <c r="CZ24" s="11"/>
      <c r="DA24" s="11"/>
      <c r="DB24" s="5">
        <f t="shared" si="5"/>
        <v>0</v>
      </c>
      <c r="DC24" s="5">
        <f t="shared" si="1"/>
        <v>0</v>
      </c>
      <c r="DD24" s="5"/>
      <c r="DE24" s="5"/>
      <c r="DF24" s="5">
        <f t="shared" si="2"/>
        <v>0</v>
      </c>
    </row>
    <row r="25" spans="1:110" x14ac:dyDescent="0.25">
      <c r="A25">
        <v>15</v>
      </c>
      <c r="B25" s="11" t="s">
        <v>720</v>
      </c>
      <c r="C25" s="5"/>
      <c r="D25" s="5" t="s">
        <v>23</v>
      </c>
      <c r="E25" s="5" t="s">
        <v>532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11"/>
      <c r="S25" s="11"/>
      <c r="T25" s="11"/>
      <c r="U25" s="11"/>
      <c r="V25" s="11"/>
      <c r="W25" s="11"/>
      <c r="X25" s="11"/>
      <c r="Y25" s="5"/>
      <c r="Z25" s="5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11"/>
      <c r="BK25" s="5"/>
      <c r="BL25" s="5"/>
      <c r="BM25" s="11"/>
      <c r="BN25" s="11"/>
      <c r="BO25" s="11"/>
      <c r="BP25" s="11"/>
      <c r="BQ25" s="11"/>
      <c r="BR25" s="11"/>
      <c r="BS25" s="5"/>
      <c r="BT25" s="5"/>
      <c r="BU25" s="5"/>
      <c r="BV25" s="11">
        <v>64</v>
      </c>
      <c r="BW25" s="11"/>
      <c r="BX25" s="11"/>
      <c r="BY25" s="5"/>
      <c r="BZ25" s="5"/>
      <c r="CA25" s="5">
        <f t="shared" si="0"/>
        <v>64</v>
      </c>
      <c r="CT25" s="5"/>
      <c r="CU25" s="5"/>
      <c r="CV25" s="11"/>
      <c r="CW25" s="5"/>
      <c r="CX25" s="5"/>
      <c r="CY25" s="5"/>
      <c r="CZ25" s="11"/>
      <c r="DA25" s="11"/>
      <c r="DB25" s="5">
        <f t="shared" si="5"/>
        <v>0</v>
      </c>
      <c r="DC25" s="5">
        <f t="shared" si="1"/>
        <v>0</v>
      </c>
      <c r="DD25" s="5"/>
      <c r="DE25" s="5"/>
      <c r="DF25" s="5">
        <f t="shared" si="2"/>
        <v>0</v>
      </c>
    </row>
    <row r="26" spans="1:110" x14ac:dyDescent="0.25">
      <c r="A26">
        <v>16</v>
      </c>
      <c r="B26" s="11" t="s">
        <v>403</v>
      </c>
      <c r="C26" s="5"/>
      <c r="D26" s="5" t="s">
        <v>468</v>
      </c>
      <c r="E26" s="5" t="s">
        <v>15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11"/>
      <c r="S26" s="11"/>
      <c r="T26" s="11"/>
      <c r="U26" s="11"/>
      <c r="V26" s="11"/>
      <c r="W26" s="11"/>
      <c r="X26" s="11"/>
      <c r="Y26" s="5"/>
      <c r="Z26" s="5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75</v>
      </c>
      <c r="BI26" s="5"/>
      <c r="BJ26" s="11"/>
      <c r="BK26" s="5">
        <f>SUM(AP26:BJ26)</f>
        <v>75</v>
      </c>
      <c r="BL26" s="5">
        <f>(BK26-AP26)/2</f>
        <v>37.5</v>
      </c>
      <c r="BM26" s="11"/>
      <c r="BN26" s="11"/>
      <c r="BO26" s="11">
        <v>7.5</v>
      </c>
      <c r="BP26" s="11">
        <v>36</v>
      </c>
      <c r="BQ26" s="11"/>
      <c r="BR26" s="11"/>
      <c r="BS26" s="5">
        <f>SUM(BL26:BR26)</f>
        <v>81</v>
      </c>
      <c r="BT26" s="5">
        <f>(BS26-BL26)/2</f>
        <v>21.75</v>
      </c>
      <c r="BU26" s="5">
        <v>36</v>
      </c>
      <c r="BV26" s="11"/>
      <c r="BW26" s="11"/>
      <c r="BX26" s="11"/>
      <c r="BY26" s="5"/>
      <c r="BZ26" s="5"/>
      <c r="CA26" s="5">
        <f t="shared" si="0"/>
        <v>57.75</v>
      </c>
      <c r="CI26">
        <f>SUM(CC26:CH26)</f>
        <v>0</v>
      </c>
      <c r="CJ26" s="7">
        <f>(CI26)/2</f>
        <v>0</v>
      </c>
      <c r="CK26" s="7">
        <f>BK26/4</f>
        <v>18.75</v>
      </c>
      <c r="CS26" s="7">
        <v>35</v>
      </c>
      <c r="CT26" s="5">
        <f>SUM(CJ26:CS26)</f>
        <v>53.75</v>
      </c>
      <c r="CU26" s="5">
        <f>(CT26-CJ26)/2</f>
        <v>26.875</v>
      </c>
      <c r="CV26" s="11">
        <v>18</v>
      </c>
      <c r="CW26" s="11"/>
      <c r="CX26" s="11"/>
      <c r="CY26" s="11"/>
      <c r="CZ26" s="11"/>
      <c r="DA26" s="11"/>
      <c r="DB26" s="5">
        <f t="shared" si="5"/>
        <v>44.875</v>
      </c>
      <c r="DC26" s="5">
        <f t="shared" si="1"/>
        <v>9</v>
      </c>
      <c r="DD26" s="5"/>
      <c r="DE26" s="5"/>
      <c r="DF26" s="5">
        <f t="shared" si="2"/>
        <v>9</v>
      </c>
    </row>
    <row r="27" spans="1:110" x14ac:dyDescent="0.25">
      <c r="A27">
        <v>17</v>
      </c>
      <c r="B27" s="11" t="s">
        <v>573</v>
      </c>
      <c r="C27" s="5"/>
      <c r="D27" s="5" t="s">
        <v>165</v>
      </c>
      <c r="E27" s="5" t="s">
        <v>24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11"/>
      <c r="S27" s="11"/>
      <c r="T27" s="11"/>
      <c r="U27" s="11"/>
      <c r="V27" s="11"/>
      <c r="W27" s="11"/>
      <c r="X27" s="11"/>
      <c r="Y27" s="5"/>
      <c r="Z27" s="5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11"/>
      <c r="BK27" s="5"/>
      <c r="BL27" s="5"/>
      <c r="BM27" s="11"/>
      <c r="BN27" s="11"/>
      <c r="BO27" s="11"/>
      <c r="BP27" s="11"/>
      <c r="BQ27" s="11"/>
      <c r="BR27" s="11"/>
      <c r="BS27" s="5"/>
      <c r="BT27" s="5"/>
      <c r="BU27" s="5"/>
      <c r="BV27" s="11"/>
      <c r="BW27" s="11">
        <v>50</v>
      </c>
      <c r="BX27" s="11"/>
      <c r="BY27" s="5"/>
      <c r="BZ27" s="5"/>
      <c r="CA27" s="5">
        <f t="shared" si="0"/>
        <v>50</v>
      </c>
      <c r="CT27" s="5"/>
      <c r="CU27" s="5"/>
      <c r="CV27" s="11"/>
      <c r="CW27" s="5"/>
      <c r="CX27" s="5"/>
      <c r="CY27" s="5"/>
      <c r="CZ27" s="11"/>
      <c r="DA27" s="11"/>
      <c r="DB27" s="5">
        <f t="shared" si="5"/>
        <v>0</v>
      </c>
      <c r="DC27" s="5">
        <f t="shared" si="1"/>
        <v>0</v>
      </c>
      <c r="DD27" s="5"/>
      <c r="DE27" s="5"/>
      <c r="DF27" s="5">
        <f t="shared" si="2"/>
        <v>0</v>
      </c>
    </row>
    <row r="28" spans="1:110" x14ac:dyDescent="0.25">
      <c r="A28">
        <v>18</v>
      </c>
      <c r="B28" s="11" t="s">
        <v>512</v>
      </c>
      <c r="C28" s="5"/>
      <c r="D28" s="5" t="s">
        <v>513</v>
      </c>
      <c r="E28" s="5" t="s">
        <v>50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11"/>
      <c r="S28" s="11"/>
      <c r="T28" s="11"/>
      <c r="U28" s="11"/>
      <c r="V28" s="11"/>
      <c r="W28" s="11"/>
      <c r="X28" s="11"/>
      <c r="Y28" s="5"/>
      <c r="Z28" s="5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11"/>
      <c r="BK28" s="5"/>
      <c r="BL28" s="5"/>
      <c r="BM28" s="11">
        <v>36</v>
      </c>
      <c r="BN28" s="11">
        <v>48</v>
      </c>
      <c r="BO28" s="11"/>
      <c r="BP28" s="11"/>
      <c r="BQ28" s="11"/>
      <c r="BR28" s="11"/>
      <c r="BS28" s="5">
        <f>SUM(BL28:BR28)</f>
        <v>84</v>
      </c>
      <c r="BT28" s="5">
        <f>(BS28-BL28)/2</f>
        <v>42</v>
      </c>
      <c r="BU28" s="5"/>
      <c r="BV28" s="11"/>
      <c r="BW28" s="11"/>
      <c r="BX28" s="11"/>
      <c r="BY28" s="5"/>
      <c r="BZ28" s="5"/>
      <c r="CA28" s="5">
        <f t="shared" si="0"/>
        <v>42</v>
      </c>
      <c r="DB28" s="5">
        <f t="shared" si="5"/>
        <v>0</v>
      </c>
      <c r="DC28" s="5">
        <f t="shared" si="1"/>
        <v>0</v>
      </c>
      <c r="DD28" s="5"/>
      <c r="DE28" s="5"/>
      <c r="DF28" s="5">
        <f t="shared" si="2"/>
        <v>0</v>
      </c>
    </row>
    <row r="29" spans="1:110" x14ac:dyDescent="0.25">
      <c r="A29">
        <v>19</v>
      </c>
      <c r="B29" s="11" t="s">
        <v>727</v>
      </c>
      <c r="C29" s="5"/>
      <c r="D29" s="5" t="s">
        <v>728</v>
      </c>
      <c r="E29" s="5" t="s">
        <v>76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11"/>
      <c r="S29" s="11"/>
      <c r="T29" s="11"/>
      <c r="U29" s="11"/>
      <c r="V29" s="11"/>
      <c r="W29" s="11"/>
      <c r="X29" s="11"/>
      <c r="Y29" s="5"/>
      <c r="Z29" s="5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11"/>
      <c r="BK29" s="5"/>
      <c r="BL29" s="5"/>
      <c r="BM29" s="11"/>
      <c r="BN29" s="11"/>
      <c r="BO29" s="11"/>
      <c r="BP29" s="11"/>
      <c r="BQ29" s="11"/>
      <c r="BR29" s="11"/>
      <c r="BS29" s="5"/>
      <c r="BT29" s="5"/>
      <c r="BU29" s="5">
        <v>36</v>
      </c>
      <c r="BV29" s="11"/>
      <c r="BW29" s="11">
        <v>5</v>
      </c>
      <c r="BX29" s="11"/>
      <c r="BY29" s="5"/>
      <c r="BZ29" s="5"/>
      <c r="CA29" s="5">
        <f t="shared" si="0"/>
        <v>41</v>
      </c>
      <c r="DB29" s="5">
        <f t="shared" si="5"/>
        <v>0</v>
      </c>
      <c r="DC29" s="5">
        <f t="shared" si="1"/>
        <v>0</v>
      </c>
      <c r="DD29" s="5"/>
      <c r="DE29" s="5"/>
      <c r="DF29" s="5">
        <f t="shared" si="2"/>
        <v>0</v>
      </c>
    </row>
    <row r="30" spans="1:110" x14ac:dyDescent="0.25">
      <c r="A30">
        <v>20</v>
      </c>
      <c r="B30" s="11" t="s">
        <v>564</v>
      </c>
      <c r="C30" s="5"/>
      <c r="D30" s="5" t="s">
        <v>735</v>
      </c>
      <c r="E30" s="5" t="s">
        <v>467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11"/>
      <c r="S30" s="11"/>
      <c r="T30" s="11"/>
      <c r="U30" s="11"/>
      <c r="V30" s="11"/>
      <c r="W30" s="11"/>
      <c r="X30" s="11"/>
      <c r="Y30" s="5"/>
      <c r="Z30" s="5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11"/>
      <c r="BK30" s="5"/>
      <c r="BL30" s="5"/>
      <c r="BM30" s="11"/>
      <c r="BN30" s="11"/>
      <c r="BO30" s="11"/>
      <c r="BP30" s="11"/>
      <c r="BQ30" s="11"/>
      <c r="BR30" s="11"/>
      <c r="BS30" s="5"/>
      <c r="BT30" s="5"/>
      <c r="BU30" s="5">
        <v>36</v>
      </c>
      <c r="BV30" s="11"/>
      <c r="BW30" s="11"/>
      <c r="BX30" s="11"/>
      <c r="BY30" s="5"/>
      <c r="BZ30" s="5"/>
      <c r="CA30" s="5">
        <f t="shared" si="0"/>
        <v>36</v>
      </c>
      <c r="DB30" s="5">
        <f t="shared" si="5"/>
        <v>0</v>
      </c>
      <c r="DC30" s="5">
        <f t="shared" si="1"/>
        <v>0</v>
      </c>
      <c r="DD30" s="5"/>
      <c r="DE30" s="5"/>
      <c r="DF30" s="5">
        <f t="shared" si="2"/>
        <v>0</v>
      </c>
    </row>
    <row r="31" spans="1:110" x14ac:dyDescent="0.25">
      <c r="A31">
        <v>21</v>
      </c>
      <c r="B31" s="11" t="s">
        <v>615</v>
      </c>
      <c r="C31" s="5"/>
      <c r="D31" s="5" t="s">
        <v>469</v>
      </c>
      <c r="E31" s="5" t="s">
        <v>532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11"/>
      <c r="S31" s="11"/>
      <c r="T31" s="11"/>
      <c r="U31" s="11"/>
      <c r="V31" s="11"/>
      <c r="W31" s="11"/>
      <c r="X31" s="11"/>
      <c r="Y31" s="5"/>
      <c r="Z31" s="5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11"/>
      <c r="BK31" s="5"/>
      <c r="BL31" s="5"/>
      <c r="BM31" s="11"/>
      <c r="BN31" s="11">
        <v>3.2</v>
      </c>
      <c r="BO31" s="11">
        <v>54</v>
      </c>
      <c r="BP31" s="11"/>
      <c r="BQ31" s="11"/>
      <c r="BR31" s="11"/>
      <c r="BS31" s="5">
        <f>SUM(BL31:BR31)</f>
        <v>57.2</v>
      </c>
      <c r="BT31" s="5">
        <f>(BS31-BL31)/2</f>
        <v>28.6</v>
      </c>
      <c r="BU31" s="5"/>
      <c r="BV31" s="11">
        <v>3.2</v>
      </c>
      <c r="BW31" s="11"/>
      <c r="BX31" s="11"/>
      <c r="BY31" s="5"/>
      <c r="BZ31" s="5"/>
      <c r="CA31" s="5">
        <f t="shared" si="0"/>
        <v>31.8</v>
      </c>
      <c r="DB31" s="5">
        <f t="shared" si="5"/>
        <v>0</v>
      </c>
      <c r="DC31" s="5">
        <f t="shared" si="1"/>
        <v>0</v>
      </c>
      <c r="DD31" s="5"/>
      <c r="DE31" s="5"/>
      <c r="DF31" s="5">
        <f t="shared" si="2"/>
        <v>0</v>
      </c>
    </row>
    <row r="32" spans="1:110" x14ac:dyDescent="0.25">
      <c r="A32">
        <v>22</v>
      </c>
      <c r="B32" s="11" t="s">
        <v>526</v>
      </c>
      <c r="C32" s="5"/>
      <c r="D32" s="5" t="s">
        <v>454</v>
      </c>
      <c r="E32" s="5" t="s">
        <v>521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1"/>
      <c r="S32" s="11"/>
      <c r="T32" s="11"/>
      <c r="U32" s="11"/>
      <c r="V32" s="11"/>
      <c r="W32" s="11"/>
      <c r="X32" s="11"/>
      <c r="Y32" s="5"/>
      <c r="Z32" s="5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11"/>
      <c r="BK32" s="5"/>
      <c r="BL32" s="5"/>
      <c r="BM32" s="11">
        <v>36</v>
      </c>
      <c r="BN32" s="11"/>
      <c r="BO32" s="11"/>
      <c r="BP32" s="11"/>
      <c r="BQ32" s="11"/>
      <c r="BR32" s="11"/>
      <c r="BS32" s="5">
        <f>SUM(BL32:BR32)</f>
        <v>36</v>
      </c>
      <c r="BT32" s="5">
        <f>(BS32-BL32)/2</f>
        <v>18</v>
      </c>
      <c r="BU32" s="5"/>
      <c r="BV32" s="11"/>
      <c r="BW32" s="11"/>
      <c r="BX32" s="11"/>
      <c r="BY32" s="5"/>
      <c r="BZ32" s="5"/>
      <c r="CA32" s="5">
        <f t="shared" si="0"/>
        <v>18</v>
      </c>
      <c r="DB32" s="5">
        <f t="shared" si="5"/>
        <v>0</v>
      </c>
      <c r="DC32" s="5">
        <f t="shared" si="1"/>
        <v>0</v>
      </c>
      <c r="DD32" s="5"/>
      <c r="DE32" s="5"/>
      <c r="DF32" s="5">
        <f t="shared" si="2"/>
        <v>0</v>
      </c>
    </row>
    <row r="33" spans="1:110" x14ac:dyDescent="0.25">
      <c r="A33">
        <v>23</v>
      </c>
      <c r="B33" s="11" t="s">
        <v>690</v>
      </c>
      <c r="C33" s="5"/>
      <c r="D33" s="5" t="s">
        <v>691</v>
      </c>
      <c r="E33" s="5" t="s">
        <v>636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1"/>
      <c r="S33" s="11"/>
      <c r="T33" s="11"/>
      <c r="U33" s="11"/>
      <c r="V33" s="11"/>
      <c r="W33" s="11"/>
      <c r="X33" s="11"/>
      <c r="Y33" s="5"/>
      <c r="Z33" s="5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11"/>
      <c r="BK33" s="5"/>
      <c r="BL33" s="5"/>
      <c r="BM33" s="11"/>
      <c r="BN33" s="11"/>
      <c r="BO33" s="11"/>
      <c r="BP33" s="11"/>
      <c r="BQ33" s="11"/>
      <c r="BR33" s="11"/>
      <c r="BS33" s="5"/>
      <c r="BT33" s="5"/>
      <c r="BU33" s="5"/>
      <c r="BV33" s="11"/>
      <c r="BW33" s="11">
        <v>7.5</v>
      </c>
      <c r="BX33" s="11"/>
      <c r="BY33" s="5"/>
      <c r="BZ33" s="5"/>
      <c r="CA33" s="5">
        <f t="shared" si="0"/>
        <v>7.5</v>
      </c>
      <c r="DB33" s="5">
        <f t="shared" si="5"/>
        <v>0</v>
      </c>
      <c r="DC33" s="5">
        <f t="shared" si="1"/>
        <v>0</v>
      </c>
      <c r="DD33" s="5"/>
      <c r="DE33" s="5"/>
      <c r="DF33" s="5">
        <f t="shared" si="2"/>
        <v>0</v>
      </c>
    </row>
    <row r="34" spans="1:110" x14ac:dyDescent="0.25">
      <c r="B34" s="11" t="s">
        <v>371</v>
      </c>
      <c r="C34" s="5"/>
      <c r="D34" s="5" t="s">
        <v>372</v>
      </c>
      <c r="E34" s="5" t="s">
        <v>584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1"/>
      <c r="S34" s="11"/>
      <c r="T34" s="11"/>
      <c r="U34" s="11"/>
      <c r="V34" s="11"/>
      <c r="W34" s="11"/>
      <c r="X34" s="11"/>
      <c r="Y34" s="5"/>
      <c r="Z34" s="5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11"/>
      <c r="BK34" s="5"/>
      <c r="BL34" s="5"/>
      <c r="BM34" s="11">
        <v>2.4</v>
      </c>
      <c r="BN34" s="11">
        <v>3.2</v>
      </c>
      <c r="BO34" s="11"/>
      <c r="BP34" s="11"/>
      <c r="BQ34" s="11"/>
      <c r="BR34" s="11"/>
      <c r="BS34" s="5">
        <f>SUM(BL34:BR34)</f>
        <v>5.6</v>
      </c>
      <c r="BT34" s="5">
        <f>(BS34-BL34)/2</f>
        <v>2.8</v>
      </c>
      <c r="BU34" s="5"/>
      <c r="BV34" s="11"/>
      <c r="BW34" s="11"/>
      <c r="BX34" s="11"/>
      <c r="BY34" s="5"/>
      <c r="BZ34" s="5"/>
      <c r="CA34" s="5">
        <f t="shared" si="0"/>
        <v>2.8</v>
      </c>
      <c r="DB34" s="5">
        <f t="shared" si="5"/>
        <v>0</v>
      </c>
      <c r="DC34" s="5">
        <f t="shared" si="1"/>
        <v>0</v>
      </c>
      <c r="DD34" s="5"/>
      <c r="DE34" s="5"/>
      <c r="DF34" s="5">
        <f t="shared" si="2"/>
        <v>0</v>
      </c>
    </row>
  </sheetData>
  <sortState xmlns:xlrd2="http://schemas.microsoft.com/office/spreadsheetml/2017/richdata2" ref="B11:DF34">
    <sortCondition descending="1" ref="CA11:CA34"/>
  </sortState>
  <mergeCells count="6">
    <mergeCell ref="B1:DF1"/>
    <mergeCell ref="B8:C10"/>
    <mergeCell ref="BO9:BR9"/>
    <mergeCell ref="BW9:BZ9"/>
    <mergeCell ref="CC4:DF5"/>
    <mergeCell ref="D4:CA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989C-A9C7-4682-9DDD-42A63335E8F4}">
  <dimension ref="A1:DJ38"/>
  <sheetViews>
    <sheetView zoomScale="80" zoomScaleNormal="80" workbookViewId="0">
      <selection activeCell="CB41" sqref="CB41"/>
    </sheetView>
  </sheetViews>
  <sheetFormatPr baseColWidth="10" defaultRowHeight="15" x14ac:dyDescent="0.25"/>
  <cols>
    <col min="1" max="1" width="3.42578125" bestFit="1" customWidth="1"/>
    <col min="2" max="2" width="13.5703125" bestFit="1" customWidth="1"/>
    <col min="4" max="4" width="12.28515625" bestFit="1" customWidth="1"/>
    <col min="5" max="5" width="22" bestFit="1" customWidth="1"/>
    <col min="6" max="24" width="0" hidden="1" customWidth="1"/>
    <col min="25" max="39" width="6" hidden="1" customWidth="1"/>
    <col min="40" max="40" width="6" style="7" hidden="1" customWidth="1"/>
    <col min="41" max="42" width="7.7109375" hidden="1" customWidth="1"/>
    <col min="43" max="43" width="6" hidden="1" customWidth="1"/>
    <col min="44" max="44" width="10.5703125" hidden="1" customWidth="1"/>
    <col min="45" max="63" width="6" hidden="1" customWidth="1"/>
    <col min="64" max="65" width="7.7109375" hidden="1" customWidth="1"/>
    <col min="66" max="66" width="6.5703125" style="7" hidden="1" customWidth="1"/>
    <col min="67" max="71" width="7.7109375" style="7" hidden="1" customWidth="1"/>
    <col min="72" max="73" width="7.7109375" customWidth="1"/>
    <col min="74" max="79" width="7.7109375" style="7" customWidth="1"/>
    <col min="80" max="80" width="7.7109375" customWidth="1"/>
    <col min="82" max="82" width="10.7109375" hidden="1" customWidth="1"/>
    <col min="83" max="83" width="7.42578125" hidden="1" customWidth="1"/>
    <col min="84" max="84" width="6.7109375" hidden="1" customWidth="1"/>
    <col min="85" max="85" width="8.28515625" hidden="1" customWidth="1"/>
    <col min="86" max="86" width="7.140625" hidden="1" customWidth="1"/>
    <col min="87" max="87" width="7.5703125" hidden="1" customWidth="1"/>
    <col min="88" max="88" width="6.7109375" hidden="1" customWidth="1"/>
    <col min="89" max="89" width="7.140625" hidden="1" customWidth="1"/>
    <col min="90" max="92" width="0" hidden="1" customWidth="1"/>
    <col min="93" max="100" width="6.7109375" hidden="1" customWidth="1"/>
    <col min="101" max="101" width="0" hidden="1" customWidth="1"/>
    <col min="102" max="102" width="10" style="7" hidden="1" customWidth="1"/>
    <col min="103" max="103" width="6.7109375" style="7" hidden="1" customWidth="1"/>
    <col min="104" max="109" width="6" style="7" hidden="1" customWidth="1"/>
    <col min="112" max="112" width="6" bestFit="1" customWidth="1"/>
    <col min="113" max="113" width="6" style="7" customWidth="1"/>
  </cols>
  <sheetData>
    <row r="1" spans="1:114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</row>
    <row r="2" spans="1:114" ht="15.75" thickBot="1" x14ac:dyDescent="0.3">
      <c r="C2" s="7"/>
      <c r="D2" s="7"/>
      <c r="E2" s="7"/>
      <c r="F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114" ht="15.75" thickTop="1" x14ac:dyDescent="0.25">
      <c r="B3" s="1" t="s">
        <v>0</v>
      </c>
      <c r="C3" s="4" t="s">
        <v>29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114" ht="14.45" customHeight="1" x14ac:dyDescent="0.25">
      <c r="B4" s="2" t="s">
        <v>1</v>
      </c>
      <c r="C4" s="10" t="s">
        <v>7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D4" s="56" t="s">
        <v>641</v>
      </c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</row>
    <row r="5" spans="1:114" ht="15" customHeight="1" thickBot="1" x14ac:dyDescent="0.3">
      <c r="B5" s="3" t="s">
        <v>2</v>
      </c>
      <c r="C5" s="34">
        <v>-63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</row>
    <row r="6" spans="1:114" ht="15.75" thickTop="1" x14ac:dyDescent="0.25"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114" ht="15.75" thickBot="1" x14ac:dyDescent="0.3"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114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27</v>
      </c>
      <c r="H8" s="4" t="s">
        <v>31</v>
      </c>
      <c r="I8" s="4" t="s">
        <v>72</v>
      </c>
      <c r="J8" s="4" t="s">
        <v>99</v>
      </c>
      <c r="K8" s="4" t="s">
        <v>27</v>
      </c>
      <c r="L8" s="4" t="s">
        <v>134</v>
      </c>
      <c r="M8" s="4" t="s">
        <v>141</v>
      </c>
      <c r="N8" s="4" t="s">
        <v>146</v>
      </c>
      <c r="O8" s="4" t="s">
        <v>27</v>
      </c>
      <c r="P8" s="4" t="s">
        <v>151</v>
      </c>
      <c r="Q8" s="4" t="s">
        <v>27</v>
      </c>
      <c r="R8" s="4" t="s">
        <v>27</v>
      </c>
      <c r="S8" s="4" t="s">
        <v>27</v>
      </c>
      <c r="T8" s="4" t="s">
        <v>168</v>
      </c>
      <c r="U8" s="4" t="s">
        <v>27</v>
      </c>
      <c r="V8" s="4" t="s">
        <v>173</v>
      </c>
      <c r="W8" s="1"/>
      <c r="X8" s="12">
        <v>44927</v>
      </c>
      <c r="Y8" s="4" t="s">
        <v>27</v>
      </c>
      <c r="Z8" s="4" t="s">
        <v>27</v>
      </c>
      <c r="AA8" s="17" t="s">
        <v>27</v>
      </c>
      <c r="AB8" s="17" t="s">
        <v>173</v>
      </c>
      <c r="AC8" s="17" t="s">
        <v>217</v>
      </c>
      <c r="AD8" s="17" t="s">
        <v>217</v>
      </c>
      <c r="AE8" s="17" t="s">
        <v>217</v>
      </c>
      <c r="AF8" s="17" t="s">
        <v>27</v>
      </c>
      <c r="AG8" s="17" t="s">
        <v>173</v>
      </c>
      <c r="AH8" s="17" t="s">
        <v>27</v>
      </c>
      <c r="AI8" s="17" t="s">
        <v>27</v>
      </c>
      <c r="AJ8" s="17" t="s">
        <v>27</v>
      </c>
      <c r="AK8" s="17" t="s">
        <v>27</v>
      </c>
      <c r="AL8" s="17" t="s">
        <v>173</v>
      </c>
      <c r="AM8" s="17" t="s">
        <v>27</v>
      </c>
      <c r="AN8" s="17" t="s">
        <v>174</v>
      </c>
      <c r="AO8" s="4" t="s">
        <v>6</v>
      </c>
      <c r="AP8" s="16">
        <v>45292</v>
      </c>
      <c r="AQ8" s="16" t="s">
        <v>27</v>
      </c>
      <c r="AR8" s="16" t="s">
        <v>27</v>
      </c>
      <c r="AS8" s="16" t="s">
        <v>27</v>
      </c>
      <c r="AT8" s="16" t="s">
        <v>27</v>
      </c>
      <c r="AU8" s="16" t="s">
        <v>27</v>
      </c>
      <c r="AV8" s="16" t="s">
        <v>173</v>
      </c>
      <c r="AW8" s="16" t="s">
        <v>27</v>
      </c>
      <c r="AX8" s="16" t="s">
        <v>173</v>
      </c>
      <c r="AY8" s="16" t="s">
        <v>217</v>
      </c>
      <c r="AZ8" s="16" t="s">
        <v>217</v>
      </c>
      <c r="BA8" s="16" t="s">
        <v>217</v>
      </c>
      <c r="BB8" s="16" t="s">
        <v>173</v>
      </c>
      <c r="BC8" s="16" t="s">
        <v>27</v>
      </c>
      <c r="BD8" s="16" t="s">
        <v>27</v>
      </c>
      <c r="BE8" s="16" t="s">
        <v>27</v>
      </c>
      <c r="BF8" s="16" t="s">
        <v>27</v>
      </c>
      <c r="BG8" s="16" t="s">
        <v>27</v>
      </c>
      <c r="BH8" s="16" t="s">
        <v>27</v>
      </c>
      <c r="BI8" s="16" t="s">
        <v>173</v>
      </c>
      <c r="BJ8" s="16" t="s">
        <v>471</v>
      </c>
      <c r="BK8" s="16" t="s">
        <v>174</v>
      </c>
      <c r="BL8" s="16" t="s">
        <v>6</v>
      </c>
      <c r="BM8" s="16">
        <v>45658</v>
      </c>
      <c r="BN8" s="16"/>
      <c r="BO8" s="16"/>
      <c r="BP8" s="38"/>
      <c r="BQ8" s="39"/>
      <c r="BR8" s="39"/>
      <c r="BS8" s="40"/>
      <c r="BT8" s="16" t="s">
        <v>6</v>
      </c>
      <c r="BU8" s="16">
        <v>46023</v>
      </c>
      <c r="BV8" s="16"/>
      <c r="BW8" s="16"/>
      <c r="BX8" s="38"/>
      <c r="BY8" s="39"/>
      <c r="BZ8" s="39"/>
      <c r="CA8" s="40"/>
      <c r="CB8" s="16" t="s">
        <v>178</v>
      </c>
      <c r="CC8" s="10"/>
      <c r="CD8" s="1" t="s">
        <v>175</v>
      </c>
      <c r="CE8" s="1" t="s">
        <v>177</v>
      </c>
      <c r="CF8" s="1" t="s">
        <v>214</v>
      </c>
      <c r="CG8" s="1" t="s">
        <v>239</v>
      </c>
      <c r="CH8" s="1" t="s">
        <v>171</v>
      </c>
      <c r="CI8" s="17" t="s">
        <v>262</v>
      </c>
      <c r="CJ8" s="17" t="s">
        <v>275</v>
      </c>
      <c r="CK8" s="4" t="s">
        <v>283</v>
      </c>
      <c r="CL8" s="1" t="s">
        <v>178</v>
      </c>
      <c r="CM8" s="16">
        <v>45292</v>
      </c>
      <c r="CN8" s="4" t="s">
        <v>175</v>
      </c>
      <c r="CO8" s="4" t="s">
        <v>296</v>
      </c>
      <c r="CP8" s="4" t="s">
        <v>31</v>
      </c>
      <c r="CQ8" s="4" t="s">
        <v>164</v>
      </c>
      <c r="CR8" s="4" t="s">
        <v>164</v>
      </c>
      <c r="CS8" s="4" t="s">
        <v>164</v>
      </c>
      <c r="CT8" s="4" t="s">
        <v>171</v>
      </c>
      <c r="CU8" s="4" t="s">
        <v>164</v>
      </c>
      <c r="CV8" s="4" t="s">
        <v>283</v>
      </c>
      <c r="CW8" s="1" t="s">
        <v>6</v>
      </c>
      <c r="CX8" s="16">
        <v>45658</v>
      </c>
      <c r="CY8" s="4" t="s">
        <v>296</v>
      </c>
      <c r="CZ8" s="4" t="s">
        <v>164</v>
      </c>
      <c r="DA8" s="4" t="s">
        <v>31</v>
      </c>
      <c r="DB8" s="4" t="s">
        <v>164</v>
      </c>
      <c r="DC8" s="4" t="s">
        <v>275</v>
      </c>
      <c r="DD8" s="4" t="s">
        <v>171</v>
      </c>
      <c r="DE8" s="4" t="s">
        <v>283</v>
      </c>
      <c r="DF8" s="4" t="s">
        <v>178</v>
      </c>
      <c r="DG8" s="16">
        <v>46023</v>
      </c>
      <c r="DH8" s="4" t="s">
        <v>721</v>
      </c>
      <c r="DI8" s="4" t="s">
        <v>171</v>
      </c>
      <c r="DJ8" s="1" t="s">
        <v>6</v>
      </c>
    </row>
    <row r="9" spans="1:114" x14ac:dyDescent="0.25">
      <c r="B9" s="50"/>
      <c r="C9" s="51"/>
      <c r="D9" s="2"/>
      <c r="E9" s="2"/>
      <c r="F9" s="10" t="s">
        <v>73</v>
      </c>
      <c r="G9" s="8" t="s">
        <v>56</v>
      </c>
      <c r="H9" s="8" t="s">
        <v>32</v>
      </c>
      <c r="I9" s="10" t="s">
        <v>73</v>
      </c>
      <c r="J9" s="10" t="s">
        <v>100</v>
      </c>
      <c r="K9" s="10" t="s">
        <v>125</v>
      </c>
      <c r="L9" s="10" t="s">
        <v>135</v>
      </c>
      <c r="M9" s="10" t="s">
        <v>140</v>
      </c>
      <c r="N9" s="10" t="s">
        <v>73</v>
      </c>
      <c r="O9" s="10" t="s">
        <v>56</v>
      </c>
      <c r="P9" s="10" t="s">
        <v>152</v>
      </c>
      <c r="Q9" s="10" t="s">
        <v>54</v>
      </c>
      <c r="R9" s="10" t="s">
        <v>128</v>
      </c>
      <c r="S9" s="10" t="s">
        <v>162</v>
      </c>
      <c r="T9" s="10" t="s">
        <v>169</v>
      </c>
      <c r="U9" s="10" t="s">
        <v>162</v>
      </c>
      <c r="V9" s="10" t="s">
        <v>174</v>
      </c>
      <c r="W9" s="2" t="s">
        <v>6</v>
      </c>
      <c r="X9" s="2"/>
      <c r="Y9" s="10" t="s">
        <v>56</v>
      </c>
      <c r="Z9" s="10" t="s">
        <v>149</v>
      </c>
      <c r="AA9" s="18" t="s">
        <v>54</v>
      </c>
      <c r="AB9" s="18" t="s">
        <v>134</v>
      </c>
      <c r="AC9" s="18" t="s">
        <v>132</v>
      </c>
      <c r="AD9" s="18" t="s">
        <v>141</v>
      </c>
      <c r="AE9" s="18" t="s">
        <v>134</v>
      </c>
      <c r="AF9" s="18" t="s">
        <v>128</v>
      </c>
      <c r="AG9" s="18" t="s">
        <v>132</v>
      </c>
      <c r="AH9" s="18" t="s">
        <v>56</v>
      </c>
      <c r="AI9" s="18" t="s">
        <v>162</v>
      </c>
      <c r="AJ9" s="18" t="s">
        <v>54</v>
      </c>
      <c r="AK9" s="18" t="s">
        <v>149</v>
      </c>
      <c r="AL9" s="18" t="s">
        <v>141</v>
      </c>
      <c r="AM9" s="18" t="s">
        <v>251</v>
      </c>
      <c r="AN9" s="18"/>
      <c r="AO9" s="2"/>
      <c r="AP9" s="10"/>
      <c r="AQ9" s="10" t="s">
        <v>149</v>
      </c>
      <c r="AR9" s="10" t="s">
        <v>328</v>
      </c>
      <c r="AS9" s="10" t="s">
        <v>346</v>
      </c>
      <c r="AT9" s="10" t="s">
        <v>56</v>
      </c>
      <c r="AU9" s="10" t="s">
        <v>66</v>
      </c>
      <c r="AV9" s="10" t="s">
        <v>132</v>
      </c>
      <c r="AW9" s="10" t="s">
        <v>278</v>
      </c>
      <c r="AX9" s="10" t="s">
        <v>396</v>
      </c>
      <c r="AY9" s="10" t="s">
        <v>132</v>
      </c>
      <c r="AZ9" s="10" t="s">
        <v>134</v>
      </c>
      <c r="BA9" s="10" t="s">
        <v>141</v>
      </c>
      <c r="BB9" s="10" t="s">
        <v>134</v>
      </c>
      <c r="BC9" s="10" t="s">
        <v>346</v>
      </c>
      <c r="BD9" s="10" t="s">
        <v>54</v>
      </c>
      <c r="BE9" s="10" t="s">
        <v>56</v>
      </c>
      <c r="BF9" s="10" t="s">
        <v>66</v>
      </c>
      <c r="BG9" s="10" t="s">
        <v>128</v>
      </c>
      <c r="BH9" s="10" t="s">
        <v>458</v>
      </c>
      <c r="BI9" s="10" t="s">
        <v>141</v>
      </c>
      <c r="BJ9" s="10" t="s">
        <v>346</v>
      </c>
      <c r="BK9" s="10" t="s">
        <v>475</v>
      </c>
      <c r="BL9" s="10"/>
      <c r="BM9" s="10"/>
      <c r="BN9" s="8" t="s">
        <v>27</v>
      </c>
      <c r="BO9" s="8" t="s">
        <v>217</v>
      </c>
      <c r="BP9" s="52" t="s">
        <v>477</v>
      </c>
      <c r="BQ9" s="53"/>
      <c r="BR9" s="53"/>
      <c r="BS9" s="54"/>
      <c r="BT9" s="10"/>
      <c r="BU9" s="10"/>
      <c r="BV9" s="8" t="s">
        <v>27</v>
      </c>
      <c r="BW9" s="8" t="s">
        <v>217</v>
      </c>
      <c r="BX9" s="52" t="s">
        <v>477</v>
      </c>
      <c r="BY9" s="53"/>
      <c r="BZ9" s="53"/>
      <c r="CA9" s="54"/>
      <c r="CB9" s="8"/>
      <c r="CC9" s="2"/>
      <c r="CD9" s="2" t="s">
        <v>176</v>
      </c>
      <c r="CE9" s="2"/>
      <c r="CF9" s="2"/>
      <c r="CG9" s="2"/>
      <c r="CH9" s="2" t="s">
        <v>255</v>
      </c>
      <c r="CI9" s="18" t="s">
        <v>263</v>
      </c>
      <c r="CJ9" s="18" t="s">
        <v>276</v>
      </c>
      <c r="CK9" s="10" t="s">
        <v>284</v>
      </c>
      <c r="CL9" s="2"/>
      <c r="CM9" s="7"/>
      <c r="CN9" s="10" t="s">
        <v>176</v>
      </c>
      <c r="CO9" s="10"/>
      <c r="CP9" s="10" t="s">
        <v>354</v>
      </c>
      <c r="CQ9" s="10" t="s">
        <v>419</v>
      </c>
      <c r="CR9" s="10" t="s">
        <v>437</v>
      </c>
      <c r="CS9" s="10" t="s">
        <v>255</v>
      </c>
      <c r="CT9" s="10" t="s">
        <v>255</v>
      </c>
      <c r="CU9" s="10" t="s">
        <v>263</v>
      </c>
      <c r="CV9" s="10" t="s">
        <v>73</v>
      </c>
      <c r="CW9" s="2"/>
      <c r="CX9" s="10"/>
      <c r="CY9" s="10"/>
      <c r="CZ9" s="10" t="s">
        <v>100</v>
      </c>
      <c r="DA9" s="10" t="s">
        <v>419</v>
      </c>
      <c r="DB9" s="10" t="s">
        <v>152</v>
      </c>
      <c r="DC9" s="10" t="s">
        <v>419</v>
      </c>
      <c r="DD9" s="10" t="s">
        <v>255</v>
      </c>
      <c r="DE9" s="10" t="s">
        <v>73</v>
      </c>
      <c r="DF9" s="10"/>
      <c r="DG9" s="10"/>
      <c r="DH9" s="10" t="s">
        <v>32</v>
      </c>
      <c r="DI9" s="10" t="s">
        <v>419</v>
      </c>
      <c r="DJ9" s="2"/>
    </row>
    <row r="10" spans="1:114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44660</v>
      </c>
      <c r="H10" s="9">
        <v>44661</v>
      </c>
      <c r="I10" s="9">
        <v>44681</v>
      </c>
      <c r="J10" s="9">
        <v>44695</v>
      </c>
      <c r="K10" s="9">
        <v>44709</v>
      </c>
      <c r="L10" s="9">
        <v>44730</v>
      </c>
      <c r="M10" s="9">
        <v>44737</v>
      </c>
      <c r="N10" s="9">
        <v>44758</v>
      </c>
      <c r="O10" s="9">
        <v>44779</v>
      </c>
      <c r="P10" s="9">
        <v>44783</v>
      </c>
      <c r="Q10" s="9">
        <v>44793</v>
      </c>
      <c r="R10" s="9">
        <v>44814</v>
      </c>
      <c r="S10" s="9">
        <v>44814</v>
      </c>
      <c r="T10" s="9">
        <v>44829</v>
      </c>
      <c r="U10" s="9">
        <v>44856</v>
      </c>
      <c r="V10" s="9">
        <v>44906</v>
      </c>
      <c r="W10" s="2">
        <v>2022</v>
      </c>
      <c r="X10" s="2"/>
      <c r="Y10" s="2" t="s">
        <v>180</v>
      </c>
      <c r="Z10" s="2" t="s">
        <v>185</v>
      </c>
      <c r="AA10" s="18" t="s">
        <v>189</v>
      </c>
      <c r="AB10" s="18" t="s">
        <v>193</v>
      </c>
      <c r="AC10" s="18" t="s">
        <v>218</v>
      </c>
      <c r="AD10" s="18" t="s">
        <v>228</v>
      </c>
      <c r="AE10" s="18" t="s">
        <v>234</v>
      </c>
      <c r="AF10" s="18" t="s">
        <v>240</v>
      </c>
      <c r="AG10" s="18" t="s">
        <v>242</v>
      </c>
      <c r="AH10" s="18" t="s">
        <v>254</v>
      </c>
      <c r="AI10" s="18" t="s">
        <v>256</v>
      </c>
      <c r="AJ10" s="18" t="s">
        <v>258</v>
      </c>
      <c r="AK10" s="18" t="s">
        <v>266</v>
      </c>
      <c r="AL10" s="18" t="s">
        <v>268</v>
      </c>
      <c r="AM10" s="18" t="s">
        <v>281</v>
      </c>
      <c r="AN10" s="18" t="s">
        <v>289</v>
      </c>
      <c r="AO10" s="2">
        <v>2023</v>
      </c>
      <c r="AP10" s="10"/>
      <c r="AQ10" s="10" t="s">
        <v>317</v>
      </c>
      <c r="AR10" s="10" t="s">
        <v>317</v>
      </c>
      <c r="AS10" s="10" t="s">
        <v>317</v>
      </c>
      <c r="AT10" s="10" t="s">
        <v>373</v>
      </c>
      <c r="AU10" s="10" t="s">
        <v>373</v>
      </c>
      <c r="AV10" s="10" t="s">
        <v>384</v>
      </c>
      <c r="AW10" s="10" t="s">
        <v>397</v>
      </c>
      <c r="AX10" s="10" t="s">
        <v>397</v>
      </c>
      <c r="AY10" s="10" t="s">
        <v>405</v>
      </c>
      <c r="AZ10" s="10" t="s">
        <v>405</v>
      </c>
      <c r="BA10" s="10" t="s">
        <v>416</v>
      </c>
      <c r="BB10" s="10" t="s">
        <v>421</v>
      </c>
      <c r="BC10" s="10" t="s">
        <v>441</v>
      </c>
      <c r="BD10" s="10" t="s">
        <v>441</v>
      </c>
      <c r="BE10" s="10" t="s">
        <v>445</v>
      </c>
      <c r="BF10" s="10" t="s">
        <v>456</v>
      </c>
      <c r="BG10" s="10" t="s">
        <v>456</v>
      </c>
      <c r="BH10" s="10" t="s">
        <v>459</v>
      </c>
      <c r="BI10" s="10" t="s">
        <v>465</v>
      </c>
      <c r="BJ10" s="10" t="s">
        <v>472</v>
      </c>
      <c r="BK10" s="10" t="s">
        <v>476</v>
      </c>
      <c r="BL10" s="10">
        <v>2024</v>
      </c>
      <c r="BM10" s="10"/>
      <c r="BN10" s="10"/>
      <c r="BO10" s="10"/>
      <c r="BP10" s="10">
        <v>1</v>
      </c>
      <c r="BQ10" s="10">
        <v>2</v>
      </c>
      <c r="BR10" s="10">
        <v>3</v>
      </c>
      <c r="BS10" s="10">
        <v>4</v>
      </c>
      <c r="BT10" s="10">
        <v>2025</v>
      </c>
      <c r="BU10" s="10"/>
      <c r="BV10" s="10"/>
      <c r="BW10" s="10"/>
      <c r="BX10" s="10">
        <v>1</v>
      </c>
      <c r="BY10" s="10">
        <v>2</v>
      </c>
      <c r="BZ10" s="10">
        <v>3</v>
      </c>
      <c r="CA10" s="10">
        <v>4</v>
      </c>
      <c r="CB10" s="10">
        <v>2026</v>
      </c>
      <c r="CC10" s="2"/>
      <c r="CD10" s="13"/>
      <c r="CE10" s="15">
        <v>44986</v>
      </c>
      <c r="CF10" s="14">
        <v>45078</v>
      </c>
      <c r="CG10" s="14">
        <v>45127</v>
      </c>
      <c r="CH10" s="14">
        <v>45154</v>
      </c>
      <c r="CI10" s="26">
        <v>45178</v>
      </c>
      <c r="CJ10" s="27">
        <v>45204</v>
      </c>
      <c r="CK10" s="8">
        <v>45255</v>
      </c>
      <c r="CL10" s="13">
        <v>2023</v>
      </c>
      <c r="CM10" s="7"/>
      <c r="CN10" s="10"/>
      <c r="CO10" s="9">
        <v>45347</v>
      </c>
      <c r="CP10" s="9" t="s">
        <v>355</v>
      </c>
      <c r="CQ10" s="9" t="s">
        <v>228</v>
      </c>
      <c r="CR10" s="9" t="s">
        <v>438</v>
      </c>
      <c r="CS10" s="9" t="s">
        <v>456</v>
      </c>
      <c r="CT10" s="9" t="s">
        <v>457</v>
      </c>
      <c r="CU10" s="9" t="s">
        <v>473</v>
      </c>
      <c r="CV10" s="9" t="s">
        <v>474</v>
      </c>
      <c r="CW10" s="2">
        <v>2024</v>
      </c>
      <c r="CX10" s="10"/>
      <c r="CY10" s="10" t="s">
        <v>480</v>
      </c>
      <c r="CZ10" s="10" t="s">
        <v>317</v>
      </c>
      <c r="DA10" s="10" t="s">
        <v>527</v>
      </c>
      <c r="DB10" s="10" t="s">
        <v>557</v>
      </c>
      <c r="DC10" s="10" t="s">
        <v>616</v>
      </c>
      <c r="DD10" s="10" t="s">
        <v>632</v>
      </c>
      <c r="DE10" s="10" t="s">
        <v>474</v>
      </c>
      <c r="DF10" s="10">
        <v>2025</v>
      </c>
      <c r="DG10" s="10"/>
      <c r="DH10" s="10" t="s">
        <v>722</v>
      </c>
      <c r="DI10" s="10" t="s">
        <v>723</v>
      </c>
      <c r="DJ10" s="2">
        <v>2026</v>
      </c>
    </row>
    <row r="11" spans="1:114" x14ac:dyDescent="0.25">
      <c r="A11">
        <v>1</v>
      </c>
      <c r="B11" s="25" t="s">
        <v>115</v>
      </c>
      <c r="C11" s="22"/>
      <c r="D11" s="22" t="s">
        <v>160</v>
      </c>
      <c r="E11" s="22" t="s">
        <v>24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11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75</v>
      </c>
      <c r="BC11" s="5"/>
      <c r="BD11" s="5"/>
      <c r="BE11" s="5"/>
      <c r="BF11" s="5"/>
      <c r="BG11" s="5"/>
      <c r="BH11" s="5"/>
      <c r="BI11" s="5"/>
      <c r="BJ11" s="5">
        <v>56</v>
      </c>
      <c r="BK11" s="5">
        <v>10</v>
      </c>
      <c r="BL11" s="5">
        <f>SUM(AP11:BK11)</f>
        <v>141</v>
      </c>
      <c r="BM11" s="5">
        <f>(BL11-AP11)/2</f>
        <v>70.5</v>
      </c>
      <c r="BN11" s="11"/>
      <c r="BO11" s="11">
        <v>80</v>
      </c>
      <c r="BP11" s="11">
        <v>39</v>
      </c>
      <c r="BQ11" s="11">
        <v>75</v>
      </c>
      <c r="BR11" s="11">
        <v>150</v>
      </c>
      <c r="BS11" s="11">
        <v>200</v>
      </c>
      <c r="BT11" s="5">
        <f>SUM(BM11:BS11)</f>
        <v>614.5</v>
      </c>
      <c r="BU11" s="5">
        <f>(BT11-BM11)/2</f>
        <v>272</v>
      </c>
      <c r="BV11" s="11">
        <v>48</v>
      </c>
      <c r="BW11" s="11">
        <v>64</v>
      </c>
      <c r="BX11" s="11">
        <v>150</v>
      </c>
      <c r="BY11" s="11"/>
      <c r="BZ11" s="11"/>
      <c r="CA11" s="11"/>
      <c r="CB11" s="5">
        <f t="shared" ref="CB11:CB38" si="0">SUM(BU11:CA11)</f>
        <v>534</v>
      </c>
      <c r="CD11" s="5"/>
      <c r="CE11" s="5"/>
      <c r="CF11" s="5"/>
      <c r="CG11" s="5"/>
      <c r="CH11" s="5"/>
      <c r="CI11" s="5"/>
      <c r="CJ11" s="5"/>
      <c r="CK11" s="5"/>
      <c r="CL11" s="11">
        <f>SUM(CD11:CF11)</f>
        <v>0</v>
      </c>
      <c r="CM11" s="11">
        <f>(CL11)/2</f>
        <v>0</v>
      </c>
      <c r="CN11" s="11">
        <f>BL11/4</f>
        <v>35.25</v>
      </c>
      <c r="CO11" s="5"/>
      <c r="CP11" s="5"/>
      <c r="CQ11" s="5"/>
      <c r="CR11" s="5"/>
      <c r="CS11" s="5">
        <v>7.5</v>
      </c>
      <c r="CT11" s="5">
        <v>5</v>
      </c>
      <c r="CU11" s="5"/>
      <c r="CV11" s="5"/>
      <c r="CW11" s="11">
        <f>SUM(CM11:CT11)</f>
        <v>47.75</v>
      </c>
      <c r="CX11" s="11">
        <f>(CW11-CM11)/2</f>
        <v>23.875</v>
      </c>
      <c r="CY11" s="11">
        <v>26.25</v>
      </c>
      <c r="CZ11" s="11"/>
      <c r="DA11" s="11"/>
      <c r="DB11" s="11"/>
      <c r="DC11" s="11">
        <v>25</v>
      </c>
      <c r="DD11" s="11"/>
      <c r="DE11" s="11"/>
      <c r="DF11" s="5">
        <f>SUM(CX11:DD11)</f>
        <v>75.125</v>
      </c>
      <c r="DG11" s="5">
        <f t="shared" ref="DG11:DG38" si="1">(DF11-CX11)/2</f>
        <v>25.625</v>
      </c>
      <c r="DH11" s="5"/>
      <c r="DI11" s="11">
        <v>5</v>
      </c>
      <c r="DJ11" s="22">
        <f>SUM(DG11:DI11)</f>
        <v>30.625</v>
      </c>
    </row>
    <row r="12" spans="1:114" x14ac:dyDescent="0.25">
      <c r="A12">
        <v>2</v>
      </c>
      <c r="B12" s="23" t="s">
        <v>433</v>
      </c>
      <c r="C12" s="20"/>
      <c r="D12" s="20" t="s">
        <v>23</v>
      </c>
      <c r="E12" s="20" t="s">
        <v>53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11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>
        <v>7.5</v>
      </c>
      <c r="BC12" s="5"/>
      <c r="BD12" s="5"/>
      <c r="BE12" s="5"/>
      <c r="BF12" s="5"/>
      <c r="BG12" s="5"/>
      <c r="BH12" s="5"/>
      <c r="BI12" s="5"/>
      <c r="BJ12" s="5"/>
      <c r="BK12" s="5"/>
      <c r="BL12" s="5">
        <f>SUM(AP12:BK12)</f>
        <v>7.5</v>
      </c>
      <c r="BM12" s="5">
        <f>(BL12-AP12)/2</f>
        <v>3.75</v>
      </c>
      <c r="BN12" s="11">
        <v>36</v>
      </c>
      <c r="BO12" s="11"/>
      <c r="BP12" s="11">
        <v>7.5</v>
      </c>
      <c r="BQ12" s="11">
        <v>50</v>
      </c>
      <c r="BR12" s="11">
        <v>72</v>
      </c>
      <c r="BS12" s="11">
        <v>60</v>
      </c>
      <c r="BT12" s="5">
        <f>SUM(BM12:BS12)</f>
        <v>229.25</v>
      </c>
      <c r="BU12" s="5">
        <f>(BT12-BM12)/2</f>
        <v>112.75</v>
      </c>
      <c r="BV12" s="11">
        <v>36</v>
      </c>
      <c r="BW12" s="11">
        <v>44.8</v>
      </c>
      <c r="BX12" s="11">
        <v>75</v>
      </c>
      <c r="BY12" s="11">
        <v>50</v>
      </c>
      <c r="BZ12" s="11">
        <v>2.4</v>
      </c>
      <c r="CA12" s="11"/>
      <c r="CB12" s="5">
        <f t="shared" si="0"/>
        <v>320.95</v>
      </c>
      <c r="CD12" s="5"/>
      <c r="CE12" s="5"/>
      <c r="CF12" s="5"/>
      <c r="CG12" s="5"/>
      <c r="CH12" s="5"/>
      <c r="CI12" s="5"/>
      <c r="CJ12" s="5"/>
      <c r="CK12" s="5"/>
      <c r="CL12" s="11">
        <f>SUM(CD12:CF12)</f>
        <v>0</v>
      </c>
      <c r="CM12" s="11">
        <f>(CL12)/2</f>
        <v>0</v>
      </c>
      <c r="CN12" s="11">
        <f>BL12/4</f>
        <v>1.875</v>
      </c>
      <c r="CO12" s="5"/>
      <c r="CP12" s="5"/>
      <c r="CQ12" s="5"/>
      <c r="CR12" s="5"/>
      <c r="CS12" s="5"/>
      <c r="CT12" s="5"/>
      <c r="CU12" s="5"/>
      <c r="CV12" s="5"/>
      <c r="CW12" s="11">
        <f>SUM(CM12:CO12)</f>
        <v>1.875</v>
      </c>
      <c r="CX12" s="11">
        <f>(CW12-CM12)/2</f>
        <v>0.9375</v>
      </c>
      <c r="CY12" s="11">
        <v>14</v>
      </c>
      <c r="CZ12" s="11"/>
      <c r="DA12" s="11"/>
      <c r="DB12" s="11"/>
      <c r="DC12" s="11"/>
      <c r="DD12" s="11"/>
      <c r="DE12" s="11"/>
      <c r="DF12" s="5">
        <f>SUM(CX12:DE12)</f>
        <v>14.9375</v>
      </c>
      <c r="DG12" s="5">
        <f t="shared" si="1"/>
        <v>7</v>
      </c>
      <c r="DH12" s="5">
        <v>75</v>
      </c>
      <c r="DI12" s="11">
        <v>36</v>
      </c>
      <c r="DJ12" s="20">
        <f>SUM(DG12:DI12)</f>
        <v>118</v>
      </c>
    </row>
    <row r="13" spans="1:114" x14ac:dyDescent="0.25">
      <c r="A13">
        <v>3</v>
      </c>
      <c r="B13" s="21" t="s">
        <v>483</v>
      </c>
      <c r="C13" s="21"/>
      <c r="D13" s="21" t="s">
        <v>484</v>
      </c>
      <c r="E13" s="21" t="s">
        <v>131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11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11">
        <v>36</v>
      </c>
      <c r="BO13" s="11">
        <v>64</v>
      </c>
      <c r="BP13" s="11">
        <v>7.5</v>
      </c>
      <c r="BQ13" s="11">
        <v>40</v>
      </c>
      <c r="BR13" s="11">
        <v>100</v>
      </c>
      <c r="BS13" s="11"/>
      <c r="BT13" s="5">
        <f>SUM(BM13:BS13)</f>
        <v>247.5</v>
      </c>
      <c r="BU13" s="5">
        <f>(BT13-BM13)/2</f>
        <v>123.75</v>
      </c>
      <c r="BV13" s="11"/>
      <c r="BW13" s="11"/>
      <c r="BX13" s="11">
        <v>105</v>
      </c>
      <c r="BY13" s="11"/>
      <c r="BZ13" s="11"/>
      <c r="CA13" s="11"/>
      <c r="CB13" s="5">
        <f t="shared" si="0"/>
        <v>228.75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11"/>
      <c r="CY13" s="11">
        <v>1.5</v>
      </c>
      <c r="CZ13" s="11"/>
      <c r="DA13" s="11"/>
      <c r="DB13" s="11"/>
      <c r="DC13" s="11"/>
      <c r="DD13" s="11"/>
      <c r="DE13" s="11"/>
      <c r="DF13" s="5">
        <f>SUM(CX13:DE13)</f>
        <v>1.5</v>
      </c>
      <c r="DG13" s="5">
        <f t="shared" si="1"/>
        <v>0.75</v>
      </c>
      <c r="DH13" s="5">
        <v>105</v>
      </c>
      <c r="DI13" s="11"/>
      <c r="DJ13" s="21">
        <f t="shared" ref="DJ13:DJ38" si="2">SUM(DG13:DH13)</f>
        <v>105.75</v>
      </c>
    </row>
    <row r="14" spans="1:114" x14ac:dyDescent="0.25">
      <c r="A14">
        <v>4</v>
      </c>
      <c r="B14" s="11" t="s">
        <v>229</v>
      </c>
      <c r="C14" s="5"/>
      <c r="D14" s="5" t="s">
        <v>300</v>
      </c>
      <c r="E14" s="5" t="s">
        <v>10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11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11"/>
      <c r="BO14" s="11"/>
      <c r="BP14" s="11"/>
      <c r="BQ14" s="11"/>
      <c r="BR14" s="11"/>
      <c r="BS14" s="11"/>
      <c r="BT14" s="5"/>
      <c r="BU14" s="5"/>
      <c r="BV14" s="11">
        <v>60</v>
      </c>
      <c r="BW14" s="11"/>
      <c r="BX14" s="11">
        <v>100</v>
      </c>
      <c r="BY14" s="11"/>
      <c r="BZ14" s="11"/>
      <c r="CA14" s="11"/>
      <c r="CB14" s="5">
        <f t="shared" si="0"/>
        <v>160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11"/>
      <c r="CY14" s="11"/>
      <c r="CZ14" s="11"/>
      <c r="DA14" s="11"/>
      <c r="DB14" s="11"/>
      <c r="DC14" s="11"/>
      <c r="DD14" s="11"/>
      <c r="DE14" s="11"/>
      <c r="DF14" s="5">
        <f>SUM(CX14:DE14)</f>
        <v>0</v>
      </c>
      <c r="DG14" s="5">
        <f t="shared" si="1"/>
        <v>0</v>
      </c>
      <c r="DH14" s="5"/>
      <c r="DI14" s="11"/>
      <c r="DJ14" s="5">
        <f t="shared" si="2"/>
        <v>0</v>
      </c>
    </row>
    <row r="15" spans="1:114" x14ac:dyDescent="0.25">
      <c r="A15">
        <v>5</v>
      </c>
      <c r="B15" s="11" t="s">
        <v>35</v>
      </c>
      <c r="C15" s="5"/>
      <c r="D15" s="5" t="s">
        <v>20</v>
      </c>
      <c r="E15" s="5" t="s">
        <v>75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11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11">
        <v>2.4</v>
      </c>
      <c r="BO15" s="11">
        <v>3.2</v>
      </c>
      <c r="BP15" s="11">
        <v>7.5</v>
      </c>
      <c r="BQ15" s="11">
        <v>36</v>
      </c>
      <c r="BR15" s="11">
        <v>54</v>
      </c>
      <c r="BS15" s="11"/>
      <c r="BT15" s="5">
        <f>SUM(BM15:BS15)</f>
        <v>103.1</v>
      </c>
      <c r="BU15" s="5">
        <f>(BT15-BM15)/2</f>
        <v>51.55</v>
      </c>
      <c r="BV15" s="11"/>
      <c r="BW15" s="11">
        <v>80</v>
      </c>
      <c r="BX15" s="11"/>
      <c r="BY15" s="11"/>
      <c r="BZ15" s="11"/>
      <c r="CA15" s="11"/>
      <c r="CB15" s="5">
        <f t="shared" si="0"/>
        <v>131.55000000000001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11"/>
      <c r="CY15" s="11"/>
      <c r="CZ15" s="11"/>
      <c r="DA15" s="11"/>
      <c r="DB15" s="11"/>
      <c r="DC15" s="11"/>
      <c r="DD15" s="11"/>
      <c r="DE15" s="11"/>
      <c r="DF15" s="5">
        <f>SUM(CX15:DE15)</f>
        <v>0</v>
      </c>
      <c r="DG15" s="5">
        <f t="shared" si="1"/>
        <v>0</v>
      </c>
      <c r="DH15" s="5"/>
      <c r="DI15" s="11"/>
      <c r="DJ15" s="5">
        <f t="shared" si="2"/>
        <v>0</v>
      </c>
    </row>
    <row r="16" spans="1:114" x14ac:dyDescent="0.25">
      <c r="A16">
        <v>6</v>
      </c>
      <c r="B16" s="11" t="s">
        <v>314</v>
      </c>
      <c r="C16" s="5"/>
      <c r="D16" s="5" t="s">
        <v>597</v>
      </c>
      <c r="E16" s="5" t="s">
        <v>644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11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11"/>
      <c r="BO16" s="11"/>
      <c r="BP16" s="11"/>
      <c r="BQ16" s="11"/>
      <c r="BR16" s="11"/>
      <c r="BS16" s="11"/>
      <c r="BT16" s="5"/>
      <c r="BU16" s="5"/>
      <c r="BV16" s="11">
        <v>48</v>
      </c>
      <c r="BW16" s="11"/>
      <c r="BX16" s="11">
        <v>70</v>
      </c>
      <c r="BY16" s="11"/>
      <c r="BZ16" s="11"/>
      <c r="CA16" s="11"/>
      <c r="CB16" s="5">
        <f t="shared" si="0"/>
        <v>118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11"/>
      <c r="CY16" s="11"/>
      <c r="CZ16" s="11"/>
      <c r="DA16" s="11"/>
      <c r="DB16" s="11"/>
      <c r="DC16" s="11"/>
      <c r="DD16" s="11"/>
      <c r="DE16" s="11"/>
      <c r="DF16" s="5">
        <f>SUM(CX16:DE16)</f>
        <v>0</v>
      </c>
      <c r="DG16" s="5">
        <f t="shared" si="1"/>
        <v>0</v>
      </c>
      <c r="DH16" s="5"/>
      <c r="DI16" s="11"/>
      <c r="DJ16" s="5">
        <f t="shared" si="2"/>
        <v>0</v>
      </c>
    </row>
    <row r="17" spans="1:114" x14ac:dyDescent="0.25">
      <c r="A17">
        <v>7</v>
      </c>
      <c r="B17" s="11" t="s">
        <v>294</v>
      </c>
      <c r="C17" s="5"/>
      <c r="D17" s="5" t="s">
        <v>295</v>
      </c>
      <c r="E17" s="5" t="s">
        <v>145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11">
        <v>7.5</v>
      </c>
      <c r="AO17" s="5">
        <f>SUM(X17:AN17)</f>
        <v>7.5</v>
      </c>
      <c r="AP17" s="5">
        <f>(AO17-X17)/2</f>
        <v>3.75</v>
      </c>
      <c r="AQ17" s="5"/>
      <c r="AR17" s="5"/>
      <c r="AS17" s="5"/>
      <c r="AT17" s="5"/>
      <c r="AU17" s="5">
        <v>48</v>
      </c>
      <c r="AV17" s="5"/>
      <c r="AW17" s="5"/>
      <c r="AX17" s="5"/>
      <c r="AY17" s="5">
        <v>56</v>
      </c>
      <c r="AZ17" s="5"/>
      <c r="BA17" s="5"/>
      <c r="BB17" s="5">
        <v>7.5</v>
      </c>
      <c r="BC17" s="5"/>
      <c r="BD17" s="5"/>
      <c r="BE17" s="5"/>
      <c r="BF17" s="5">
        <v>36</v>
      </c>
      <c r="BG17" s="5"/>
      <c r="BH17" s="5"/>
      <c r="BI17" s="5"/>
      <c r="BJ17" s="5"/>
      <c r="BK17" s="5">
        <v>100</v>
      </c>
      <c r="BL17" s="5">
        <f>SUM(AP17:BK17)</f>
        <v>251.25</v>
      </c>
      <c r="BM17" s="5">
        <f>(BL17-AP17)/2</f>
        <v>123.75</v>
      </c>
      <c r="BN17" s="11"/>
      <c r="BO17" s="11">
        <v>80</v>
      </c>
      <c r="BP17" s="11">
        <v>54</v>
      </c>
      <c r="BQ17" s="11">
        <v>75</v>
      </c>
      <c r="BR17" s="11">
        <v>10</v>
      </c>
      <c r="BS17" s="11"/>
      <c r="BT17" s="5">
        <f>SUM(BM17:BS17)</f>
        <v>342.75</v>
      </c>
      <c r="BU17" s="5">
        <f>(BT17-BM17)/2</f>
        <v>109.5</v>
      </c>
      <c r="BV17" s="11"/>
      <c r="BW17" s="11"/>
      <c r="BX17" s="11"/>
      <c r="BY17" s="11"/>
      <c r="BZ17" s="11"/>
      <c r="CA17" s="11"/>
      <c r="CB17" s="5">
        <f t="shared" si="0"/>
        <v>109.5</v>
      </c>
      <c r="CD17" s="5">
        <f>AO17/4</f>
        <v>1.875</v>
      </c>
      <c r="CE17" s="5"/>
      <c r="CF17" s="5"/>
      <c r="CG17" s="5"/>
      <c r="CH17" s="5"/>
      <c r="CI17" s="5"/>
      <c r="CJ17" s="5"/>
      <c r="CK17" s="5"/>
      <c r="CL17" s="11">
        <f>SUM(CD17:CF17)</f>
        <v>1.875</v>
      </c>
      <c r="CM17" s="11">
        <f>(CL17)/2</f>
        <v>0.9375</v>
      </c>
      <c r="CN17" s="11">
        <f>BL17/4</f>
        <v>62.8125</v>
      </c>
      <c r="CO17" s="11"/>
      <c r="CP17" s="11"/>
      <c r="CQ17" s="11"/>
      <c r="CR17" s="11"/>
      <c r="CS17" s="11"/>
      <c r="CT17" s="11"/>
      <c r="CU17" s="11"/>
      <c r="CV17" s="11"/>
      <c r="CW17" s="11">
        <f>SUM(CM17:CO17)</f>
        <v>63.75</v>
      </c>
      <c r="CX17" s="11">
        <f>(CW17-CM17)/2</f>
        <v>31.40625</v>
      </c>
      <c r="CY17" s="11"/>
      <c r="CZ17" s="11"/>
      <c r="DA17" s="11"/>
      <c r="DB17" s="11"/>
      <c r="DC17" s="11"/>
      <c r="DD17" s="11"/>
      <c r="DE17" s="11"/>
      <c r="DF17" s="5">
        <f>SUM(CX17:CZ17)</f>
        <v>31.40625</v>
      </c>
      <c r="DG17" s="5">
        <f t="shared" si="1"/>
        <v>0</v>
      </c>
      <c r="DH17" s="5"/>
      <c r="DI17" s="11"/>
      <c r="DJ17" s="5">
        <f t="shared" si="2"/>
        <v>0</v>
      </c>
    </row>
    <row r="18" spans="1:114" x14ac:dyDescent="0.25">
      <c r="A18" s="46">
        <v>8</v>
      </c>
      <c r="B18" s="11" t="s">
        <v>339</v>
      </c>
      <c r="C18" s="5"/>
      <c r="D18" s="5" t="s">
        <v>589</v>
      </c>
      <c r="E18" s="5" t="s">
        <v>404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11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11">
        <v>36</v>
      </c>
      <c r="BO18" s="11">
        <v>48</v>
      </c>
      <c r="BP18" s="11">
        <v>40</v>
      </c>
      <c r="BQ18" s="11">
        <v>10</v>
      </c>
      <c r="BR18" s="11"/>
      <c r="BS18" s="11"/>
      <c r="BT18" s="5">
        <f>SUM(BM18:BS18)</f>
        <v>134</v>
      </c>
      <c r="BU18" s="5">
        <f>(BT18-BM18)/2</f>
        <v>67</v>
      </c>
      <c r="BV18" s="11">
        <v>36</v>
      </c>
      <c r="BW18" s="11"/>
      <c r="BX18" s="11"/>
      <c r="BY18" s="11"/>
      <c r="BZ18" s="11"/>
      <c r="CA18" s="11"/>
      <c r="CB18" s="5">
        <f t="shared" si="0"/>
        <v>103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11"/>
      <c r="CY18" s="11"/>
      <c r="CZ18" s="11"/>
      <c r="DA18" s="11"/>
      <c r="DB18" s="11"/>
      <c r="DC18" s="11"/>
      <c r="DD18" s="11"/>
      <c r="DE18" s="11"/>
      <c r="DF18" s="5">
        <f t="shared" ref="DF18:DF38" si="3">SUM(CX18:DE18)</f>
        <v>0</v>
      </c>
      <c r="DG18" s="5">
        <f t="shared" si="1"/>
        <v>0</v>
      </c>
      <c r="DH18" s="5"/>
      <c r="DI18" s="11"/>
      <c r="DJ18" s="5">
        <f t="shared" si="2"/>
        <v>0</v>
      </c>
    </row>
    <row r="19" spans="1:114" x14ac:dyDescent="0.25">
      <c r="A19">
        <v>9</v>
      </c>
      <c r="B19" s="11" t="s">
        <v>83</v>
      </c>
      <c r="C19" s="5"/>
      <c r="D19" s="5" t="s">
        <v>65</v>
      </c>
      <c r="E19" s="5" t="s">
        <v>645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11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11"/>
      <c r="BO19" s="11"/>
      <c r="BP19" s="11"/>
      <c r="BQ19" s="11"/>
      <c r="BR19" s="11"/>
      <c r="BS19" s="11"/>
      <c r="BT19" s="5"/>
      <c r="BU19" s="5"/>
      <c r="BV19" s="11">
        <v>36</v>
      </c>
      <c r="BW19" s="11">
        <v>56</v>
      </c>
      <c r="BX19" s="11">
        <v>7.5</v>
      </c>
      <c r="BY19" s="11">
        <v>2.4</v>
      </c>
      <c r="BZ19" s="11"/>
      <c r="CA19" s="11"/>
      <c r="CB19" s="5">
        <f t="shared" si="0"/>
        <v>101.9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11"/>
      <c r="CY19" s="11"/>
      <c r="CZ19" s="11"/>
      <c r="DA19" s="11"/>
      <c r="DB19" s="11"/>
      <c r="DC19" s="11"/>
      <c r="DD19" s="11"/>
      <c r="DE19" s="11"/>
      <c r="DF19" s="5">
        <f t="shared" si="3"/>
        <v>0</v>
      </c>
      <c r="DG19" s="5">
        <f t="shared" si="1"/>
        <v>0</v>
      </c>
      <c r="DH19" s="5"/>
      <c r="DI19" s="11"/>
      <c r="DJ19" s="5">
        <f t="shared" si="2"/>
        <v>0</v>
      </c>
    </row>
    <row r="20" spans="1:114" x14ac:dyDescent="0.25">
      <c r="A20">
        <v>10</v>
      </c>
      <c r="B20" s="11" t="s">
        <v>506</v>
      </c>
      <c r="C20" s="5"/>
      <c r="D20" s="5" t="s">
        <v>507</v>
      </c>
      <c r="E20" s="5" t="s">
        <v>138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11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11"/>
      <c r="BO20" s="11"/>
      <c r="BP20" s="11"/>
      <c r="BQ20" s="11"/>
      <c r="BR20" s="11"/>
      <c r="BS20" s="11"/>
      <c r="BT20" s="5"/>
      <c r="BU20" s="5"/>
      <c r="BV20" s="11">
        <v>48</v>
      </c>
      <c r="BW20" s="11"/>
      <c r="BX20" s="11">
        <v>7.5</v>
      </c>
      <c r="BY20" s="11">
        <v>42</v>
      </c>
      <c r="BZ20" s="11"/>
      <c r="CA20" s="11"/>
      <c r="CB20" s="5">
        <f t="shared" si="0"/>
        <v>97.5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11"/>
      <c r="CY20" s="11"/>
      <c r="CZ20" s="11"/>
      <c r="DA20" s="11"/>
      <c r="DB20" s="11"/>
      <c r="DC20" s="11"/>
      <c r="DD20" s="11"/>
      <c r="DE20" s="11"/>
      <c r="DF20" s="5">
        <f t="shared" si="3"/>
        <v>0</v>
      </c>
      <c r="DG20" s="5">
        <f t="shared" si="1"/>
        <v>0</v>
      </c>
      <c r="DH20" s="5"/>
      <c r="DI20" s="11"/>
      <c r="DJ20" s="5">
        <f t="shared" si="2"/>
        <v>0</v>
      </c>
    </row>
    <row r="21" spans="1:114" x14ac:dyDescent="0.25">
      <c r="A21">
        <v>11</v>
      </c>
      <c r="B21" s="11" t="s">
        <v>136</v>
      </c>
      <c r="C21" s="5"/>
      <c r="D21" s="5" t="s">
        <v>656</v>
      </c>
      <c r="E21" s="5" t="s">
        <v>75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11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11"/>
      <c r="BO21" s="11"/>
      <c r="BP21" s="11"/>
      <c r="BQ21" s="11"/>
      <c r="BR21" s="11"/>
      <c r="BS21" s="11"/>
      <c r="BT21" s="5"/>
      <c r="BU21" s="5"/>
      <c r="BV21" s="11">
        <v>30</v>
      </c>
      <c r="BW21" s="11">
        <v>40</v>
      </c>
      <c r="BX21" s="11">
        <v>2.4</v>
      </c>
      <c r="BY21" s="11"/>
      <c r="BZ21" s="11"/>
      <c r="CA21" s="11"/>
      <c r="CB21" s="5">
        <f t="shared" si="0"/>
        <v>72.400000000000006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11"/>
      <c r="CY21" s="11"/>
      <c r="CZ21" s="11"/>
      <c r="DA21" s="11"/>
      <c r="DB21" s="11"/>
      <c r="DC21" s="11"/>
      <c r="DD21" s="11"/>
      <c r="DE21" s="11"/>
      <c r="DF21" s="5">
        <f t="shared" si="3"/>
        <v>0</v>
      </c>
      <c r="DG21" s="5">
        <f t="shared" si="1"/>
        <v>0</v>
      </c>
      <c r="DH21" s="5"/>
      <c r="DI21" s="11"/>
      <c r="DJ21" s="5">
        <f t="shared" si="2"/>
        <v>0</v>
      </c>
    </row>
    <row r="22" spans="1:114" x14ac:dyDescent="0.25">
      <c r="A22">
        <v>12</v>
      </c>
      <c r="B22" s="11" t="s">
        <v>626</v>
      </c>
      <c r="C22" s="5"/>
      <c r="D22" s="5" t="s">
        <v>627</v>
      </c>
      <c r="E22" s="5" t="s">
        <v>529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11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133.5</v>
      </c>
      <c r="BN22" s="11"/>
      <c r="BO22" s="11"/>
      <c r="BP22" s="11">
        <v>140</v>
      </c>
      <c r="BQ22" s="11"/>
      <c r="BR22" s="11"/>
      <c r="BS22" s="11"/>
      <c r="BT22" s="5">
        <f>SUM(BM22:BS22)</f>
        <v>273.5</v>
      </c>
      <c r="BU22" s="5">
        <f>(BT22-BM22)/2</f>
        <v>70</v>
      </c>
      <c r="BV22" s="11"/>
      <c r="BW22" s="11"/>
      <c r="BX22" s="11"/>
      <c r="BY22" s="11"/>
      <c r="BZ22" s="11"/>
      <c r="CA22" s="11"/>
      <c r="CB22" s="5">
        <f t="shared" si="0"/>
        <v>70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11"/>
      <c r="CY22" s="11"/>
      <c r="CZ22" s="11"/>
      <c r="DA22" s="11"/>
      <c r="DB22" s="11"/>
      <c r="DC22" s="11"/>
      <c r="DD22" s="11"/>
      <c r="DE22" s="11"/>
      <c r="DF22" s="5">
        <f t="shared" si="3"/>
        <v>0</v>
      </c>
      <c r="DG22" s="5">
        <f t="shared" si="1"/>
        <v>0</v>
      </c>
      <c r="DH22" s="5"/>
      <c r="DI22" s="11"/>
      <c r="DJ22" s="5">
        <f t="shared" si="2"/>
        <v>0</v>
      </c>
    </row>
    <row r="23" spans="1:114" x14ac:dyDescent="0.25">
      <c r="A23">
        <v>13</v>
      </c>
      <c r="B23" s="11" t="s">
        <v>698</v>
      </c>
      <c r="C23" s="5"/>
      <c r="D23" s="5" t="s">
        <v>699</v>
      </c>
      <c r="E23" s="5" t="s">
        <v>521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11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11"/>
      <c r="BO23" s="11"/>
      <c r="BP23" s="11"/>
      <c r="BQ23" s="11"/>
      <c r="BR23" s="11"/>
      <c r="BS23" s="11"/>
      <c r="BT23" s="5"/>
      <c r="BU23" s="5"/>
      <c r="BV23" s="11"/>
      <c r="BW23" s="11">
        <v>64</v>
      </c>
      <c r="BX23" s="11"/>
      <c r="BY23" s="11"/>
      <c r="BZ23" s="11"/>
      <c r="CA23" s="11"/>
      <c r="CB23" s="5">
        <f t="shared" si="0"/>
        <v>64</v>
      </c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11"/>
      <c r="CY23" s="11"/>
      <c r="CZ23" s="11"/>
      <c r="DA23" s="11"/>
      <c r="DB23" s="11"/>
      <c r="DC23" s="11"/>
      <c r="DD23" s="11"/>
      <c r="DE23" s="11"/>
      <c r="DF23" s="5">
        <f t="shared" si="3"/>
        <v>0</v>
      </c>
      <c r="DG23" s="5">
        <f t="shared" si="1"/>
        <v>0</v>
      </c>
      <c r="DH23" s="5"/>
      <c r="DI23" s="11"/>
      <c r="DJ23" s="5">
        <f t="shared" si="2"/>
        <v>0</v>
      </c>
    </row>
    <row r="24" spans="1:114" x14ac:dyDescent="0.25">
      <c r="A24">
        <v>14</v>
      </c>
      <c r="B24" s="11" t="s">
        <v>270</v>
      </c>
      <c r="C24" s="5"/>
      <c r="D24" s="5" t="s">
        <v>551</v>
      </c>
      <c r="E24" s="5" t="s">
        <v>24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11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11"/>
      <c r="BO24" s="11"/>
      <c r="BP24" s="11">
        <v>75</v>
      </c>
      <c r="BQ24" s="11">
        <v>50</v>
      </c>
      <c r="BR24" s="11"/>
      <c r="BS24" s="11"/>
      <c r="BT24" s="5">
        <f t="shared" ref="BT24:BT29" si="4">SUM(BM24:BS24)</f>
        <v>125</v>
      </c>
      <c r="BU24" s="5">
        <f t="shared" ref="BU24:BU29" si="5">(BT24-BM24)/2</f>
        <v>62.5</v>
      </c>
      <c r="BV24" s="11"/>
      <c r="BW24" s="11"/>
      <c r="BX24" s="11"/>
      <c r="BY24" s="11"/>
      <c r="BZ24" s="11"/>
      <c r="CA24" s="11"/>
      <c r="CB24" s="5">
        <f t="shared" si="0"/>
        <v>62.5</v>
      </c>
      <c r="CW24" s="5"/>
      <c r="CX24" s="11"/>
      <c r="CY24" s="11"/>
      <c r="CZ24" s="11"/>
      <c r="DA24" s="11"/>
      <c r="DB24" s="11"/>
      <c r="DC24" s="11"/>
      <c r="DD24" s="11"/>
      <c r="DE24" s="11"/>
      <c r="DF24" s="5">
        <f t="shared" si="3"/>
        <v>0</v>
      </c>
      <c r="DG24" s="5">
        <f t="shared" si="1"/>
        <v>0</v>
      </c>
      <c r="DH24" s="5"/>
      <c r="DI24" s="11"/>
      <c r="DJ24" s="5">
        <f t="shared" si="2"/>
        <v>0</v>
      </c>
    </row>
    <row r="25" spans="1:114" x14ac:dyDescent="0.25">
      <c r="A25">
        <v>15</v>
      </c>
      <c r="B25" s="5" t="s">
        <v>33</v>
      </c>
      <c r="C25" s="5"/>
      <c r="D25" s="5" t="s">
        <v>519</v>
      </c>
      <c r="E25" s="5" t="s">
        <v>520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11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11">
        <v>36</v>
      </c>
      <c r="BO25" s="11"/>
      <c r="BP25" s="11">
        <v>75</v>
      </c>
      <c r="BQ25" s="11">
        <v>5</v>
      </c>
      <c r="BR25" s="11"/>
      <c r="BS25" s="11"/>
      <c r="BT25" s="5">
        <f t="shared" si="4"/>
        <v>116</v>
      </c>
      <c r="BU25" s="5">
        <f t="shared" si="5"/>
        <v>58</v>
      </c>
      <c r="BV25" s="11"/>
      <c r="BW25" s="11"/>
      <c r="BX25" s="11"/>
      <c r="BY25" s="11"/>
      <c r="BZ25" s="11"/>
      <c r="CA25" s="11"/>
      <c r="CB25" s="5">
        <f t="shared" si="0"/>
        <v>58</v>
      </c>
      <c r="CW25" s="5"/>
      <c r="CX25" s="11"/>
      <c r="CY25" s="11"/>
      <c r="CZ25" s="11"/>
      <c r="DA25" s="11"/>
      <c r="DB25" s="11"/>
      <c r="DC25" s="11"/>
      <c r="DD25" s="11"/>
      <c r="DE25" s="11"/>
      <c r="DF25" s="5">
        <f t="shared" si="3"/>
        <v>0</v>
      </c>
      <c r="DG25" s="5">
        <f t="shared" si="1"/>
        <v>0</v>
      </c>
      <c r="DH25" s="5"/>
      <c r="DI25" s="11"/>
      <c r="DJ25" s="5">
        <f t="shared" si="2"/>
        <v>0</v>
      </c>
    </row>
    <row r="26" spans="1:114" x14ac:dyDescent="0.25">
      <c r="A26">
        <v>16</v>
      </c>
      <c r="B26" s="11" t="s">
        <v>232</v>
      </c>
      <c r="C26" s="5"/>
      <c r="D26" s="5" t="s">
        <v>233</v>
      </c>
      <c r="E26" s="5" t="s">
        <v>50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>
        <v>32</v>
      </c>
      <c r="AE26" s="5"/>
      <c r="AF26" s="5"/>
      <c r="AG26" s="5"/>
      <c r="AH26" s="5"/>
      <c r="AI26" s="5"/>
      <c r="AJ26" s="5"/>
      <c r="AK26" s="5"/>
      <c r="AL26" s="5"/>
      <c r="AM26" s="5"/>
      <c r="AN26" s="11">
        <v>75</v>
      </c>
      <c r="AO26" s="5">
        <f>SUM(X26:AN26)</f>
        <v>107</v>
      </c>
      <c r="AP26" s="5">
        <f>(AO26-X26)/2</f>
        <v>53.5</v>
      </c>
      <c r="AQ26" s="5"/>
      <c r="AR26" s="5"/>
      <c r="AS26" s="5"/>
      <c r="AT26" s="5">
        <v>48</v>
      </c>
      <c r="AU26" s="5"/>
      <c r="AV26" s="5">
        <v>75</v>
      </c>
      <c r="AW26" s="5"/>
      <c r="AX26" s="5"/>
      <c r="AY26" s="5"/>
      <c r="AZ26" s="5"/>
      <c r="BA26" s="5"/>
      <c r="BB26" s="5">
        <v>54</v>
      </c>
      <c r="BC26" s="5"/>
      <c r="BD26" s="5"/>
      <c r="BE26" s="5">
        <v>36</v>
      </c>
      <c r="BF26" s="5"/>
      <c r="BG26" s="5"/>
      <c r="BH26" s="5"/>
      <c r="BI26" s="5">
        <v>6</v>
      </c>
      <c r="BJ26" s="5"/>
      <c r="BK26" s="5">
        <v>100</v>
      </c>
      <c r="BL26" s="5">
        <f>SUM(AP26:BK26)</f>
        <v>372.5</v>
      </c>
      <c r="BM26" s="5">
        <f>(BL26-AP26)/2</f>
        <v>159.5</v>
      </c>
      <c r="BN26" s="11">
        <v>36</v>
      </c>
      <c r="BO26" s="11">
        <v>56</v>
      </c>
      <c r="BP26" s="11"/>
      <c r="BQ26" s="11"/>
      <c r="BR26" s="11"/>
      <c r="BS26" s="11"/>
      <c r="BT26" s="5">
        <f t="shared" si="4"/>
        <v>251.5</v>
      </c>
      <c r="BU26" s="5">
        <f t="shared" si="5"/>
        <v>46</v>
      </c>
      <c r="BV26" s="11"/>
      <c r="BW26" s="11"/>
      <c r="BX26" s="11"/>
      <c r="BY26" s="11"/>
      <c r="BZ26" s="11"/>
      <c r="CA26" s="11"/>
      <c r="CB26" s="5">
        <f t="shared" si="0"/>
        <v>46</v>
      </c>
      <c r="CD26">
        <f>AO26/4</f>
        <v>26.75</v>
      </c>
      <c r="CE26" s="7"/>
      <c r="CF26" s="7"/>
      <c r="CG26" s="7"/>
      <c r="CH26" s="7"/>
      <c r="CI26" s="7"/>
      <c r="CJ26" s="7"/>
      <c r="CK26" s="7"/>
      <c r="CL26" s="7">
        <f>SUM(CD26:CF26)</f>
        <v>26.75</v>
      </c>
      <c r="CM26" s="7">
        <f>(CL26)/2</f>
        <v>13.375</v>
      </c>
      <c r="CN26" s="7">
        <f>BL26/4</f>
        <v>93.125</v>
      </c>
      <c r="CO26" s="7"/>
      <c r="CP26" s="7"/>
      <c r="CQ26" s="7">
        <v>7.5</v>
      </c>
      <c r="CR26" s="7"/>
      <c r="CS26" s="7"/>
      <c r="CT26" s="7"/>
      <c r="CU26" s="7"/>
      <c r="CV26" s="7">
        <v>28</v>
      </c>
      <c r="CW26" s="11">
        <f>SUM(CM26:CV26)</f>
        <v>142</v>
      </c>
      <c r="CX26" s="11">
        <f>(CW26-CM26)/2</f>
        <v>64.3125</v>
      </c>
      <c r="CY26" s="11">
        <v>21</v>
      </c>
      <c r="CZ26" s="11"/>
      <c r="DA26" s="11"/>
      <c r="DB26" s="11"/>
      <c r="DC26" s="11"/>
      <c r="DD26" s="11"/>
      <c r="DE26" s="11"/>
      <c r="DF26" s="5">
        <f t="shared" si="3"/>
        <v>85.3125</v>
      </c>
      <c r="DG26" s="5">
        <f t="shared" si="1"/>
        <v>10.5</v>
      </c>
      <c r="DH26" s="5"/>
      <c r="DI26" s="11"/>
      <c r="DJ26" s="5">
        <f t="shared" si="2"/>
        <v>10.5</v>
      </c>
    </row>
    <row r="27" spans="1:114" x14ac:dyDescent="0.25">
      <c r="A27">
        <v>17</v>
      </c>
      <c r="B27" s="5" t="s">
        <v>514</v>
      </c>
      <c r="C27" s="5"/>
      <c r="D27" s="5" t="s">
        <v>335</v>
      </c>
      <c r="E27" s="5" t="s">
        <v>408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11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11">
        <v>36</v>
      </c>
      <c r="BO27" s="11">
        <v>4</v>
      </c>
      <c r="BP27" s="11">
        <v>7.5</v>
      </c>
      <c r="BQ27" s="11">
        <v>36</v>
      </c>
      <c r="BR27" s="11">
        <v>7.5</v>
      </c>
      <c r="BS27" s="11"/>
      <c r="BT27" s="5">
        <f t="shared" si="4"/>
        <v>91</v>
      </c>
      <c r="BU27" s="5">
        <f t="shared" si="5"/>
        <v>45.5</v>
      </c>
      <c r="BV27" s="11"/>
      <c r="BW27" s="11"/>
      <c r="BX27" s="11"/>
      <c r="BY27" s="11"/>
      <c r="BZ27" s="11"/>
      <c r="CA27" s="11"/>
      <c r="CB27" s="5">
        <f t="shared" si="0"/>
        <v>45.5</v>
      </c>
      <c r="CW27" s="5"/>
      <c r="CX27" s="11"/>
      <c r="CY27" s="11"/>
      <c r="CZ27" s="11"/>
      <c r="DA27" s="11"/>
      <c r="DB27" s="11"/>
      <c r="DC27" s="11"/>
      <c r="DD27" s="11"/>
      <c r="DE27" s="11"/>
      <c r="DF27" s="5">
        <f t="shared" si="3"/>
        <v>0</v>
      </c>
      <c r="DG27" s="5">
        <f t="shared" si="1"/>
        <v>0</v>
      </c>
      <c r="DH27" s="5"/>
      <c r="DI27" s="11"/>
      <c r="DJ27" s="5">
        <f t="shared" si="2"/>
        <v>0</v>
      </c>
    </row>
    <row r="28" spans="1:114" x14ac:dyDescent="0.25">
      <c r="A28">
        <v>18</v>
      </c>
      <c r="B28" s="11" t="s">
        <v>57</v>
      </c>
      <c r="C28" s="5"/>
      <c r="D28" s="5" t="s">
        <v>585</v>
      </c>
      <c r="E28" s="5" t="s">
        <v>532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11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11">
        <v>2.4</v>
      </c>
      <c r="BO28" s="11">
        <v>4</v>
      </c>
      <c r="BP28" s="11">
        <v>3.2</v>
      </c>
      <c r="BQ28" s="11">
        <v>75</v>
      </c>
      <c r="BR28" s="11"/>
      <c r="BS28" s="11"/>
      <c r="BT28" s="5">
        <f t="shared" si="4"/>
        <v>84.6</v>
      </c>
      <c r="BU28" s="5">
        <f t="shared" si="5"/>
        <v>42.3</v>
      </c>
      <c r="BV28" s="11"/>
      <c r="BW28" s="11">
        <v>3.2</v>
      </c>
      <c r="BX28" s="11"/>
      <c r="BY28" s="11"/>
      <c r="BZ28" s="11"/>
      <c r="CA28" s="11"/>
      <c r="CB28" s="5">
        <f t="shared" si="0"/>
        <v>45.5</v>
      </c>
      <c r="CW28" s="5"/>
      <c r="CX28" s="11"/>
      <c r="CY28" s="11"/>
      <c r="CZ28" s="11"/>
      <c r="DA28" s="11"/>
      <c r="DB28" s="11"/>
      <c r="DC28" s="11"/>
      <c r="DD28" s="11"/>
      <c r="DE28" s="11">
        <v>2.5</v>
      </c>
      <c r="DF28" s="5">
        <f t="shared" si="3"/>
        <v>2.5</v>
      </c>
      <c r="DG28" s="5">
        <f t="shared" si="1"/>
        <v>1.25</v>
      </c>
      <c r="DH28" s="5"/>
      <c r="DI28" s="11"/>
      <c r="DJ28" s="5">
        <f t="shared" si="2"/>
        <v>1.25</v>
      </c>
    </row>
    <row r="29" spans="1:114" x14ac:dyDescent="0.25">
      <c r="A29">
        <v>19</v>
      </c>
      <c r="B29" s="11" t="s">
        <v>542</v>
      </c>
      <c r="C29" s="5"/>
      <c r="D29" s="5" t="s">
        <v>78</v>
      </c>
      <c r="E29" s="5" t="s">
        <v>638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11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11"/>
      <c r="BO29" s="11"/>
      <c r="BP29" s="11"/>
      <c r="BQ29" s="11"/>
      <c r="BR29" s="11"/>
      <c r="BS29" s="11"/>
      <c r="BT29" s="5">
        <f t="shared" si="4"/>
        <v>0</v>
      </c>
      <c r="BU29" s="5">
        <f t="shared" si="5"/>
        <v>0</v>
      </c>
      <c r="BV29" s="11">
        <v>3</v>
      </c>
      <c r="BW29" s="11"/>
      <c r="BX29" s="11">
        <v>40</v>
      </c>
      <c r="BY29" s="11"/>
      <c r="BZ29" s="11"/>
      <c r="CA29" s="11"/>
      <c r="CB29" s="5">
        <f t="shared" si="0"/>
        <v>43</v>
      </c>
      <c r="DE29" s="7">
        <v>25</v>
      </c>
      <c r="DF29" s="5">
        <f t="shared" si="3"/>
        <v>25</v>
      </c>
      <c r="DG29" s="5">
        <f t="shared" si="1"/>
        <v>12.5</v>
      </c>
      <c r="DH29" s="5"/>
      <c r="DI29" s="11"/>
      <c r="DJ29" s="5">
        <f t="shared" si="2"/>
        <v>12.5</v>
      </c>
    </row>
    <row r="30" spans="1:114" x14ac:dyDescent="0.25">
      <c r="A30">
        <v>20</v>
      </c>
      <c r="B30" s="11" t="s">
        <v>367</v>
      </c>
      <c r="C30" s="5"/>
      <c r="D30" s="5" t="s">
        <v>78</v>
      </c>
      <c r="E30" s="5" t="s">
        <v>529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11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11"/>
      <c r="BO30" s="11"/>
      <c r="BP30" s="11"/>
      <c r="BQ30" s="11"/>
      <c r="BR30" s="11"/>
      <c r="BS30" s="11"/>
      <c r="BT30" s="5"/>
      <c r="BU30" s="5"/>
      <c r="BV30" s="11">
        <v>36</v>
      </c>
      <c r="BW30" s="11">
        <v>3.2</v>
      </c>
      <c r="BX30" s="11"/>
      <c r="BY30" s="11"/>
      <c r="BZ30" s="11"/>
      <c r="CA30" s="11"/>
      <c r="CB30" s="5">
        <f t="shared" si="0"/>
        <v>39.200000000000003</v>
      </c>
      <c r="DF30" s="5">
        <f t="shared" si="3"/>
        <v>0</v>
      </c>
      <c r="DG30" s="5">
        <f t="shared" si="1"/>
        <v>0</v>
      </c>
      <c r="DH30" s="5"/>
      <c r="DI30" s="11"/>
      <c r="DJ30" s="5">
        <f t="shared" si="2"/>
        <v>0</v>
      </c>
    </row>
    <row r="31" spans="1:114" x14ac:dyDescent="0.25">
      <c r="A31">
        <v>21</v>
      </c>
      <c r="B31" s="11" t="s">
        <v>136</v>
      </c>
      <c r="C31" s="5"/>
      <c r="D31" s="5" t="s">
        <v>675</v>
      </c>
      <c r="E31" s="5" t="s">
        <v>15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11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11"/>
      <c r="BO31" s="11"/>
      <c r="BP31" s="11"/>
      <c r="BQ31" s="11"/>
      <c r="BR31" s="11"/>
      <c r="BS31" s="11"/>
      <c r="BT31" s="5"/>
      <c r="BU31" s="5"/>
      <c r="BV31" s="11">
        <v>36</v>
      </c>
      <c r="BW31" s="11"/>
      <c r="BX31" s="11"/>
      <c r="BY31" s="11"/>
      <c r="BZ31" s="11"/>
      <c r="CA31" s="11"/>
      <c r="CB31" s="5">
        <f t="shared" si="0"/>
        <v>36</v>
      </c>
      <c r="DF31" s="5">
        <f t="shared" si="3"/>
        <v>0</v>
      </c>
      <c r="DG31" s="5">
        <f t="shared" si="1"/>
        <v>0</v>
      </c>
      <c r="DH31" s="5"/>
      <c r="DI31" s="11"/>
      <c r="DJ31" s="5">
        <f t="shared" si="2"/>
        <v>0</v>
      </c>
    </row>
    <row r="32" spans="1:114" x14ac:dyDescent="0.25">
      <c r="A32">
        <v>22</v>
      </c>
      <c r="B32" s="11" t="s">
        <v>92</v>
      </c>
      <c r="C32" s="5"/>
      <c r="D32" s="5" t="s">
        <v>20</v>
      </c>
      <c r="E32" s="5" t="s">
        <v>102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11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11"/>
      <c r="BO32" s="11"/>
      <c r="BP32" s="11"/>
      <c r="BQ32" s="11"/>
      <c r="BR32" s="11"/>
      <c r="BS32" s="11"/>
      <c r="BT32" s="5"/>
      <c r="BU32" s="5"/>
      <c r="BV32" s="11">
        <v>36</v>
      </c>
      <c r="BW32" s="11"/>
      <c r="BX32" s="11"/>
      <c r="BY32" s="11"/>
      <c r="BZ32" s="11"/>
      <c r="CA32" s="11"/>
      <c r="CB32" s="5">
        <f t="shared" si="0"/>
        <v>36</v>
      </c>
      <c r="DF32" s="5">
        <f t="shared" si="3"/>
        <v>0</v>
      </c>
      <c r="DG32" s="5">
        <f t="shared" si="1"/>
        <v>0</v>
      </c>
      <c r="DH32" s="5"/>
      <c r="DI32" s="11"/>
      <c r="DJ32" s="5">
        <f t="shared" si="2"/>
        <v>0</v>
      </c>
    </row>
    <row r="33" spans="1:114" x14ac:dyDescent="0.25">
      <c r="A33">
        <v>23</v>
      </c>
      <c r="B33" s="11" t="s">
        <v>35</v>
      </c>
      <c r="C33" s="5"/>
      <c r="D33" s="5" t="s">
        <v>23</v>
      </c>
      <c r="E33" s="5" t="s">
        <v>501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11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11">
        <v>48</v>
      </c>
      <c r="BO33" s="11"/>
      <c r="BP33" s="11"/>
      <c r="BQ33" s="11"/>
      <c r="BR33" s="11"/>
      <c r="BS33" s="11"/>
      <c r="BT33" s="5">
        <f>SUM(BM33:BS33)</f>
        <v>48</v>
      </c>
      <c r="BU33" s="5">
        <f>(BT33-BM33)/2</f>
        <v>24</v>
      </c>
      <c r="BV33" s="11"/>
      <c r="BW33" s="11"/>
      <c r="BX33" s="11"/>
      <c r="BY33" s="11"/>
      <c r="BZ33" s="11"/>
      <c r="CA33" s="11"/>
      <c r="CB33" s="5">
        <f t="shared" si="0"/>
        <v>24</v>
      </c>
      <c r="DF33" s="5">
        <f t="shared" si="3"/>
        <v>0</v>
      </c>
      <c r="DG33" s="5">
        <f t="shared" si="1"/>
        <v>0</v>
      </c>
      <c r="DH33" s="5"/>
      <c r="DI33" s="11"/>
      <c r="DJ33" s="5">
        <f t="shared" si="2"/>
        <v>0</v>
      </c>
    </row>
    <row r="34" spans="1:114" x14ac:dyDescent="0.25">
      <c r="A34">
        <v>24</v>
      </c>
      <c r="B34" s="11" t="s">
        <v>118</v>
      </c>
      <c r="C34" s="5"/>
      <c r="D34" s="5" t="s">
        <v>603</v>
      </c>
      <c r="E34" s="5" t="s">
        <v>531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11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11">
        <v>48</v>
      </c>
      <c r="BO34" s="11"/>
      <c r="BP34" s="11"/>
      <c r="BQ34" s="11"/>
      <c r="BR34" s="11"/>
      <c r="BS34" s="11"/>
      <c r="BT34" s="5">
        <f>SUM(BM34:BS34)</f>
        <v>48</v>
      </c>
      <c r="BU34" s="5">
        <f>(BT34-BM34)/2</f>
        <v>24</v>
      </c>
      <c r="BV34" s="11"/>
      <c r="BW34" s="11"/>
      <c r="BX34" s="11"/>
      <c r="BY34" s="11"/>
      <c r="BZ34" s="11"/>
      <c r="CA34" s="11"/>
      <c r="CB34" s="5">
        <f t="shared" si="0"/>
        <v>24</v>
      </c>
      <c r="DF34" s="5">
        <f t="shared" si="3"/>
        <v>0</v>
      </c>
      <c r="DG34" s="5">
        <f t="shared" si="1"/>
        <v>0</v>
      </c>
      <c r="DH34" s="5"/>
      <c r="DI34" s="11"/>
      <c r="DJ34" s="5">
        <f t="shared" si="2"/>
        <v>0</v>
      </c>
    </row>
    <row r="35" spans="1:114" x14ac:dyDescent="0.25">
      <c r="A35">
        <v>25</v>
      </c>
      <c r="B35" s="11" t="s">
        <v>497</v>
      </c>
      <c r="C35" s="5"/>
      <c r="D35" s="5" t="s">
        <v>335</v>
      </c>
      <c r="E35" s="5" t="s">
        <v>695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11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11"/>
      <c r="BO35" s="11"/>
      <c r="BP35" s="11"/>
      <c r="BQ35" s="11"/>
      <c r="BR35" s="11"/>
      <c r="BS35" s="11"/>
      <c r="BT35" s="5"/>
      <c r="BU35" s="5"/>
      <c r="BV35" s="11"/>
      <c r="BW35" s="11">
        <v>4</v>
      </c>
      <c r="BX35" s="11"/>
      <c r="BY35" s="11"/>
      <c r="BZ35" s="11"/>
      <c r="CA35" s="11"/>
      <c r="CB35" s="5">
        <f t="shared" si="0"/>
        <v>4</v>
      </c>
      <c r="DF35" s="5">
        <f t="shared" si="3"/>
        <v>0</v>
      </c>
      <c r="DG35" s="5">
        <f t="shared" si="1"/>
        <v>0</v>
      </c>
      <c r="DH35" s="5"/>
      <c r="DI35" s="11"/>
      <c r="DJ35" s="5">
        <f t="shared" si="2"/>
        <v>0</v>
      </c>
    </row>
    <row r="36" spans="1:114" x14ac:dyDescent="0.25">
      <c r="A36">
        <v>26</v>
      </c>
      <c r="B36" s="11" t="s">
        <v>57</v>
      </c>
      <c r="C36" s="5"/>
      <c r="D36" s="5" t="s">
        <v>696</v>
      </c>
      <c r="E36" s="5" t="s">
        <v>697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11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11"/>
      <c r="BO36" s="11"/>
      <c r="BP36" s="11"/>
      <c r="BQ36" s="11"/>
      <c r="BR36" s="11"/>
      <c r="BS36" s="11"/>
      <c r="BT36" s="5"/>
      <c r="BU36" s="5"/>
      <c r="BV36" s="11"/>
      <c r="BW36" s="11">
        <v>4</v>
      </c>
      <c r="BX36" s="11"/>
      <c r="BY36" s="11"/>
      <c r="BZ36" s="11"/>
      <c r="CA36" s="11"/>
      <c r="CB36" s="5">
        <f t="shared" si="0"/>
        <v>4</v>
      </c>
      <c r="DF36" s="5">
        <f t="shared" si="3"/>
        <v>0</v>
      </c>
      <c r="DG36" s="5">
        <f t="shared" si="1"/>
        <v>0</v>
      </c>
      <c r="DH36" s="5"/>
      <c r="DI36" s="11"/>
      <c r="DJ36" s="5">
        <f t="shared" si="2"/>
        <v>0</v>
      </c>
    </row>
    <row r="37" spans="1:114" x14ac:dyDescent="0.25">
      <c r="A37">
        <v>27</v>
      </c>
      <c r="B37" s="11" t="s">
        <v>553</v>
      </c>
      <c r="C37" s="5"/>
      <c r="D37" s="5" t="s">
        <v>552</v>
      </c>
      <c r="E37" s="5" t="s">
        <v>554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11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11"/>
      <c r="BO37" s="11"/>
      <c r="BP37" s="11">
        <v>7.5</v>
      </c>
      <c r="BQ37" s="11"/>
      <c r="BR37" s="11"/>
      <c r="BS37" s="11"/>
      <c r="BT37" s="5">
        <f>SUM(BM37:BS37)</f>
        <v>7.5</v>
      </c>
      <c r="BU37" s="5">
        <f>(BT37-BM37)/2</f>
        <v>3.75</v>
      </c>
      <c r="BV37" s="11"/>
      <c r="BW37" s="11"/>
      <c r="BX37" s="11"/>
      <c r="BY37" s="11"/>
      <c r="BZ37" s="11"/>
      <c r="CA37" s="11"/>
      <c r="CB37" s="5">
        <f t="shared" si="0"/>
        <v>3.75</v>
      </c>
      <c r="DF37" s="5">
        <f t="shared" si="3"/>
        <v>0</v>
      </c>
      <c r="DG37" s="5">
        <f t="shared" si="1"/>
        <v>0</v>
      </c>
      <c r="DH37" s="5"/>
      <c r="DI37" s="11"/>
      <c r="DJ37" s="5">
        <f t="shared" si="2"/>
        <v>0</v>
      </c>
    </row>
    <row r="38" spans="1:114" x14ac:dyDescent="0.25">
      <c r="A38">
        <v>28</v>
      </c>
      <c r="B38" s="11" t="s">
        <v>38</v>
      </c>
      <c r="C38" s="5"/>
      <c r="D38" s="5" t="s">
        <v>470</v>
      </c>
      <c r="E38" s="5" t="s">
        <v>196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11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18</v>
      </c>
      <c r="BN38" s="11"/>
      <c r="BO38" s="11"/>
      <c r="BP38" s="11"/>
      <c r="BQ38" s="11"/>
      <c r="BR38" s="11"/>
      <c r="BS38" s="11"/>
      <c r="BT38" s="5">
        <f>SUM(BM38:BS38)</f>
        <v>18</v>
      </c>
      <c r="BU38" s="5">
        <f>(BT38-BM38)/2</f>
        <v>0</v>
      </c>
      <c r="BV38" s="11"/>
      <c r="BW38" s="11"/>
      <c r="BX38" s="11"/>
      <c r="BY38" s="11"/>
      <c r="BZ38" s="11"/>
      <c r="CA38" s="11"/>
      <c r="CB38" s="5">
        <f t="shared" si="0"/>
        <v>0</v>
      </c>
      <c r="DD38" s="7">
        <v>50</v>
      </c>
      <c r="DF38" s="5">
        <f t="shared" si="3"/>
        <v>50</v>
      </c>
      <c r="DG38" s="5">
        <f t="shared" si="1"/>
        <v>25</v>
      </c>
      <c r="DH38" s="5"/>
      <c r="DI38" s="11"/>
      <c r="DJ38" s="5">
        <f t="shared" si="2"/>
        <v>25</v>
      </c>
    </row>
  </sheetData>
  <sortState xmlns:xlrd2="http://schemas.microsoft.com/office/spreadsheetml/2017/richdata2" ref="B11:DJ38">
    <sortCondition descending="1" ref="CB11:CB38"/>
  </sortState>
  <mergeCells count="6">
    <mergeCell ref="B8:C10"/>
    <mergeCell ref="B1:CW1"/>
    <mergeCell ref="BP9:BS9"/>
    <mergeCell ref="BX9:CA9"/>
    <mergeCell ref="D4:CB5"/>
    <mergeCell ref="CD4:DJ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7"/>
  <sheetViews>
    <sheetView zoomScale="80" zoomScaleNormal="80" workbookViewId="0">
      <selection activeCell="BS35" sqref="BS35"/>
    </sheetView>
  </sheetViews>
  <sheetFormatPr baseColWidth="10" defaultRowHeight="15" x14ac:dyDescent="0.25"/>
  <cols>
    <col min="1" max="1" width="3.42578125" bestFit="1" customWidth="1"/>
    <col min="2" max="2" width="12.7109375" bestFit="1" customWidth="1"/>
    <col min="4" max="4" width="12.28515625" bestFit="1" customWidth="1"/>
    <col min="5" max="5" width="23.42578125" bestFit="1" customWidth="1"/>
    <col min="6" max="8" width="6.42578125" hidden="1" customWidth="1"/>
    <col min="9" max="9" width="7.28515625" hidden="1" customWidth="1"/>
    <col min="10" max="10" width="6.28515625" hidden="1" customWidth="1"/>
    <col min="11" max="11" width="6" hidden="1" customWidth="1"/>
    <col min="12" max="13" width="6.7109375" hidden="1" customWidth="1"/>
    <col min="14" max="14" width="6.7109375" style="7" hidden="1" customWidth="1"/>
    <col min="15" max="16" width="7.28515625" style="7" hidden="1" customWidth="1"/>
    <col min="17" max="17" width="6.140625" style="7" hidden="1" customWidth="1"/>
    <col min="18" max="18" width="0" hidden="1" customWidth="1"/>
    <col min="19" max="19" width="7.140625" hidden="1" customWidth="1"/>
    <col min="20" max="20" width="6.7109375" style="7" hidden="1" customWidth="1"/>
    <col min="21" max="35" width="5.5703125" hidden="1" customWidth="1"/>
    <col min="36" max="36" width="6.28515625" hidden="1" customWidth="1"/>
    <col min="37" max="38" width="6.85546875" hidden="1" customWidth="1"/>
    <col min="39" max="39" width="6.28515625" hidden="1" customWidth="1"/>
    <col min="40" max="44" width="5.5703125" hidden="1" customWidth="1"/>
    <col min="45" max="56" width="5.5703125" style="7" hidden="1" customWidth="1"/>
    <col min="57" max="57" width="6.85546875" style="7" hidden="1" customWidth="1"/>
    <col min="58" max="58" width="6.28515625" hidden="1" customWidth="1"/>
    <col min="59" max="59" width="7.85546875" hidden="1" customWidth="1"/>
    <col min="60" max="65" width="6.28515625" style="7" hidden="1" customWidth="1"/>
    <col min="66" max="67" width="13.140625" customWidth="1"/>
    <col min="68" max="68" width="8.7109375" style="7" customWidth="1"/>
    <col min="69" max="69" width="9.140625" style="7" customWidth="1"/>
    <col min="70" max="73" width="8.7109375" style="7" customWidth="1"/>
    <col min="74" max="75" width="13.140625" customWidth="1"/>
    <col min="76" max="76" width="11" hidden="1" customWidth="1"/>
    <col min="77" max="77" width="6.5703125" hidden="1" customWidth="1"/>
    <col min="78" max="78" width="6.7109375" hidden="1" customWidth="1"/>
    <col min="79" max="79" width="6.7109375" style="7" hidden="1" customWidth="1"/>
    <col min="80" max="82" width="0" hidden="1" customWidth="1"/>
    <col min="83" max="83" width="6.5703125" hidden="1" customWidth="1"/>
    <col min="84" max="89" width="5.5703125" hidden="1" customWidth="1"/>
    <col min="90" max="90" width="0" hidden="1" customWidth="1"/>
    <col min="91" max="91" width="10" hidden="1" customWidth="1"/>
    <col min="92" max="92" width="5.5703125" style="7" hidden="1" customWidth="1"/>
    <col min="93" max="95" width="6" style="7" hidden="1" customWidth="1"/>
    <col min="98" max="98" width="6" style="7" bestFit="1" customWidth="1"/>
    <col min="99" max="100" width="6" style="7" customWidth="1"/>
  </cols>
  <sheetData>
    <row r="1" spans="1:101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</row>
    <row r="2" spans="1:101" ht="15.75" thickBot="1" x14ac:dyDescent="0.3">
      <c r="C2" s="7"/>
      <c r="D2" s="7"/>
      <c r="E2" s="7"/>
    </row>
    <row r="3" spans="1:101" ht="15.75" thickTop="1" x14ac:dyDescent="0.25">
      <c r="B3" s="1" t="s">
        <v>0</v>
      </c>
      <c r="C3" s="4" t="s">
        <v>29</v>
      </c>
    </row>
    <row r="4" spans="1:101" ht="14.65" customHeight="1" x14ac:dyDescent="0.25">
      <c r="B4" s="2" t="s">
        <v>1</v>
      </c>
      <c r="C4" s="10" t="s">
        <v>7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30"/>
      <c r="BX4" s="56" t="s">
        <v>641</v>
      </c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</row>
    <row r="5" spans="1:101" ht="15" customHeight="1" thickBot="1" x14ac:dyDescent="0.3">
      <c r="B5" s="3" t="s">
        <v>2</v>
      </c>
      <c r="C5" s="34">
        <v>-70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30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</row>
    <row r="6" spans="1:101" ht="15.75" thickTop="1" x14ac:dyDescent="0.25"/>
    <row r="7" spans="1:101" ht="15.75" thickBot="1" x14ac:dyDescent="0.3"/>
    <row r="8" spans="1:101" ht="15.75" thickTop="1" x14ac:dyDescent="0.25">
      <c r="B8" s="48" t="s">
        <v>22</v>
      </c>
      <c r="C8" s="49"/>
      <c r="D8" s="1"/>
      <c r="E8" s="1"/>
      <c r="F8" s="4" t="s">
        <v>27</v>
      </c>
      <c r="G8" s="4" t="s">
        <v>31</v>
      </c>
      <c r="H8" s="4" t="s">
        <v>72</v>
      </c>
      <c r="I8" s="4" t="s">
        <v>99</v>
      </c>
      <c r="J8" s="4" t="s">
        <v>132</v>
      </c>
      <c r="K8" s="4" t="s">
        <v>146</v>
      </c>
      <c r="L8" s="4" t="s">
        <v>151</v>
      </c>
      <c r="M8" s="4" t="s">
        <v>27</v>
      </c>
      <c r="N8" s="4" t="s">
        <v>27</v>
      </c>
      <c r="O8" s="4" t="s">
        <v>27</v>
      </c>
      <c r="P8" s="4" t="s">
        <v>168</v>
      </c>
      <c r="Q8" s="4" t="s">
        <v>173</v>
      </c>
      <c r="R8" s="1"/>
      <c r="S8" s="12">
        <v>44927</v>
      </c>
      <c r="T8" s="4" t="s">
        <v>27</v>
      </c>
      <c r="U8" s="4" t="s">
        <v>27</v>
      </c>
      <c r="V8" s="17" t="s">
        <v>173</v>
      </c>
      <c r="W8" s="17" t="s">
        <v>27</v>
      </c>
      <c r="X8" s="17" t="s">
        <v>217</v>
      </c>
      <c r="Y8" s="17" t="s">
        <v>217</v>
      </c>
      <c r="Z8" s="17" t="s">
        <v>217</v>
      </c>
      <c r="AA8" s="17" t="s">
        <v>173</v>
      </c>
      <c r="AB8" s="17" t="s">
        <v>27</v>
      </c>
      <c r="AC8" s="17" t="s">
        <v>27</v>
      </c>
      <c r="AD8" s="17" t="s">
        <v>27</v>
      </c>
      <c r="AE8" s="17" t="s">
        <v>173</v>
      </c>
      <c r="AF8" s="17" t="s">
        <v>27</v>
      </c>
      <c r="AG8" s="17" t="s">
        <v>27</v>
      </c>
      <c r="AH8" s="16" t="s">
        <v>27</v>
      </c>
      <c r="AI8" s="17" t="s">
        <v>174</v>
      </c>
      <c r="AJ8" s="4" t="s">
        <v>6</v>
      </c>
      <c r="AK8" s="16">
        <v>45292</v>
      </c>
      <c r="AL8" s="16" t="s">
        <v>27</v>
      </c>
      <c r="AM8" s="16" t="s">
        <v>27</v>
      </c>
      <c r="AN8" s="16" t="s">
        <v>27</v>
      </c>
      <c r="AO8" s="16" t="s">
        <v>27</v>
      </c>
      <c r="AP8" s="16" t="s">
        <v>27</v>
      </c>
      <c r="AQ8" s="16" t="s">
        <v>27</v>
      </c>
      <c r="AR8" s="16" t="s">
        <v>173</v>
      </c>
      <c r="AS8" s="16" t="s">
        <v>173</v>
      </c>
      <c r="AT8" s="16" t="s">
        <v>217</v>
      </c>
      <c r="AU8" s="16" t="s">
        <v>217</v>
      </c>
      <c r="AV8" s="16" t="s">
        <v>217</v>
      </c>
      <c r="AW8" s="16" t="s">
        <v>173</v>
      </c>
      <c r="AX8" s="16" t="s">
        <v>27</v>
      </c>
      <c r="AY8" s="16" t="s">
        <v>27</v>
      </c>
      <c r="AZ8" s="16" t="s">
        <v>27</v>
      </c>
      <c r="BA8" s="16" t="s">
        <v>27</v>
      </c>
      <c r="BB8" s="16" t="s">
        <v>27</v>
      </c>
      <c r="BC8" s="16" t="s">
        <v>173</v>
      </c>
      <c r="BD8" s="16" t="s">
        <v>471</v>
      </c>
      <c r="BE8" s="16" t="s">
        <v>174</v>
      </c>
      <c r="BF8" s="16" t="s">
        <v>6</v>
      </c>
      <c r="BG8" s="16">
        <v>45658</v>
      </c>
      <c r="BH8" s="16"/>
      <c r="BI8" s="16"/>
      <c r="BJ8" s="38"/>
      <c r="BK8" s="39"/>
      <c r="BL8" s="39"/>
      <c r="BM8" s="40"/>
      <c r="BN8" s="16" t="s">
        <v>6</v>
      </c>
      <c r="BO8" s="16">
        <v>46023</v>
      </c>
      <c r="BP8" s="16"/>
      <c r="BQ8" s="16"/>
      <c r="BR8" s="38"/>
      <c r="BS8" s="39"/>
      <c r="BT8" s="39"/>
      <c r="BU8" s="40"/>
      <c r="BV8" s="16" t="s">
        <v>178</v>
      </c>
      <c r="BW8" s="32"/>
      <c r="BX8" s="1" t="s">
        <v>175</v>
      </c>
      <c r="BY8" s="1" t="s">
        <v>214</v>
      </c>
      <c r="BZ8" s="1" t="s">
        <v>171</v>
      </c>
      <c r="CA8" s="4" t="s">
        <v>283</v>
      </c>
      <c r="CB8" s="1" t="s">
        <v>178</v>
      </c>
      <c r="CC8" s="16">
        <v>45292</v>
      </c>
      <c r="CD8" s="4" t="s">
        <v>175</v>
      </c>
      <c r="CE8" s="4" t="s">
        <v>296</v>
      </c>
      <c r="CF8" s="4" t="s">
        <v>340</v>
      </c>
      <c r="CG8" s="4" t="s">
        <v>31</v>
      </c>
      <c r="CH8" s="4" t="s">
        <v>164</v>
      </c>
      <c r="CI8" s="4" t="s">
        <v>164</v>
      </c>
      <c r="CJ8" s="4" t="s">
        <v>171</v>
      </c>
      <c r="CK8" s="4" t="s">
        <v>283</v>
      </c>
      <c r="CL8" s="1" t="s">
        <v>6</v>
      </c>
      <c r="CM8" s="16">
        <v>45658</v>
      </c>
      <c r="CN8" s="4" t="s">
        <v>296</v>
      </c>
      <c r="CO8" s="4" t="s">
        <v>275</v>
      </c>
      <c r="CP8" s="4" t="s">
        <v>171</v>
      </c>
      <c r="CQ8" s="4" t="s">
        <v>283</v>
      </c>
      <c r="CR8" s="4" t="s">
        <v>178</v>
      </c>
      <c r="CS8" s="16">
        <v>46023</v>
      </c>
      <c r="CT8" s="4" t="s">
        <v>31</v>
      </c>
      <c r="CU8" s="4" t="s">
        <v>721</v>
      </c>
      <c r="CV8" s="4" t="s">
        <v>171</v>
      </c>
      <c r="CW8" s="1" t="s">
        <v>6</v>
      </c>
    </row>
    <row r="9" spans="1:101" x14ac:dyDescent="0.25">
      <c r="B9" s="50"/>
      <c r="C9" s="51"/>
      <c r="D9" s="2"/>
      <c r="E9" s="2"/>
      <c r="F9" s="8" t="s">
        <v>28</v>
      </c>
      <c r="G9" s="8" t="s">
        <v>32</v>
      </c>
      <c r="H9" s="10" t="s">
        <v>73</v>
      </c>
      <c r="I9" s="10" t="s">
        <v>100</v>
      </c>
      <c r="J9" s="10" t="s">
        <v>133</v>
      </c>
      <c r="K9" s="10" t="s">
        <v>73</v>
      </c>
      <c r="L9" s="10" t="s">
        <v>152</v>
      </c>
      <c r="M9" s="10" t="s">
        <v>159</v>
      </c>
      <c r="N9" s="10" t="s">
        <v>130</v>
      </c>
      <c r="O9" s="10" t="s">
        <v>28</v>
      </c>
      <c r="P9" s="10" t="s">
        <v>169</v>
      </c>
      <c r="Q9" s="10" t="s">
        <v>174</v>
      </c>
      <c r="R9" s="2" t="s">
        <v>6</v>
      </c>
      <c r="S9" s="2"/>
      <c r="T9" s="10" t="s">
        <v>56</v>
      </c>
      <c r="U9" s="10" t="s">
        <v>28</v>
      </c>
      <c r="V9" s="18" t="s">
        <v>134</v>
      </c>
      <c r="W9" s="18" t="s">
        <v>66</v>
      </c>
      <c r="X9" s="18" t="s">
        <v>132</v>
      </c>
      <c r="Y9" s="18" t="s">
        <v>141</v>
      </c>
      <c r="Z9" s="18" t="s">
        <v>134</v>
      </c>
      <c r="AA9" s="18" t="s">
        <v>132</v>
      </c>
      <c r="AB9" s="18" t="s">
        <v>56</v>
      </c>
      <c r="AC9" s="18" t="s">
        <v>162</v>
      </c>
      <c r="AD9" s="18" t="s">
        <v>54</v>
      </c>
      <c r="AE9" s="18" t="s">
        <v>141</v>
      </c>
      <c r="AF9" s="18" t="s">
        <v>128</v>
      </c>
      <c r="AG9" s="18" t="s">
        <v>278</v>
      </c>
      <c r="AH9" s="10" t="s">
        <v>28</v>
      </c>
      <c r="AI9" s="18"/>
      <c r="AJ9" s="2"/>
      <c r="AK9" s="10"/>
      <c r="AL9" s="10" t="s">
        <v>346</v>
      </c>
      <c r="AM9" s="10" t="s">
        <v>149</v>
      </c>
      <c r="AN9" s="10" t="s">
        <v>128</v>
      </c>
      <c r="AO9" s="10" t="s">
        <v>54</v>
      </c>
      <c r="AP9" s="10" t="s">
        <v>56</v>
      </c>
      <c r="AQ9" s="10" t="s">
        <v>66</v>
      </c>
      <c r="AR9" s="10" t="s">
        <v>132</v>
      </c>
      <c r="AS9" s="10" t="s">
        <v>396</v>
      </c>
      <c r="AT9" s="10" t="s">
        <v>132</v>
      </c>
      <c r="AU9" s="10" t="s">
        <v>134</v>
      </c>
      <c r="AV9" s="10" t="s">
        <v>141</v>
      </c>
      <c r="AW9" s="10" t="s">
        <v>134</v>
      </c>
      <c r="AX9" s="10" t="s">
        <v>346</v>
      </c>
      <c r="AY9" s="10" t="s">
        <v>54</v>
      </c>
      <c r="AZ9" s="10" t="s">
        <v>56</v>
      </c>
      <c r="BA9" s="10" t="s">
        <v>128</v>
      </c>
      <c r="BB9" s="10" t="s">
        <v>458</v>
      </c>
      <c r="BC9" s="10" t="s">
        <v>141</v>
      </c>
      <c r="BD9" s="10" t="s">
        <v>346</v>
      </c>
      <c r="BE9" s="10" t="s">
        <v>475</v>
      </c>
      <c r="BF9" s="10"/>
      <c r="BG9" s="10"/>
      <c r="BH9" s="8" t="s">
        <v>27</v>
      </c>
      <c r="BI9" s="8" t="s">
        <v>217</v>
      </c>
      <c r="BJ9" s="52" t="s">
        <v>477</v>
      </c>
      <c r="BK9" s="53"/>
      <c r="BL9" s="53"/>
      <c r="BM9" s="54"/>
      <c r="BN9" s="10"/>
      <c r="BO9" s="10"/>
      <c r="BP9" s="8" t="s">
        <v>27</v>
      </c>
      <c r="BQ9" s="8" t="s">
        <v>217</v>
      </c>
      <c r="BR9" s="52" t="s">
        <v>477</v>
      </c>
      <c r="BS9" s="53"/>
      <c r="BT9" s="53"/>
      <c r="BU9" s="54"/>
      <c r="BV9" s="8"/>
      <c r="BW9" s="7"/>
      <c r="BX9" s="2" t="s">
        <v>176</v>
      </c>
      <c r="BY9" s="2"/>
      <c r="BZ9" s="2" t="s">
        <v>255</v>
      </c>
      <c r="CA9" s="10" t="s">
        <v>284</v>
      </c>
      <c r="CB9" s="2"/>
      <c r="CC9" s="7"/>
      <c r="CD9" s="10" t="s">
        <v>176</v>
      </c>
      <c r="CE9" s="10"/>
      <c r="CF9" s="10" t="s">
        <v>341</v>
      </c>
      <c r="CG9" s="10" t="s">
        <v>354</v>
      </c>
      <c r="CH9" s="10" t="s">
        <v>419</v>
      </c>
      <c r="CI9" s="10" t="s">
        <v>255</v>
      </c>
      <c r="CJ9" s="10" t="s">
        <v>255</v>
      </c>
      <c r="CK9" s="10" t="s">
        <v>73</v>
      </c>
      <c r="CL9" s="2"/>
      <c r="CM9" s="10"/>
      <c r="CN9" s="10"/>
      <c r="CO9" s="10" t="s">
        <v>419</v>
      </c>
      <c r="CP9" s="10" t="s">
        <v>255</v>
      </c>
      <c r="CQ9" s="10" t="s">
        <v>73</v>
      </c>
      <c r="CR9" s="10"/>
      <c r="CS9" s="10"/>
      <c r="CT9" s="10" t="s">
        <v>152</v>
      </c>
      <c r="CU9" s="10" t="s">
        <v>32</v>
      </c>
      <c r="CV9" s="10" t="s">
        <v>419</v>
      </c>
      <c r="CW9" s="2"/>
    </row>
    <row r="10" spans="1:101" x14ac:dyDescent="0.25">
      <c r="B10" s="57"/>
      <c r="C10" s="58"/>
      <c r="D10" s="2" t="s">
        <v>4</v>
      </c>
      <c r="E10" s="2" t="s">
        <v>5</v>
      </c>
      <c r="F10" s="9">
        <v>44653</v>
      </c>
      <c r="G10" s="9">
        <v>44661</v>
      </c>
      <c r="H10" s="9">
        <v>44681</v>
      </c>
      <c r="I10" s="9">
        <v>44695</v>
      </c>
      <c r="J10" s="9">
        <v>44730</v>
      </c>
      <c r="K10" s="9">
        <v>44758</v>
      </c>
      <c r="L10" s="9">
        <v>44783</v>
      </c>
      <c r="M10" s="9">
        <v>44800</v>
      </c>
      <c r="N10" s="9">
        <v>44800</v>
      </c>
      <c r="O10" s="9">
        <v>44814</v>
      </c>
      <c r="P10" s="9">
        <v>44829</v>
      </c>
      <c r="Q10" s="9">
        <v>44906</v>
      </c>
      <c r="R10" s="2">
        <v>2022</v>
      </c>
      <c r="S10" s="2"/>
      <c r="T10" s="10" t="s">
        <v>180</v>
      </c>
      <c r="U10" s="10" t="s">
        <v>179</v>
      </c>
      <c r="V10" s="18" t="s">
        <v>193</v>
      </c>
      <c r="W10" s="18" t="s">
        <v>216</v>
      </c>
      <c r="X10" s="18" t="s">
        <v>218</v>
      </c>
      <c r="Y10" s="18" t="s">
        <v>228</v>
      </c>
      <c r="Z10" s="18" t="s">
        <v>234</v>
      </c>
      <c r="AA10" s="18" t="s">
        <v>242</v>
      </c>
      <c r="AB10" s="18" t="s">
        <v>254</v>
      </c>
      <c r="AC10" s="18" t="s">
        <v>256</v>
      </c>
      <c r="AD10" s="18" t="s">
        <v>258</v>
      </c>
      <c r="AE10" s="18" t="s">
        <v>268</v>
      </c>
      <c r="AF10" s="18" t="s">
        <v>277</v>
      </c>
      <c r="AG10" s="18" t="s">
        <v>279</v>
      </c>
      <c r="AH10" s="10" t="s">
        <v>280</v>
      </c>
      <c r="AI10" s="18" t="s">
        <v>289</v>
      </c>
      <c r="AJ10" s="2">
        <v>2023</v>
      </c>
      <c r="AK10" s="31"/>
      <c r="AL10" s="31" t="s">
        <v>317</v>
      </c>
      <c r="AM10" s="31" t="s">
        <v>317</v>
      </c>
      <c r="AN10" s="31" t="s">
        <v>317</v>
      </c>
      <c r="AO10" s="31" t="s">
        <v>356</v>
      </c>
      <c r="AP10" s="31" t="s">
        <v>373</v>
      </c>
      <c r="AQ10" s="31" t="s">
        <v>373</v>
      </c>
      <c r="AR10" s="31" t="s">
        <v>384</v>
      </c>
      <c r="AS10" s="31" t="s">
        <v>397</v>
      </c>
      <c r="AT10" s="31" t="s">
        <v>405</v>
      </c>
      <c r="AU10" s="31" t="s">
        <v>405</v>
      </c>
      <c r="AV10" s="31" t="s">
        <v>416</v>
      </c>
      <c r="AW10" s="31" t="s">
        <v>421</v>
      </c>
      <c r="AX10" s="31" t="s">
        <v>441</v>
      </c>
      <c r="AY10" s="31" t="s">
        <v>441</v>
      </c>
      <c r="AZ10" s="31" t="s">
        <v>445</v>
      </c>
      <c r="BA10" s="31" t="s">
        <v>456</v>
      </c>
      <c r="BB10" s="31" t="s">
        <v>459</v>
      </c>
      <c r="BC10" s="31" t="s">
        <v>465</v>
      </c>
      <c r="BD10" s="31" t="s">
        <v>472</v>
      </c>
      <c r="BE10" s="31" t="s">
        <v>476</v>
      </c>
      <c r="BF10" s="31">
        <v>2024</v>
      </c>
      <c r="BG10" s="10"/>
      <c r="BH10" s="10"/>
      <c r="BI10" s="10"/>
      <c r="BJ10" s="10">
        <v>1</v>
      </c>
      <c r="BK10" s="10">
        <v>2</v>
      </c>
      <c r="BL10" s="10">
        <v>3</v>
      </c>
      <c r="BM10" s="10">
        <v>4</v>
      </c>
      <c r="BN10" s="10">
        <v>2025</v>
      </c>
      <c r="BO10" s="10"/>
      <c r="BP10" s="10"/>
      <c r="BQ10" s="10"/>
      <c r="BR10" s="10">
        <v>1</v>
      </c>
      <c r="BS10" s="10">
        <v>2</v>
      </c>
      <c r="BT10" s="10">
        <v>3</v>
      </c>
      <c r="BU10" s="10">
        <v>4</v>
      </c>
      <c r="BV10" s="10">
        <v>2026</v>
      </c>
      <c r="BW10" s="7"/>
      <c r="BX10" s="2"/>
      <c r="BY10" s="14">
        <v>45078</v>
      </c>
      <c r="BZ10" s="14">
        <v>45154</v>
      </c>
      <c r="CA10" s="8">
        <v>45255</v>
      </c>
      <c r="CB10" s="2">
        <v>2023</v>
      </c>
      <c r="CC10" s="7"/>
      <c r="CD10" s="10"/>
      <c r="CE10" s="9">
        <v>45347</v>
      </c>
      <c r="CF10" s="9" t="s">
        <v>345</v>
      </c>
      <c r="CG10" s="9" t="s">
        <v>355</v>
      </c>
      <c r="CH10" s="9" t="s">
        <v>228</v>
      </c>
      <c r="CI10" s="9" t="s">
        <v>456</v>
      </c>
      <c r="CJ10" s="9" t="s">
        <v>457</v>
      </c>
      <c r="CK10" s="9" t="s">
        <v>474</v>
      </c>
      <c r="CL10" s="2">
        <v>2024</v>
      </c>
      <c r="CM10" s="10"/>
      <c r="CN10" s="10" t="s">
        <v>480</v>
      </c>
      <c r="CO10" s="10" t="s">
        <v>616</v>
      </c>
      <c r="CP10" s="10" t="s">
        <v>632</v>
      </c>
      <c r="CQ10" s="10" t="s">
        <v>474</v>
      </c>
      <c r="CR10" s="10">
        <v>2025</v>
      </c>
      <c r="CS10" s="10"/>
      <c r="CT10" s="10" t="s">
        <v>193</v>
      </c>
      <c r="CU10" s="10" t="s">
        <v>722</v>
      </c>
      <c r="CV10" s="10" t="s">
        <v>723</v>
      </c>
      <c r="CW10" s="2">
        <v>2026</v>
      </c>
    </row>
    <row r="11" spans="1:101" x14ac:dyDescent="0.25">
      <c r="A11">
        <v>1</v>
      </c>
      <c r="B11" s="44" t="s">
        <v>74</v>
      </c>
      <c r="C11" s="45" t="s">
        <v>136</v>
      </c>
      <c r="D11" s="45" t="s">
        <v>78</v>
      </c>
      <c r="E11" s="45" t="s">
        <v>166</v>
      </c>
      <c r="F11" s="5"/>
      <c r="G11" s="5"/>
      <c r="H11" s="5"/>
      <c r="I11" s="5"/>
      <c r="J11" s="5"/>
      <c r="K11" s="5"/>
      <c r="L11" s="5"/>
      <c r="M11" s="5"/>
      <c r="N11" s="11"/>
      <c r="O11" s="11"/>
      <c r="P11" s="11"/>
      <c r="Q11" s="11"/>
      <c r="R11" s="5"/>
      <c r="S11" s="5"/>
      <c r="T11" s="11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26</v>
      </c>
      <c r="AF11" s="5">
        <v>36</v>
      </c>
      <c r="AG11" s="5"/>
      <c r="AH11" s="5"/>
      <c r="AI11" s="5">
        <v>7.5</v>
      </c>
      <c r="AJ11" s="5">
        <f>SUM(S11:AI11)</f>
        <v>69.5</v>
      </c>
      <c r="AK11" s="5">
        <f>(AJ11-S11)/2</f>
        <v>34.75</v>
      </c>
      <c r="AL11" s="5"/>
      <c r="AM11" s="5"/>
      <c r="AN11" s="5">
        <v>48</v>
      </c>
      <c r="AO11" s="5"/>
      <c r="AP11" s="5"/>
      <c r="AQ11" s="5"/>
      <c r="AR11" s="5">
        <v>54</v>
      </c>
      <c r="AS11" s="11">
        <v>5</v>
      </c>
      <c r="AT11" s="11"/>
      <c r="AU11" s="11"/>
      <c r="AV11" s="11">
        <v>80</v>
      </c>
      <c r="AW11" s="11">
        <v>39</v>
      </c>
      <c r="AX11" s="11"/>
      <c r="AY11" s="11"/>
      <c r="AZ11" s="11"/>
      <c r="BA11" s="11">
        <v>36</v>
      </c>
      <c r="BB11" s="11"/>
      <c r="BC11" s="11">
        <v>54</v>
      </c>
      <c r="BD11" s="11"/>
      <c r="BE11" s="11">
        <v>200</v>
      </c>
      <c r="BF11" s="5">
        <f>SUM(AK11:BE11)</f>
        <v>550.75</v>
      </c>
      <c r="BG11" s="5">
        <f>(BF11-AK11)/2</f>
        <v>258</v>
      </c>
      <c r="BH11" s="11">
        <v>2.4</v>
      </c>
      <c r="BI11" s="11"/>
      <c r="BJ11" s="11">
        <v>200</v>
      </c>
      <c r="BK11" s="11">
        <v>70</v>
      </c>
      <c r="BL11" s="11">
        <v>120</v>
      </c>
      <c r="BM11" s="11">
        <v>60</v>
      </c>
      <c r="BN11" s="5">
        <f t="shared" ref="BN11:BN17" si="0">SUM(BG11:BM11)</f>
        <v>710.4</v>
      </c>
      <c r="BO11" s="5">
        <f t="shared" ref="BO11:BO17" si="1">(BN11-BG11)/2</f>
        <v>226.2</v>
      </c>
      <c r="BP11" s="11">
        <v>48</v>
      </c>
      <c r="BQ11" s="11"/>
      <c r="BR11" s="11">
        <v>150</v>
      </c>
      <c r="BS11" s="11"/>
      <c r="BT11" s="11"/>
      <c r="BU11" s="11"/>
      <c r="BV11" s="5">
        <f t="shared" ref="BV11:BV27" si="2">SUM(BO11:BU11)</f>
        <v>424.2</v>
      </c>
      <c r="BX11" s="5">
        <f>AJ11/4</f>
        <v>17.375</v>
      </c>
      <c r="BY11" s="5"/>
      <c r="BZ11" s="5"/>
      <c r="CA11" s="11">
        <v>70</v>
      </c>
      <c r="CB11" s="5">
        <f>SUM(BX11:CA11)</f>
        <v>87.375</v>
      </c>
      <c r="CC11" s="11">
        <f>(CB11)/2</f>
        <v>43.6875</v>
      </c>
      <c r="CD11" s="11">
        <f>BF11/4</f>
        <v>137.6875</v>
      </c>
      <c r="CE11" s="11">
        <v>15</v>
      </c>
      <c r="CF11" s="11"/>
      <c r="CG11" s="11"/>
      <c r="CH11" s="11"/>
      <c r="CI11" s="11"/>
      <c r="CJ11" s="11"/>
      <c r="CK11" s="11">
        <v>28</v>
      </c>
      <c r="CL11" s="11">
        <f>SUM(CC11:CK11)</f>
        <v>224.375</v>
      </c>
      <c r="CM11" s="5">
        <f>(CL11-CC11)/2</f>
        <v>90.34375</v>
      </c>
      <c r="CN11" s="11">
        <v>22.5</v>
      </c>
      <c r="CO11" s="11">
        <v>25</v>
      </c>
      <c r="CP11" s="11">
        <v>5</v>
      </c>
      <c r="CQ11" s="11"/>
      <c r="CR11" s="5">
        <f>SUM(CM11:CP11)</f>
        <v>142.84375</v>
      </c>
      <c r="CS11" s="5">
        <f t="shared" ref="CS11:CS27" si="3">(CR11-CM11)/2</f>
        <v>26.25</v>
      </c>
      <c r="CT11" s="11">
        <v>15</v>
      </c>
      <c r="CU11" s="11"/>
      <c r="CV11" s="11">
        <v>70</v>
      </c>
      <c r="CW11" s="45">
        <f>SUM(CS11:CV11)</f>
        <v>111.25</v>
      </c>
    </row>
    <row r="12" spans="1:101" x14ac:dyDescent="0.25">
      <c r="A12">
        <v>2</v>
      </c>
      <c r="B12" s="20" t="s">
        <v>38</v>
      </c>
      <c r="C12" s="20"/>
      <c r="D12" s="20" t="s">
        <v>470</v>
      </c>
      <c r="E12" s="20" t="s">
        <v>196</v>
      </c>
      <c r="F12" s="5"/>
      <c r="G12" s="5"/>
      <c r="H12" s="5"/>
      <c r="I12" s="5"/>
      <c r="J12" s="5"/>
      <c r="K12" s="5"/>
      <c r="L12" s="5"/>
      <c r="M12" s="5"/>
      <c r="N12" s="11"/>
      <c r="O12" s="11"/>
      <c r="P12" s="11"/>
      <c r="Q12" s="11"/>
      <c r="R12" s="5"/>
      <c r="S12" s="5"/>
      <c r="T12" s="11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5"/>
      <c r="BG12" s="5"/>
      <c r="BH12" s="11">
        <v>48</v>
      </c>
      <c r="BI12" s="11">
        <v>48</v>
      </c>
      <c r="BJ12" s="11">
        <v>75</v>
      </c>
      <c r="BK12" s="11">
        <v>140</v>
      </c>
      <c r="BL12" s="11"/>
      <c r="BM12" s="11"/>
      <c r="BN12" s="5">
        <f t="shared" si="0"/>
        <v>311</v>
      </c>
      <c r="BO12" s="5">
        <f t="shared" si="1"/>
        <v>155.5</v>
      </c>
      <c r="BP12" s="11">
        <v>33.6</v>
      </c>
      <c r="BQ12" s="11">
        <v>64</v>
      </c>
      <c r="BR12" s="11">
        <v>75</v>
      </c>
      <c r="BS12" s="11"/>
      <c r="BT12" s="11"/>
      <c r="BU12" s="11"/>
      <c r="BV12" s="5">
        <f t="shared" si="2"/>
        <v>328.1</v>
      </c>
      <c r="BX12" s="5"/>
      <c r="BY12" s="5"/>
      <c r="BZ12" s="5"/>
      <c r="CA12" s="11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11"/>
      <c r="CO12" s="11"/>
      <c r="CP12" s="11"/>
      <c r="CQ12" s="11"/>
      <c r="CR12" s="5">
        <f>SUM(CM12:CQ12)</f>
        <v>0</v>
      </c>
      <c r="CS12" s="5">
        <f t="shared" si="3"/>
        <v>0</v>
      </c>
      <c r="CT12" s="11"/>
      <c r="CU12" s="11">
        <v>150</v>
      </c>
      <c r="CV12" s="11">
        <v>50</v>
      </c>
      <c r="CW12" s="20">
        <f>SUM(CS12:CV12)</f>
        <v>200</v>
      </c>
    </row>
    <row r="13" spans="1:101" x14ac:dyDescent="0.25">
      <c r="A13">
        <v>3</v>
      </c>
      <c r="B13" s="43" t="s">
        <v>232</v>
      </c>
      <c r="C13" s="43"/>
      <c r="D13" s="43" t="s">
        <v>233</v>
      </c>
      <c r="E13" s="43" t="s">
        <v>50</v>
      </c>
      <c r="F13" s="5"/>
      <c r="G13" s="5"/>
      <c r="H13" s="5"/>
      <c r="I13" s="5"/>
      <c r="J13" s="5"/>
      <c r="K13" s="5"/>
      <c r="L13" s="5"/>
      <c r="M13" s="5"/>
      <c r="N13" s="11"/>
      <c r="O13" s="11"/>
      <c r="P13" s="11"/>
      <c r="Q13" s="11"/>
      <c r="R13" s="5"/>
      <c r="S13" s="5"/>
      <c r="T13" s="11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5"/>
      <c r="BG13" s="5"/>
      <c r="BH13" s="11">
        <v>48</v>
      </c>
      <c r="BI13" s="11">
        <v>48</v>
      </c>
      <c r="BJ13" s="11">
        <v>75</v>
      </c>
      <c r="BK13" s="11">
        <v>6</v>
      </c>
      <c r="BL13" s="11">
        <v>100</v>
      </c>
      <c r="BM13" s="11"/>
      <c r="BN13" s="5">
        <f t="shared" si="0"/>
        <v>277</v>
      </c>
      <c r="BO13" s="5">
        <f t="shared" si="1"/>
        <v>138.5</v>
      </c>
      <c r="BP13" s="11">
        <v>36</v>
      </c>
      <c r="BQ13" s="11">
        <v>48</v>
      </c>
      <c r="BR13" s="11">
        <v>75</v>
      </c>
      <c r="BS13" s="11"/>
      <c r="BT13" s="11"/>
      <c r="BU13" s="11"/>
      <c r="BV13" s="5">
        <f t="shared" si="2"/>
        <v>297.5</v>
      </c>
      <c r="BX13" s="5"/>
      <c r="BY13" s="5"/>
      <c r="BZ13" s="5"/>
      <c r="CA13" s="11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11"/>
      <c r="CO13" s="11"/>
      <c r="CP13" s="11"/>
      <c r="CQ13" s="11">
        <v>2</v>
      </c>
      <c r="CR13" s="5">
        <f>SUM(CM13:CQ13)</f>
        <v>2</v>
      </c>
      <c r="CS13" s="5">
        <f t="shared" si="3"/>
        <v>1</v>
      </c>
      <c r="CT13" s="11"/>
      <c r="CU13" s="11">
        <v>75</v>
      </c>
      <c r="CV13" s="11"/>
      <c r="CW13" s="43">
        <f>SUM(CS13:CU13)</f>
        <v>76</v>
      </c>
    </row>
    <row r="14" spans="1:101" x14ac:dyDescent="0.25">
      <c r="A14" s="46">
        <v>4</v>
      </c>
      <c r="B14" s="5" t="s">
        <v>93</v>
      </c>
      <c r="C14" s="5" t="s">
        <v>97</v>
      </c>
      <c r="D14" s="5" t="s">
        <v>94</v>
      </c>
      <c r="E14" s="5" t="s">
        <v>14</v>
      </c>
      <c r="F14" s="5"/>
      <c r="G14" s="5"/>
      <c r="H14" s="11">
        <v>4</v>
      </c>
      <c r="I14" s="11"/>
      <c r="J14" s="11"/>
      <c r="K14" s="11"/>
      <c r="L14" s="11"/>
      <c r="M14" s="11"/>
      <c r="N14" s="11"/>
      <c r="O14" s="11"/>
      <c r="P14" s="11"/>
      <c r="Q14" s="11"/>
      <c r="R14" s="6">
        <f>SUM(F14:Q14)</f>
        <v>4</v>
      </c>
      <c r="S14" s="5">
        <f>R14/2</f>
        <v>2</v>
      </c>
      <c r="T14" s="11"/>
      <c r="U14" s="5"/>
      <c r="V14" s="5"/>
      <c r="W14" s="5"/>
      <c r="X14" s="5"/>
      <c r="Y14" s="5"/>
      <c r="Z14" s="5">
        <v>44.8</v>
      </c>
      <c r="AA14" s="5"/>
      <c r="AB14" s="5"/>
      <c r="AC14" s="5">
        <v>36</v>
      </c>
      <c r="AD14" s="5"/>
      <c r="AE14" s="5">
        <v>36</v>
      </c>
      <c r="AF14" s="5"/>
      <c r="AG14" s="5"/>
      <c r="AH14" s="5"/>
      <c r="AI14" s="5"/>
      <c r="AJ14" s="5">
        <f>SUM(S14:AI14)</f>
        <v>118.8</v>
      </c>
      <c r="AK14" s="5">
        <f>(AJ14-S14)/2</f>
        <v>58.4</v>
      </c>
      <c r="AL14" s="5">
        <v>48</v>
      </c>
      <c r="AM14" s="5"/>
      <c r="AN14" s="5"/>
      <c r="AO14" s="5"/>
      <c r="AP14" s="5"/>
      <c r="AQ14" s="5"/>
      <c r="AR14" s="5">
        <v>75</v>
      </c>
      <c r="AS14" s="11"/>
      <c r="AT14" s="11"/>
      <c r="AU14" s="11"/>
      <c r="AV14" s="11"/>
      <c r="AW14" s="11">
        <v>39</v>
      </c>
      <c r="AX14" s="11"/>
      <c r="AY14" s="11"/>
      <c r="AZ14" s="11"/>
      <c r="BA14" s="11"/>
      <c r="BB14" s="11"/>
      <c r="BC14" s="11"/>
      <c r="BD14" s="11"/>
      <c r="BE14" s="11"/>
      <c r="BF14" s="5">
        <f>SUM(AK14:BE14)</f>
        <v>220.4</v>
      </c>
      <c r="BG14" s="5">
        <f>(BF14-AK14)/2</f>
        <v>81</v>
      </c>
      <c r="BH14" s="11"/>
      <c r="BI14" s="11"/>
      <c r="BJ14" s="11">
        <v>75</v>
      </c>
      <c r="BK14" s="11">
        <v>100</v>
      </c>
      <c r="BL14" s="11">
        <v>150</v>
      </c>
      <c r="BM14" s="11">
        <v>100</v>
      </c>
      <c r="BN14" s="5">
        <f t="shared" si="0"/>
        <v>506</v>
      </c>
      <c r="BO14" s="5">
        <f t="shared" si="1"/>
        <v>212.5</v>
      </c>
      <c r="BP14" s="11"/>
      <c r="BQ14" s="11"/>
      <c r="BR14" s="11"/>
      <c r="BS14" s="11"/>
      <c r="BT14" s="11"/>
      <c r="BU14" s="11"/>
      <c r="BV14" s="5">
        <f t="shared" si="2"/>
        <v>212.5</v>
      </c>
      <c r="BX14" s="5">
        <f>AJ14/4</f>
        <v>29.7</v>
      </c>
      <c r="BY14" s="5"/>
      <c r="BZ14" s="5"/>
      <c r="CA14" s="11"/>
      <c r="CB14" s="5">
        <f>SUM(BX14:BY14)</f>
        <v>29.7</v>
      </c>
      <c r="CC14" s="11">
        <f>(CB14)/2</f>
        <v>14.85</v>
      </c>
      <c r="CD14" s="11">
        <f>BF14/4</f>
        <v>55.1</v>
      </c>
      <c r="CE14" s="11"/>
      <c r="CF14" s="11"/>
      <c r="CG14" s="11"/>
      <c r="CH14" s="11"/>
      <c r="CI14" s="11"/>
      <c r="CJ14" s="11"/>
      <c r="CK14" s="11"/>
      <c r="CL14" s="11">
        <f>SUM(CC14:CK14)</f>
        <v>69.95</v>
      </c>
      <c r="CM14" s="5">
        <f>(CL14-CC14)/2</f>
        <v>27.55</v>
      </c>
      <c r="CN14" s="11">
        <v>30</v>
      </c>
      <c r="CO14" s="11"/>
      <c r="CP14" s="11"/>
      <c r="CQ14" s="11"/>
      <c r="CR14" s="5">
        <f>SUM(CM14:CO14)</f>
        <v>57.55</v>
      </c>
      <c r="CS14" s="5">
        <f t="shared" si="3"/>
        <v>14.999999999999998</v>
      </c>
      <c r="CT14" s="11"/>
      <c r="CU14" s="11"/>
      <c r="CV14" s="11"/>
      <c r="CW14" s="5">
        <f t="shared" ref="CW14:CW27" si="4">SUM(CS14:CT14)</f>
        <v>14.999999999999998</v>
      </c>
    </row>
    <row r="15" spans="1:101" x14ac:dyDescent="0.25">
      <c r="A15">
        <v>5</v>
      </c>
      <c r="B15" s="5" t="s">
        <v>35</v>
      </c>
      <c r="C15" s="5"/>
      <c r="D15" s="5" t="s">
        <v>335</v>
      </c>
      <c r="E15" s="5" t="s">
        <v>404</v>
      </c>
      <c r="F15" s="5"/>
      <c r="G15" s="5"/>
      <c r="H15" s="5"/>
      <c r="I15" s="5"/>
      <c r="J15" s="5"/>
      <c r="K15" s="5"/>
      <c r="L15" s="5"/>
      <c r="M15" s="5"/>
      <c r="N15" s="11"/>
      <c r="O15" s="11"/>
      <c r="P15" s="11"/>
      <c r="Q15" s="11"/>
      <c r="R15" s="5"/>
      <c r="S15" s="5"/>
      <c r="T15" s="11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5"/>
      <c r="BG15" s="5"/>
      <c r="BH15" s="11">
        <v>36</v>
      </c>
      <c r="BI15" s="11">
        <v>3.2</v>
      </c>
      <c r="BJ15" s="11">
        <v>7.5</v>
      </c>
      <c r="BK15" s="11"/>
      <c r="BL15" s="11"/>
      <c r="BM15" s="11"/>
      <c r="BN15" s="5">
        <f t="shared" si="0"/>
        <v>46.7</v>
      </c>
      <c r="BO15" s="5">
        <f t="shared" si="1"/>
        <v>23.35</v>
      </c>
      <c r="BP15" s="11">
        <v>48</v>
      </c>
      <c r="BQ15" s="11">
        <v>64</v>
      </c>
      <c r="BR15" s="11">
        <v>36</v>
      </c>
      <c r="BS15" s="11"/>
      <c r="BT15" s="11"/>
      <c r="BU15" s="11"/>
      <c r="BV15" s="5">
        <f t="shared" si="2"/>
        <v>171.35</v>
      </c>
      <c r="BX15" s="5"/>
      <c r="BY15" s="5"/>
      <c r="BZ15" s="5"/>
      <c r="CA15" s="11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11"/>
      <c r="CO15" s="11"/>
      <c r="CP15" s="11"/>
      <c r="CQ15" s="11"/>
      <c r="CR15" s="5">
        <f t="shared" ref="CR15:CR27" si="5">SUM(CM15:CQ15)</f>
        <v>0</v>
      </c>
      <c r="CS15" s="5">
        <f t="shared" si="3"/>
        <v>0</v>
      </c>
      <c r="CT15" s="11"/>
      <c r="CU15" s="11"/>
      <c r="CV15" s="11"/>
      <c r="CW15" s="5">
        <f t="shared" si="4"/>
        <v>0</v>
      </c>
    </row>
    <row r="16" spans="1:101" x14ac:dyDescent="0.25">
      <c r="A16">
        <v>6</v>
      </c>
      <c r="B16" s="5" t="s">
        <v>211</v>
      </c>
      <c r="C16" s="5"/>
      <c r="D16" s="5" t="s">
        <v>212</v>
      </c>
      <c r="E16" s="5" t="s">
        <v>15</v>
      </c>
      <c r="F16" s="5"/>
      <c r="G16" s="5"/>
      <c r="H16" s="5"/>
      <c r="I16" s="5"/>
      <c r="J16" s="5"/>
      <c r="K16" s="5"/>
      <c r="L16" s="5"/>
      <c r="M16" s="5"/>
      <c r="N16" s="11"/>
      <c r="O16" s="11"/>
      <c r="P16" s="11"/>
      <c r="Q16" s="11"/>
      <c r="R16" s="5"/>
      <c r="S16" s="5"/>
      <c r="T16" s="11"/>
      <c r="U16" s="5"/>
      <c r="V16" s="5">
        <v>70</v>
      </c>
      <c r="W16" s="5"/>
      <c r="X16" s="5"/>
      <c r="Y16" s="5">
        <v>48</v>
      </c>
      <c r="Z16" s="5"/>
      <c r="AA16" s="5">
        <v>36</v>
      </c>
      <c r="AB16" s="5">
        <v>2.4</v>
      </c>
      <c r="AC16" s="5"/>
      <c r="AD16" s="5"/>
      <c r="AE16" s="5">
        <v>5</v>
      </c>
      <c r="AF16" s="5"/>
      <c r="AG16" s="5"/>
      <c r="AH16" s="5"/>
      <c r="AI16" s="5"/>
      <c r="AJ16" s="5">
        <f>SUM(S16:AI16)</f>
        <v>161.4</v>
      </c>
      <c r="AK16" s="5">
        <f>(AJ16-S16)/2</f>
        <v>80.7</v>
      </c>
      <c r="AL16" s="5"/>
      <c r="AM16" s="5"/>
      <c r="AN16" s="5"/>
      <c r="AO16" s="5"/>
      <c r="AP16" s="5"/>
      <c r="AQ16" s="5"/>
      <c r="AR16" s="5"/>
      <c r="AS16" s="11">
        <v>5</v>
      </c>
      <c r="AT16" s="11"/>
      <c r="AU16" s="11"/>
      <c r="AV16" s="11"/>
      <c r="AW16" s="11"/>
      <c r="AX16" s="11"/>
      <c r="AY16" s="11"/>
      <c r="AZ16" s="11"/>
      <c r="BA16" s="11"/>
      <c r="BB16" s="11"/>
      <c r="BC16" s="11">
        <v>7.5</v>
      </c>
      <c r="BD16" s="11"/>
      <c r="BE16" s="11"/>
      <c r="BF16" s="5">
        <f>SUM(AK16:BE16)</f>
        <v>93.2</v>
      </c>
      <c r="BG16" s="5">
        <f>(BF16-AK16)/2</f>
        <v>6.25</v>
      </c>
      <c r="BH16" s="11">
        <v>36</v>
      </c>
      <c r="BI16" s="11">
        <v>48</v>
      </c>
      <c r="BJ16" s="11">
        <v>54</v>
      </c>
      <c r="BK16" s="11">
        <v>50</v>
      </c>
      <c r="BL16" s="11">
        <v>75</v>
      </c>
      <c r="BM16" s="11"/>
      <c r="BN16" s="5">
        <f t="shared" si="0"/>
        <v>269.25</v>
      </c>
      <c r="BO16" s="5">
        <f t="shared" si="1"/>
        <v>131.5</v>
      </c>
      <c r="BP16" s="11"/>
      <c r="BQ16" s="11"/>
      <c r="BR16" s="11"/>
      <c r="BS16" s="11"/>
      <c r="BT16" s="11"/>
      <c r="BU16" s="11"/>
      <c r="BV16" s="5">
        <f t="shared" si="2"/>
        <v>131.5</v>
      </c>
      <c r="BX16" s="5">
        <f>AJ16/4</f>
        <v>40.35</v>
      </c>
      <c r="BY16" s="5">
        <v>5</v>
      </c>
      <c r="BZ16" s="5"/>
      <c r="CA16" s="11"/>
      <c r="CB16" s="5">
        <f>SUM(BX16:BY16)</f>
        <v>45.35</v>
      </c>
      <c r="CC16" s="11">
        <f>(CB16)/2</f>
        <v>22.675000000000001</v>
      </c>
      <c r="CD16" s="11">
        <f>BF16/4</f>
        <v>23.3</v>
      </c>
      <c r="CE16" s="11"/>
      <c r="CF16" s="11"/>
      <c r="CG16" s="11"/>
      <c r="CH16" s="11"/>
      <c r="CI16" s="11"/>
      <c r="CJ16" s="11"/>
      <c r="CK16" s="11"/>
      <c r="CL16" s="11">
        <f>SUM(CC16:CK16)</f>
        <v>45.975000000000001</v>
      </c>
      <c r="CM16" s="5">
        <f>(CL16-CC16)/2</f>
        <v>11.65</v>
      </c>
      <c r="CN16" s="11">
        <v>12</v>
      </c>
      <c r="CO16" s="11"/>
      <c r="CP16" s="11"/>
      <c r="CQ16" s="11"/>
      <c r="CR16" s="5">
        <f t="shared" si="5"/>
        <v>23.65</v>
      </c>
      <c r="CS16" s="5">
        <f t="shared" si="3"/>
        <v>5.9999999999999991</v>
      </c>
      <c r="CT16" s="11"/>
      <c r="CU16" s="11"/>
      <c r="CV16" s="11"/>
      <c r="CW16" s="5">
        <f t="shared" si="4"/>
        <v>5.9999999999999991</v>
      </c>
    </row>
    <row r="17" spans="1:101" x14ac:dyDescent="0.25">
      <c r="A17">
        <v>7</v>
      </c>
      <c r="B17" s="5" t="s">
        <v>366</v>
      </c>
      <c r="C17" s="5"/>
      <c r="D17" s="5" t="s">
        <v>639</v>
      </c>
      <c r="E17" s="5" t="s">
        <v>75</v>
      </c>
      <c r="F17" s="5"/>
      <c r="G17" s="5"/>
      <c r="H17" s="5"/>
      <c r="I17" s="5"/>
      <c r="J17" s="5"/>
      <c r="K17" s="5"/>
      <c r="L17" s="5"/>
      <c r="M17" s="5"/>
      <c r="N17" s="11"/>
      <c r="O17" s="11"/>
      <c r="P17" s="11"/>
      <c r="Q17" s="11"/>
      <c r="R17" s="5"/>
      <c r="S17" s="5"/>
      <c r="T17" s="11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5"/>
      <c r="BG17" s="5"/>
      <c r="BH17" s="11"/>
      <c r="BI17" s="11"/>
      <c r="BJ17" s="11"/>
      <c r="BK17" s="11"/>
      <c r="BL17" s="11"/>
      <c r="BM17" s="11"/>
      <c r="BN17" s="5">
        <f t="shared" si="0"/>
        <v>0</v>
      </c>
      <c r="BO17" s="5">
        <f t="shared" si="1"/>
        <v>0</v>
      </c>
      <c r="BP17" s="11">
        <v>48</v>
      </c>
      <c r="BQ17" s="11">
        <v>3.2</v>
      </c>
      <c r="BR17" s="11">
        <v>60</v>
      </c>
      <c r="BS17" s="11"/>
      <c r="BT17" s="11"/>
      <c r="BU17" s="11"/>
      <c r="BV17" s="5">
        <f t="shared" si="2"/>
        <v>111.2</v>
      </c>
      <c r="BX17" s="5"/>
      <c r="BY17" s="5"/>
      <c r="BZ17" s="5"/>
      <c r="CA17" s="11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11"/>
      <c r="CO17" s="11"/>
      <c r="CP17" s="11"/>
      <c r="CQ17" s="11">
        <v>40</v>
      </c>
      <c r="CR17" s="5">
        <f t="shared" si="5"/>
        <v>40</v>
      </c>
      <c r="CS17" s="5">
        <f t="shared" si="3"/>
        <v>20</v>
      </c>
      <c r="CT17" s="11"/>
      <c r="CU17" s="11"/>
      <c r="CV17" s="11"/>
      <c r="CW17" s="5">
        <f t="shared" si="4"/>
        <v>20</v>
      </c>
    </row>
    <row r="18" spans="1:101" x14ac:dyDescent="0.25">
      <c r="A18">
        <v>8</v>
      </c>
      <c r="B18" s="5" t="s">
        <v>270</v>
      </c>
      <c r="C18" s="5"/>
      <c r="D18" s="5" t="s">
        <v>551</v>
      </c>
      <c r="E18" s="5" t="s">
        <v>24</v>
      </c>
      <c r="F18" s="5"/>
      <c r="G18" s="5"/>
      <c r="H18" s="5"/>
      <c r="I18" s="5"/>
      <c r="J18" s="5"/>
      <c r="K18" s="5"/>
      <c r="L18" s="5"/>
      <c r="M18" s="5"/>
      <c r="N18" s="11"/>
      <c r="O18" s="11"/>
      <c r="P18" s="11"/>
      <c r="Q18" s="11"/>
      <c r="R18" s="5"/>
      <c r="S18" s="5"/>
      <c r="T18" s="11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5"/>
      <c r="BG18" s="5"/>
      <c r="BH18" s="11"/>
      <c r="BI18" s="11"/>
      <c r="BJ18" s="11"/>
      <c r="BK18" s="11"/>
      <c r="BL18" s="11"/>
      <c r="BM18" s="11"/>
      <c r="BN18" s="5"/>
      <c r="BO18" s="5"/>
      <c r="BP18" s="11"/>
      <c r="BQ18" s="11"/>
      <c r="BR18" s="11">
        <v>105</v>
      </c>
      <c r="BS18" s="11"/>
      <c r="BT18" s="11"/>
      <c r="BU18" s="11"/>
      <c r="BV18" s="5">
        <f t="shared" si="2"/>
        <v>105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11"/>
      <c r="CO18" s="11"/>
      <c r="CP18" s="11"/>
      <c r="CQ18" s="11"/>
      <c r="CR18" s="5">
        <f t="shared" si="5"/>
        <v>0</v>
      </c>
      <c r="CS18" s="5">
        <f t="shared" si="3"/>
        <v>0</v>
      </c>
      <c r="CT18" s="11"/>
      <c r="CU18" s="11"/>
      <c r="CV18" s="11"/>
      <c r="CW18" s="5">
        <f t="shared" si="4"/>
        <v>0</v>
      </c>
    </row>
    <row r="19" spans="1:101" x14ac:dyDescent="0.25">
      <c r="A19">
        <v>9</v>
      </c>
      <c r="B19" s="5" t="s">
        <v>294</v>
      </c>
      <c r="C19" s="5"/>
      <c r="D19" s="5" t="s">
        <v>295</v>
      </c>
      <c r="E19" s="5" t="s">
        <v>663</v>
      </c>
      <c r="F19" s="5"/>
      <c r="G19" s="5"/>
      <c r="H19" s="5"/>
      <c r="I19" s="5"/>
      <c r="J19" s="5"/>
      <c r="K19" s="5"/>
      <c r="L19" s="5"/>
      <c r="M19" s="5"/>
      <c r="N19" s="11"/>
      <c r="O19" s="11"/>
      <c r="P19" s="11"/>
      <c r="Q19" s="11"/>
      <c r="R19" s="5"/>
      <c r="S19" s="5"/>
      <c r="T19" s="11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5"/>
      <c r="BG19" s="5"/>
      <c r="BH19" s="11"/>
      <c r="BI19" s="11"/>
      <c r="BJ19" s="11"/>
      <c r="BK19" s="11"/>
      <c r="BL19" s="11"/>
      <c r="BM19" s="11"/>
      <c r="BN19" s="5"/>
      <c r="BO19" s="5"/>
      <c r="BP19" s="11">
        <v>36</v>
      </c>
      <c r="BQ19" s="11"/>
      <c r="BR19" s="11">
        <v>54</v>
      </c>
      <c r="BS19" s="11"/>
      <c r="BT19" s="11"/>
      <c r="BU19" s="11"/>
      <c r="BV19" s="5">
        <f t="shared" si="2"/>
        <v>90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11"/>
      <c r="CO19" s="11"/>
      <c r="CP19" s="11"/>
      <c r="CQ19" s="11"/>
      <c r="CR19" s="5">
        <f t="shared" si="5"/>
        <v>0</v>
      </c>
      <c r="CS19" s="5">
        <f t="shared" si="3"/>
        <v>0</v>
      </c>
      <c r="CT19" s="11"/>
      <c r="CU19" s="11"/>
      <c r="CV19" s="11"/>
      <c r="CW19" s="5">
        <f t="shared" si="4"/>
        <v>0</v>
      </c>
    </row>
    <row r="20" spans="1:101" x14ac:dyDescent="0.25">
      <c r="A20">
        <v>10</v>
      </c>
      <c r="B20" s="5" t="s">
        <v>576</v>
      </c>
      <c r="C20" s="5"/>
      <c r="D20" s="5" t="s">
        <v>577</v>
      </c>
      <c r="E20" s="5" t="s">
        <v>636</v>
      </c>
      <c r="F20" s="5"/>
      <c r="G20" s="5"/>
      <c r="H20" s="5"/>
      <c r="I20" s="5"/>
      <c r="J20" s="5"/>
      <c r="K20" s="5"/>
      <c r="L20" s="5"/>
      <c r="M20" s="5"/>
      <c r="N20" s="11"/>
      <c r="O20" s="11"/>
      <c r="P20" s="11"/>
      <c r="Q20" s="11"/>
      <c r="R20" s="5"/>
      <c r="S20" s="5"/>
      <c r="T20" s="11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5"/>
      <c r="BG20" s="5"/>
      <c r="BH20" s="11"/>
      <c r="BI20" s="11">
        <v>48</v>
      </c>
      <c r="BJ20" s="11">
        <v>50</v>
      </c>
      <c r="BK20" s="11">
        <v>39</v>
      </c>
      <c r="BL20" s="11">
        <v>10</v>
      </c>
      <c r="BM20" s="11"/>
      <c r="BN20" s="5">
        <f>SUM(BG20:BM20)</f>
        <v>147</v>
      </c>
      <c r="BO20" s="5">
        <f>(BN20-BG20)/2</f>
        <v>73.5</v>
      </c>
      <c r="BP20" s="11">
        <v>2.4</v>
      </c>
      <c r="BQ20" s="11"/>
      <c r="BR20" s="11"/>
      <c r="BS20" s="11"/>
      <c r="BT20" s="11"/>
      <c r="BU20" s="11"/>
      <c r="BV20" s="5">
        <f t="shared" si="2"/>
        <v>75.900000000000006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11"/>
      <c r="CO20" s="11"/>
      <c r="CP20" s="11"/>
      <c r="CQ20" s="11"/>
      <c r="CR20" s="5">
        <f t="shared" si="5"/>
        <v>0</v>
      </c>
      <c r="CS20" s="5">
        <f t="shared" si="3"/>
        <v>0</v>
      </c>
      <c r="CT20" s="11"/>
      <c r="CU20" s="11"/>
      <c r="CV20" s="11"/>
      <c r="CW20" s="5">
        <f t="shared" si="4"/>
        <v>0</v>
      </c>
    </row>
    <row r="21" spans="1:101" x14ac:dyDescent="0.25">
      <c r="A21">
        <v>11</v>
      </c>
      <c r="B21" s="5" t="s">
        <v>245</v>
      </c>
      <c r="C21" s="5"/>
      <c r="D21" s="5" t="s">
        <v>246</v>
      </c>
      <c r="E21" s="5" t="s">
        <v>247</v>
      </c>
      <c r="F21" s="5"/>
      <c r="G21" s="5"/>
      <c r="H21" s="5"/>
      <c r="I21" s="5"/>
      <c r="J21" s="5"/>
      <c r="K21" s="5"/>
      <c r="L21" s="5"/>
      <c r="M21" s="5"/>
      <c r="N21" s="11"/>
      <c r="O21" s="11"/>
      <c r="P21" s="11"/>
      <c r="Q21" s="11"/>
      <c r="R21" s="5"/>
      <c r="S21" s="5"/>
      <c r="T21" s="11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11"/>
      <c r="AT21" s="11"/>
      <c r="AU21" s="11"/>
      <c r="AV21" s="11">
        <v>4</v>
      </c>
      <c r="AW21" s="11"/>
      <c r="AX21" s="11"/>
      <c r="AY21" s="11"/>
      <c r="AZ21" s="11"/>
      <c r="BA21" s="11"/>
      <c r="BB21" s="11"/>
      <c r="BC21" s="11"/>
      <c r="BD21" s="11"/>
      <c r="BE21" s="11"/>
      <c r="BF21" s="5">
        <f>SUM(AK21:BE21)</f>
        <v>4</v>
      </c>
      <c r="BG21" s="5">
        <f>(BF21-AK21)/2</f>
        <v>2</v>
      </c>
      <c r="BH21" s="11"/>
      <c r="BI21" s="11"/>
      <c r="BJ21" s="11">
        <v>105</v>
      </c>
      <c r="BK21" s="11">
        <v>5</v>
      </c>
      <c r="BL21" s="11"/>
      <c r="BM21" s="11"/>
      <c r="BN21" s="5">
        <f>SUM(BG21:BM21)</f>
        <v>112</v>
      </c>
      <c r="BO21" s="5">
        <f>(BN21-BG21)/2</f>
        <v>55</v>
      </c>
      <c r="BP21" s="11"/>
      <c r="BQ21" s="11"/>
      <c r="BR21" s="11"/>
      <c r="BS21" s="11"/>
      <c r="BT21" s="11"/>
      <c r="BU21" s="11"/>
      <c r="BV21" s="5">
        <f t="shared" si="2"/>
        <v>55</v>
      </c>
      <c r="CB21">
        <f>SUM(BX21:BY21)</f>
        <v>0</v>
      </c>
      <c r="CC21" s="7">
        <f>(CB21)/2</f>
        <v>0</v>
      </c>
      <c r="CD21" s="7">
        <f>BF21/4</f>
        <v>1</v>
      </c>
      <c r="CE21" s="7"/>
      <c r="CF21" s="7"/>
      <c r="CG21" s="7"/>
      <c r="CH21" s="7"/>
      <c r="CI21" s="7"/>
      <c r="CJ21" s="7"/>
      <c r="CK21" s="7"/>
      <c r="CL21" s="11">
        <f>SUM(CC21:CK21)</f>
        <v>1</v>
      </c>
      <c r="CM21" s="5">
        <f>(CL21-CC21)/2</f>
        <v>0.5</v>
      </c>
      <c r="CN21" s="11"/>
      <c r="CO21" s="11"/>
      <c r="CP21" s="11"/>
      <c r="CQ21" s="11">
        <v>28</v>
      </c>
      <c r="CR21" s="5">
        <f t="shared" si="5"/>
        <v>28.5</v>
      </c>
      <c r="CS21" s="5">
        <f t="shared" si="3"/>
        <v>14</v>
      </c>
      <c r="CT21" s="11"/>
      <c r="CU21" s="11"/>
      <c r="CV21" s="11"/>
      <c r="CW21" s="5">
        <f t="shared" si="4"/>
        <v>14</v>
      </c>
    </row>
    <row r="22" spans="1:101" x14ac:dyDescent="0.25">
      <c r="A22">
        <v>12</v>
      </c>
      <c r="B22" s="5" t="s">
        <v>413</v>
      </c>
      <c r="C22" s="5"/>
      <c r="D22" s="5" t="s">
        <v>139</v>
      </c>
      <c r="E22" s="5" t="s">
        <v>122</v>
      </c>
      <c r="F22" s="5"/>
      <c r="G22" s="5"/>
      <c r="H22" s="5"/>
      <c r="I22" s="5"/>
      <c r="J22" s="5"/>
      <c r="K22" s="5"/>
      <c r="L22" s="5"/>
      <c r="M22" s="5"/>
      <c r="N22" s="11"/>
      <c r="O22" s="11"/>
      <c r="P22" s="11"/>
      <c r="Q22" s="11"/>
      <c r="R22" s="5"/>
      <c r="S22" s="5"/>
      <c r="T22" s="11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5"/>
      <c r="BG22" s="5"/>
      <c r="BH22" s="11"/>
      <c r="BI22" s="11"/>
      <c r="BJ22" s="11"/>
      <c r="BK22" s="11"/>
      <c r="BL22" s="11"/>
      <c r="BM22" s="11"/>
      <c r="BN22" s="5"/>
      <c r="BO22" s="5"/>
      <c r="BP22" s="11"/>
      <c r="BQ22" s="11">
        <v>44.8</v>
      </c>
      <c r="BR22" s="11"/>
      <c r="BS22" s="11"/>
      <c r="BT22" s="11"/>
      <c r="BU22" s="11"/>
      <c r="BV22" s="5">
        <f t="shared" si="2"/>
        <v>44.8</v>
      </c>
      <c r="CR22" s="5">
        <f t="shared" si="5"/>
        <v>0</v>
      </c>
      <c r="CS22" s="5">
        <f t="shared" si="3"/>
        <v>0</v>
      </c>
      <c r="CT22" s="11"/>
      <c r="CU22" s="11"/>
      <c r="CV22" s="11"/>
      <c r="CW22" s="5">
        <f t="shared" si="4"/>
        <v>0</v>
      </c>
    </row>
    <row r="23" spans="1:101" x14ac:dyDescent="0.25">
      <c r="A23">
        <v>13</v>
      </c>
      <c r="B23" s="5" t="s">
        <v>38</v>
      </c>
      <c r="C23" s="5"/>
      <c r="D23" s="5" t="s">
        <v>656</v>
      </c>
      <c r="E23" s="5" t="s">
        <v>529</v>
      </c>
      <c r="F23" s="5"/>
      <c r="G23" s="5"/>
      <c r="H23" s="5"/>
      <c r="I23" s="5"/>
      <c r="J23" s="5"/>
      <c r="K23" s="5"/>
      <c r="L23" s="5"/>
      <c r="M23" s="5"/>
      <c r="N23" s="11"/>
      <c r="O23" s="11"/>
      <c r="P23" s="11"/>
      <c r="Q23" s="11"/>
      <c r="R23" s="5"/>
      <c r="S23" s="5"/>
      <c r="T23" s="11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5"/>
      <c r="BG23" s="5"/>
      <c r="BH23" s="11"/>
      <c r="BI23" s="11"/>
      <c r="BJ23" s="11"/>
      <c r="BK23" s="11"/>
      <c r="BL23" s="11"/>
      <c r="BM23" s="11"/>
      <c r="BN23" s="5"/>
      <c r="BO23" s="5"/>
      <c r="BP23" s="11">
        <v>33.6</v>
      </c>
      <c r="BQ23" s="11">
        <v>3.2</v>
      </c>
      <c r="BR23" s="11">
        <v>7.5</v>
      </c>
      <c r="BS23" s="11"/>
      <c r="BT23" s="11"/>
      <c r="BU23" s="11"/>
      <c r="BV23" s="5">
        <f t="shared" si="2"/>
        <v>44.300000000000004</v>
      </c>
      <c r="CR23" s="5">
        <f t="shared" si="5"/>
        <v>0</v>
      </c>
      <c r="CS23" s="5">
        <f t="shared" si="3"/>
        <v>0</v>
      </c>
      <c r="CT23" s="11"/>
      <c r="CU23" s="11"/>
      <c r="CV23" s="11"/>
      <c r="CW23" s="5">
        <f t="shared" si="4"/>
        <v>0</v>
      </c>
    </row>
    <row r="24" spans="1:101" x14ac:dyDescent="0.25">
      <c r="A24">
        <v>14</v>
      </c>
      <c r="B24" s="5" t="s">
        <v>733</v>
      </c>
      <c r="C24" s="5"/>
      <c r="D24" s="5" t="s">
        <v>734</v>
      </c>
      <c r="E24" s="5" t="s">
        <v>467</v>
      </c>
      <c r="F24" s="5"/>
      <c r="G24" s="5"/>
      <c r="H24" s="5"/>
      <c r="I24" s="5"/>
      <c r="J24" s="5"/>
      <c r="K24" s="5"/>
      <c r="L24" s="5"/>
      <c r="M24" s="5"/>
      <c r="N24" s="11"/>
      <c r="O24" s="11"/>
      <c r="P24" s="11"/>
      <c r="Q24" s="11"/>
      <c r="R24" s="5"/>
      <c r="S24" s="5"/>
      <c r="T24" s="11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5"/>
      <c r="BG24" s="5"/>
      <c r="BH24" s="11"/>
      <c r="BI24" s="11"/>
      <c r="BJ24" s="11"/>
      <c r="BK24" s="11"/>
      <c r="BL24" s="11"/>
      <c r="BM24" s="11"/>
      <c r="BN24" s="5"/>
      <c r="BO24" s="5"/>
      <c r="BP24" s="11">
        <v>36</v>
      </c>
      <c r="BQ24" s="11"/>
      <c r="BR24" s="11"/>
      <c r="BS24" s="11"/>
      <c r="BT24" s="11"/>
      <c r="BU24" s="11"/>
      <c r="BV24" s="5">
        <f t="shared" si="2"/>
        <v>36</v>
      </c>
      <c r="CR24" s="5">
        <f t="shared" si="5"/>
        <v>0</v>
      </c>
      <c r="CS24" s="5">
        <f t="shared" si="3"/>
        <v>0</v>
      </c>
      <c r="CT24" s="11"/>
      <c r="CU24" s="11"/>
      <c r="CV24" s="11"/>
      <c r="CW24" s="5">
        <f t="shared" si="4"/>
        <v>0</v>
      </c>
    </row>
    <row r="25" spans="1:101" x14ac:dyDescent="0.25">
      <c r="A25">
        <v>15</v>
      </c>
      <c r="B25" s="5" t="s">
        <v>57</v>
      </c>
      <c r="C25" s="5"/>
      <c r="D25" s="5" t="s">
        <v>696</v>
      </c>
      <c r="E25" s="5" t="s">
        <v>697</v>
      </c>
      <c r="F25" s="5"/>
      <c r="G25" s="5"/>
      <c r="H25" s="5"/>
      <c r="I25" s="5"/>
      <c r="J25" s="5"/>
      <c r="K25" s="5"/>
      <c r="L25" s="5"/>
      <c r="M25" s="5"/>
      <c r="N25" s="11"/>
      <c r="O25" s="11"/>
      <c r="P25" s="11"/>
      <c r="Q25" s="11"/>
      <c r="R25" s="5"/>
      <c r="S25" s="5"/>
      <c r="T25" s="11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5"/>
      <c r="BG25" s="5"/>
      <c r="BH25" s="11"/>
      <c r="BI25" s="11"/>
      <c r="BJ25" s="11"/>
      <c r="BK25" s="11"/>
      <c r="BL25" s="11"/>
      <c r="BM25" s="11"/>
      <c r="BN25" s="5"/>
      <c r="BO25" s="5"/>
      <c r="BP25" s="11">
        <v>36</v>
      </c>
      <c r="BQ25" s="11"/>
      <c r="BR25" s="11"/>
      <c r="BS25" s="11"/>
      <c r="BT25" s="11"/>
      <c r="BU25" s="11"/>
      <c r="BV25" s="5">
        <f t="shared" si="2"/>
        <v>36</v>
      </c>
      <c r="CR25" s="5">
        <f t="shared" si="5"/>
        <v>0</v>
      </c>
      <c r="CS25" s="5">
        <f t="shared" si="3"/>
        <v>0</v>
      </c>
      <c r="CT25" s="11"/>
      <c r="CU25" s="11"/>
      <c r="CV25" s="11"/>
      <c r="CW25" s="5">
        <f t="shared" si="4"/>
        <v>0</v>
      </c>
    </row>
    <row r="26" spans="1:101" x14ac:dyDescent="0.25">
      <c r="A26">
        <v>16</v>
      </c>
      <c r="B26" s="5" t="s">
        <v>555</v>
      </c>
      <c r="C26" s="5"/>
      <c r="D26" s="5" t="s">
        <v>300</v>
      </c>
      <c r="E26" s="5" t="s">
        <v>102</v>
      </c>
      <c r="F26" s="5"/>
      <c r="G26" s="5"/>
      <c r="H26" s="5"/>
      <c r="I26" s="5"/>
      <c r="J26" s="5"/>
      <c r="K26" s="5"/>
      <c r="L26" s="5"/>
      <c r="M26" s="5"/>
      <c r="N26" s="11"/>
      <c r="O26" s="11"/>
      <c r="P26" s="11"/>
      <c r="Q26" s="11"/>
      <c r="R26" s="5"/>
      <c r="S26" s="5"/>
      <c r="T26" s="11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5"/>
      <c r="BG26" s="5"/>
      <c r="BH26" s="11"/>
      <c r="BI26" s="11"/>
      <c r="BJ26" s="11">
        <v>54</v>
      </c>
      <c r="BK26" s="11"/>
      <c r="BL26" s="11"/>
      <c r="BM26" s="11"/>
      <c r="BN26" s="5">
        <f>SUM(BG26:BM26)</f>
        <v>54</v>
      </c>
      <c r="BO26" s="5">
        <f>(BN26-BG26)/2</f>
        <v>27</v>
      </c>
      <c r="BP26" s="11"/>
      <c r="BQ26" s="11"/>
      <c r="BR26" s="11"/>
      <c r="BS26" s="11"/>
      <c r="BT26" s="11"/>
      <c r="BU26" s="11"/>
      <c r="BV26" s="5">
        <f t="shared" si="2"/>
        <v>27</v>
      </c>
      <c r="CR26" s="5">
        <f t="shared" si="5"/>
        <v>0</v>
      </c>
      <c r="CS26" s="5">
        <f t="shared" si="3"/>
        <v>0</v>
      </c>
      <c r="CT26" s="11"/>
      <c r="CU26" s="11"/>
      <c r="CV26" s="11"/>
      <c r="CW26" s="5">
        <f t="shared" si="4"/>
        <v>0</v>
      </c>
    </row>
    <row r="27" spans="1:101" x14ac:dyDescent="0.25">
      <c r="A27">
        <v>17</v>
      </c>
      <c r="B27" s="5" t="s">
        <v>485</v>
      </c>
      <c r="C27" s="5"/>
      <c r="D27" s="5" t="s">
        <v>486</v>
      </c>
      <c r="E27" s="5" t="s">
        <v>138</v>
      </c>
      <c r="F27" s="5"/>
      <c r="G27" s="5"/>
      <c r="H27" s="5"/>
      <c r="I27" s="5"/>
      <c r="J27" s="5"/>
      <c r="K27" s="5"/>
      <c r="L27" s="5"/>
      <c r="M27" s="5"/>
      <c r="N27" s="11"/>
      <c r="O27" s="11"/>
      <c r="P27" s="11"/>
      <c r="Q27" s="11"/>
      <c r="R27" s="5"/>
      <c r="S27" s="5"/>
      <c r="T27" s="11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5"/>
      <c r="BG27" s="5"/>
      <c r="BH27" s="11">
        <v>36</v>
      </c>
      <c r="BI27" s="11"/>
      <c r="BJ27" s="11">
        <v>2.4</v>
      </c>
      <c r="BK27" s="11"/>
      <c r="BL27" s="11"/>
      <c r="BM27" s="11"/>
      <c r="BN27" s="5">
        <f>SUM(BG27:BM27)</f>
        <v>38.4</v>
      </c>
      <c r="BO27" s="5">
        <f>(BN27-BG27)/2</f>
        <v>19.2</v>
      </c>
      <c r="BP27" s="11"/>
      <c r="BQ27" s="11"/>
      <c r="BR27" s="11"/>
      <c r="BS27" s="11"/>
      <c r="BT27" s="11"/>
      <c r="BU27" s="11"/>
      <c r="BV27" s="5">
        <f t="shared" si="2"/>
        <v>19.2</v>
      </c>
      <c r="CN27" s="7">
        <v>18</v>
      </c>
      <c r="CR27" s="5">
        <f t="shared" si="5"/>
        <v>18</v>
      </c>
      <c r="CS27" s="5">
        <f t="shared" si="3"/>
        <v>9</v>
      </c>
      <c r="CT27" s="11"/>
      <c r="CU27" s="11"/>
      <c r="CV27" s="11"/>
      <c r="CW27" s="5">
        <f t="shared" si="4"/>
        <v>9</v>
      </c>
    </row>
  </sheetData>
  <sortState xmlns:xlrd2="http://schemas.microsoft.com/office/spreadsheetml/2017/richdata2" ref="B11:CW27">
    <sortCondition descending="1" ref="BV11:BV27"/>
  </sortState>
  <mergeCells count="6">
    <mergeCell ref="B1:CW1"/>
    <mergeCell ref="B8:C10"/>
    <mergeCell ref="BJ9:BM9"/>
    <mergeCell ref="BR9:BU9"/>
    <mergeCell ref="D4:BV5"/>
    <mergeCell ref="BX4:CW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19"/>
  <sheetViews>
    <sheetView zoomScale="82" zoomScaleNormal="80" workbookViewId="0">
      <selection activeCell="BD26" sqref="BD26"/>
    </sheetView>
  </sheetViews>
  <sheetFormatPr baseColWidth="10" defaultRowHeight="15" x14ac:dyDescent="0.25"/>
  <cols>
    <col min="1" max="1" width="3" bestFit="1" customWidth="1"/>
    <col min="2" max="2" width="13.140625" bestFit="1" customWidth="1"/>
    <col min="4" max="4" width="14.7109375" customWidth="1"/>
    <col min="5" max="5" width="15" bestFit="1" customWidth="1"/>
    <col min="6" max="6" width="6.7109375" hidden="1" customWidth="1"/>
    <col min="7" max="8" width="6.42578125" hidden="1" customWidth="1"/>
    <col min="9" max="9" width="7.28515625" hidden="1" customWidth="1"/>
    <col min="10" max="10" width="7.28515625" style="7" hidden="1" customWidth="1"/>
    <col min="11" max="12" width="6.28515625" style="7" hidden="1" customWidth="1"/>
    <col min="13" max="13" width="6" style="7" hidden="1" customWidth="1"/>
    <col min="14" max="14" width="6.7109375" style="7" hidden="1" customWidth="1"/>
    <col min="15" max="17" width="7.28515625" style="7" hidden="1" customWidth="1"/>
    <col min="18" max="18" width="0" hidden="1" customWidth="1"/>
    <col min="19" max="19" width="7.140625" hidden="1" customWidth="1"/>
    <col min="20" max="26" width="5.5703125" hidden="1" customWidth="1"/>
    <col min="27" max="27" width="6.28515625" hidden="1" customWidth="1"/>
    <col min="28" max="28" width="6.85546875" hidden="1" customWidth="1"/>
    <col min="29" max="30" width="5.5703125" hidden="1" customWidth="1"/>
    <col min="31" max="40" width="5.5703125" style="7" hidden="1" customWidth="1"/>
    <col min="41" max="41" width="6.28515625" hidden="1" customWidth="1"/>
    <col min="42" max="42" width="7.5703125" hidden="1" customWidth="1"/>
    <col min="43" max="43" width="6.28515625" hidden="1" customWidth="1"/>
    <col min="44" max="44" width="6.28515625" style="7" hidden="1" customWidth="1"/>
    <col min="45" max="45" width="6.5703125" style="7" hidden="1" customWidth="1"/>
    <col min="46" max="48" width="6.28515625" style="7" hidden="1" customWidth="1"/>
    <col min="49" max="49" width="6.7109375" bestFit="1" customWidth="1"/>
    <col min="50" max="50" width="7.5703125" bestFit="1" customWidth="1"/>
    <col min="51" max="53" width="6.28515625" style="7" customWidth="1"/>
    <col min="54" max="58" width="6.28515625" customWidth="1"/>
    <col min="59" max="59" width="11" hidden="1" customWidth="1"/>
    <col min="60" max="60" width="6.5703125" hidden="1" customWidth="1"/>
    <col min="61" max="61" width="6.7109375" hidden="1" customWidth="1"/>
    <col min="62" max="62" width="7.7109375" hidden="1" customWidth="1"/>
    <col min="63" max="63" width="6.28515625" hidden="1" customWidth="1"/>
    <col min="64" max="66" width="0" hidden="1" customWidth="1"/>
    <col min="67" max="67" width="6.5703125" hidden="1" customWidth="1"/>
    <col min="68" max="68" width="0" hidden="1" customWidth="1"/>
    <col min="69" max="69" width="8" style="7" hidden="1" customWidth="1"/>
    <col min="70" max="70" width="5" style="7" hidden="1" customWidth="1"/>
    <col min="71" max="71" width="5.5703125" style="7" hidden="1" customWidth="1"/>
    <col min="74" max="74" width="5.85546875" customWidth="1"/>
  </cols>
  <sheetData>
    <row r="1" spans="1:75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</row>
    <row r="2" spans="1:75" ht="15.75" thickBot="1" x14ac:dyDescent="0.3">
      <c r="C2" s="7"/>
      <c r="D2" s="7"/>
      <c r="E2" s="7"/>
      <c r="F2" s="7"/>
    </row>
    <row r="3" spans="1:75" ht="15.75" thickTop="1" x14ac:dyDescent="0.25">
      <c r="B3" s="1" t="s">
        <v>0</v>
      </c>
      <c r="C3" s="4" t="s">
        <v>29</v>
      </c>
    </row>
    <row r="4" spans="1:75" ht="14.65" customHeight="1" x14ac:dyDescent="0.25">
      <c r="B4" s="2" t="s">
        <v>1</v>
      </c>
      <c r="C4" s="10" t="s">
        <v>7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30"/>
      <c r="BG4" s="56" t="s">
        <v>641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</row>
    <row r="5" spans="1:75" ht="15" customHeight="1" thickBot="1" x14ac:dyDescent="0.3">
      <c r="B5" s="3" t="s">
        <v>2</v>
      </c>
      <c r="C5" s="34">
        <v>-78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30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</row>
    <row r="6" spans="1:75" ht="15.75" thickTop="1" x14ac:dyDescent="0.25"/>
    <row r="7" spans="1:75" ht="15.75" thickBot="1" x14ac:dyDescent="0.3"/>
    <row r="8" spans="1:75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31</v>
      </c>
      <c r="H8" s="4" t="s">
        <v>72</v>
      </c>
      <c r="I8" s="4" t="s">
        <v>99</v>
      </c>
      <c r="J8" s="4" t="s">
        <v>27</v>
      </c>
      <c r="K8" s="4" t="s">
        <v>132</v>
      </c>
      <c r="L8" s="4" t="s">
        <v>141</v>
      </c>
      <c r="M8" s="4" t="s">
        <v>146</v>
      </c>
      <c r="N8" s="4" t="s">
        <v>27</v>
      </c>
      <c r="O8" s="4" t="s">
        <v>168</v>
      </c>
      <c r="P8" s="4" t="s">
        <v>171</v>
      </c>
      <c r="Q8" s="4" t="s">
        <v>173</v>
      </c>
      <c r="R8" s="1"/>
      <c r="S8" s="12">
        <v>44927</v>
      </c>
      <c r="T8" s="17" t="s">
        <v>173</v>
      </c>
      <c r="U8" s="17" t="s">
        <v>27</v>
      </c>
      <c r="V8" s="17" t="s">
        <v>173</v>
      </c>
      <c r="W8" s="17" t="s">
        <v>173</v>
      </c>
      <c r="X8" s="17" t="s">
        <v>27</v>
      </c>
      <c r="Y8" s="16" t="s">
        <v>27</v>
      </c>
      <c r="Z8" s="17" t="s">
        <v>174</v>
      </c>
      <c r="AA8" s="4" t="s">
        <v>6</v>
      </c>
      <c r="AB8" s="16">
        <v>45292</v>
      </c>
      <c r="AC8" s="16" t="s">
        <v>27</v>
      </c>
      <c r="AD8" s="16" t="s">
        <v>27</v>
      </c>
      <c r="AE8" s="16" t="s">
        <v>173</v>
      </c>
      <c r="AF8" s="16" t="s">
        <v>173</v>
      </c>
      <c r="AG8" s="16" t="s">
        <v>217</v>
      </c>
      <c r="AH8" s="16" t="s">
        <v>217</v>
      </c>
      <c r="AI8" s="16" t="s">
        <v>173</v>
      </c>
      <c r="AJ8" s="16" t="s">
        <v>27</v>
      </c>
      <c r="AK8" s="16" t="s">
        <v>27</v>
      </c>
      <c r="AL8" s="16" t="s">
        <v>173</v>
      </c>
      <c r="AM8" s="16" t="s">
        <v>471</v>
      </c>
      <c r="AN8" s="16" t="s">
        <v>174</v>
      </c>
      <c r="AO8" s="16" t="s">
        <v>6</v>
      </c>
      <c r="AP8" s="16">
        <v>45658</v>
      </c>
      <c r="AQ8" s="16"/>
      <c r="AR8" s="16"/>
      <c r="AS8" s="38"/>
      <c r="AT8" s="39"/>
      <c r="AU8" s="39"/>
      <c r="AV8" s="40"/>
      <c r="AW8" s="16" t="s">
        <v>6</v>
      </c>
      <c r="AX8" s="16">
        <v>46023</v>
      </c>
      <c r="AY8" s="16"/>
      <c r="AZ8" s="16"/>
      <c r="BA8" s="38"/>
      <c r="BB8" s="39"/>
      <c r="BC8" s="39"/>
      <c r="BD8" s="40"/>
      <c r="BE8" s="16" t="s">
        <v>178</v>
      </c>
      <c r="BF8" s="32"/>
      <c r="BG8" s="1" t="s">
        <v>175</v>
      </c>
      <c r="BH8" s="1" t="s">
        <v>214</v>
      </c>
      <c r="BI8" s="1" t="s">
        <v>171</v>
      </c>
      <c r="BJ8" s="17" t="s">
        <v>262</v>
      </c>
      <c r="BK8" s="17" t="s">
        <v>275</v>
      </c>
      <c r="BL8" s="1" t="s">
        <v>178</v>
      </c>
      <c r="BM8" s="16">
        <v>45292</v>
      </c>
      <c r="BN8" s="4" t="s">
        <v>175</v>
      </c>
      <c r="BO8" s="4" t="s">
        <v>296</v>
      </c>
      <c r="BP8" s="1" t="s">
        <v>6</v>
      </c>
      <c r="BQ8" s="16">
        <v>45658</v>
      </c>
      <c r="BR8" s="4" t="s">
        <v>296</v>
      </c>
      <c r="BS8" s="4" t="s">
        <v>31</v>
      </c>
      <c r="BT8" s="4" t="s">
        <v>178</v>
      </c>
      <c r="BU8" s="16">
        <v>46023</v>
      </c>
      <c r="BV8" s="4" t="s">
        <v>721</v>
      </c>
      <c r="BW8" s="1" t="s">
        <v>6</v>
      </c>
    </row>
    <row r="9" spans="1:75" x14ac:dyDescent="0.25">
      <c r="B9" s="50"/>
      <c r="C9" s="51"/>
      <c r="D9" s="2"/>
      <c r="E9" s="2"/>
      <c r="F9" s="10" t="s">
        <v>73</v>
      </c>
      <c r="G9" s="8" t="s">
        <v>32</v>
      </c>
      <c r="H9" s="10" t="s">
        <v>73</v>
      </c>
      <c r="I9" s="10" t="s">
        <v>100</v>
      </c>
      <c r="J9" s="10" t="s">
        <v>130</v>
      </c>
      <c r="K9" s="10" t="s">
        <v>133</v>
      </c>
      <c r="L9" s="10" t="s">
        <v>140</v>
      </c>
      <c r="M9" s="10" t="s">
        <v>73</v>
      </c>
      <c r="N9" s="10" t="s">
        <v>159</v>
      </c>
      <c r="O9" s="10" t="s">
        <v>169</v>
      </c>
      <c r="P9" s="10" t="s">
        <v>172</v>
      </c>
      <c r="Q9" s="10" t="s">
        <v>174</v>
      </c>
      <c r="R9" s="2" t="s">
        <v>6</v>
      </c>
      <c r="S9" s="2"/>
      <c r="T9" s="18" t="s">
        <v>134</v>
      </c>
      <c r="U9" s="18" t="s">
        <v>128</v>
      </c>
      <c r="V9" s="18" t="s">
        <v>132</v>
      </c>
      <c r="W9" s="18" t="s">
        <v>141</v>
      </c>
      <c r="X9" s="18" t="s">
        <v>128</v>
      </c>
      <c r="Y9" s="10" t="s">
        <v>28</v>
      </c>
      <c r="Z9" s="18"/>
      <c r="AA9" s="2"/>
      <c r="AB9" s="10"/>
      <c r="AC9" s="10" t="s">
        <v>128</v>
      </c>
      <c r="AD9" s="10" t="s">
        <v>28</v>
      </c>
      <c r="AE9" s="10" t="s">
        <v>132</v>
      </c>
      <c r="AF9" s="10" t="s">
        <v>396</v>
      </c>
      <c r="AG9" s="10" t="s">
        <v>134</v>
      </c>
      <c r="AH9" s="10" t="s">
        <v>132</v>
      </c>
      <c r="AI9" s="10" t="s">
        <v>134</v>
      </c>
      <c r="AJ9" s="10" t="s">
        <v>28</v>
      </c>
      <c r="AK9" s="10" t="s">
        <v>128</v>
      </c>
      <c r="AL9" s="10" t="s">
        <v>141</v>
      </c>
      <c r="AM9" s="10" t="s">
        <v>346</v>
      </c>
      <c r="AN9" s="10" t="s">
        <v>475</v>
      </c>
      <c r="AO9" s="10"/>
      <c r="AP9" s="10"/>
      <c r="AQ9" s="8" t="s">
        <v>27</v>
      </c>
      <c r="AR9" s="8" t="s">
        <v>217</v>
      </c>
      <c r="AS9" s="52" t="s">
        <v>477</v>
      </c>
      <c r="AT9" s="53"/>
      <c r="AU9" s="53"/>
      <c r="AV9" s="54"/>
      <c r="AW9" s="10"/>
      <c r="AX9" s="10"/>
      <c r="AY9" s="8" t="s">
        <v>27</v>
      </c>
      <c r="AZ9" s="8" t="s">
        <v>217</v>
      </c>
      <c r="BA9" s="52" t="s">
        <v>477</v>
      </c>
      <c r="BB9" s="53"/>
      <c r="BC9" s="53"/>
      <c r="BD9" s="54"/>
      <c r="BE9" s="8"/>
      <c r="BF9" s="7"/>
      <c r="BG9" s="2" t="s">
        <v>176</v>
      </c>
      <c r="BH9" s="2"/>
      <c r="BI9" s="2" t="s">
        <v>255</v>
      </c>
      <c r="BJ9" s="18" t="s">
        <v>263</v>
      </c>
      <c r="BK9" s="18" t="s">
        <v>276</v>
      </c>
      <c r="BL9" s="2"/>
      <c r="BM9" s="7"/>
      <c r="BN9" s="10" t="s">
        <v>176</v>
      </c>
      <c r="BO9" s="10"/>
      <c r="BP9" s="2"/>
      <c r="BQ9" s="10"/>
      <c r="BR9" s="10"/>
      <c r="BS9" s="10" t="s">
        <v>419</v>
      </c>
      <c r="BT9" s="10"/>
      <c r="BU9" s="10"/>
      <c r="BV9" s="10" t="s">
        <v>32</v>
      </c>
      <c r="BW9" s="2"/>
    </row>
    <row r="10" spans="1:75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44661</v>
      </c>
      <c r="H10" s="9">
        <v>44681</v>
      </c>
      <c r="I10" s="9">
        <v>44695</v>
      </c>
      <c r="J10" s="9">
        <v>44709</v>
      </c>
      <c r="K10" s="9">
        <v>44730</v>
      </c>
      <c r="L10" s="9">
        <v>44737</v>
      </c>
      <c r="M10" s="9">
        <v>44758</v>
      </c>
      <c r="N10" s="9">
        <v>44800</v>
      </c>
      <c r="O10" s="9">
        <v>44829</v>
      </c>
      <c r="P10" s="9">
        <v>44867</v>
      </c>
      <c r="Q10" s="9">
        <v>44906</v>
      </c>
      <c r="R10" s="2">
        <v>2022</v>
      </c>
      <c r="S10" s="2"/>
      <c r="T10" s="18" t="s">
        <v>193</v>
      </c>
      <c r="U10" s="18" t="s">
        <v>240</v>
      </c>
      <c r="V10" s="18" t="s">
        <v>242</v>
      </c>
      <c r="W10" s="18" t="s">
        <v>268</v>
      </c>
      <c r="X10" s="18" t="s">
        <v>277</v>
      </c>
      <c r="Y10" s="10" t="s">
        <v>280</v>
      </c>
      <c r="Z10" s="18" t="s">
        <v>289</v>
      </c>
      <c r="AA10" s="2">
        <v>2023</v>
      </c>
      <c r="AB10" s="31"/>
      <c r="AC10" s="31" t="s">
        <v>317</v>
      </c>
      <c r="AD10" s="31" t="s">
        <v>317</v>
      </c>
      <c r="AE10" s="31" t="s">
        <v>384</v>
      </c>
      <c r="AF10" s="31" t="s">
        <v>397</v>
      </c>
      <c r="AG10" s="31" t="s">
        <v>405</v>
      </c>
      <c r="AH10" s="31" t="s">
        <v>405</v>
      </c>
      <c r="AI10" s="31" t="s">
        <v>421</v>
      </c>
      <c r="AJ10" s="31" t="s">
        <v>455</v>
      </c>
      <c r="AK10" s="31" t="s">
        <v>456</v>
      </c>
      <c r="AL10" s="31" t="s">
        <v>465</v>
      </c>
      <c r="AM10" s="31" t="s">
        <v>472</v>
      </c>
      <c r="AN10" s="31" t="s">
        <v>476</v>
      </c>
      <c r="AO10" s="31">
        <v>2024</v>
      </c>
      <c r="AP10" s="10"/>
      <c r="AQ10" s="10"/>
      <c r="AR10" s="10"/>
      <c r="AS10" s="10">
        <v>1</v>
      </c>
      <c r="AT10" s="10">
        <v>2</v>
      </c>
      <c r="AU10" s="10">
        <v>3</v>
      </c>
      <c r="AV10" s="10">
        <v>4</v>
      </c>
      <c r="AW10" s="10">
        <v>2025</v>
      </c>
      <c r="AX10" s="10"/>
      <c r="AY10" s="10"/>
      <c r="AZ10" s="10"/>
      <c r="BA10" s="10">
        <v>1</v>
      </c>
      <c r="BB10" s="10">
        <v>2</v>
      </c>
      <c r="BC10" s="10">
        <v>3</v>
      </c>
      <c r="BD10" s="10">
        <v>4</v>
      </c>
      <c r="BE10" s="10">
        <v>2026</v>
      </c>
      <c r="BF10" s="7"/>
      <c r="BG10" s="2"/>
      <c r="BH10" s="14">
        <v>45078</v>
      </c>
      <c r="BI10" s="14">
        <v>45154</v>
      </c>
      <c r="BJ10" s="26">
        <v>45178</v>
      </c>
      <c r="BK10" s="27">
        <v>45204</v>
      </c>
      <c r="BL10" s="2">
        <v>2023</v>
      </c>
      <c r="BM10" s="7"/>
      <c r="BN10" s="10"/>
      <c r="BO10" s="9">
        <v>45347</v>
      </c>
      <c r="BP10" s="2">
        <v>2024</v>
      </c>
      <c r="BQ10" s="10"/>
      <c r="BR10" s="10" t="s">
        <v>480</v>
      </c>
      <c r="BS10" s="10" t="s">
        <v>527</v>
      </c>
      <c r="BT10" s="10">
        <v>2025</v>
      </c>
      <c r="BU10" s="10"/>
      <c r="BV10" s="10" t="s">
        <v>722</v>
      </c>
      <c r="BW10" s="2">
        <v>2026</v>
      </c>
    </row>
    <row r="11" spans="1:75" x14ac:dyDescent="0.25">
      <c r="A11">
        <v>1</v>
      </c>
      <c r="B11" s="20" t="s">
        <v>658</v>
      </c>
      <c r="C11" s="20"/>
      <c r="D11" s="20" t="s">
        <v>246</v>
      </c>
      <c r="E11" s="20" t="s">
        <v>131</v>
      </c>
      <c r="F11" s="5"/>
      <c r="G11" s="5"/>
      <c r="H11" s="5"/>
      <c r="I11" s="5"/>
      <c r="J11" s="11"/>
      <c r="K11" s="11"/>
      <c r="L11" s="11"/>
      <c r="M11" s="11"/>
      <c r="N11" s="11"/>
      <c r="O11" s="11"/>
      <c r="P11" s="11"/>
      <c r="Q11" s="11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5"/>
      <c r="AP11" s="5"/>
      <c r="AQ11" s="5"/>
      <c r="AR11" s="11"/>
      <c r="AS11" s="11"/>
      <c r="AT11" s="11"/>
      <c r="AU11" s="11"/>
      <c r="AV11" s="11"/>
      <c r="AW11" s="5"/>
      <c r="AX11" s="5"/>
      <c r="AY11" s="11">
        <v>36</v>
      </c>
      <c r="AZ11" s="11">
        <v>48</v>
      </c>
      <c r="BA11" s="11">
        <v>90</v>
      </c>
      <c r="BB11" s="5">
        <v>36</v>
      </c>
      <c r="BC11" s="5"/>
      <c r="BD11" s="5"/>
      <c r="BE11" s="11">
        <f t="shared" ref="BE11:BE19" si="0">SUM(AX11:BD11)</f>
        <v>210</v>
      </c>
      <c r="BG11" s="5"/>
      <c r="BH11" s="5"/>
      <c r="BI11" s="5"/>
      <c r="BJ11" s="5"/>
      <c r="BK11" s="5"/>
      <c r="BL11" s="5"/>
      <c r="BM11" s="5"/>
      <c r="BN11" s="5"/>
      <c r="BO11" s="36"/>
      <c r="BP11" s="5"/>
      <c r="BQ11" s="11"/>
      <c r="BR11" s="11"/>
      <c r="BS11" s="11"/>
      <c r="BT11" s="5">
        <f t="shared" ref="BT11:BT19" si="1">SUM(BQ11:BS11)</f>
        <v>0</v>
      </c>
      <c r="BU11" s="5">
        <f t="shared" ref="BU11:BU19" si="2">(BT11-BQ11)/2</f>
        <v>0</v>
      </c>
      <c r="BV11" s="5">
        <v>75</v>
      </c>
      <c r="BW11" s="42">
        <f t="shared" ref="BW11:BW19" si="3">SUM(BU11:BV11)</f>
        <v>75</v>
      </c>
    </row>
    <row r="12" spans="1:75" x14ac:dyDescent="0.25">
      <c r="A12">
        <v>2</v>
      </c>
      <c r="B12" s="5" t="s">
        <v>367</v>
      </c>
      <c r="C12" s="5" t="s">
        <v>59</v>
      </c>
      <c r="D12" s="5" t="s">
        <v>65</v>
      </c>
      <c r="E12" s="5" t="s">
        <v>420</v>
      </c>
      <c r="F12" s="5"/>
      <c r="G12" s="5"/>
      <c r="H12" s="5"/>
      <c r="I12" s="5"/>
      <c r="J12" s="11"/>
      <c r="K12" s="11"/>
      <c r="L12" s="11"/>
      <c r="M12" s="11"/>
      <c r="N12" s="11"/>
      <c r="O12" s="11"/>
      <c r="P12" s="11"/>
      <c r="Q12" s="11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36</v>
      </c>
      <c r="AD12" s="5"/>
      <c r="AE12" s="11"/>
      <c r="AF12" s="11"/>
      <c r="AG12" s="11">
        <v>48</v>
      </c>
      <c r="AH12" s="11"/>
      <c r="AI12" s="11">
        <v>6</v>
      </c>
      <c r="AJ12" s="11"/>
      <c r="AK12" s="11">
        <v>36</v>
      </c>
      <c r="AL12" s="11"/>
      <c r="AM12" s="11"/>
      <c r="AN12" s="11"/>
      <c r="AO12" s="11">
        <f>SUM(AB12:AM12)</f>
        <v>126</v>
      </c>
      <c r="AP12" s="11">
        <f>(AO12-AB12)/2</f>
        <v>63</v>
      </c>
      <c r="AQ12" s="11">
        <v>48</v>
      </c>
      <c r="AR12" s="11">
        <v>48</v>
      </c>
      <c r="AS12" s="11">
        <v>6</v>
      </c>
      <c r="AT12" s="11">
        <v>3.2</v>
      </c>
      <c r="AU12" s="11">
        <v>6</v>
      </c>
      <c r="AV12" s="11"/>
      <c r="AW12" s="11">
        <f>SUM(AP12:AV12)</f>
        <v>174.2</v>
      </c>
      <c r="AX12" s="11">
        <f>(AW12-AP12)/2</f>
        <v>55.599999999999994</v>
      </c>
      <c r="AY12" s="11">
        <v>36</v>
      </c>
      <c r="AZ12" s="11">
        <v>64</v>
      </c>
      <c r="BA12" s="11">
        <v>36</v>
      </c>
      <c r="BB12" s="11"/>
      <c r="BC12" s="11"/>
      <c r="BD12" s="11"/>
      <c r="BE12" s="11">
        <f t="shared" si="0"/>
        <v>191.6</v>
      </c>
      <c r="BF12" s="7"/>
      <c r="BG12" s="5"/>
      <c r="BH12" s="5"/>
      <c r="BI12" s="5"/>
      <c r="BJ12" s="5"/>
      <c r="BK12" s="5"/>
      <c r="BL12" s="5">
        <f>SUM(BG12:BH12)</f>
        <v>0</v>
      </c>
      <c r="BM12" s="11">
        <f>(BL12)/2</f>
        <v>0</v>
      </c>
      <c r="BN12" s="11">
        <f>AO12/4</f>
        <v>31.5</v>
      </c>
      <c r="BO12" s="36"/>
      <c r="BP12" s="11">
        <f>SUM(BM12:BO12)</f>
        <v>31.5</v>
      </c>
      <c r="BQ12" s="11">
        <f>(BP12-BM12)/2</f>
        <v>15.75</v>
      </c>
      <c r="BR12" s="11"/>
      <c r="BS12" s="11"/>
      <c r="BT12" s="5">
        <f t="shared" si="1"/>
        <v>15.75</v>
      </c>
      <c r="BU12" s="5">
        <f t="shared" si="2"/>
        <v>0</v>
      </c>
      <c r="BV12" s="5"/>
      <c r="BW12" s="5">
        <f t="shared" si="3"/>
        <v>0</v>
      </c>
    </row>
    <row r="13" spans="1:75" x14ac:dyDescent="0.25">
      <c r="A13">
        <v>3</v>
      </c>
      <c r="B13" s="5" t="s">
        <v>297</v>
      </c>
      <c r="C13" s="5"/>
      <c r="D13" s="5" t="s">
        <v>298</v>
      </c>
      <c r="E13" s="5" t="s">
        <v>8</v>
      </c>
      <c r="F13" s="5"/>
      <c r="G13" s="5"/>
      <c r="H13" s="5"/>
      <c r="I13" s="5"/>
      <c r="J13" s="11"/>
      <c r="K13" s="11"/>
      <c r="L13" s="11"/>
      <c r="M13" s="11"/>
      <c r="N13" s="11"/>
      <c r="O13" s="11"/>
      <c r="P13" s="11"/>
      <c r="Q13" s="11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11"/>
      <c r="AF13" s="11"/>
      <c r="AG13" s="11"/>
      <c r="AH13" s="11">
        <v>48</v>
      </c>
      <c r="AI13" s="11">
        <v>120</v>
      </c>
      <c r="AJ13" s="11">
        <v>36</v>
      </c>
      <c r="AK13" s="11"/>
      <c r="AL13" s="11">
        <v>120</v>
      </c>
      <c r="AM13" s="11"/>
      <c r="AN13" s="11">
        <v>120</v>
      </c>
      <c r="AO13" s="11">
        <f>SUM(AB13:AN13)</f>
        <v>444</v>
      </c>
      <c r="AP13" s="11">
        <f>(AO13-AB13)/2</f>
        <v>222</v>
      </c>
      <c r="AQ13" s="11"/>
      <c r="AR13" s="11"/>
      <c r="AS13" s="11">
        <v>120</v>
      </c>
      <c r="AT13" s="11">
        <v>160</v>
      </c>
      <c r="AU13" s="11"/>
      <c r="AV13" s="11"/>
      <c r="AW13" s="11">
        <f>SUM(AP13:AV13)</f>
        <v>502</v>
      </c>
      <c r="AX13" s="11">
        <f>(AW13-AP13)/2</f>
        <v>140</v>
      </c>
      <c r="AY13" s="11"/>
      <c r="AZ13" s="11"/>
      <c r="BA13" s="11"/>
      <c r="BB13" s="11"/>
      <c r="BC13" s="11"/>
      <c r="BD13" s="11"/>
      <c r="BE13" s="11">
        <f t="shared" si="0"/>
        <v>140</v>
      </c>
      <c r="BF13" s="7"/>
      <c r="BG13" s="5"/>
      <c r="BH13" s="5"/>
      <c r="BI13" s="5"/>
      <c r="BJ13" s="5"/>
      <c r="BK13" s="5"/>
      <c r="BL13" s="5">
        <f>SUM(BG13:BH13)</f>
        <v>0</v>
      </c>
      <c r="BM13" s="11">
        <f>(BL13)/2</f>
        <v>0</v>
      </c>
      <c r="BN13" s="11">
        <f>AO13/4</f>
        <v>111</v>
      </c>
      <c r="BO13" s="36">
        <v>1.25</v>
      </c>
      <c r="BP13" s="11">
        <f>SUM(BM13:BO13)</f>
        <v>112.25</v>
      </c>
      <c r="BQ13" s="11">
        <f>(BP13-BM13)/2</f>
        <v>56.125</v>
      </c>
      <c r="BR13" s="11">
        <v>25</v>
      </c>
      <c r="BS13" s="11">
        <v>15</v>
      </c>
      <c r="BT13" s="5">
        <f t="shared" si="1"/>
        <v>96.125</v>
      </c>
      <c r="BU13" s="5">
        <f t="shared" si="2"/>
        <v>20</v>
      </c>
      <c r="BV13" s="5"/>
      <c r="BW13" s="5">
        <f t="shared" si="3"/>
        <v>20</v>
      </c>
    </row>
    <row r="14" spans="1:75" x14ac:dyDescent="0.25">
      <c r="A14" s="46">
        <v>4</v>
      </c>
      <c r="B14" s="5" t="s">
        <v>285</v>
      </c>
      <c r="C14" s="5"/>
      <c r="D14" s="5" t="s">
        <v>78</v>
      </c>
      <c r="E14" s="5" t="s">
        <v>196</v>
      </c>
      <c r="F14" s="5"/>
      <c r="G14" s="5"/>
      <c r="H14" s="5"/>
      <c r="I14" s="5"/>
      <c r="J14" s="11"/>
      <c r="K14" s="11"/>
      <c r="L14" s="11"/>
      <c r="M14" s="11"/>
      <c r="N14" s="11"/>
      <c r="O14" s="11"/>
      <c r="P14" s="11"/>
      <c r="Q14" s="11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5"/>
      <c r="AP14" s="5"/>
      <c r="AQ14" s="5">
        <v>36</v>
      </c>
      <c r="AR14" s="11">
        <v>64</v>
      </c>
      <c r="AS14" s="11">
        <v>2.4</v>
      </c>
      <c r="AT14" s="11">
        <v>120</v>
      </c>
      <c r="AU14" s="11">
        <v>8</v>
      </c>
      <c r="AV14" s="11"/>
      <c r="AW14" s="11">
        <f>SUM(AP14:AV14)</f>
        <v>230.4</v>
      </c>
      <c r="AX14" s="11">
        <f>(AW14-AP14)/2</f>
        <v>115.2</v>
      </c>
      <c r="AY14" s="11"/>
      <c r="AZ14" s="11"/>
      <c r="BA14" s="11"/>
      <c r="BB14" s="11"/>
      <c r="BC14" s="11"/>
      <c r="BD14" s="11"/>
      <c r="BE14" s="11">
        <f t="shared" si="0"/>
        <v>115.2</v>
      </c>
      <c r="BG14" s="5"/>
      <c r="BH14" s="5"/>
      <c r="BI14" s="5"/>
      <c r="BJ14" s="5"/>
      <c r="BK14" s="5"/>
      <c r="BL14" s="5"/>
      <c r="BM14" s="5"/>
      <c r="BN14" s="5"/>
      <c r="BO14" s="36"/>
      <c r="BP14" s="5"/>
      <c r="BQ14" s="11"/>
      <c r="BR14" s="11"/>
      <c r="BS14" s="11"/>
      <c r="BT14" s="5">
        <f t="shared" si="1"/>
        <v>0</v>
      </c>
      <c r="BU14" s="5">
        <f t="shared" si="2"/>
        <v>0</v>
      </c>
      <c r="BV14" s="5"/>
      <c r="BW14" s="5">
        <f t="shared" si="3"/>
        <v>0</v>
      </c>
    </row>
    <row r="15" spans="1:75" x14ac:dyDescent="0.25">
      <c r="A15">
        <v>5</v>
      </c>
      <c r="B15" s="5" t="s">
        <v>413</v>
      </c>
      <c r="C15" s="5"/>
      <c r="D15" s="5" t="s">
        <v>139</v>
      </c>
      <c r="E15" s="5" t="s">
        <v>122</v>
      </c>
      <c r="F15" s="5"/>
      <c r="G15" s="5"/>
      <c r="H15" s="5"/>
      <c r="I15" s="5"/>
      <c r="J15" s="11"/>
      <c r="K15" s="11"/>
      <c r="L15" s="11"/>
      <c r="M15" s="11"/>
      <c r="N15" s="11"/>
      <c r="O15" s="11"/>
      <c r="P15" s="11"/>
      <c r="Q15" s="11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5"/>
      <c r="AP15" s="5"/>
      <c r="AQ15" s="5"/>
      <c r="AR15" s="11"/>
      <c r="AS15" s="11">
        <v>84</v>
      </c>
      <c r="AT15" s="11">
        <v>112</v>
      </c>
      <c r="AU15" s="11"/>
      <c r="AV15" s="11"/>
      <c r="AW15" s="11">
        <f>SUM(AP15:AV15)</f>
        <v>196</v>
      </c>
      <c r="AX15" s="11">
        <f>(AW15-AP15)/2</f>
        <v>98</v>
      </c>
      <c r="AY15" s="11"/>
      <c r="AZ15" s="11"/>
      <c r="BA15" s="11"/>
      <c r="BB15" s="11"/>
      <c r="BC15" s="11"/>
      <c r="BD15" s="11"/>
      <c r="BE15" s="11">
        <f t="shared" si="0"/>
        <v>98</v>
      </c>
      <c r="BG15" s="5"/>
      <c r="BH15" s="5"/>
      <c r="BI15" s="5"/>
      <c r="BJ15" s="5"/>
      <c r="BK15" s="5"/>
      <c r="BL15" s="5"/>
      <c r="BM15" s="5"/>
      <c r="BN15" s="5"/>
      <c r="BO15" s="36"/>
      <c r="BP15" s="5"/>
      <c r="BQ15" s="11"/>
      <c r="BR15" s="11"/>
      <c r="BS15" s="11"/>
      <c r="BT15" s="5">
        <f t="shared" si="1"/>
        <v>0</v>
      </c>
      <c r="BU15" s="5">
        <f t="shared" si="2"/>
        <v>0</v>
      </c>
      <c r="BV15" s="5"/>
      <c r="BW15" s="5">
        <f t="shared" si="3"/>
        <v>0</v>
      </c>
    </row>
    <row r="16" spans="1:75" x14ac:dyDescent="0.25">
      <c r="A16">
        <v>6</v>
      </c>
      <c r="B16" s="5" t="s">
        <v>153</v>
      </c>
      <c r="C16" s="5"/>
      <c r="D16" s="5" t="s">
        <v>578</v>
      </c>
      <c r="E16" s="5" t="s">
        <v>154</v>
      </c>
      <c r="F16" s="5"/>
      <c r="G16" s="5"/>
      <c r="H16" s="5"/>
      <c r="I16" s="5"/>
      <c r="J16" s="11"/>
      <c r="K16" s="11"/>
      <c r="L16" s="11"/>
      <c r="M16" s="11"/>
      <c r="N16" s="11"/>
      <c r="O16" s="11"/>
      <c r="P16" s="11"/>
      <c r="Q16" s="1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5"/>
      <c r="AP16" s="5"/>
      <c r="AQ16" s="5"/>
      <c r="AR16" s="11"/>
      <c r="AS16" s="11"/>
      <c r="AT16" s="11"/>
      <c r="AU16" s="11"/>
      <c r="AV16" s="11"/>
      <c r="AW16" s="5"/>
      <c r="AX16" s="5"/>
      <c r="AY16" s="11">
        <v>36</v>
      </c>
      <c r="AZ16" s="11">
        <v>3.2</v>
      </c>
      <c r="BA16" s="11">
        <v>36</v>
      </c>
      <c r="BB16" s="5"/>
      <c r="BC16" s="5"/>
      <c r="BD16" s="5"/>
      <c r="BE16" s="11">
        <f t="shared" si="0"/>
        <v>75.2</v>
      </c>
      <c r="BP16" s="5"/>
      <c r="BQ16" s="11"/>
      <c r="BR16" s="11"/>
      <c r="BS16" s="11"/>
      <c r="BT16" s="5">
        <f t="shared" si="1"/>
        <v>0</v>
      </c>
      <c r="BU16" s="5">
        <f t="shared" si="2"/>
        <v>0</v>
      </c>
      <c r="BV16" s="5"/>
      <c r="BW16" s="5">
        <f t="shared" si="3"/>
        <v>0</v>
      </c>
    </row>
    <row r="17" spans="1:75" x14ac:dyDescent="0.25">
      <c r="A17">
        <v>7</v>
      </c>
      <c r="B17" s="5" t="s">
        <v>34</v>
      </c>
      <c r="C17" s="5"/>
      <c r="D17" s="5" t="s">
        <v>598</v>
      </c>
      <c r="E17" s="5" t="s">
        <v>529</v>
      </c>
      <c r="F17" s="5"/>
      <c r="G17" s="5"/>
      <c r="H17" s="5"/>
      <c r="I17" s="5"/>
      <c r="J17" s="11"/>
      <c r="K17" s="11"/>
      <c r="L17" s="11"/>
      <c r="M17" s="11"/>
      <c r="N17" s="11"/>
      <c r="O17" s="11"/>
      <c r="P17" s="11"/>
      <c r="Q17" s="11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5"/>
      <c r="AP17" s="5"/>
      <c r="AQ17" s="5"/>
      <c r="AR17" s="11"/>
      <c r="AS17" s="11">
        <v>90</v>
      </c>
      <c r="AT17" s="11"/>
      <c r="AU17" s="11"/>
      <c r="AV17" s="11"/>
      <c r="AW17" s="11">
        <f>SUM(AP17:AV17)</f>
        <v>90</v>
      </c>
      <c r="AX17" s="11">
        <f>(AW17-AP17)/2</f>
        <v>45</v>
      </c>
      <c r="AY17" s="11"/>
      <c r="AZ17" s="11"/>
      <c r="BA17" s="11"/>
      <c r="BB17" s="11"/>
      <c r="BC17" s="11"/>
      <c r="BD17" s="11"/>
      <c r="BE17" s="11">
        <f t="shared" si="0"/>
        <v>45</v>
      </c>
      <c r="BT17" s="5">
        <f t="shared" si="1"/>
        <v>0</v>
      </c>
      <c r="BU17" s="5">
        <f t="shared" si="2"/>
        <v>0</v>
      </c>
      <c r="BV17" s="5"/>
      <c r="BW17" s="5">
        <f t="shared" si="3"/>
        <v>0</v>
      </c>
    </row>
    <row r="18" spans="1:75" x14ac:dyDescent="0.25">
      <c r="A18">
        <v>8</v>
      </c>
      <c r="B18" s="5" t="s">
        <v>401</v>
      </c>
      <c r="C18" s="5"/>
      <c r="D18" s="5" t="s">
        <v>482</v>
      </c>
      <c r="E18" s="5" t="s">
        <v>336</v>
      </c>
      <c r="F18" s="5"/>
      <c r="G18" s="5"/>
      <c r="H18" s="5"/>
      <c r="I18" s="5"/>
      <c r="J18" s="11"/>
      <c r="K18" s="11"/>
      <c r="L18" s="11"/>
      <c r="M18" s="11"/>
      <c r="N18" s="11"/>
      <c r="O18" s="11"/>
      <c r="P18" s="11"/>
      <c r="Q18" s="11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5"/>
      <c r="AP18" s="5"/>
      <c r="AQ18" s="5"/>
      <c r="AR18" s="11"/>
      <c r="AS18" s="11"/>
      <c r="AT18" s="11"/>
      <c r="AU18" s="11"/>
      <c r="AV18" s="11"/>
      <c r="AW18" s="5"/>
      <c r="AX18" s="5"/>
      <c r="AY18" s="11">
        <v>36</v>
      </c>
      <c r="AZ18" s="11"/>
      <c r="BA18" s="11"/>
      <c r="BB18" s="5"/>
      <c r="BC18" s="5"/>
      <c r="BD18" s="5"/>
      <c r="BE18" s="11">
        <f t="shared" si="0"/>
        <v>36</v>
      </c>
      <c r="BT18" s="5">
        <f t="shared" si="1"/>
        <v>0</v>
      </c>
      <c r="BU18" s="5">
        <f t="shared" si="2"/>
        <v>0</v>
      </c>
      <c r="BV18" s="5"/>
      <c r="BW18" s="5">
        <f t="shared" si="3"/>
        <v>0</v>
      </c>
    </row>
    <row r="19" spans="1:75" x14ac:dyDescent="0.25">
      <c r="A19">
        <v>9</v>
      </c>
      <c r="B19" s="5" t="s">
        <v>147</v>
      </c>
      <c r="C19" s="5"/>
      <c r="D19" s="5" t="s">
        <v>395</v>
      </c>
      <c r="E19" s="5" t="s">
        <v>119</v>
      </c>
      <c r="F19" s="5"/>
      <c r="G19" s="5"/>
      <c r="H19" s="5"/>
      <c r="I19" s="5"/>
      <c r="J19" s="11"/>
      <c r="K19" s="11"/>
      <c r="L19" s="11"/>
      <c r="M19" s="11"/>
      <c r="N19" s="11"/>
      <c r="O19" s="11"/>
      <c r="P19" s="11"/>
      <c r="Q19" s="11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5"/>
      <c r="AP19" s="5"/>
      <c r="AQ19" s="5">
        <v>36</v>
      </c>
      <c r="AR19" s="11"/>
      <c r="AS19" s="11"/>
      <c r="AT19" s="11"/>
      <c r="AU19" s="11"/>
      <c r="AV19" s="11"/>
      <c r="AW19" s="11">
        <f>SUM(AP19:AV19)</f>
        <v>36</v>
      </c>
      <c r="AX19" s="11">
        <f>(AW19-AP19)/2</f>
        <v>18</v>
      </c>
      <c r="AY19" s="11"/>
      <c r="AZ19" s="11"/>
      <c r="BA19" s="11"/>
      <c r="BB19" s="11"/>
      <c r="BC19" s="11"/>
      <c r="BD19" s="11"/>
      <c r="BE19" s="11">
        <f t="shared" si="0"/>
        <v>18</v>
      </c>
      <c r="BT19" s="5">
        <f t="shared" si="1"/>
        <v>0</v>
      </c>
      <c r="BU19" s="5">
        <f t="shared" si="2"/>
        <v>0</v>
      </c>
      <c r="BV19" s="5"/>
      <c r="BW19" s="5">
        <f t="shared" si="3"/>
        <v>0</v>
      </c>
    </row>
  </sheetData>
  <sortState xmlns:xlrd2="http://schemas.microsoft.com/office/spreadsheetml/2017/richdata2" ref="B11:BW19">
    <sortCondition descending="1" ref="BE11:BE19"/>
  </sortState>
  <mergeCells count="6">
    <mergeCell ref="B1:BW1"/>
    <mergeCell ref="B8:C10"/>
    <mergeCell ref="AS9:AV9"/>
    <mergeCell ref="BA9:BD9"/>
    <mergeCell ref="D4:BE5"/>
    <mergeCell ref="BG4:BW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B17"/>
  <sheetViews>
    <sheetView zoomScale="80" zoomScaleNormal="80" workbookViewId="0">
      <selection activeCell="AW22" sqref="AW22"/>
    </sheetView>
  </sheetViews>
  <sheetFormatPr baseColWidth="10" defaultRowHeight="15" x14ac:dyDescent="0.25"/>
  <cols>
    <col min="1" max="1" width="2.28515625" bestFit="1" customWidth="1"/>
    <col min="3" max="3" width="12.7109375" bestFit="1" customWidth="1"/>
    <col min="4" max="4" width="12.28515625" bestFit="1" customWidth="1"/>
    <col min="5" max="5" width="18.7109375" bestFit="1" customWidth="1"/>
    <col min="6" max="6" width="7.28515625" hidden="1" customWidth="1"/>
    <col min="7" max="7" width="6.7109375" style="7" hidden="1" customWidth="1"/>
    <col min="8" max="8" width="0" hidden="1" customWidth="1"/>
    <col min="9" max="9" width="7.140625" hidden="1" customWidth="1"/>
    <col min="10" max="20" width="5.5703125" hidden="1" customWidth="1"/>
    <col min="21" max="21" width="6.28515625" hidden="1" customWidth="1"/>
    <col min="22" max="22" width="6.85546875" hidden="1" customWidth="1"/>
    <col min="23" max="23" width="10.5703125" hidden="1" customWidth="1"/>
    <col min="24" max="24" width="5.5703125" hidden="1" customWidth="1"/>
    <col min="25" max="27" width="6.28515625" hidden="1" customWidth="1"/>
    <col min="28" max="31" width="6.28515625" style="7" hidden="1" customWidth="1"/>
    <col min="32" max="32" width="10.85546875" style="7" hidden="1" customWidth="1"/>
    <col min="33" max="36" width="5.5703125" style="7" hidden="1" customWidth="1"/>
    <col min="37" max="37" width="6.85546875" style="7" hidden="1" customWidth="1"/>
    <col min="38" max="38" width="6.28515625" hidden="1" customWidth="1"/>
    <col min="39" max="39" width="7.85546875" hidden="1" customWidth="1"/>
    <col min="40" max="45" width="6.28515625" style="7" hidden="1" customWidth="1"/>
    <col min="46" max="46" width="6.28515625" customWidth="1"/>
    <col min="47" max="47" width="7.85546875" bestFit="1" customWidth="1"/>
    <col min="48" max="49" width="6.28515625" customWidth="1"/>
    <col min="50" max="50" width="6.28515625" style="7" customWidth="1"/>
    <col min="51" max="53" width="6.28515625" customWidth="1"/>
    <col min="54" max="54" width="7.42578125" bestFit="1" customWidth="1"/>
    <col min="56" max="56" width="11" hidden="1" customWidth="1"/>
    <col min="57" max="57" width="6.5703125" hidden="1" customWidth="1"/>
    <col min="58" max="58" width="6.7109375" hidden="1" customWidth="1"/>
    <col min="59" max="61" width="0" hidden="1" customWidth="1"/>
    <col min="62" max="67" width="6.5703125" hidden="1" customWidth="1"/>
    <col min="68" max="68" width="0" hidden="1" customWidth="1"/>
    <col min="69" max="69" width="7.85546875" style="7" hidden="1" customWidth="1"/>
    <col min="70" max="70" width="5" style="7" hidden="1" customWidth="1"/>
    <col min="71" max="74" width="6" style="7" hidden="1" customWidth="1"/>
    <col min="75" max="75" width="6.28515625" style="7" hidden="1" customWidth="1"/>
    <col min="78" max="78" width="6" bestFit="1" customWidth="1"/>
    <col min="79" max="79" width="6" customWidth="1"/>
  </cols>
  <sheetData>
    <row r="1" spans="1:80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</row>
    <row r="2" spans="1:80" ht="15.75" thickBot="1" x14ac:dyDescent="0.3">
      <c r="C2" s="7"/>
      <c r="D2" s="7"/>
      <c r="E2" s="7"/>
    </row>
    <row r="3" spans="1:80" ht="15.75" thickTop="1" x14ac:dyDescent="0.25">
      <c r="B3" s="1" t="s">
        <v>0</v>
      </c>
      <c r="C3" s="4" t="s">
        <v>29</v>
      </c>
    </row>
    <row r="4" spans="1:80" ht="14.65" customHeight="1" x14ac:dyDescent="0.25">
      <c r="B4" s="2" t="s">
        <v>1</v>
      </c>
      <c r="C4" s="10" t="s">
        <v>7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D4" s="56" t="s">
        <v>641</v>
      </c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</row>
    <row r="5" spans="1:80" ht="15" customHeight="1" thickBot="1" x14ac:dyDescent="0.3">
      <c r="B5" s="3" t="s">
        <v>2</v>
      </c>
      <c r="C5" s="34" t="s">
        <v>556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</row>
    <row r="6" spans="1:80" ht="15.75" thickTop="1" x14ac:dyDescent="0.25"/>
    <row r="7" spans="1:80" ht="15.75" thickBot="1" x14ac:dyDescent="0.3"/>
    <row r="8" spans="1:80" ht="15.75" thickTop="1" x14ac:dyDescent="0.25">
      <c r="B8" s="48" t="s">
        <v>22</v>
      </c>
      <c r="C8" s="49"/>
      <c r="D8" s="1"/>
      <c r="E8" s="1"/>
      <c r="F8" s="4" t="s">
        <v>141</v>
      </c>
      <c r="G8" s="4" t="s">
        <v>27</v>
      </c>
      <c r="H8" s="1"/>
      <c r="I8" s="12">
        <v>44927</v>
      </c>
      <c r="J8" s="1" t="s">
        <v>27</v>
      </c>
      <c r="K8" s="17" t="s">
        <v>173</v>
      </c>
      <c r="L8" s="17" t="s">
        <v>217</v>
      </c>
      <c r="M8" s="17" t="s">
        <v>217</v>
      </c>
      <c r="N8" s="17" t="s">
        <v>217</v>
      </c>
      <c r="O8" s="17" t="s">
        <v>173</v>
      </c>
      <c r="P8" s="17" t="s">
        <v>27</v>
      </c>
      <c r="Q8" s="17" t="s">
        <v>27</v>
      </c>
      <c r="R8" s="17" t="s">
        <v>173</v>
      </c>
      <c r="S8" s="17" t="s">
        <v>27</v>
      </c>
      <c r="T8" s="17" t="s">
        <v>174</v>
      </c>
      <c r="U8" s="1" t="s">
        <v>6</v>
      </c>
      <c r="V8" s="16">
        <v>45292</v>
      </c>
      <c r="W8" s="16" t="s">
        <v>27</v>
      </c>
      <c r="X8" s="16" t="s">
        <v>27</v>
      </c>
      <c r="Y8" s="16" t="s">
        <v>27</v>
      </c>
      <c r="Z8" s="16" t="s">
        <v>27</v>
      </c>
      <c r="AA8" s="16" t="s">
        <v>173</v>
      </c>
      <c r="AB8" s="16" t="s">
        <v>173</v>
      </c>
      <c r="AC8" s="16" t="s">
        <v>217</v>
      </c>
      <c r="AD8" s="16" t="s">
        <v>217</v>
      </c>
      <c r="AE8" s="16" t="s">
        <v>173</v>
      </c>
      <c r="AF8" s="16" t="s">
        <v>27</v>
      </c>
      <c r="AG8" s="16" t="s">
        <v>27</v>
      </c>
      <c r="AH8" s="16" t="s">
        <v>27</v>
      </c>
      <c r="AI8" s="16" t="s">
        <v>173</v>
      </c>
      <c r="AJ8" s="16" t="s">
        <v>471</v>
      </c>
      <c r="AK8" s="16" t="s">
        <v>174</v>
      </c>
      <c r="AL8" s="16" t="s">
        <v>6</v>
      </c>
      <c r="AM8" s="16">
        <v>45658</v>
      </c>
      <c r="AN8" s="16"/>
      <c r="AO8" s="16"/>
      <c r="AP8" s="38"/>
      <c r="AQ8" s="39"/>
      <c r="AR8" s="39"/>
      <c r="AS8" s="40"/>
      <c r="AT8" s="16" t="s">
        <v>6</v>
      </c>
      <c r="AU8" s="16">
        <v>46023</v>
      </c>
      <c r="AV8" s="16"/>
      <c r="AW8" s="16"/>
      <c r="AX8" s="38"/>
      <c r="AY8" s="39"/>
      <c r="AZ8" s="39"/>
      <c r="BA8" s="40"/>
      <c r="BB8" s="16" t="s">
        <v>178</v>
      </c>
      <c r="BD8" s="1" t="s">
        <v>175</v>
      </c>
      <c r="BE8" s="1" t="s">
        <v>214</v>
      </c>
      <c r="BF8" s="4" t="s">
        <v>283</v>
      </c>
      <c r="BG8" s="1" t="s">
        <v>178</v>
      </c>
      <c r="BH8" s="16">
        <v>45292</v>
      </c>
      <c r="BI8" s="4" t="s">
        <v>175</v>
      </c>
      <c r="BJ8" s="4" t="s">
        <v>296</v>
      </c>
      <c r="BK8" s="4" t="s">
        <v>31</v>
      </c>
      <c r="BL8" s="4" t="s">
        <v>164</v>
      </c>
      <c r="BM8" s="4" t="s">
        <v>164</v>
      </c>
      <c r="BN8" s="4" t="s">
        <v>171</v>
      </c>
      <c r="BO8" s="4" t="s">
        <v>283</v>
      </c>
      <c r="BP8" s="1" t="s">
        <v>6</v>
      </c>
      <c r="BQ8" s="16">
        <v>45658</v>
      </c>
      <c r="BR8" s="4" t="s">
        <v>296</v>
      </c>
      <c r="BS8" s="4" t="s">
        <v>164</v>
      </c>
      <c r="BT8" s="4" t="s">
        <v>31</v>
      </c>
      <c r="BU8" s="4" t="s">
        <v>275</v>
      </c>
      <c r="BV8" s="4" t="s">
        <v>171</v>
      </c>
      <c r="BW8" s="4" t="s">
        <v>283</v>
      </c>
      <c r="BX8" s="4" t="s">
        <v>178</v>
      </c>
      <c r="BY8" s="16">
        <v>46023</v>
      </c>
      <c r="BZ8" s="4" t="s">
        <v>31</v>
      </c>
      <c r="CA8" s="4" t="s">
        <v>171</v>
      </c>
      <c r="CB8" s="1" t="s">
        <v>6</v>
      </c>
    </row>
    <row r="9" spans="1:80" x14ac:dyDescent="0.25">
      <c r="B9" s="50"/>
      <c r="C9" s="51"/>
      <c r="D9" s="2"/>
      <c r="E9" s="2"/>
      <c r="F9" s="10" t="s">
        <v>140</v>
      </c>
      <c r="G9" s="10" t="s">
        <v>155</v>
      </c>
      <c r="H9" s="2" t="s">
        <v>6</v>
      </c>
      <c r="I9" s="2"/>
      <c r="J9" s="2" t="s">
        <v>56</v>
      </c>
      <c r="K9" s="18" t="s">
        <v>134</v>
      </c>
      <c r="L9" s="18" t="s">
        <v>132</v>
      </c>
      <c r="M9" s="18" t="s">
        <v>141</v>
      </c>
      <c r="N9" s="18" t="s">
        <v>134</v>
      </c>
      <c r="O9" s="18" t="s">
        <v>132</v>
      </c>
      <c r="P9" s="18" t="s">
        <v>251</v>
      </c>
      <c r="Q9" s="18" t="s">
        <v>56</v>
      </c>
      <c r="R9" s="18" t="s">
        <v>141</v>
      </c>
      <c r="S9" s="18" t="s">
        <v>251</v>
      </c>
      <c r="T9" s="18"/>
      <c r="U9" s="2"/>
      <c r="V9" s="10"/>
      <c r="W9" s="10" t="s">
        <v>328</v>
      </c>
      <c r="X9" s="10" t="s">
        <v>28</v>
      </c>
      <c r="Y9" s="10" t="s">
        <v>251</v>
      </c>
      <c r="Z9" s="10" t="s">
        <v>56</v>
      </c>
      <c r="AA9" s="10" t="s">
        <v>132</v>
      </c>
      <c r="AB9" s="10" t="s">
        <v>396</v>
      </c>
      <c r="AC9" s="10" t="s">
        <v>134</v>
      </c>
      <c r="AD9" s="10" t="s">
        <v>132</v>
      </c>
      <c r="AE9" s="10" t="s">
        <v>134</v>
      </c>
      <c r="AF9" s="10" t="s">
        <v>328</v>
      </c>
      <c r="AG9" s="10" t="s">
        <v>56</v>
      </c>
      <c r="AH9" s="10" t="s">
        <v>128</v>
      </c>
      <c r="AI9" s="10" t="s">
        <v>141</v>
      </c>
      <c r="AJ9" s="10" t="s">
        <v>346</v>
      </c>
      <c r="AK9" s="10" t="s">
        <v>475</v>
      </c>
      <c r="AL9" s="10"/>
      <c r="AM9" s="10"/>
      <c r="AN9" s="8" t="s">
        <v>27</v>
      </c>
      <c r="AO9" s="8" t="s">
        <v>217</v>
      </c>
      <c r="AP9" s="52" t="s">
        <v>477</v>
      </c>
      <c r="AQ9" s="53"/>
      <c r="AR9" s="53"/>
      <c r="AS9" s="54"/>
      <c r="AT9" s="10"/>
      <c r="AU9" s="10"/>
      <c r="AV9" s="8" t="s">
        <v>27</v>
      </c>
      <c r="AW9" s="8" t="s">
        <v>217</v>
      </c>
      <c r="AX9" s="52" t="s">
        <v>477</v>
      </c>
      <c r="AY9" s="53"/>
      <c r="AZ9" s="53"/>
      <c r="BA9" s="54"/>
      <c r="BB9" s="8"/>
      <c r="BD9" s="2" t="s">
        <v>176</v>
      </c>
      <c r="BE9" s="2"/>
      <c r="BF9" s="10" t="s">
        <v>284</v>
      </c>
      <c r="BG9" s="2"/>
      <c r="BH9" s="7"/>
      <c r="BI9" s="10" t="s">
        <v>176</v>
      </c>
      <c r="BJ9" s="10"/>
      <c r="BK9" s="10" t="s">
        <v>354</v>
      </c>
      <c r="BL9" s="10" t="s">
        <v>419</v>
      </c>
      <c r="BM9" s="10" t="s">
        <v>255</v>
      </c>
      <c r="BN9" s="10" t="s">
        <v>255</v>
      </c>
      <c r="BO9" s="10" t="s">
        <v>73</v>
      </c>
      <c r="BP9" s="2"/>
      <c r="BQ9" s="10"/>
      <c r="BR9" s="10"/>
      <c r="BS9" s="10" t="s">
        <v>100</v>
      </c>
      <c r="BT9" s="10" t="s">
        <v>419</v>
      </c>
      <c r="BU9" s="10" t="s">
        <v>419</v>
      </c>
      <c r="BV9" s="10" t="s">
        <v>255</v>
      </c>
      <c r="BW9" s="10" t="s">
        <v>73</v>
      </c>
      <c r="BX9" s="10"/>
      <c r="BY9" s="10"/>
      <c r="BZ9" s="10" t="s">
        <v>152</v>
      </c>
      <c r="CA9" s="10" t="s">
        <v>419</v>
      </c>
      <c r="CB9" s="2"/>
    </row>
    <row r="10" spans="1:80" x14ac:dyDescent="0.25">
      <c r="B10" s="50"/>
      <c r="C10" s="51"/>
      <c r="D10" s="2" t="s">
        <v>4</v>
      </c>
      <c r="E10" s="2" t="s">
        <v>5</v>
      </c>
      <c r="F10" s="9">
        <v>44737</v>
      </c>
      <c r="G10" s="9">
        <v>44793</v>
      </c>
      <c r="H10" s="2">
        <v>2022</v>
      </c>
      <c r="I10" s="2"/>
      <c r="J10" s="2" t="s">
        <v>180</v>
      </c>
      <c r="K10" s="18" t="s">
        <v>193</v>
      </c>
      <c r="L10" s="18" t="s">
        <v>218</v>
      </c>
      <c r="M10" s="18" t="s">
        <v>228</v>
      </c>
      <c r="N10" s="18" t="s">
        <v>234</v>
      </c>
      <c r="O10" s="18" t="s">
        <v>242</v>
      </c>
      <c r="P10" s="18" t="s">
        <v>252</v>
      </c>
      <c r="Q10" s="18" t="s">
        <v>254</v>
      </c>
      <c r="R10" s="18" t="s">
        <v>268</v>
      </c>
      <c r="S10" s="18" t="s">
        <v>281</v>
      </c>
      <c r="T10" s="18" t="s">
        <v>289</v>
      </c>
      <c r="U10" s="2">
        <v>2023</v>
      </c>
      <c r="V10" s="31"/>
      <c r="W10" s="31" t="s">
        <v>317</v>
      </c>
      <c r="X10" s="31" t="s">
        <v>317</v>
      </c>
      <c r="Y10" s="31" t="s">
        <v>317</v>
      </c>
      <c r="Z10" s="31" t="s">
        <v>373</v>
      </c>
      <c r="AA10" s="31" t="s">
        <v>384</v>
      </c>
      <c r="AB10" s="31" t="s">
        <v>397</v>
      </c>
      <c r="AC10" s="31" t="s">
        <v>405</v>
      </c>
      <c r="AD10" s="31" t="s">
        <v>405</v>
      </c>
      <c r="AE10" s="31" t="s">
        <v>421</v>
      </c>
      <c r="AF10" s="31" t="s">
        <v>445</v>
      </c>
      <c r="AG10" s="31" t="s">
        <v>445</v>
      </c>
      <c r="AH10" s="31" t="s">
        <v>456</v>
      </c>
      <c r="AI10" s="31" t="s">
        <v>465</v>
      </c>
      <c r="AJ10" s="31" t="s">
        <v>472</v>
      </c>
      <c r="AK10" s="31" t="s">
        <v>476</v>
      </c>
      <c r="AL10" s="31">
        <v>2024</v>
      </c>
      <c r="AM10" s="10"/>
      <c r="AN10" s="10"/>
      <c r="AO10" s="10"/>
      <c r="AP10" s="10">
        <v>1</v>
      </c>
      <c r="AQ10" s="10">
        <v>2</v>
      </c>
      <c r="AR10" s="10">
        <v>3</v>
      </c>
      <c r="AS10" s="10">
        <v>4</v>
      </c>
      <c r="AT10" s="10">
        <v>2025</v>
      </c>
      <c r="AU10" s="10"/>
      <c r="AV10" s="10"/>
      <c r="AW10" s="10"/>
      <c r="AX10" s="10">
        <v>1</v>
      </c>
      <c r="AY10" s="10">
        <v>2</v>
      </c>
      <c r="AZ10" s="10">
        <v>3</v>
      </c>
      <c r="BA10" s="10">
        <v>4</v>
      </c>
      <c r="BB10" s="10">
        <v>2026</v>
      </c>
      <c r="BD10" s="2"/>
      <c r="BE10" s="14">
        <v>45078</v>
      </c>
      <c r="BF10" s="8">
        <v>45255</v>
      </c>
      <c r="BG10" s="2">
        <v>2023</v>
      </c>
      <c r="BH10" s="7"/>
      <c r="BI10" s="10"/>
      <c r="BJ10" s="9">
        <v>45347</v>
      </c>
      <c r="BK10" s="9" t="s">
        <v>355</v>
      </c>
      <c r="BL10" s="9" t="s">
        <v>228</v>
      </c>
      <c r="BM10" s="9" t="s">
        <v>456</v>
      </c>
      <c r="BN10" s="9" t="s">
        <v>457</v>
      </c>
      <c r="BO10" s="9" t="s">
        <v>474</v>
      </c>
      <c r="BP10" s="2">
        <v>2024</v>
      </c>
      <c r="BQ10" s="10"/>
      <c r="BR10" s="10" t="s">
        <v>480</v>
      </c>
      <c r="BS10" s="10" t="s">
        <v>317</v>
      </c>
      <c r="BT10" s="10" t="s">
        <v>527</v>
      </c>
      <c r="BU10" s="10" t="s">
        <v>616</v>
      </c>
      <c r="BV10" s="10" t="s">
        <v>632</v>
      </c>
      <c r="BW10" s="10" t="s">
        <v>474</v>
      </c>
      <c r="BX10" s="10">
        <v>2025</v>
      </c>
      <c r="BY10" s="10"/>
      <c r="BZ10" s="10" t="s">
        <v>193</v>
      </c>
      <c r="CA10" s="10" t="s">
        <v>723</v>
      </c>
      <c r="CB10" s="2">
        <v>2026</v>
      </c>
    </row>
    <row r="11" spans="1:80" x14ac:dyDescent="0.25">
      <c r="A11">
        <v>1</v>
      </c>
      <c r="B11" s="20" t="s">
        <v>67</v>
      </c>
      <c r="C11" s="20"/>
      <c r="D11" s="20" t="s">
        <v>181</v>
      </c>
      <c r="E11" s="20" t="s">
        <v>15</v>
      </c>
      <c r="F11" s="5"/>
      <c r="G11" s="11"/>
      <c r="H11" s="5"/>
      <c r="I11" s="5"/>
      <c r="J11" s="5">
        <v>36</v>
      </c>
      <c r="K11" s="5">
        <v>4</v>
      </c>
      <c r="L11" s="5"/>
      <c r="M11" s="5">
        <v>48</v>
      </c>
      <c r="N11" s="5"/>
      <c r="O11" s="5">
        <v>80</v>
      </c>
      <c r="P11" s="5"/>
      <c r="Q11" s="5">
        <v>36</v>
      </c>
      <c r="R11" s="5">
        <v>60</v>
      </c>
      <c r="S11" s="5"/>
      <c r="T11" s="5">
        <v>120</v>
      </c>
      <c r="U11" s="5">
        <f>SUM(I11:T11)</f>
        <v>384</v>
      </c>
      <c r="V11" s="5">
        <f>(U11-I11)/2</f>
        <v>192</v>
      </c>
      <c r="W11" s="5"/>
      <c r="X11" s="5"/>
      <c r="Y11" s="5"/>
      <c r="Z11" s="5">
        <v>36</v>
      </c>
      <c r="AA11" s="5">
        <v>120</v>
      </c>
      <c r="AB11" s="11">
        <v>80</v>
      </c>
      <c r="AC11" s="11"/>
      <c r="AD11" s="11"/>
      <c r="AE11" s="11"/>
      <c r="AF11" s="11"/>
      <c r="AG11" s="11">
        <v>36</v>
      </c>
      <c r="AH11" s="11"/>
      <c r="AI11" s="11">
        <v>120</v>
      </c>
      <c r="AJ11" s="11"/>
      <c r="AK11" s="11">
        <v>160</v>
      </c>
      <c r="AL11" s="5">
        <f>SUM(V11:AK11)</f>
        <v>744</v>
      </c>
      <c r="AM11" s="5">
        <f>(AL11-V11)/2</f>
        <v>276</v>
      </c>
      <c r="AN11" s="11">
        <v>36</v>
      </c>
      <c r="AO11" s="11">
        <v>64</v>
      </c>
      <c r="AP11" s="11">
        <v>120</v>
      </c>
      <c r="AQ11" s="11">
        <v>60</v>
      </c>
      <c r="AR11" s="11">
        <v>160</v>
      </c>
      <c r="AS11" s="11">
        <v>120</v>
      </c>
      <c r="AT11" s="5">
        <f t="shared" ref="AT11:AT16" si="0">SUM(AM11:AS11)</f>
        <v>836</v>
      </c>
      <c r="AU11" s="5">
        <f t="shared" ref="AU11:AU16" si="1">(AT11-AM11)/2</f>
        <v>280</v>
      </c>
      <c r="AV11" s="5">
        <v>36</v>
      </c>
      <c r="AW11" s="5">
        <v>48</v>
      </c>
      <c r="AX11" s="11">
        <v>120</v>
      </c>
      <c r="AY11" s="5"/>
      <c r="AZ11" s="5"/>
      <c r="BA11" s="5"/>
      <c r="BB11" s="5">
        <f t="shared" ref="BB11:BB17" si="2">SUM(AU11:BA11)</f>
        <v>484</v>
      </c>
      <c r="BD11" s="5">
        <f>U11/4</f>
        <v>96</v>
      </c>
      <c r="BE11" s="5"/>
      <c r="BF11" s="5"/>
      <c r="BG11" s="5">
        <f>SUM(BD11:BE11)</f>
        <v>96</v>
      </c>
      <c r="BH11" s="11">
        <f>(BG11)/2</f>
        <v>48</v>
      </c>
      <c r="BI11" s="11">
        <f>AL11/4</f>
        <v>186</v>
      </c>
      <c r="BJ11" s="11">
        <v>25</v>
      </c>
      <c r="BK11" s="11">
        <v>150</v>
      </c>
      <c r="BL11" s="11">
        <v>105</v>
      </c>
      <c r="BM11" s="11">
        <v>105</v>
      </c>
      <c r="BN11" s="11">
        <v>5</v>
      </c>
      <c r="BO11" s="11">
        <v>30</v>
      </c>
      <c r="BP11" s="11">
        <f>SUM(BH11:BO11)</f>
        <v>654</v>
      </c>
      <c r="BQ11" s="11">
        <f>(BP11-BH11)/2</f>
        <v>303</v>
      </c>
      <c r="BR11" s="11">
        <v>25</v>
      </c>
      <c r="BS11" s="11">
        <v>7.5</v>
      </c>
      <c r="BT11" s="11">
        <v>150</v>
      </c>
      <c r="BU11" s="11">
        <v>25</v>
      </c>
      <c r="BV11" s="11">
        <v>80</v>
      </c>
      <c r="BW11" s="11">
        <v>30</v>
      </c>
      <c r="BX11" s="5">
        <f>SUM(BQ11:BW11)</f>
        <v>620.5</v>
      </c>
      <c r="BY11" s="5">
        <f>(BX11-BQ11)/2</f>
        <v>158.75</v>
      </c>
      <c r="BZ11" s="5">
        <v>108</v>
      </c>
      <c r="CA11" s="5">
        <v>100</v>
      </c>
      <c r="CB11" s="20">
        <f>SUM(BY11:CA11)</f>
        <v>366.75</v>
      </c>
    </row>
    <row r="12" spans="1:80" x14ac:dyDescent="0.25">
      <c r="A12">
        <v>2</v>
      </c>
      <c r="B12" s="5" t="s">
        <v>123</v>
      </c>
      <c r="C12" s="5"/>
      <c r="D12" s="5" t="s">
        <v>434</v>
      </c>
      <c r="E12" s="5" t="s">
        <v>435</v>
      </c>
      <c r="F12" s="5"/>
      <c r="G12" s="1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11"/>
      <c r="AC12" s="11"/>
      <c r="AD12" s="11"/>
      <c r="AE12" s="11">
        <v>6</v>
      </c>
      <c r="AF12" s="11"/>
      <c r="AG12" s="11"/>
      <c r="AH12" s="11">
        <v>48</v>
      </c>
      <c r="AI12" s="11">
        <v>6</v>
      </c>
      <c r="AJ12" s="11">
        <v>60</v>
      </c>
      <c r="AK12" s="11">
        <v>112</v>
      </c>
      <c r="AL12" s="5">
        <f>SUM(V12:AK12)</f>
        <v>232</v>
      </c>
      <c r="AM12" s="5">
        <f>(AL12-V12)/2</f>
        <v>116</v>
      </c>
      <c r="AN12" s="11">
        <v>36</v>
      </c>
      <c r="AO12" s="11">
        <v>48</v>
      </c>
      <c r="AP12" s="11">
        <v>120</v>
      </c>
      <c r="AQ12" s="11">
        <v>60</v>
      </c>
      <c r="AR12" s="11">
        <v>36</v>
      </c>
      <c r="AS12" s="11">
        <v>6</v>
      </c>
      <c r="AT12" s="5">
        <f t="shared" si="0"/>
        <v>422</v>
      </c>
      <c r="AU12" s="5">
        <f t="shared" si="1"/>
        <v>153</v>
      </c>
      <c r="AV12" s="5"/>
      <c r="AW12" s="5"/>
      <c r="AX12" s="11"/>
      <c r="AY12" s="5"/>
      <c r="AZ12" s="5"/>
      <c r="BA12" s="5"/>
      <c r="BB12" s="5">
        <f t="shared" si="2"/>
        <v>153</v>
      </c>
      <c r="BD12" s="5"/>
      <c r="BE12" s="5"/>
      <c r="BF12" s="5"/>
      <c r="BG12" s="5">
        <f>SUM(BD12:BE12)</f>
        <v>0</v>
      </c>
      <c r="BH12" s="11">
        <f>(BG12)/2</f>
        <v>0</v>
      </c>
      <c r="BI12" s="11">
        <f>AL12/4</f>
        <v>58</v>
      </c>
      <c r="BJ12" s="5"/>
      <c r="BK12" s="5"/>
      <c r="BL12" s="5"/>
      <c r="BM12" s="5"/>
      <c r="BN12" s="5"/>
      <c r="BO12" s="5"/>
      <c r="BP12" s="11">
        <f>SUM(BH12:BJ12)</f>
        <v>58</v>
      </c>
      <c r="BQ12" s="11">
        <f>(BP12-BH12)/2</f>
        <v>29</v>
      </c>
      <c r="BR12" s="11"/>
      <c r="BS12" s="11"/>
      <c r="BT12" s="11"/>
      <c r="BU12" s="11"/>
      <c r="BV12" s="11"/>
      <c r="BW12" s="11"/>
      <c r="BX12" s="5">
        <f t="shared" ref="BX12:BX17" si="3">SUM(BQ12:BS12)</f>
        <v>29</v>
      </c>
      <c r="BY12" s="5">
        <f t="shared" ref="BY12:BY16" si="4">(BX12-BQ12)/2</f>
        <v>0</v>
      </c>
      <c r="BZ12" s="5"/>
      <c r="CA12" s="5"/>
      <c r="CB12" s="5">
        <f t="shared" ref="CB12:CB16" si="5">SUM(BY12:BZ12)</f>
        <v>0</v>
      </c>
    </row>
    <row r="13" spans="1:80" x14ac:dyDescent="0.25">
      <c r="A13">
        <v>3</v>
      </c>
      <c r="B13" s="5" t="s">
        <v>401</v>
      </c>
      <c r="C13" s="5"/>
      <c r="D13" s="5" t="s">
        <v>482</v>
      </c>
      <c r="E13" s="5" t="s">
        <v>336</v>
      </c>
      <c r="F13" s="5"/>
      <c r="G13" s="1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5"/>
      <c r="AM13" s="5"/>
      <c r="AN13" s="11">
        <v>36</v>
      </c>
      <c r="AO13" s="11">
        <v>48</v>
      </c>
      <c r="AP13" s="11">
        <v>8</v>
      </c>
      <c r="AQ13" s="11">
        <v>6</v>
      </c>
      <c r="AR13" s="11">
        <v>48</v>
      </c>
      <c r="AS13" s="11">
        <v>36</v>
      </c>
      <c r="AT13" s="5">
        <f t="shared" si="0"/>
        <v>182</v>
      </c>
      <c r="AU13" s="5">
        <f t="shared" si="1"/>
        <v>91</v>
      </c>
      <c r="AV13" s="5"/>
      <c r="AW13" s="5"/>
      <c r="AX13" s="11"/>
      <c r="AY13" s="5"/>
      <c r="AZ13" s="5"/>
      <c r="BA13" s="5"/>
      <c r="BB13" s="5">
        <f t="shared" si="2"/>
        <v>91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11"/>
      <c r="BR13" s="11">
        <v>1.25</v>
      </c>
      <c r="BS13" s="11"/>
      <c r="BT13" s="11"/>
      <c r="BU13" s="11"/>
      <c r="BV13" s="11"/>
      <c r="BW13" s="11"/>
      <c r="BX13" s="5">
        <f t="shared" si="3"/>
        <v>1.25</v>
      </c>
      <c r="BY13" s="5">
        <f t="shared" si="4"/>
        <v>0.625</v>
      </c>
      <c r="BZ13" s="5"/>
      <c r="CA13" s="5"/>
      <c r="CB13" s="5">
        <f t="shared" si="5"/>
        <v>0.625</v>
      </c>
    </row>
    <row r="14" spans="1:80" x14ac:dyDescent="0.25">
      <c r="A14" s="46">
        <v>4</v>
      </c>
      <c r="B14" s="29" t="s">
        <v>153</v>
      </c>
      <c r="C14" s="29" t="s">
        <v>44</v>
      </c>
      <c r="D14" s="29" t="s">
        <v>578</v>
      </c>
      <c r="E14" s="29" t="s">
        <v>154</v>
      </c>
      <c r="G14" s="7">
        <v>36</v>
      </c>
      <c r="H14" s="19">
        <f>SUM(F14:G14)</f>
        <v>36</v>
      </c>
      <c r="I14">
        <f>H14/2</f>
        <v>18</v>
      </c>
      <c r="K14">
        <v>80</v>
      </c>
      <c r="N14" s="19">
        <v>48</v>
      </c>
      <c r="O14" s="19">
        <v>56</v>
      </c>
      <c r="P14" s="19">
        <v>36</v>
      </c>
      <c r="Q14" s="19"/>
      <c r="R14" s="19"/>
      <c r="S14" s="19">
        <v>36</v>
      </c>
      <c r="T14" s="19">
        <v>6</v>
      </c>
      <c r="U14" s="29">
        <f>SUM(I14:T14)</f>
        <v>280</v>
      </c>
      <c r="V14" s="29">
        <f>(U14-I14)/2</f>
        <v>131</v>
      </c>
      <c r="W14" s="29"/>
      <c r="X14" s="29"/>
      <c r="Y14" s="29">
        <v>36</v>
      </c>
      <c r="Z14" s="29"/>
      <c r="AA14" s="29"/>
      <c r="AB14" s="28">
        <v>56</v>
      </c>
      <c r="AC14" s="28">
        <v>48</v>
      </c>
      <c r="AD14" s="28"/>
      <c r="AE14" s="28"/>
      <c r="AF14" s="28"/>
      <c r="AG14" s="28"/>
      <c r="AH14" s="28"/>
      <c r="AI14" s="28"/>
      <c r="AJ14" s="28"/>
      <c r="AK14" s="28"/>
      <c r="AL14" s="5">
        <f>SUM(V14:AK14)</f>
        <v>271</v>
      </c>
      <c r="AM14" s="5">
        <f>(AL14-V14)/2</f>
        <v>70</v>
      </c>
      <c r="AN14" s="11">
        <v>36</v>
      </c>
      <c r="AO14" s="11">
        <v>48</v>
      </c>
      <c r="AP14" s="11">
        <v>36</v>
      </c>
      <c r="AQ14" s="11"/>
      <c r="AR14" s="11"/>
      <c r="AS14" s="11"/>
      <c r="AT14" s="5">
        <f t="shared" si="0"/>
        <v>190</v>
      </c>
      <c r="AU14" s="5">
        <f t="shared" si="1"/>
        <v>60</v>
      </c>
      <c r="AV14" s="5"/>
      <c r="AW14" s="5"/>
      <c r="AX14" s="11"/>
      <c r="AY14" s="5"/>
      <c r="AZ14" s="5"/>
      <c r="BA14" s="5"/>
      <c r="BB14" s="5">
        <f t="shared" si="2"/>
        <v>60</v>
      </c>
      <c r="BD14">
        <f>U14/4</f>
        <v>70</v>
      </c>
      <c r="BE14">
        <v>100</v>
      </c>
      <c r="BF14">
        <v>100</v>
      </c>
      <c r="BG14" s="5">
        <f>SUM(BD14:BF14)</f>
        <v>270</v>
      </c>
      <c r="BH14" s="11">
        <f>(BG14)/2</f>
        <v>135</v>
      </c>
      <c r="BI14" s="11">
        <f>AL14/4</f>
        <v>67.75</v>
      </c>
      <c r="BJ14" s="11">
        <v>1.25</v>
      </c>
      <c r="BK14" s="11"/>
      <c r="BL14" s="11"/>
      <c r="BM14" s="11"/>
      <c r="BN14" s="11"/>
      <c r="BO14" s="11"/>
      <c r="BP14" s="11">
        <f>SUM(BH14:BJ14)</f>
        <v>204</v>
      </c>
      <c r="BQ14" s="11">
        <f>(BP14-BH14)/2</f>
        <v>34.5</v>
      </c>
      <c r="BR14" s="11"/>
      <c r="BS14" s="11"/>
      <c r="BT14" s="11"/>
      <c r="BU14" s="11"/>
      <c r="BV14" s="11"/>
      <c r="BW14" s="11"/>
      <c r="BX14" s="5">
        <f t="shared" si="3"/>
        <v>34.5</v>
      </c>
      <c r="BY14" s="5">
        <f t="shared" si="4"/>
        <v>0</v>
      </c>
      <c r="BZ14" s="5"/>
      <c r="CA14" s="5"/>
      <c r="CB14" s="5">
        <f t="shared" si="5"/>
        <v>0</v>
      </c>
    </row>
    <row r="15" spans="1:80" x14ac:dyDescent="0.25">
      <c r="A15">
        <v>5</v>
      </c>
      <c r="B15" s="5" t="s">
        <v>226</v>
      </c>
      <c r="C15" s="5"/>
      <c r="D15" s="5" t="s">
        <v>227</v>
      </c>
      <c r="E15" s="5" t="s">
        <v>194</v>
      </c>
      <c r="F15" s="5"/>
      <c r="G15" s="11"/>
      <c r="H15" s="5"/>
      <c r="I15" s="5"/>
      <c r="J15" s="5"/>
      <c r="K15" s="5"/>
      <c r="L15" s="5">
        <v>48</v>
      </c>
      <c r="M15" s="5"/>
      <c r="N15" s="5"/>
      <c r="O15" s="5">
        <v>4</v>
      </c>
      <c r="P15" s="5"/>
      <c r="Q15" s="5"/>
      <c r="R15" s="5"/>
      <c r="S15" s="5"/>
      <c r="T15" s="5">
        <v>84</v>
      </c>
      <c r="U15" s="5">
        <f>SUM(I15:T15)</f>
        <v>136</v>
      </c>
      <c r="V15" s="5">
        <f>(U15-I15)/2</f>
        <v>68</v>
      </c>
      <c r="W15" s="5">
        <v>36</v>
      </c>
      <c r="X15" s="5"/>
      <c r="Y15" s="5"/>
      <c r="Z15" s="5"/>
      <c r="AA15" s="5"/>
      <c r="AB15" s="11"/>
      <c r="AC15" s="11"/>
      <c r="AD15" s="11">
        <v>48</v>
      </c>
      <c r="AE15" s="11">
        <v>120</v>
      </c>
      <c r="AF15" s="11">
        <v>36</v>
      </c>
      <c r="AG15" s="11"/>
      <c r="AH15" s="11"/>
      <c r="AI15" s="11"/>
      <c r="AJ15" s="11"/>
      <c r="AK15" s="11">
        <v>8</v>
      </c>
      <c r="AL15" s="5">
        <f>SUM(V15:AK15)</f>
        <v>316</v>
      </c>
      <c r="AM15" s="5">
        <f>(AL15-V15)/2</f>
        <v>124</v>
      </c>
      <c r="AN15" s="11"/>
      <c r="AO15" s="11"/>
      <c r="AP15" s="11">
        <v>84</v>
      </c>
      <c r="AQ15" s="11"/>
      <c r="AR15" s="11"/>
      <c r="AS15" s="11"/>
      <c r="AT15" s="5">
        <f t="shared" si="0"/>
        <v>208</v>
      </c>
      <c r="AU15" s="5">
        <f t="shared" si="1"/>
        <v>42</v>
      </c>
      <c r="AV15" s="5"/>
      <c r="AW15" s="5"/>
      <c r="AX15" s="11"/>
      <c r="AY15" s="5"/>
      <c r="AZ15" s="5"/>
      <c r="BA15" s="5"/>
      <c r="BB15" s="5">
        <f t="shared" si="2"/>
        <v>42</v>
      </c>
      <c r="BD15">
        <f>U15/4</f>
        <v>34</v>
      </c>
      <c r="BG15" s="5">
        <f>SUM(BD15:BE15)</f>
        <v>34</v>
      </c>
      <c r="BH15" s="11">
        <f>(BG15)/2</f>
        <v>17</v>
      </c>
      <c r="BI15" s="11">
        <f>AL15/4</f>
        <v>79</v>
      </c>
      <c r="BJ15" s="11"/>
      <c r="BK15" s="11"/>
      <c r="BL15" s="11"/>
      <c r="BM15" s="11"/>
      <c r="BN15" s="11"/>
      <c r="BO15" s="11"/>
      <c r="BP15" s="11">
        <f>SUM(BH15:BJ15)</f>
        <v>96</v>
      </c>
      <c r="BQ15" s="11">
        <f>(BP15-BH15)/2</f>
        <v>39.5</v>
      </c>
      <c r="BR15" s="11"/>
      <c r="BS15" s="11"/>
      <c r="BT15" s="11"/>
      <c r="BU15" s="11"/>
      <c r="BV15" s="11"/>
      <c r="BW15" s="11"/>
      <c r="BX15" s="5">
        <f t="shared" si="3"/>
        <v>39.5</v>
      </c>
      <c r="BY15" s="5">
        <f t="shared" si="4"/>
        <v>0</v>
      </c>
      <c r="BZ15" s="5"/>
      <c r="CA15" s="5"/>
      <c r="CB15" s="5">
        <f t="shared" si="5"/>
        <v>0</v>
      </c>
    </row>
    <row r="16" spans="1:80" x14ac:dyDescent="0.25">
      <c r="A16">
        <v>6</v>
      </c>
      <c r="B16" s="5" t="s">
        <v>599</v>
      </c>
      <c r="C16" s="5"/>
      <c r="D16" s="5" t="s">
        <v>212</v>
      </c>
      <c r="E16" s="5" t="s">
        <v>379</v>
      </c>
      <c r="F16" s="5"/>
      <c r="G16" s="1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5"/>
      <c r="AM16" s="5"/>
      <c r="AN16" s="11"/>
      <c r="AO16" s="11"/>
      <c r="AP16" s="11">
        <v>84</v>
      </c>
      <c r="AQ16" s="11"/>
      <c r="AR16" s="11"/>
      <c r="AS16" s="11"/>
      <c r="AT16" s="5">
        <f t="shared" si="0"/>
        <v>84</v>
      </c>
      <c r="AU16" s="5">
        <f t="shared" si="1"/>
        <v>42</v>
      </c>
      <c r="AV16" s="5"/>
      <c r="AW16" s="5"/>
      <c r="AX16" s="11"/>
      <c r="AY16" s="5"/>
      <c r="AZ16" s="5"/>
      <c r="BA16" s="5"/>
      <c r="BB16" s="5">
        <f t="shared" si="2"/>
        <v>42</v>
      </c>
      <c r="BG16" s="5"/>
      <c r="BH16" s="5"/>
      <c r="BI16" s="5"/>
      <c r="BJ16" s="5"/>
      <c r="BK16" s="5"/>
      <c r="BL16" s="5"/>
      <c r="BM16" s="5"/>
      <c r="BN16" s="5"/>
      <c r="BO16" s="5"/>
      <c r="BP16" s="11">
        <f>SUM(BH16:BJ16)</f>
        <v>0</v>
      </c>
      <c r="BQ16" s="11">
        <f>(BP16-BH16)/2</f>
        <v>0</v>
      </c>
      <c r="BR16" s="11"/>
      <c r="BS16" s="11"/>
      <c r="BT16" s="11"/>
      <c r="BU16" s="11"/>
      <c r="BV16" s="11"/>
      <c r="BW16" s="11"/>
      <c r="BX16" s="5">
        <f t="shared" si="3"/>
        <v>0</v>
      </c>
      <c r="BY16" s="5">
        <f t="shared" si="4"/>
        <v>0</v>
      </c>
      <c r="BZ16" s="5"/>
      <c r="CA16" s="5"/>
      <c r="CB16" s="5">
        <f t="shared" si="5"/>
        <v>0</v>
      </c>
    </row>
    <row r="17" spans="1:80" x14ac:dyDescent="0.25">
      <c r="A17">
        <v>7</v>
      </c>
      <c r="B17" s="5" t="s">
        <v>297</v>
      </c>
      <c r="C17" s="5"/>
      <c r="D17" s="5" t="s">
        <v>298</v>
      </c>
      <c r="E17" s="5" t="s">
        <v>8</v>
      </c>
      <c r="AT17" s="5"/>
      <c r="AU17" s="5"/>
      <c r="AV17" s="5"/>
      <c r="AW17" s="5"/>
      <c r="AX17" s="11">
        <v>6</v>
      </c>
      <c r="AY17" s="5"/>
      <c r="AZ17" s="5"/>
      <c r="BA17" s="5"/>
      <c r="BB17" s="5">
        <f t="shared" si="2"/>
        <v>6</v>
      </c>
      <c r="BX17" s="5">
        <f t="shared" si="3"/>
        <v>0</v>
      </c>
      <c r="BY17" s="5">
        <f t="shared" ref="BY17" si="6">(BX17-BQ17)/2</f>
        <v>0</v>
      </c>
      <c r="BZ17" s="5"/>
      <c r="CA17" s="5"/>
      <c r="CB17" s="5">
        <f t="shared" ref="CB17" si="7">SUM(BY17:BZ17)</f>
        <v>0</v>
      </c>
    </row>
  </sheetData>
  <sortState xmlns:xlrd2="http://schemas.microsoft.com/office/spreadsheetml/2017/richdata2" ref="B11:BX16">
    <sortCondition descending="1" ref="BB11:BB16"/>
  </sortState>
  <mergeCells count="6">
    <mergeCell ref="B1:CB1"/>
    <mergeCell ref="B8:C10"/>
    <mergeCell ref="AP9:AS9"/>
    <mergeCell ref="AX9:BA9"/>
    <mergeCell ref="D4:BB5"/>
    <mergeCell ref="BD4:CB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B94"/>
  <sheetViews>
    <sheetView tabSelected="1" zoomScale="80" zoomScaleNormal="80" workbookViewId="0">
      <selection activeCell="CU22" sqref="CU22"/>
    </sheetView>
  </sheetViews>
  <sheetFormatPr baseColWidth="10" defaultRowHeight="15" x14ac:dyDescent="0.25"/>
  <cols>
    <col min="1" max="1" width="3.140625" bestFit="1" customWidth="1"/>
    <col min="2" max="2" width="13.140625" bestFit="1" customWidth="1"/>
    <col min="3" max="3" width="12.7109375" bestFit="1" customWidth="1"/>
    <col min="4" max="4" width="13.28515625" bestFit="1" customWidth="1"/>
    <col min="5" max="5" width="23.28515625" bestFit="1" customWidth="1"/>
    <col min="6" max="6" width="6.7109375" hidden="1" customWidth="1"/>
    <col min="7" max="11" width="6.42578125" hidden="1" customWidth="1"/>
    <col min="12" max="12" width="7.28515625" hidden="1" customWidth="1"/>
    <col min="13" max="13" width="7.28515625" style="7" hidden="1" customWidth="1"/>
    <col min="14" max="17" width="6.28515625" style="7" hidden="1" customWidth="1"/>
    <col min="18" max="20" width="6.7109375" style="7" hidden="1" customWidth="1"/>
    <col min="21" max="21" width="9.140625" style="7" hidden="1" customWidth="1"/>
    <col min="22" max="29" width="7.28515625" style="7" hidden="1" customWidth="1"/>
    <col min="30" max="31" width="6.7109375" style="7" hidden="1" customWidth="1"/>
    <col min="32" max="32" width="0" hidden="1" customWidth="1"/>
    <col min="33" max="33" width="8" hidden="1" customWidth="1"/>
    <col min="34" max="40" width="5.5703125" style="7" hidden="1" customWidth="1"/>
    <col min="41" max="42" width="6" style="7" hidden="1" customWidth="1"/>
    <col min="43" max="56" width="5.5703125" style="7" hidden="1" customWidth="1"/>
    <col min="57" max="57" width="6" style="7" hidden="1" customWidth="1"/>
    <col min="58" max="58" width="6.28515625" hidden="1" customWidth="1"/>
    <col min="59" max="60" width="6.85546875" hidden="1" customWidth="1"/>
    <col min="61" max="61" width="10.5703125" hidden="1" customWidth="1"/>
    <col min="62" max="63" width="6" style="7" hidden="1" customWidth="1"/>
    <col min="64" max="83" width="6.28515625" style="7" hidden="1" customWidth="1"/>
    <col min="84" max="84" width="6.85546875" style="7" hidden="1" customWidth="1"/>
    <col min="85" max="85" width="6.28515625" hidden="1" customWidth="1"/>
    <col min="86" max="86" width="7.85546875" hidden="1" customWidth="1"/>
    <col min="87" max="92" width="6.28515625" style="7" hidden="1" customWidth="1"/>
    <col min="93" max="93" width="6.28515625" customWidth="1"/>
    <col min="94" max="97" width="6.28515625" hidden="1" customWidth="1"/>
    <col min="98" max="98" width="7.85546875" bestFit="1" customWidth="1"/>
    <col min="99" max="104" width="6.28515625" style="7" customWidth="1"/>
    <col min="105" max="105" width="7.42578125" bestFit="1" customWidth="1"/>
    <col min="106" max="106" width="12" customWidth="1"/>
    <col min="107" max="107" width="10.7109375" hidden="1" customWidth="1"/>
    <col min="108" max="108" width="6.7109375" hidden="1" customWidth="1"/>
    <col min="109" max="109" width="7.140625" hidden="1" customWidth="1"/>
    <col min="110" max="110" width="7.140625" style="7" hidden="1" customWidth="1"/>
    <col min="111" max="113" width="0" hidden="1" customWidth="1"/>
    <col min="114" max="119" width="6.7109375" hidden="1" customWidth="1"/>
    <col min="120" max="121" width="0" hidden="1" customWidth="1"/>
    <col min="122" max="122" width="6.7109375" style="7" hidden="1" customWidth="1"/>
    <col min="123" max="127" width="6" style="7" hidden="1" customWidth="1"/>
    <col min="130" max="130" width="6" style="7" bestFit="1" customWidth="1"/>
    <col min="131" max="131" width="6" style="7" customWidth="1"/>
  </cols>
  <sheetData>
    <row r="1" spans="1:132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</row>
    <row r="2" spans="1:132" ht="15.75" thickBot="1" x14ac:dyDescent="0.3">
      <c r="C2" s="7"/>
      <c r="D2" s="7"/>
      <c r="E2" s="7"/>
      <c r="F2" s="7"/>
      <c r="G2" s="7"/>
    </row>
    <row r="3" spans="1:132" ht="15.75" thickTop="1" x14ac:dyDescent="0.25">
      <c r="B3" s="1" t="s">
        <v>0</v>
      </c>
      <c r="C3" s="4" t="s">
        <v>29</v>
      </c>
    </row>
    <row r="4" spans="1:132" ht="14.65" customHeight="1" x14ac:dyDescent="0.25">
      <c r="B4" s="2" t="s">
        <v>1</v>
      </c>
      <c r="C4" s="10" t="s">
        <v>30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C4" s="56" t="s">
        <v>641</v>
      </c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  <c r="DX4" s="56"/>
      <c r="DY4" s="56"/>
      <c r="DZ4" s="56"/>
      <c r="EA4" s="56"/>
      <c r="EB4" s="56"/>
    </row>
    <row r="5" spans="1:132" ht="15" customHeight="1" thickBot="1" x14ac:dyDescent="0.3">
      <c r="B5" s="3" t="s">
        <v>2</v>
      </c>
      <c r="C5" s="34">
        <v>-60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</row>
    <row r="6" spans="1:132" ht="15.75" thickTop="1" x14ac:dyDescent="0.25"/>
    <row r="7" spans="1:132" ht="15.75" thickBot="1" x14ac:dyDescent="0.3"/>
    <row r="8" spans="1:132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27</v>
      </c>
      <c r="H8" s="4" t="s">
        <v>27</v>
      </c>
      <c r="I8" s="4" t="s">
        <v>31</v>
      </c>
      <c r="J8" s="4" t="s">
        <v>27</v>
      </c>
      <c r="K8" s="4" t="s">
        <v>72</v>
      </c>
      <c r="L8" s="4" t="s">
        <v>99</v>
      </c>
      <c r="M8" s="4" t="s">
        <v>27</v>
      </c>
      <c r="N8" s="4" t="s">
        <v>134</v>
      </c>
      <c r="O8" s="4" t="s">
        <v>132</v>
      </c>
      <c r="P8" s="4" t="s">
        <v>141</v>
      </c>
      <c r="Q8" s="4" t="s">
        <v>146</v>
      </c>
      <c r="R8" s="4" t="s">
        <v>151</v>
      </c>
      <c r="S8" s="4" t="s">
        <v>27</v>
      </c>
      <c r="T8" s="4" t="s">
        <v>27</v>
      </c>
      <c r="U8" s="4" t="s">
        <v>164</v>
      </c>
      <c r="V8" s="4" t="s">
        <v>27</v>
      </c>
      <c r="W8" s="4" t="s">
        <v>27</v>
      </c>
      <c r="X8" s="4" t="s">
        <v>27</v>
      </c>
      <c r="Y8" s="4" t="s">
        <v>164</v>
      </c>
      <c r="Z8" s="4" t="s">
        <v>164</v>
      </c>
      <c r="AA8" s="4" t="s">
        <v>168</v>
      </c>
      <c r="AB8" s="4" t="s">
        <v>27</v>
      </c>
      <c r="AC8" s="4" t="s">
        <v>27</v>
      </c>
      <c r="AD8" s="4" t="s">
        <v>171</v>
      </c>
      <c r="AE8" s="4" t="s">
        <v>173</v>
      </c>
      <c r="AF8" s="1"/>
      <c r="AG8" s="12">
        <v>44927</v>
      </c>
      <c r="AH8" s="4" t="s">
        <v>27</v>
      </c>
      <c r="AI8" s="4" t="s">
        <v>27</v>
      </c>
      <c r="AJ8" s="4" t="s">
        <v>27</v>
      </c>
      <c r="AK8" s="17" t="s">
        <v>27</v>
      </c>
      <c r="AL8" s="17" t="s">
        <v>173</v>
      </c>
      <c r="AM8" s="17" t="s">
        <v>27</v>
      </c>
      <c r="AN8" s="17" t="s">
        <v>27</v>
      </c>
      <c r="AO8" s="17" t="s">
        <v>27</v>
      </c>
      <c r="AP8" s="17" t="s">
        <v>217</v>
      </c>
      <c r="AQ8" s="17" t="s">
        <v>217</v>
      </c>
      <c r="AR8" s="17" t="s">
        <v>217</v>
      </c>
      <c r="AS8" s="17" t="s">
        <v>27</v>
      </c>
      <c r="AT8" s="17" t="s">
        <v>173</v>
      </c>
      <c r="AU8" s="17" t="s">
        <v>27</v>
      </c>
      <c r="AV8" s="17" t="s">
        <v>27</v>
      </c>
      <c r="AW8" s="17" t="s">
        <v>27</v>
      </c>
      <c r="AX8" s="17" t="s">
        <v>27</v>
      </c>
      <c r="AY8" s="17" t="s">
        <v>27</v>
      </c>
      <c r="AZ8" s="17" t="s">
        <v>27</v>
      </c>
      <c r="BA8" s="17" t="s">
        <v>173</v>
      </c>
      <c r="BB8" s="17" t="s">
        <v>27</v>
      </c>
      <c r="BC8" s="16" t="s">
        <v>27</v>
      </c>
      <c r="BD8" s="17" t="s">
        <v>27</v>
      </c>
      <c r="BE8" s="17" t="s">
        <v>174</v>
      </c>
      <c r="BF8" s="4" t="s">
        <v>6</v>
      </c>
      <c r="BG8" s="16">
        <v>45292</v>
      </c>
      <c r="BH8" s="16" t="s">
        <v>27</v>
      </c>
      <c r="BI8" s="16" t="s">
        <v>27</v>
      </c>
      <c r="BJ8" s="16" t="s">
        <v>27</v>
      </c>
      <c r="BK8" s="16" t="s">
        <v>27</v>
      </c>
      <c r="BL8" s="16" t="s">
        <v>27</v>
      </c>
      <c r="BM8" s="16" t="s">
        <v>27</v>
      </c>
      <c r="BN8" s="16" t="s">
        <v>27</v>
      </c>
      <c r="BO8" s="16" t="s">
        <v>27</v>
      </c>
      <c r="BP8" s="16" t="s">
        <v>27</v>
      </c>
      <c r="BQ8" s="16" t="s">
        <v>173</v>
      </c>
      <c r="BR8" s="16" t="s">
        <v>173</v>
      </c>
      <c r="BS8" s="16" t="s">
        <v>217</v>
      </c>
      <c r="BT8" s="16" t="s">
        <v>217</v>
      </c>
      <c r="BU8" s="16" t="s">
        <v>217</v>
      </c>
      <c r="BV8" s="16" t="s">
        <v>173</v>
      </c>
      <c r="BW8" s="16" t="s">
        <v>27</v>
      </c>
      <c r="BX8" s="16" t="s">
        <v>27</v>
      </c>
      <c r="BY8" s="16" t="s">
        <v>27</v>
      </c>
      <c r="BZ8" s="16" t="s">
        <v>27</v>
      </c>
      <c r="CA8" s="16" t="s">
        <v>27</v>
      </c>
      <c r="CB8" s="16" t="s">
        <v>27</v>
      </c>
      <c r="CC8" s="16" t="s">
        <v>27</v>
      </c>
      <c r="CD8" s="16" t="s">
        <v>27</v>
      </c>
      <c r="CE8" s="16" t="s">
        <v>173</v>
      </c>
      <c r="CF8" s="16" t="s">
        <v>174</v>
      </c>
      <c r="CG8" s="16" t="s">
        <v>6</v>
      </c>
      <c r="CH8" s="16">
        <v>45658</v>
      </c>
      <c r="CI8" s="16"/>
      <c r="CJ8" s="16"/>
      <c r="CK8" s="38"/>
      <c r="CL8" s="39"/>
      <c r="CM8" s="39"/>
      <c r="CN8" s="40"/>
      <c r="CO8" s="16" t="s">
        <v>6</v>
      </c>
      <c r="CP8" s="32"/>
      <c r="CQ8" s="32"/>
      <c r="CR8" s="32"/>
      <c r="CS8" s="32"/>
      <c r="CT8" s="16">
        <v>46023</v>
      </c>
      <c r="CU8" s="16"/>
      <c r="CV8" s="16"/>
      <c r="CW8" s="38"/>
      <c r="CX8" s="39"/>
      <c r="CY8" s="39"/>
      <c r="CZ8" s="40"/>
      <c r="DA8" s="16" t="s">
        <v>178</v>
      </c>
      <c r="DC8" s="1" t="s">
        <v>175</v>
      </c>
      <c r="DD8" s="1" t="s">
        <v>214</v>
      </c>
      <c r="DE8" s="1" t="s">
        <v>171</v>
      </c>
      <c r="DF8" s="4" t="s">
        <v>283</v>
      </c>
      <c r="DG8" s="1" t="s">
        <v>6</v>
      </c>
      <c r="DH8" s="16">
        <v>45292</v>
      </c>
      <c r="DI8" s="4" t="s">
        <v>175</v>
      </c>
      <c r="DJ8" s="4" t="s">
        <v>296</v>
      </c>
      <c r="DK8" s="4" t="s">
        <v>31</v>
      </c>
      <c r="DL8" s="4" t="s">
        <v>164</v>
      </c>
      <c r="DM8" s="4" t="s">
        <v>164</v>
      </c>
      <c r="DN8" s="4" t="s">
        <v>171</v>
      </c>
      <c r="DO8" s="4" t="s">
        <v>283</v>
      </c>
      <c r="DP8" s="1" t="s">
        <v>6</v>
      </c>
      <c r="DQ8" s="16">
        <v>45658</v>
      </c>
      <c r="DR8" s="4" t="s">
        <v>296</v>
      </c>
      <c r="DS8" s="4" t="s">
        <v>164</v>
      </c>
      <c r="DT8" s="4" t="s">
        <v>31</v>
      </c>
      <c r="DU8" s="4" t="s">
        <v>275</v>
      </c>
      <c r="DV8" s="4" t="s">
        <v>171</v>
      </c>
      <c r="DW8" s="4" t="s">
        <v>283</v>
      </c>
      <c r="DX8" s="4" t="s">
        <v>178</v>
      </c>
      <c r="DY8" s="16">
        <v>46023</v>
      </c>
      <c r="DZ8" s="4" t="s">
        <v>721</v>
      </c>
      <c r="EA8" s="4" t="s">
        <v>171</v>
      </c>
      <c r="EB8" s="1" t="s">
        <v>6</v>
      </c>
    </row>
    <row r="9" spans="1:132" x14ac:dyDescent="0.25">
      <c r="B9" s="50"/>
      <c r="C9" s="51"/>
      <c r="D9" s="2"/>
      <c r="E9" s="2"/>
      <c r="F9" s="10" t="s">
        <v>73</v>
      </c>
      <c r="G9" s="10" t="s">
        <v>28</v>
      </c>
      <c r="H9" s="10" t="s">
        <v>54</v>
      </c>
      <c r="I9" s="8" t="s">
        <v>32</v>
      </c>
      <c r="J9" s="8" t="s">
        <v>66</v>
      </c>
      <c r="K9" s="10" t="s">
        <v>73</v>
      </c>
      <c r="L9" s="10" t="s">
        <v>100</v>
      </c>
      <c r="M9" s="10" t="s">
        <v>125</v>
      </c>
      <c r="N9" s="10" t="s">
        <v>135</v>
      </c>
      <c r="O9" s="10" t="s">
        <v>133</v>
      </c>
      <c r="P9" s="10" t="s">
        <v>140</v>
      </c>
      <c r="Q9" s="10" t="s">
        <v>73</v>
      </c>
      <c r="R9" s="10" t="s">
        <v>152</v>
      </c>
      <c r="S9" s="10" t="s">
        <v>54</v>
      </c>
      <c r="T9" s="10" t="s">
        <v>159</v>
      </c>
      <c r="U9" s="10" t="s">
        <v>161</v>
      </c>
      <c r="V9" s="10" t="s">
        <v>149</v>
      </c>
      <c r="W9" s="10" t="s">
        <v>28</v>
      </c>
      <c r="X9" s="10" t="s">
        <v>162</v>
      </c>
      <c r="Y9" s="10" t="s">
        <v>32</v>
      </c>
      <c r="Z9" s="10" t="s">
        <v>167</v>
      </c>
      <c r="AA9" s="10" t="s">
        <v>169</v>
      </c>
      <c r="AB9" s="10" t="s">
        <v>162</v>
      </c>
      <c r="AC9" s="10" t="s">
        <v>66</v>
      </c>
      <c r="AD9" s="10" t="s">
        <v>172</v>
      </c>
      <c r="AE9" s="10" t="s">
        <v>174</v>
      </c>
      <c r="AF9" s="2" t="s">
        <v>6</v>
      </c>
      <c r="AG9" s="2"/>
      <c r="AH9" s="10" t="s">
        <v>56</v>
      </c>
      <c r="AI9" s="10" t="s">
        <v>28</v>
      </c>
      <c r="AJ9" s="10" t="s">
        <v>149</v>
      </c>
      <c r="AK9" s="18" t="s">
        <v>54</v>
      </c>
      <c r="AL9" s="18" t="s">
        <v>134</v>
      </c>
      <c r="AM9" s="18" t="s">
        <v>130</v>
      </c>
      <c r="AN9" s="18" t="s">
        <v>162</v>
      </c>
      <c r="AO9" s="18" t="s">
        <v>66</v>
      </c>
      <c r="AP9" s="18" t="s">
        <v>132</v>
      </c>
      <c r="AQ9" s="18" t="s">
        <v>141</v>
      </c>
      <c r="AR9" s="18" t="s">
        <v>134</v>
      </c>
      <c r="AS9" s="18" t="s">
        <v>128</v>
      </c>
      <c r="AT9" s="18" t="s">
        <v>132</v>
      </c>
      <c r="AU9" s="18" t="s">
        <v>251</v>
      </c>
      <c r="AV9" s="18" t="s">
        <v>56</v>
      </c>
      <c r="AW9" s="18" t="s">
        <v>162</v>
      </c>
      <c r="AX9" s="18" t="s">
        <v>130</v>
      </c>
      <c r="AY9" s="18" t="s">
        <v>54</v>
      </c>
      <c r="AZ9" s="18" t="s">
        <v>149</v>
      </c>
      <c r="BA9" s="18" t="s">
        <v>141</v>
      </c>
      <c r="BB9" s="18" t="s">
        <v>128</v>
      </c>
      <c r="BC9" s="10" t="s">
        <v>28</v>
      </c>
      <c r="BD9" s="18" t="s">
        <v>251</v>
      </c>
      <c r="BE9" s="18"/>
      <c r="BF9" s="2"/>
      <c r="BG9" s="10"/>
      <c r="BH9" s="10" t="s">
        <v>130</v>
      </c>
      <c r="BI9" s="10" t="s">
        <v>328</v>
      </c>
      <c r="BJ9" s="10" t="s">
        <v>149</v>
      </c>
      <c r="BK9" s="10" t="s">
        <v>346</v>
      </c>
      <c r="BL9" s="10" t="s">
        <v>251</v>
      </c>
      <c r="BM9" s="10" t="s">
        <v>128</v>
      </c>
      <c r="BN9" s="10" t="s">
        <v>159</v>
      </c>
      <c r="BO9" s="10" t="s">
        <v>54</v>
      </c>
      <c r="BP9" s="10" t="s">
        <v>56</v>
      </c>
      <c r="BQ9" s="10" t="s">
        <v>132</v>
      </c>
      <c r="BR9" s="10" t="s">
        <v>396</v>
      </c>
      <c r="BS9" s="10" t="s">
        <v>132</v>
      </c>
      <c r="BT9" s="10" t="s">
        <v>134</v>
      </c>
      <c r="BU9" s="10" t="s">
        <v>141</v>
      </c>
      <c r="BV9" s="10" t="s">
        <v>134</v>
      </c>
      <c r="BW9" s="10" t="s">
        <v>346</v>
      </c>
      <c r="BX9" s="10" t="s">
        <v>54</v>
      </c>
      <c r="BY9" s="10" t="s">
        <v>251</v>
      </c>
      <c r="BZ9" s="10" t="s">
        <v>56</v>
      </c>
      <c r="CA9" s="10" t="s">
        <v>159</v>
      </c>
      <c r="CB9" s="10" t="s">
        <v>28</v>
      </c>
      <c r="CC9" s="10" t="s">
        <v>128</v>
      </c>
      <c r="CD9" s="10" t="s">
        <v>458</v>
      </c>
      <c r="CE9" s="10" t="s">
        <v>141</v>
      </c>
      <c r="CF9" s="10" t="s">
        <v>475</v>
      </c>
      <c r="CG9" s="10"/>
      <c r="CH9" s="10"/>
      <c r="CI9" s="8" t="s">
        <v>27</v>
      </c>
      <c r="CJ9" s="8" t="s">
        <v>217</v>
      </c>
      <c r="CK9" s="52" t="s">
        <v>477</v>
      </c>
      <c r="CL9" s="53"/>
      <c r="CM9" s="53"/>
      <c r="CN9" s="54"/>
      <c r="CO9" s="10"/>
      <c r="CP9" s="7"/>
      <c r="CQ9" s="7"/>
      <c r="CR9" s="7"/>
      <c r="CS9" s="7"/>
      <c r="CT9" s="10"/>
      <c r="CU9" s="8" t="s">
        <v>27</v>
      </c>
      <c r="CV9" s="8" t="s">
        <v>217</v>
      </c>
      <c r="CW9" s="52" t="s">
        <v>477</v>
      </c>
      <c r="CX9" s="53"/>
      <c r="CY9" s="53"/>
      <c r="CZ9" s="54"/>
      <c r="DA9" s="8"/>
      <c r="DC9" s="2" t="s">
        <v>176</v>
      </c>
      <c r="DD9" s="2"/>
      <c r="DE9" s="2" t="s">
        <v>255</v>
      </c>
      <c r="DF9" s="10" t="s">
        <v>284</v>
      </c>
      <c r="DG9" s="2"/>
      <c r="DH9" s="7"/>
      <c r="DI9" s="10" t="s">
        <v>176</v>
      </c>
      <c r="DJ9" s="10"/>
      <c r="DK9" s="10" t="s">
        <v>354</v>
      </c>
      <c r="DL9" s="10" t="s">
        <v>419</v>
      </c>
      <c r="DM9" s="10" t="s">
        <v>255</v>
      </c>
      <c r="DN9" s="10" t="s">
        <v>255</v>
      </c>
      <c r="DO9" s="10" t="s">
        <v>73</v>
      </c>
      <c r="DP9" s="2"/>
      <c r="DQ9" s="10"/>
      <c r="DR9" s="10"/>
      <c r="DS9" s="10" t="s">
        <v>100</v>
      </c>
      <c r="DT9" s="10" t="s">
        <v>419</v>
      </c>
      <c r="DU9" s="10" t="s">
        <v>419</v>
      </c>
      <c r="DV9" s="10" t="s">
        <v>255</v>
      </c>
      <c r="DW9" s="10" t="s">
        <v>73</v>
      </c>
      <c r="DX9" s="10"/>
      <c r="DY9" s="10"/>
      <c r="DZ9" s="10" t="s">
        <v>32</v>
      </c>
      <c r="EA9" s="10" t="s">
        <v>419</v>
      </c>
      <c r="EB9" s="2"/>
    </row>
    <row r="10" spans="1:132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44653</v>
      </c>
      <c r="H10" s="9">
        <v>44660</v>
      </c>
      <c r="I10" s="9">
        <v>44661</v>
      </c>
      <c r="J10" s="9">
        <v>44674</v>
      </c>
      <c r="K10" s="9">
        <v>44681</v>
      </c>
      <c r="L10" s="9">
        <v>44695</v>
      </c>
      <c r="M10" s="9">
        <v>44709</v>
      </c>
      <c r="N10" s="9">
        <v>44730</v>
      </c>
      <c r="O10" s="9">
        <v>44730</v>
      </c>
      <c r="P10" s="9">
        <v>44737</v>
      </c>
      <c r="Q10" s="9">
        <v>44758</v>
      </c>
      <c r="R10" s="9">
        <v>44783</v>
      </c>
      <c r="S10" s="9">
        <v>44793</v>
      </c>
      <c r="T10" s="9">
        <v>44800</v>
      </c>
      <c r="U10" s="9">
        <v>44812</v>
      </c>
      <c r="V10" s="9">
        <v>44814</v>
      </c>
      <c r="W10" s="9">
        <v>44814</v>
      </c>
      <c r="X10" s="9">
        <v>44814</v>
      </c>
      <c r="Y10" s="9">
        <v>44819</v>
      </c>
      <c r="Z10" s="9">
        <v>44826</v>
      </c>
      <c r="AA10" s="9">
        <v>44829</v>
      </c>
      <c r="AB10" s="9">
        <v>44856</v>
      </c>
      <c r="AC10" s="9">
        <v>44863</v>
      </c>
      <c r="AD10" s="9">
        <v>44867</v>
      </c>
      <c r="AE10" s="9">
        <v>44906</v>
      </c>
      <c r="AF10" s="2">
        <v>2022</v>
      </c>
      <c r="AG10" s="2"/>
      <c r="AH10" s="10" t="s">
        <v>180</v>
      </c>
      <c r="AI10" s="10" t="s">
        <v>179</v>
      </c>
      <c r="AJ10" s="2" t="s">
        <v>185</v>
      </c>
      <c r="AK10" s="18" t="s">
        <v>189</v>
      </c>
      <c r="AL10" s="18" t="s">
        <v>193</v>
      </c>
      <c r="AM10" s="18" t="s">
        <v>215</v>
      </c>
      <c r="AN10" s="18" t="s">
        <v>213</v>
      </c>
      <c r="AO10" s="18" t="s">
        <v>216</v>
      </c>
      <c r="AP10" s="18" t="s">
        <v>218</v>
      </c>
      <c r="AQ10" s="18" t="s">
        <v>228</v>
      </c>
      <c r="AR10" s="18" t="s">
        <v>234</v>
      </c>
      <c r="AS10" s="18" t="s">
        <v>240</v>
      </c>
      <c r="AT10" s="18" t="s">
        <v>242</v>
      </c>
      <c r="AU10" s="18" t="s">
        <v>252</v>
      </c>
      <c r="AV10" s="18" t="s">
        <v>254</v>
      </c>
      <c r="AW10" s="18" t="s">
        <v>256</v>
      </c>
      <c r="AX10" s="18" t="s">
        <v>256</v>
      </c>
      <c r="AY10" s="18" t="s">
        <v>258</v>
      </c>
      <c r="AZ10" s="18" t="s">
        <v>266</v>
      </c>
      <c r="BA10" s="18" t="s">
        <v>268</v>
      </c>
      <c r="BB10" s="18" t="s">
        <v>277</v>
      </c>
      <c r="BC10" s="10" t="s">
        <v>280</v>
      </c>
      <c r="BD10" s="18" t="s">
        <v>281</v>
      </c>
      <c r="BE10" s="18" t="s">
        <v>289</v>
      </c>
      <c r="BF10" s="2">
        <v>2023</v>
      </c>
      <c r="BG10" s="31"/>
      <c r="BH10" s="31" t="s">
        <v>317</v>
      </c>
      <c r="BI10" s="31" t="s">
        <v>317</v>
      </c>
      <c r="BJ10" s="31" t="s">
        <v>317</v>
      </c>
      <c r="BK10" s="31" t="s">
        <v>317</v>
      </c>
      <c r="BL10" s="31" t="s">
        <v>317</v>
      </c>
      <c r="BM10" s="31" t="s">
        <v>317</v>
      </c>
      <c r="BN10" s="31" t="s">
        <v>317</v>
      </c>
      <c r="BO10" s="31" t="s">
        <v>356</v>
      </c>
      <c r="BP10" s="31" t="s">
        <v>373</v>
      </c>
      <c r="BQ10" s="31" t="s">
        <v>384</v>
      </c>
      <c r="BR10" s="31" t="s">
        <v>397</v>
      </c>
      <c r="BS10" s="31" t="s">
        <v>405</v>
      </c>
      <c r="BT10" s="31" t="s">
        <v>405</v>
      </c>
      <c r="BU10" s="31" t="s">
        <v>416</v>
      </c>
      <c r="BV10" s="31" t="s">
        <v>421</v>
      </c>
      <c r="BW10" s="31" t="s">
        <v>441</v>
      </c>
      <c r="BX10" s="31" t="s">
        <v>441</v>
      </c>
      <c r="BY10" s="31" t="s">
        <v>440</v>
      </c>
      <c r="BZ10" s="31" t="s">
        <v>445</v>
      </c>
      <c r="CA10" s="31" t="s">
        <v>445</v>
      </c>
      <c r="CB10" s="31" t="s">
        <v>455</v>
      </c>
      <c r="CC10" s="31" t="s">
        <v>456</v>
      </c>
      <c r="CD10" s="31" t="s">
        <v>459</v>
      </c>
      <c r="CE10" s="31" t="s">
        <v>465</v>
      </c>
      <c r="CF10" s="31" t="s">
        <v>476</v>
      </c>
      <c r="CG10" s="10">
        <v>2024</v>
      </c>
      <c r="CH10" s="10"/>
      <c r="CI10" s="10"/>
      <c r="CJ10" s="10"/>
      <c r="CK10" s="10">
        <v>1</v>
      </c>
      <c r="CL10" s="10">
        <v>2</v>
      </c>
      <c r="CM10" s="10">
        <v>3</v>
      </c>
      <c r="CN10" s="10">
        <v>4</v>
      </c>
      <c r="CO10" s="10">
        <v>2025</v>
      </c>
      <c r="CP10" s="7"/>
      <c r="CQ10" s="7"/>
      <c r="CR10" s="7"/>
      <c r="CS10" s="7"/>
      <c r="CT10" s="10"/>
      <c r="CU10" s="10"/>
      <c r="CV10" s="10"/>
      <c r="CW10" s="10">
        <v>1</v>
      </c>
      <c r="CX10" s="10">
        <v>2</v>
      </c>
      <c r="CY10" s="10">
        <v>3</v>
      </c>
      <c r="CZ10" s="10">
        <v>4</v>
      </c>
      <c r="DA10" s="10">
        <v>2026</v>
      </c>
      <c r="DC10" s="2"/>
      <c r="DD10" s="14">
        <v>45078</v>
      </c>
      <c r="DE10" s="14">
        <v>45154</v>
      </c>
      <c r="DF10" s="8">
        <v>45255</v>
      </c>
      <c r="DG10" s="2">
        <v>2023</v>
      </c>
      <c r="DH10" s="7"/>
      <c r="DI10" s="10"/>
      <c r="DJ10" s="9">
        <v>45347</v>
      </c>
      <c r="DK10" s="9" t="s">
        <v>355</v>
      </c>
      <c r="DL10" s="9" t="s">
        <v>228</v>
      </c>
      <c r="DM10" s="9" t="s">
        <v>456</v>
      </c>
      <c r="DN10" s="9" t="s">
        <v>457</v>
      </c>
      <c r="DO10" s="9" t="s">
        <v>474</v>
      </c>
      <c r="DP10" s="2">
        <v>2024</v>
      </c>
      <c r="DQ10" s="10"/>
      <c r="DR10" s="10" t="s">
        <v>480</v>
      </c>
      <c r="DS10" s="10" t="s">
        <v>317</v>
      </c>
      <c r="DT10" s="10" t="s">
        <v>527</v>
      </c>
      <c r="DU10" s="10" t="s">
        <v>616</v>
      </c>
      <c r="DV10" s="10" t="s">
        <v>632</v>
      </c>
      <c r="DW10" s="10" t="s">
        <v>474</v>
      </c>
      <c r="DX10" s="10">
        <v>2025</v>
      </c>
      <c r="DY10" s="10"/>
      <c r="DZ10" s="10" t="s">
        <v>722</v>
      </c>
      <c r="EA10" s="10" t="s">
        <v>723</v>
      </c>
      <c r="EB10" s="2">
        <v>2026</v>
      </c>
    </row>
    <row r="11" spans="1:132" x14ac:dyDescent="0.25">
      <c r="A11">
        <v>1</v>
      </c>
      <c r="B11" s="5" t="s">
        <v>97</v>
      </c>
      <c r="C11" s="5"/>
      <c r="D11" s="5" t="s">
        <v>60</v>
      </c>
      <c r="E11" s="5" t="s">
        <v>119</v>
      </c>
      <c r="F11" s="5"/>
      <c r="G11" s="5"/>
      <c r="H11" s="5"/>
      <c r="I11" s="5"/>
      <c r="J11" s="5"/>
      <c r="K11" s="5"/>
      <c r="L11" s="5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5"/>
      <c r="AG11" s="5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5"/>
      <c r="BG11" s="5"/>
      <c r="BH11" s="5"/>
      <c r="BI11" s="5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>
        <v>75</v>
      </c>
      <c r="CF11" s="11"/>
      <c r="CG11" s="5">
        <f t="shared" ref="CG11:CG16" si="0">SUM(BG11:CF11)</f>
        <v>75</v>
      </c>
      <c r="CH11" s="5">
        <f t="shared" ref="CH11:CH16" si="1">(CG11-BG11)/2</f>
        <v>37.5</v>
      </c>
      <c r="CI11" s="11">
        <v>48</v>
      </c>
      <c r="CJ11" s="11">
        <v>80</v>
      </c>
      <c r="CK11" s="11">
        <v>54</v>
      </c>
      <c r="CL11" s="11">
        <v>50</v>
      </c>
      <c r="CM11" s="11">
        <v>56</v>
      </c>
      <c r="CN11" s="11">
        <v>200</v>
      </c>
      <c r="CO11" s="5">
        <f t="shared" ref="CO11:CO23" si="2">SUM(CH11:CN11)</f>
        <v>525.5</v>
      </c>
      <c r="CT11" s="5">
        <f t="shared" ref="CT11:CT23" si="3">(CO11-CH11)/2</f>
        <v>244</v>
      </c>
      <c r="CU11" s="11">
        <v>60</v>
      </c>
      <c r="CV11" s="11">
        <v>56</v>
      </c>
      <c r="CW11" s="11">
        <v>75</v>
      </c>
      <c r="CX11" s="11"/>
      <c r="CY11" s="11"/>
      <c r="CZ11" s="11"/>
      <c r="DA11" s="5">
        <f t="shared" ref="DA11:DA42" si="4">SUM(CT11:CZ11)</f>
        <v>435</v>
      </c>
      <c r="DC11" s="5"/>
      <c r="DD11" s="5"/>
      <c r="DE11" s="5"/>
      <c r="DF11" s="11"/>
      <c r="DG11" s="5">
        <f t="shared" ref="DG11:DG16" si="5">SUM(DC11:DF11)</f>
        <v>0</v>
      </c>
      <c r="DH11" s="11">
        <f t="shared" ref="DH11:DH16" si="6">(DG11)/2</f>
        <v>0</v>
      </c>
      <c r="DI11" s="11">
        <f t="shared" ref="DI11:DI16" si="7">CG11/4</f>
        <v>18.75</v>
      </c>
      <c r="DJ11" s="5"/>
      <c r="DK11" s="11"/>
      <c r="DL11" s="11"/>
      <c r="DM11" s="11"/>
      <c r="DN11" s="11"/>
      <c r="DO11" s="11">
        <v>50</v>
      </c>
      <c r="DP11" s="11">
        <f t="shared" ref="DP11:DP16" si="8">SUM(DH11:DO11)</f>
        <v>68.75</v>
      </c>
      <c r="DQ11" s="5">
        <f t="shared" ref="DQ11:DQ16" si="9">(DP11-DH11)/2</f>
        <v>34.375</v>
      </c>
      <c r="DR11" s="11"/>
      <c r="DS11" s="11"/>
      <c r="DT11" s="11"/>
      <c r="DU11" s="11"/>
      <c r="DV11" s="11"/>
      <c r="DW11" s="11"/>
      <c r="DX11" s="5">
        <f>SUM(DQ11:DS11)</f>
        <v>34.375</v>
      </c>
      <c r="DY11" s="5">
        <f t="shared" ref="DY11:DY42" si="10">(DX11-DQ11)/2</f>
        <v>0</v>
      </c>
      <c r="DZ11" s="11">
        <v>7.5</v>
      </c>
      <c r="EA11" s="11">
        <v>5</v>
      </c>
      <c r="EB11" s="5">
        <f>SUM(DY11:EA11)</f>
        <v>12.5</v>
      </c>
    </row>
    <row r="12" spans="1:132" x14ac:dyDescent="0.25">
      <c r="A12">
        <v>2</v>
      </c>
      <c r="B12" s="5" t="s">
        <v>385</v>
      </c>
      <c r="C12" s="5"/>
      <c r="D12" s="5" t="s">
        <v>386</v>
      </c>
      <c r="E12" s="5" t="s">
        <v>9</v>
      </c>
      <c r="F12" s="5"/>
      <c r="G12" s="5"/>
      <c r="H12" s="5"/>
      <c r="I12" s="5"/>
      <c r="J12" s="5"/>
      <c r="K12" s="5"/>
      <c r="L12" s="5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5"/>
      <c r="AG12" s="5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5"/>
      <c r="BG12" s="5"/>
      <c r="BH12" s="5"/>
      <c r="BI12" s="5"/>
      <c r="BJ12" s="11"/>
      <c r="BK12" s="11"/>
      <c r="BL12" s="11"/>
      <c r="BM12" s="11"/>
      <c r="BN12" s="11"/>
      <c r="BO12" s="11"/>
      <c r="BP12" s="11"/>
      <c r="BQ12" s="11">
        <v>54</v>
      </c>
      <c r="BR12" s="11">
        <v>50</v>
      </c>
      <c r="BS12" s="11"/>
      <c r="BT12" s="11"/>
      <c r="BU12" s="11"/>
      <c r="BV12" s="11">
        <v>7.5</v>
      </c>
      <c r="BW12" s="11"/>
      <c r="BX12" s="11"/>
      <c r="BY12" s="11"/>
      <c r="BZ12" s="11"/>
      <c r="CA12" s="11"/>
      <c r="CB12" s="11">
        <v>36</v>
      </c>
      <c r="CC12" s="11"/>
      <c r="CD12" s="11"/>
      <c r="CE12" s="11"/>
      <c r="CF12" s="11"/>
      <c r="CG12" s="5">
        <f t="shared" si="0"/>
        <v>147.5</v>
      </c>
      <c r="CH12" s="5">
        <f t="shared" si="1"/>
        <v>73.75</v>
      </c>
      <c r="CI12" s="11"/>
      <c r="CJ12" s="11">
        <v>56</v>
      </c>
      <c r="CK12" s="11">
        <v>100</v>
      </c>
      <c r="CL12" s="11">
        <v>100</v>
      </c>
      <c r="CM12" s="11">
        <v>105</v>
      </c>
      <c r="CN12" s="11">
        <v>100</v>
      </c>
      <c r="CO12" s="5">
        <f t="shared" si="2"/>
        <v>534.75</v>
      </c>
      <c r="CT12" s="5">
        <f t="shared" si="3"/>
        <v>230.5</v>
      </c>
      <c r="CU12" s="11">
        <v>48</v>
      </c>
      <c r="CV12" s="11">
        <v>80</v>
      </c>
      <c r="CW12" s="11">
        <v>24</v>
      </c>
      <c r="CX12" s="11">
        <v>36</v>
      </c>
      <c r="CY12" s="11"/>
      <c r="CZ12" s="11"/>
      <c r="DA12" s="5">
        <f t="shared" si="4"/>
        <v>418.5</v>
      </c>
      <c r="DC12" s="5"/>
      <c r="DD12" s="5"/>
      <c r="DE12" s="5"/>
      <c r="DF12" s="11"/>
      <c r="DG12" s="5">
        <f t="shared" si="5"/>
        <v>0</v>
      </c>
      <c r="DH12" s="11">
        <f t="shared" si="6"/>
        <v>0</v>
      </c>
      <c r="DI12" s="11">
        <f t="shared" si="7"/>
        <v>36.875</v>
      </c>
      <c r="DJ12" s="5"/>
      <c r="DK12" s="5"/>
      <c r="DL12" s="5"/>
      <c r="DM12" s="5"/>
      <c r="DN12" s="5"/>
      <c r="DO12" s="5"/>
      <c r="DP12" s="11">
        <f t="shared" si="8"/>
        <v>36.875</v>
      </c>
      <c r="DQ12" s="5">
        <f t="shared" si="9"/>
        <v>18.4375</v>
      </c>
      <c r="DR12" s="11"/>
      <c r="DS12" s="11"/>
      <c r="DT12" s="11"/>
      <c r="DU12" s="11"/>
      <c r="DV12" s="11"/>
      <c r="DW12" s="11"/>
      <c r="DX12" s="5">
        <f>SUM(DQ12:DS12)</f>
        <v>18.4375</v>
      </c>
      <c r="DY12" s="5">
        <f t="shared" si="10"/>
        <v>0</v>
      </c>
      <c r="DZ12" s="11"/>
      <c r="EA12" s="11"/>
      <c r="EB12" s="5">
        <f>SUM(DY12:DZ12)</f>
        <v>0</v>
      </c>
    </row>
    <row r="13" spans="1:132" x14ac:dyDescent="0.25">
      <c r="A13">
        <v>3</v>
      </c>
      <c r="B13" s="5" t="s">
        <v>82</v>
      </c>
      <c r="C13" s="5" t="s">
        <v>44</v>
      </c>
      <c r="D13" s="5" t="s">
        <v>60</v>
      </c>
      <c r="E13" s="5" t="s">
        <v>197</v>
      </c>
      <c r="F13" s="5"/>
      <c r="G13" s="5"/>
      <c r="H13" s="5"/>
      <c r="I13" s="5"/>
      <c r="J13" s="5"/>
      <c r="K13" s="5"/>
      <c r="L13" s="5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5"/>
      <c r="AG13" s="5"/>
      <c r="AH13" s="11"/>
      <c r="AI13" s="11"/>
      <c r="AJ13" s="11"/>
      <c r="AK13" s="11"/>
      <c r="AL13" s="11">
        <v>5</v>
      </c>
      <c r="AM13" s="11"/>
      <c r="AN13" s="11"/>
      <c r="AO13" s="11"/>
      <c r="AP13" s="11"/>
      <c r="AQ13" s="11"/>
      <c r="AR13" s="11"/>
      <c r="AS13" s="11"/>
      <c r="AT13" s="11">
        <v>5</v>
      </c>
      <c r="AU13" s="11">
        <v>2.4</v>
      </c>
      <c r="AV13" s="11"/>
      <c r="AW13" s="11"/>
      <c r="AX13" s="11"/>
      <c r="AY13" s="11"/>
      <c r="AZ13" s="11"/>
      <c r="BA13" s="11">
        <v>36</v>
      </c>
      <c r="BB13" s="11"/>
      <c r="BC13" s="11"/>
      <c r="BD13" s="11">
        <v>36</v>
      </c>
      <c r="BE13" s="11">
        <v>7.5</v>
      </c>
      <c r="BF13" s="5">
        <f>SUM(AG13:BE13)</f>
        <v>91.9</v>
      </c>
      <c r="BG13" s="5">
        <f>(BF13-AG13)/2</f>
        <v>45.95</v>
      </c>
      <c r="BH13" s="5"/>
      <c r="BI13" s="5"/>
      <c r="BJ13" s="11"/>
      <c r="BK13" s="11"/>
      <c r="BL13" s="11">
        <v>48</v>
      </c>
      <c r="BM13" s="11"/>
      <c r="BN13" s="11"/>
      <c r="BO13" s="11"/>
      <c r="BP13" s="11"/>
      <c r="BQ13" s="11">
        <v>7.5</v>
      </c>
      <c r="BR13" s="11">
        <v>50</v>
      </c>
      <c r="BS13" s="11"/>
      <c r="BT13" s="11"/>
      <c r="BU13" s="11"/>
      <c r="BV13" s="11">
        <v>24</v>
      </c>
      <c r="BW13" s="11"/>
      <c r="BX13" s="11"/>
      <c r="BY13" s="11">
        <v>36</v>
      </c>
      <c r="BZ13" s="11"/>
      <c r="CA13" s="11"/>
      <c r="CB13" s="11"/>
      <c r="CC13" s="11"/>
      <c r="CD13" s="11"/>
      <c r="CE13" s="11">
        <v>54</v>
      </c>
      <c r="CF13" s="11">
        <v>52</v>
      </c>
      <c r="CG13" s="5">
        <f t="shared" si="0"/>
        <v>317.45</v>
      </c>
      <c r="CH13" s="5">
        <f t="shared" si="1"/>
        <v>135.75</v>
      </c>
      <c r="CI13" s="11">
        <v>36</v>
      </c>
      <c r="CJ13" s="11"/>
      <c r="CK13" s="11">
        <v>54</v>
      </c>
      <c r="CL13" s="11">
        <v>72</v>
      </c>
      <c r="CM13" s="11">
        <v>75</v>
      </c>
      <c r="CN13" s="11">
        <v>36</v>
      </c>
      <c r="CO13" s="5">
        <f t="shared" si="2"/>
        <v>408.75</v>
      </c>
      <c r="CT13" s="5">
        <f t="shared" si="3"/>
        <v>136.5</v>
      </c>
      <c r="CU13" s="11">
        <v>48</v>
      </c>
      <c r="CV13" s="11">
        <v>80</v>
      </c>
      <c r="CW13" s="11">
        <v>150</v>
      </c>
      <c r="CX13" s="11"/>
      <c r="CY13" s="11"/>
      <c r="CZ13" s="11"/>
      <c r="DA13" s="5">
        <f t="shared" si="4"/>
        <v>414.5</v>
      </c>
      <c r="DC13" s="5">
        <f>BF13/4</f>
        <v>22.975000000000001</v>
      </c>
      <c r="DD13" s="5"/>
      <c r="DE13" s="5"/>
      <c r="DF13" s="11">
        <v>100</v>
      </c>
      <c r="DG13" s="5">
        <f t="shared" si="5"/>
        <v>122.97499999999999</v>
      </c>
      <c r="DH13" s="11">
        <f t="shared" si="6"/>
        <v>61.487499999999997</v>
      </c>
      <c r="DI13" s="11">
        <f t="shared" si="7"/>
        <v>79.362499999999997</v>
      </c>
      <c r="DJ13" s="11">
        <v>1.75</v>
      </c>
      <c r="DK13" s="11"/>
      <c r="DL13" s="11"/>
      <c r="DM13" s="11"/>
      <c r="DN13" s="11"/>
      <c r="DO13" s="11"/>
      <c r="DP13" s="11">
        <f t="shared" si="8"/>
        <v>142.6</v>
      </c>
      <c r="DQ13" s="5">
        <f t="shared" si="9"/>
        <v>40.556249999999999</v>
      </c>
      <c r="DR13" s="11">
        <v>1.75</v>
      </c>
      <c r="DS13" s="11"/>
      <c r="DT13" s="11"/>
      <c r="DU13" s="11">
        <v>25</v>
      </c>
      <c r="DV13" s="11">
        <v>50</v>
      </c>
      <c r="DW13" s="11"/>
      <c r="DX13" s="5">
        <f>SUM(DQ13:DV13)</f>
        <v>117.30625000000001</v>
      </c>
      <c r="DY13" s="5">
        <f t="shared" si="10"/>
        <v>38.375</v>
      </c>
      <c r="DZ13" s="11"/>
      <c r="EA13" s="11"/>
      <c r="EB13" s="5">
        <f>SUM(DY13:DZ13)</f>
        <v>38.375</v>
      </c>
    </row>
    <row r="14" spans="1:132" x14ac:dyDescent="0.25">
      <c r="A14">
        <v>4</v>
      </c>
      <c r="B14" s="5" t="s">
        <v>273</v>
      </c>
      <c r="C14" s="5"/>
      <c r="D14" s="5" t="s">
        <v>121</v>
      </c>
      <c r="E14" s="5" t="s">
        <v>10</v>
      </c>
      <c r="F14" s="5"/>
      <c r="G14" s="5"/>
      <c r="H14" s="5"/>
      <c r="I14" s="5"/>
      <c r="J14" s="5"/>
      <c r="K14" s="5"/>
      <c r="L14" s="5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5"/>
      <c r="AG14" s="5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>
        <v>16</v>
      </c>
      <c r="BB14" s="11"/>
      <c r="BC14" s="11"/>
      <c r="BD14" s="11"/>
      <c r="BE14" s="11"/>
      <c r="BF14" s="5">
        <f>SUM(AG14:BE14)</f>
        <v>16</v>
      </c>
      <c r="BG14" s="5">
        <f>(BF14-AG14)/2</f>
        <v>8</v>
      </c>
      <c r="BH14" s="5"/>
      <c r="BI14" s="5"/>
      <c r="BJ14" s="11"/>
      <c r="BK14" s="11">
        <v>3</v>
      </c>
      <c r="BL14" s="11"/>
      <c r="BM14" s="11"/>
      <c r="BN14" s="11"/>
      <c r="BO14" s="11"/>
      <c r="BP14" s="11"/>
      <c r="BQ14" s="11">
        <v>7.5</v>
      </c>
      <c r="BR14" s="11">
        <v>5</v>
      </c>
      <c r="BS14" s="11"/>
      <c r="BT14" s="11"/>
      <c r="BU14" s="11"/>
      <c r="BV14" s="11">
        <v>24</v>
      </c>
      <c r="BW14" s="11"/>
      <c r="BX14" s="11"/>
      <c r="BY14" s="11"/>
      <c r="BZ14" s="11"/>
      <c r="CA14" s="11"/>
      <c r="CB14" s="11"/>
      <c r="CC14" s="11"/>
      <c r="CD14" s="11"/>
      <c r="CE14" s="11">
        <v>7.5</v>
      </c>
      <c r="CF14" s="11">
        <v>10</v>
      </c>
      <c r="CG14" s="5">
        <f t="shared" si="0"/>
        <v>65</v>
      </c>
      <c r="CH14" s="5">
        <f t="shared" si="1"/>
        <v>28.5</v>
      </c>
      <c r="CI14" s="11">
        <v>30</v>
      </c>
      <c r="CJ14" s="11">
        <v>80</v>
      </c>
      <c r="CK14" s="11">
        <v>39</v>
      </c>
      <c r="CL14" s="11">
        <v>70</v>
      </c>
      <c r="CM14" s="11">
        <v>64</v>
      </c>
      <c r="CN14" s="11">
        <v>52</v>
      </c>
      <c r="CO14" s="5">
        <f t="shared" si="2"/>
        <v>363.5</v>
      </c>
      <c r="CT14" s="5">
        <f t="shared" si="3"/>
        <v>167.5</v>
      </c>
      <c r="CU14" s="11">
        <v>48</v>
      </c>
      <c r="CV14" s="11">
        <v>40</v>
      </c>
      <c r="CW14" s="11">
        <v>75</v>
      </c>
      <c r="CX14" s="11">
        <v>42</v>
      </c>
      <c r="CY14" s="11"/>
      <c r="CZ14" s="11"/>
      <c r="DA14" s="5">
        <f t="shared" si="4"/>
        <v>372.5</v>
      </c>
      <c r="DC14" s="5">
        <f>BF14/4</f>
        <v>4</v>
      </c>
      <c r="DD14" s="5"/>
      <c r="DE14" s="5"/>
      <c r="DF14" s="11">
        <v>5</v>
      </c>
      <c r="DG14" s="5">
        <f t="shared" si="5"/>
        <v>9</v>
      </c>
      <c r="DH14" s="11">
        <f t="shared" si="6"/>
        <v>4.5</v>
      </c>
      <c r="DI14" s="11">
        <f t="shared" si="7"/>
        <v>16.25</v>
      </c>
      <c r="DJ14" s="11">
        <v>1.75</v>
      </c>
      <c r="DK14" s="11"/>
      <c r="DL14" s="11"/>
      <c r="DM14" s="11"/>
      <c r="DN14" s="11"/>
      <c r="DO14" s="11">
        <v>35</v>
      </c>
      <c r="DP14" s="11">
        <f t="shared" si="8"/>
        <v>57.5</v>
      </c>
      <c r="DQ14" s="5">
        <f t="shared" si="9"/>
        <v>26.5</v>
      </c>
      <c r="DR14" s="11">
        <v>14</v>
      </c>
      <c r="DS14" s="11"/>
      <c r="DT14" s="11"/>
      <c r="DU14" s="11"/>
      <c r="DV14" s="11"/>
      <c r="DW14" s="11"/>
      <c r="DX14" s="5">
        <f>SUM(DQ14:DS14)</f>
        <v>40.5</v>
      </c>
      <c r="DY14" s="5">
        <f t="shared" si="10"/>
        <v>7</v>
      </c>
      <c r="DZ14" s="11"/>
      <c r="EA14" s="11"/>
      <c r="EB14" s="5">
        <f>SUM(DY14:DZ14)</f>
        <v>7</v>
      </c>
    </row>
    <row r="15" spans="1:132" x14ac:dyDescent="0.25">
      <c r="A15">
        <v>5</v>
      </c>
      <c r="B15" s="20" t="s">
        <v>273</v>
      </c>
      <c r="C15" s="20"/>
      <c r="D15" s="20" t="s">
        <v>316</v>
      </c>
      <c r="E15" s="20" t="s">
        <v>10</v>
      </c>
      <c r="F15" s="5"/>
      <c r="G15" s="5"/>
      <c r="H15" s="5"/>
      <c r="I15" s="5"/>
      <c r="J15" s="5"/>
      <c r="K15" s="5"/>
      <c r="L15" s="5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5"/>
      <c r="AG15" s="5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5">
        <f>SUM(AG15:BE15)</f>
        <v>0</v>
      </c>
      <c r="BG15" s="5">
        <f>(BF15-AG15)/2</f>
        <v>0</v>
      </c>
      <c r="BH15" s="5"/>
      <c r="BI15" s="5"/>
      <c r="BJ15" s="11"/>
      <c r="BK15" s="11"/>
      <c r="BL15" s="11"/>
      <c r="BM15" s="11"/>
      <c r="BN15" s="11"/>
      <c r="BO15" s="11"/>
      <c r="BP15" s="11"/>
      <c r="BQ15" s="11">
        <v>24</v>
      </c>
      <c r="BR15" s="11">
        <v>36</v>
      </c>
      <c r="BS15" s="11"/>
      <c r="BT15" s="11"/>
      <c r="BU15" s="11"/>
      <c r="BV15" s="11">
        <v>75</v>
      </c>
      <c r="BW15" s="11">
        <v>30</v>
      </c>
      <c r="BX15" s="11"/>
      <c r="BY15" s="11"/>
      <c r="BZ15" s="11"/>
      <c r="CA15" s="11"/>
      <c r="CB15" s="11"/>
      <c r="CC15" s="11"/>
      <c r="CD15" s="11"/>
      <c r="CE15" s="11">
        <v>7.5</v>
      </c>
      <c r="CF15" s="11">
        <v>10</v>
      </c>
      <c r="CG15" s="5">
        <f t="shared" si="0"/>
        <v>182.5</v>
      </c>
      <c r="CH15" s="5">
        <f t="shared" si="1"/>
        <v>91.25</v>
      </c>
      <c r="CI15" s="11">
        <v>60</v>
      </c>
      <c r="CJ15" s="11">
        <v>56</v>
      </c>
      <c r="CK15" s="11">
        <v>75</v>
      </c>
      <c r="CL15" s="11">
        <v>50</v>
      </c>
      <c r="CM15" s="11">
        <v>105</v>
      </c>
      <c r="CN15" s="11">
        <v>50</v>
      </c>
      <c r="CO15" s="5">
        <f t="shared" si="2"/>
        <v>487.25</v>
      </c>
      <c r="CT15" s="5">
        <f t="shared" si="3"/>
        <v>198</v>
      </c>
      <c r="CU15" s="11">
        <v>60</v>
      </c>
      <c r="CV15" s="11">
        <v>40</v>
      </c>
      <c r="CW15" s="11">
        <v>33.6</v>
      </c>
      <c r="CX15" s="11"/>
      <c r="CY15" s="11"/>
      <c r="CZ15" s="11"/>
      <c r="DA15" s="5">
        <f t="shared" si="4"/>
        <v>331.6</v>
      </c>
      <c r="DC15" s="5"/>
      <c r="DD15" s="5"/>
      <c r="DE15" s="5"/>
      <c r="DF15" s="11"/>
      <c r="DG15" s="5">
        <f t="shared" si="5"/>
        <v>0</v>
      </c>
      <c r="DH15" s="11">
        <f t="shared" si="6"/>
        <v>0</v>
      </c>
      <c r="DI15" s="11">
        <f t="shared" si="7"/>
        <v>45.625</v>
      </c>
      <c r="DJ15" s="11">
        <v>1.75</v>
      </c>
      <c r="DK15" s="11"/>
      <c r="DL15" s="11"/>
      <c r="DM15" s="11"/>
      <c r="DN15" s="11">
        <v>5</v>
      </c>
      <c r="DO15" s="11"/>
      <c r="DP15" s="11">
        <f t="shared" si="8"/>
        <v>52.375</v>
      </c>
      <c r="DQ15" s="5">
        <f t="shared" si="9"/>
        <v>26.1875</v>
      </c>
      <c r="DR15" s="11">
        <v>21</v>
      </c>
      <c r="DS15" s="11"/>
      <c r="DT15" s="11"/>
      <c r="DU15" s="11"/>
      <c r="DV15" s="11">
        <v>36</v>
      </c>
      <c r="DW15" s="11"/>
      <c r="DX15" s="5">
        <f>SUM(DQ15:DV15)</f>
        <v>83.1875</v>
      </c>
      <c r="DY15" s="5">
        <f t="shared" si="10"/>
        <v>28.5</v>
      </c>
      <c r="DZ15" s="11"/>
      <c r="EA15" s="11">
        <v>26</v>
      </c>
      <c r="EB15" s="20">
        <f t="shared" ref="EB15:EB21" si="11">SUM(DY15:EA15)</f>
        <v>54.5</v>
      </c>
    </row>
    <row r="16" spans="1:132" x14ac:dyDescent="0.25">
      <c r="A16">
        <v>6</v>
      </c>
      <c r="B16" s="5" t="s">
        <v>270</v>
      </c>
      <c r="C16" s="5"/>
      <c r="D16" s="5" t="s">
        <v>272</v>
      </c>
      <c r="E16" s="5" t="s">
        <v>24</v>
      </c>
      <c r="F16" s="5"/>
      <c r="G16" s="5"/>
      <c r="H16" s="5"/>
      <c r="I16" s="5"/>
      <c r="J16" s="5"/>
      <c r="K16" s="5"/>
      <c r="L16" s="5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5"/>
      <c r="AG16" s="5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>
        <v>5</v>
      </c>
      <c r="BB16" s="11"/>
      <c r="BC16" s="11"/>
      <c r="BD16" s="11"/>
      <c r="BE16" s="11"/>
      <c r="BF16" s="5">
        <f>SUM(AG16:BE16)</f>
        <v>5</v>
      </c>
      <c r="BG16" s="5">
        <f>(BF16-AG16)/2</f>
        <v>2.5</v>
      </c>
      <c r="BH16" s="5"/>
      <c r="BI16" s="5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>
        <v>54</v>
      </c>
      <c r="BW16" s="11"/>
      <c r="BX16" s="11"/>
      <c r="BY16" s="11"/>
      <c r="BZ16" s="11"/>
      <c r="CA16" s="11"/>
      <c r="CB16" s="11"/>
      <c r="CC16" s="11"/>
      <c r="CD16" s="11"/>
      <c r="CE16" s="11"/>
      <c r="CF16" s="11">
        <v>100</v>
      </c>
      <c r="CG16" s="5">
        <f t="shared" si="0"/>
        <v>156.5</v>
      </c>
      <c r="CH16" s="5">
        <f t="shared" si="1"/>
        <v>77</v>
      </c>
      <c r="CI16" s="11">
        <v>60</v>
      </c>
      <c r="CJ16" s="11">
        <v>40</v>
      </c>
      <c r="CK16" s="11">
        <v>18</v>
      </c>
      <c r="CL16" s="11">
        <v>10</v>
      </c>
      <c r="CM16" s="11">
        <v>48</v>
      </c>
      <c r="CN16" s="11">
        <v>39</v>
      </c>
      <c r="CO16" s="5">
        <f t="shared" si="2"/>
        <v>292</v>
      </c>
      <c r="CT16" s="5">
        <f t="shared" si="3"/>
        <v>107.5</v>
      </c>
      <c r="CU16" s="11">
        <v>48</v>
      </c>
      <c r="CV16" s="11">
        <v>80</v>
      </c>
      <c r="CW16" s="11">
        <v>24</v>
      </c>
      <c r="CX16" s="11"/>
      <c r="CY16" s="11"/>
      <c r="CZ16" s="11"/>
      <c r="DA16" s="5">
        <f t="shared" si="4"/>
        <v>259.5</v>
      </c>
      <c r="DC16" s="5">
        <f>BF16/4</f>
        <v>1.25</v>
      </c>
      <c r="DD16" s="5"/>
      <c r="DE16" s="5"/>
      <c r="DF16" s="11"/>
      <c r="DG16" s="5">
        <f t="shared" si="5"/>
        <v>1.25</v>
      </c>
      <c r="DH16" s="11">
        <f t="shared" si="6"/>
        <v>0.625</v>
      </c>
      <c r="DI16" s="11">
        <f t="shared" si="7"/>
        <v>39.125</v>
      </c>
      <c r="DJ16" s="11"/>
      <c r="DK16" s="11"/>
      <c r="DL16" s="11"/>
      <c r="DM16" s="11">
        <v>18</v>
      </c>
      <c r="DN16" s="11">
        <v>16</v>
      </c>
      <c r="DO16" s="11"/>
      <c r="DP16" s="11">
        <f t="shared" si="8"/>
        <v>73.75</v>
      </c>
      <c r="DQ16" s="5">
        <f t="shared" si="9"/>
        <v>36.5625</v>
      </c>
      <c r="DR16" s="11"/>
      <c r="DS16" s="11"/>
      <c r="DT16" s="11"/>
      <c r="DU16" s="11"/>
      <c r="DV16" s="11"/>
      <c r="DW16" s="11"/>
      <c r="DX16" s="5">
        <f>SUM(DQ16:DS16)</f>
        <v>36.5625</v>
      </c>
      <c r="DY16" s="5">
        <f t="shared" si="10"/>
        <v>0</v>
      </c>
      <c r="DZ16" s="11"/>
      <c r="EA16" s="11"/>
      <c r="EB16" s="5">
        <f t="shared" si="11"/>
        <v>0</v>
      </c>
    </row>
    <row r="17" spans="1:132" x14ac:dyDescent="0.25">
      <c r="A17">
        <v>7</v>
      </c>
      <c r="B17" s="5" t="s">
        <v>55</v>
      </c>
      <c r="C17" s="5"/>
      <c r="D17" s="5" t="s">
        <v>142</v>
      </c>
      <c r="E17" s="5" t="s">
        <v>76</v>
      </c>
      <c r="F17" s="5"/>
      <c r="G17" s="5"/>
      <c r="H17" s="5"/>
      <c r="I17" s="5"/>
      <c r="J17" s="5"/>
      <c r="K17" s="5"/>
      <c r="L17" s="5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5"/>
      <c r="AG17" s="5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5"/>
      <c r="BG17" s="5"/>
      <c r="BH17" s="5"/>
      <c r="BI17" s="5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5"/>
      <c r="CH17" s="5"/>
      <c r="CI17" s="11"/>
      <c r="CJ17" s="11">
        <v>56</v>
      </c>
      <c r="CK17" s="11">
        <v>7.5</v>
      </c>
      <c r="CL17" s="11">
        <v>5</v>
      </c>
      <c r="CM17" s="11">
        <v>54</v>
      </c>
      <c r="CN17" s="11"/>
      <c r="CO17" s="5">
        <f t="shared" si="2"/>
        <v>122.5</v>
      </c>
      <c r="CT17" s="5">
        <f t="shared" si="3"/>
        <v>61.25</v>
      </c>
      <c r="CU17" s="11"/>
      <c r="CV17" s="11"/>
      <c r="CW17" s="11">
        <v>54</v>
      </c>
      <c r="CX17" s="11">
        <v>100</v>
      </c>
      <c r="CY17" s="11"/>
      <c r="CZ17" s="11"/>
      <c r="DA17" s="5">
        <f t="shared" si="4"/>
        <v>215.25</v>
      </c>
      <c r="DC17" s="5"/>
      <c r="DD17" s="5"/>
      <c r="DE17" s="5"/>
      <c r="DF17" s="11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11"/>
      <c r="DS17" s="11"/>
      <c r="DT17" s="11"/>
      <c r="DU17" s="11"/>
      <c r="DV17" s="11">
        <v>26</v>
      </c>
      <c r="DW17" s="11"/>
      <c r="DX17" s="5">
        <f>SUM(DQ17:DW17)</f>
        <v>26</v>
      </c>
      <c r="DY17" s="5">
        <f t="shared" si="10"/>
        <v>13</v>
      </c>
      <c r="DZ17" s="11"/>
      <c r="EA17" s="11"/>
      <c r="EB17" s="5">
        <f t="shared" si="11"/>
        <v>13</v>
      </c>
    </row>
    <row r="18" spans="1:132" x14ac:dyDescent="0.25">
      <c r="A18" s="46">
        <v>8</v>
      </c>
      <c r="B18" s="5" t="s">
        <v>57</v>
      </c>
      <c r="C18" s="5"/>
      <c r="D18" s="5" t="s">
        <v>60</v>
      </c>
      <c r="E18" s="5" t="s">
        <v>102</v>
      </c>
      <c r="F18" s="5"/>
      <c r="G18" s="5"/>
      <c r="H18" s="5"/>
      <c r="I18" s="5"/>
      <c r="J18" s="5"/>
      <c r="K18" s="5"/>
      <c r="L18" s="5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5"/>
      <c r="AG18" s="5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5"/>
      <c r="BG18" s="5"/>
      <c r="BH18" s="5"/>
      <c r="BI18" s="5"/>
      <c r="BJ18" s="11"/>
      <c r="BK18" s="11"/>
      <c r="BL18" s="11"/>
      <c r="BM18" s="11"/>
      <c r="BN18" s="11"/>
      <c r="BO18" s="11"/>
      <c r="BP18" s="11"/>
      <c r="BQ18" s="11">
        <v>7.5</v>
      </c>
      <c r="BR18" s="11"/>
      <c r="BS18" s="11"/>
      <c r="BT18" s="11"/>
      <c r="BU18" s="11">
        <v>4</v>
      </c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5">
        <f>SUM(BG18:CF18)</f>
        <v>11.5</v>
      </c>
      <c r="CH18" s="5">
        <f>(CG18-BG18)/2</f>
        <v>5.75</v>
      </c>
      <c r="CI18" s="11">
        <v>60</v>
      </c>
      <c r="CJ18" s="11">
        <v>40</v>
      </c>
      <c r="CK18" s="11">
        <v>54</v>
      </c>
      <c r="CL18" s="11">
        <v>100</v>
      </c>
      <c r="CM18" s="11">
        <v>70</v>
      </c>
      <c r="CN18" s="11">
        <v>48</v>
      </c>
      <c r="CO18" s="5">
        <f t="shared" si="2"/>
        <v>377.75</v>
      </c>
      <c r="CT18" s="5">
        <f t="shared" si="3"/>
        <v>186</v>
      </c>
      <c r="CU18" s="11"/>
      <c r="CV18" s="11"/>
      <c r="CW18" s="11"/>
      <c r="CX18" s="11"/>
      <c r="CY18" s="11"/>
      <c r="CZ18" s="11"/>
      <c r="DA18" s="5">
        <f t="shared" si="4"/>
        <v>186</v>
      </c>
      <c r="DC18" s="5"/>
      <c r="DD18" s="5"/>
      <c r="DE18" s="5"/>
      <c r="DF18" s="11"/>
      <c r="DG18" s="5">
        <f>SUM(DC18:DF18)</f>
        <v>0</v>
      </c>
      <c r="DH18" s="11">
        <f>(DG18)/2</f>
        <v>0</v>
      </c>
      <c r="DI18" s="11">
        <f>CG18/4</f>
        <v>2.875</v>
      </c>
      <c r="DJ18" s="5"/>
      <c r="DK18" s="5"/>
      <c r="DL18" s="5"/>
      <c r="DM18" s="5"/>
      <c r="DN18" s="5"/>
      <c r="DO18" s="5"/>
      <c r="DP18" s="11">
        <f>SUM(DH18:DO18)</f>
        <v>2.875</v>
      </c>
      <c r="DQ18" s="5">
        <f>(DP18-DH18)/2</f>
        <v>1.4375</v>
      </c>
      <c r="DR18" s="11"/>
      <c r="DS18" s="11"/>
      <c r="DT18" s="11"/>
      <c r="DU18" s="11"/>
      <c r="DV18" s="11"/>
      <c r="DW18" s="11">
        <v>50</v>
      </c>
      <c r="DX18" s="5">
        <f>SUM(DQ18:DW18)</f>
        <v>51.4375</v>
      </c>
      <c r="DY18" s="5">
        <f t="shared" si="10"/>
        <v>25</v>
      </c>
      <c r="DZ18" s="11"/>
      <c r="EA18" s="11"/>
      <c r="EB18" s="5">
        <f t="shared" si="11"/>
        <v>25</v>
      </c>
    </row>
    <row r="19" spans="1:132" x14ac:dyDescent="0.25">
      <c r="A19">
        <v>9</v>
      </c>
      <c r="B19" s="5" t="s">
        <v>424</v>
      </c>
      <c r="C19" s="5"/>
      <c r="D19" s="5" t="s">
        <v>425</v>
      </c>
      <c r="E19" s="5" t="s">
        <v>24</v>
      </c>
      <c r="F19" s="5"/>
      <c r="G19" s="5"/>
      <c r="H19" s="5"/>
      <c r="I19" s="5"/>
      <c r="J19" s="5"/>
      <c r="K19" s="5"/>
      <c r="L19" s="5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5"/>
      <c r="AG19" s="5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5"/>
      <c r="BG19" s="5"/>
      <c r="BH19" s="5"/>
      <c r="BI19" s="5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>
        <v>24</v>
      </c>
      <c r="BW19" s="11"/>
      <c r="BX19" s="11">
        <v>48</v>
      </c>
      <c r="BY19" s="11"/>
      <c r="BZ19" s="11"/>
      <c r="CA19" s="11"/>
      <c r="CB19" s="11"/>
      <c r="CC19" s="11"/>
      <c r="CD19" s="11"/>
      <c r="CE19" s="11">
        <v>7.5</v>
      </c>
      <c r="CF19" s="11"/>
      <c r="CG19" s="5">
        <f>SUM(BG19:CF19)</f>
        <v>79.5</v>
      </c>
      <c r="CH19" s="5">
        <f>(CG19-BG19)/2</f>
        <v>39.75</v>
      </c>
      <c r="CI19" s="11">
        <v>33.6</v>
      </c>
      <c r="CJ19" s="11">
        <v>56</v>
      </c>
      <c r="CK19" s="11">
        <v>105</v>
      </c>
      <c r="CL19" s="11">
        <v>36</v>
      </c>
      <c r="CM19" s="11">
        <v>54</v>
      </c>
      <c r="CN19" s="11">
        <v>30</v>
      </c>
      <c r="CO19" s="5">
        <f t="shared" si="2"/>
        <v>354.35</v>
      </c>
      <c r="CT19" s="5">
        <f t="shared" si="3"/>
        <v>157.30000000000001</v>
      </c>
      <c r="CU19" s="11"/>
      <c r="CV19" s="11"/>
      <c r="CW19" s="11">
        <v>24</v>
      </c>
      <c r="CX19" s="11"/>
      <c r="CY19" s="11"/>
      <c r="CZ19" s="11"/>
      <c r="DA19" s="5">
        <f t="shared" si="4"/>
        <v>181.3</v>
      </c>
      <c r="DC19" s="5"/>
      <c r="DD19" s="5"/>
      <c r="DE19" s="5"/>
      <c r="DF19" s="11"/>
      <c r="DG19" s="5">
        <f>SUM(DC19:DF19)</f>
        <v>0</v>
      </c>
      <c r="DH19" s="11">
        <f>(DG19)/2</f>
        <v>0</v>
      </c>
      <c r="DI19" s="11">
        <f>CG19/4</f>
        <v>19.875</v>
      </c>
      <c r="DJ19" s="5"/>
      <c r="DK19" s="11"/>
      <c r="DL19" s="11"/>
      <c r="DM19" s="11"/>
      <c r="DN19" s="11"/>
      <c r="DO19" s="11">
        <v>2.5</v>
      </c>
      <c r="DP19" s="11">
        <f>SUM(DH19:DO19)</f>
        <v>22.375</v>
      </c>
      <c r="DQ19" s="5">
        <f>(DP19-DH19)/2</f>
        <v>11.1875</v>
      </c>
      <c r="DR19" s="11">
        <v>1.75</v>
      </c>
      <c r="DS19" s="11"/>
      <c r="DT19" s="11"/>
      <c r="DU19" s="11"/>
      <c r="DV19" s="11"/>
      <c r="DW19" s="11"/>
      <c r="DX19" s="5">
        <f>SUM(DQ19:DS19)</f>
        <v>12.9375</v>
      </c>
      <c r="DY19" s="5">
        <f t="shared" si="10"/>
        <v>0.875</v>
      </c>
      <c r="DZ19" s="11"/>
      <c r="EA19" s="11"/>
      <c r="EB19" s="5">
        <f t="shared" si="11"/>
        <v>0.875</v>
      </c>
    </row>
    <row r="20" spans="1:132" x14ac:dyDescent="0.25">
      <c r="A20">
        <v>10</v>
      </c>
      <c r="B20" s="5" t="s">
        <v>290</v>
      </c>
      <c r="C20" s="5"/>
      <c r="D20" s="5" t="s">
        <v>291</v>
      </c>
      <c r="E20" s="5" t="s">
        <v>50</v>
      </c>
      <c r="F20" s="5"/>
      <c r="G20" s="5"/>
      <c r="H20" s="5"/>
      <c r="I20" s="5"/>
      <c r="J20" s="5"/>
      <c r="K20" s="5"/>
      <c r="L20" s="5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5"/>
      <c r="AG20" s="5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>
        <v>7.5</v>
      </c>
      <c r="BF20" s="5">
        <f>SUM(AG20:BE20)</f>
        <v>7.5</v>
      </c>
      <c r="BG20" s="5">
        <f>(BF20-AG20)/2</f>
        <v>3.75</v>
      </c>
      <c r="BH20" s="5"/>
      <c r="BI20" s="5"/>
      <c r="BJ20" s="11"/>
      <c r="BK20" s="11"/>
      <c r="BL20" s="11"/>
      <c r="BM20" s="11"/>
      <c r="BN20" s="11"/>
      <c r="BO20" s="11"/>
      <c r="BP20" s="11">
        <v>30</v>
      </c>
      <c r="BQ20" s="11">
        <v>7.5</v>
      </c>
      <c r="BR20" s="11"/>
      <c r="BS20" s="11"/>
      <c r="BT20" s="11"/>
      <c r="BU20" s="11">
        <v>4</v>
      </c>
      <c r="BV20" s="11"/>
      <c r="BW20" s="11">
        <v>42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5">
        <f>SUM(BG20:CF20)</f>
        <v>87.25</v>
      </c>
      <c r="CH20" s="5">
        <f>(CG20-BG20)/2</f>
        <v>41.75</v>
      </c>
      <c r="CI20" s="11">
        <v>60</v>
      </c>
      <c r="CJ20" s="11">
        <v>40</v>
      </c>
      <c r="CK20" s="11">
        <v>18</v>
      </c>
      <c r="CL20" s="11">
        <v>4</v>
      </c>
      <c r="CM20" s="11">
        <v>7.5</v>
      </c>
      <c r="CN20" s="11">
        <v>10</v>
      </c>
      <c r="CO20" s="5">
        <f t="shared" si="2"/>
        <v>181.25</v>
      </c>
      <c r="CT20" s="5">
        <f t="shared" si="3"/>
        <v>69.75</v>
      </c>
      <c r="CU20" s="11">
        <v>42</v>
      </c>
      <c r="CV20" s="11"/>
      <c r="CW20" s="11">
        <v>54</v>
      </c>
      <c r="CX20" s="11"/>
      <c r="CY20" s="11"/>
      <c r="CZ20" s="11"/>
      <c r="DA20" s="5">
        <f t="shared" si="4"/>
        <v>165.75</v>
      </c>
      <c r="DC20" s="5">
        <f>BF20/4</f>
        <v>1.875</v>
      </c>
      <c r="DD20" s="5"/>
      <c r="DE20" s="5"/>
      <c r="DF20" s="11"/>
      <c r="DG20" s="5">
        <f>SUM(DC20:DF20)</f>
        <v>1.875</v>
      </c>
      <c r="DH20" s="11">
        <f>(DG20)/2</f>
        <v>0.9375</v>
      </c>
      <c r="DI20" s="11">
        <f>CG20/4</f>
        <v>21.8125</v>
      </c>
      <c r="DJ20" s="11"/>
      <c r="DK20" s="11"/>
      <c r="DL20" s="11"/>
      <c r="DM20" s="11"/>
      <c r="DN20" s="11"/>
      <c r="DO20" s="11"/>
      <c r="DP20" s="11">
        <f>SUM(DH20:DO20)</f>
        <v>22.75</v>
      </c>
      <c r="DQ20" s="5">
        <f>(DP20-DH20)/2</f>
        <v>10.90625</v>
      </c>
      <c r="DR20" s="11"/>
      <c r="DS20" s="11"/>
      <c r="DT20" s="11"/>
      <c r="DU20" s="11"/>
      <c r="DV20" s="11"/>
      <c r="DW20" s="11">
        <v>18</v>
      </c>
      <c r="DX20" s="5">
        <f>SUM(DQ20:DW20)</f>
        <v>28.90625</v>
      </c>
      <c r="DY20" s="5">
        <f t="shared" si="10"/>
        <v>9</v>
      </c>
      <c r="DZ20" s="11"/>
      <c r="EA20" s="11"/>
      <c r="EB20" s="5">
        <f t="shared" si="11"/>
        <v>9</v>
      </c>
    </row>
    <row r="21" spans="1:132" x14ac:dyDescent="0.25">
      <c r="A21">
        <v>11</v>
      </c>
      <c r="B21" s="5" t="s">
        <v>540</v>
      </c>
      <c r="C21" s="5"/>
      <c r="D21" s="5" t="s">
        <v>541</v>
      </c>
      <c r="E21" s="5" t="s">
        <v>404</v>
      </c>
      <c r="F21" s="5"/>
      <c r="G21" s="5"/>
      <c r="H21" s="5"/>
      <c r="I21" s="5"/>
      <c r="J21" s="5"/>
      <c r="K21" s="5"/>
      <c r="L21" s="5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5"/>
      <c r="AG21" s="5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5"/>
      <c r="BG21" s="5"/>
      <c r="BH21" s="5"/>
      <c r="BI21" s="5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5"/>
      <c r="CH21" s="5"/>
      <c r="CI21" s="11"/>
      <c r="CJ21" s="11">
        <v>4</v>
      </c>
      <c r="CK21" s="11">
        <v>18</v>
      </c>
      <c r="CL21" s="11">
        <v>5</v>
      </c>
      <c r="CM21" s="11">
        <v>39</v>
      </c>
      <c r="CN21" s="11">
        <v>4</v>
      </c>
      <c r="CO21" s="5">
        <f t="shared" si="2"/>
        <v>70</v>
      </c>
      <c r="CT21" s="5">
        <f t="shared" si="3"/>
        <v>35</v>
      </c>
      <c r="CU21" s="11">
        <v>48</v>
      </c>
      <c r="CV21" s="11">
        <v>40</v>
      </c>
      <c r="CW21" s="11">
        <v>36</v>
      </c>
      <c r="CX21" s="11"/>
      <c r="CY21" s="11"/>
      <c r="CZ21" s="11"/>
      <c r="DA21" s="5">
        <f t="shared" si="4"/>
        <v>159</v>
      </c>
      <c r="DC21" s="5"/>
      <c r="DD21" s="5"/>
      <c r="DE21" s="5"/>
      <c r="DF21" s="11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11"/>
      <c r="DS21" s="11"/>
      <c r="DT21" s="11"/>
      <c r="DU21" s="11"/>
      <c r="DV21" s="11"/>
      <c r="DW21" s="11"/>
      <c r="DX21" s="5">
        <f>SUM(DQ21:DW21)</f>
        <v>0</v>
      </c>
      <c r="DY21" s="5">
        <f t="shared" si="10"/>
        <v>0</v>
      </c>
      <c r="DZ21" s="11"/>
      <c r="EA21" s="11"/>
      <c r="EB21" s="5">
        <f t="shared" si="11"/>
        <v>0</v>
      </c>
    </row>
    <row r="22" spans="1:132" x14ac:dyDescent="0.25">
      <c r="A22">
        <v>12</v>
      </c>
      <c r="B22" s="5" t="s">
        <v>487</v>
      </c>
      <c r="C22" s="5"/>
      <c r="D22" s="5" t="s">
        <v>58</v>
      </c>
      <c r="E22" s="5" t="s">
        <v>53</v>
      </c>
      <c r="F22" s="5"/>
      <c r="G22" s="5"/>
      <c r="H22" s="5"/>
      <c r="I22" s="5"/>
      <c r="J22" s="5"/>
      <c r="K22" s="5"/>
      <c r="L22" s="5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5"/>
      <c r="AG22" s="5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5"/>
      <c r="BG22" s="5"/>
      <c r="BH22" s="5"/>
      <c r="BI22" s="5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5"/>
      <c r="CH22" s="5"/>
      <c r="CI22" s="11">
        <v>42</v>
      </c>
      <c r="CJ22" s="11"/>
      <c r="CK22" s="11">
        <v>26</v>
      </c>
      <c r="CL22" s="11">
        <v>10</v>
      </c>
      <c r="CM22" s="11"/>
      <c r="CN22" s="11"/>
      <c r="CO22" s="5">
        <f t="shared" si="2"/>
        <v>78</v>
      </c>
      <c r="CT22" s="5">
        <f t="shared" si="3"/>
        <v>39</v>
      </c>
      <c r="CU22" s="11">
        <v>36</v>
      </c>
      <c r="CV22" s="11"/>
      <c r="CW22" s="11">
        <v>24</v>
      </c>
      <c r="CX22" s="11">
        <v>50</v>
      </c>
      <c r="CY22" s="11">
        <v>2.4</v>
      </c>
      <c r="CZ22" s="11"/>
      <c r="DA22" s="5">
        <f t="shared" si="4"/>
        <v>151.4</v>
      </c>
      <c r="DC22" s="5"/>
      <c r="DD22" s="5"/>
      <c r="DE22" s="5"/>
      <c r="DF22" s="11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11">
        <v>10.5</v>
      </c>
      <c r="DS22" s="11"/>
      <c r="DT22" s="11"/>
      <c r="DU22" s="11"/>
      <c r="DV22" s="11"/>
      <c r="DW22" s="11"/>
      <c r="DX22" s="5">
        <f>SUM(DQ22:DW22)</f>
        <v>10.5</v>
      </c>
      <c r="DY22" s="5">
        <f t="shared" si="10"/>
        <v>5.25</v>
      </c>
      <c r="DZ22" s="11"/>
      <c r="EA22" s="11"/>
      <c r="EB22" s="5">
        <f>SUM(DY22:DZ22)</f>
        <v>5.25</v>
      </c>
    </row>
    <row r="23" spans="1:132" x14ac:dyDescent="0.25">
      <c r="A23">
        <v>13</v>
      </c>
      <c r="B23" s="5" t="s">
        <v>34</v>
      </c>
      <c r="C23" s="5"/>
      <c r="D23" s="5" t="s">
        <v>188</v>
      </c>
      <c r="E23" s="5" t="s">
        <v>76</v>
      </c>
      <c r="F23" s="5"/>
      <c r="G23" s="5"/>
      <c r="H23" s="5"/>
      <c r="I23" s="5"/>
      <c r="J23" s="5"/>
      <c r="K23" s="5"/>
      <c r="L23" s="5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5"/>
      <c r="AG23" s="5"/>
      <c r="AH23" s="11"/>
      <c r="AI23" s="11"/>
      <c r="AJ23" s="11">
        <v>2.4</v>
      </c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5">
        <f>SUM(AG23:BE23)</f>
        <v>2.4</v>
      </c>
      <c r="BG23" s="5">
        <f>(BF23-AG23)/2</f>
        <v>1.2</v>
      </c>
      <c r="BH23" s="5"/>
      <c r="BI23" s="5"/>
      <c r="BJ23" s="11">
        <v>2.4</v>
      </c>
      <c r="BK23" s="11"/>
      <c r="BL23" s="11"/>
      <c r="BM23" s="11"/>
      <c r="BN23" s="11"/>
      <c r="BO23" s="11"/>
      <c r="BP23" s="11"/>
      <c r="BQ23" s="11">
        <v>105</v>
      </c>
      <c r="BR23" s="11">
        <v>5</v>
      </c>
      <c r="BS23" s="11">
        <v>56</v>
      </c>
      <c r="BT23" s="11"/>
      <c r="BU23" s="11"/>
      <c r="BV23" s="11">
        <v>75</v>
      </c>
      <c r="BW23" s="11"/>
      <c r="BX23" s="11"/>
      <c r="BY23" s="11"/>
      <c r="BZ23" s="11"/>
      <c r="CA23" s="11"/>
      <c r="CB23" s="11"/>
      <c r="CC23" s="11"/>
      <c r="CD23" s="11">
        <v>33.6</v>
      </c>
      <c r="CE23" s="11">
        <v>7.5</v>
      </c>
      <c r="CF23" s="11">
        <v>72</v>
      </c>
      <c r="CG23" s="5">
        <f>SUM(BG23:CF23)</f>
        <v>357.7</v>
      </c>
      <c r="CH23" s="5">
        <f>(CG23-BG23)/2</f>
        <v>178.25</v>
      </c>
      <c r="CI23" s="11"/>
      <c r="CJ23" s="11">
        <v>40</v>
      </c>
      <c r="CK23" s="11">
        <v>26</v>
      </c>
      <c r="CL23" s="11">
        <v>75</v>
      </c>
      <c r="CM23" s="11">
        <v>140</v>
      </c>
      <c r="CN23" s="11"/>
      <c r="CO23" s="5">
        <f t="shared" si="2"/>
        <v>459.25</v>
      </c>
      <c r="CT23" s="5">
        <f t="shared" si="3"/>
        <v>140.5</v>
      </c>
      <c r="CU23" s="11"/>
      <c r="CV23" s="11"/>
      <c r="CW23" s="11"/>
      <c r="CX23" s="11"/>
      <c r="CY23" s="11"/>
      <c r="CZ23" s="11"/>
      <c r="DA23" s="5">
        <f t="shared" si="4"/>
        <v>140.5</v>
      </c>
      <c r="DC23" s="5">
        <f>BF23/4</f>
        <v>0.6</v>
      </c>
      <c r="DD23" s="5"/>
      <c r="DE23" s="5"/>
      <c r="DF23" s="11"/>
      <c r="DG23" s="5">
        <f>SUM(DC23:DF23)</f>
        <v>0.6</v>
      </c>
      <c r="DH23" s="11">
        <f>(DG23)/2</f>
        <v>0.3</v>
      </c>
      <c r="DI23" s="11">
        <f>CG23/4</f>
        <v>89.424999999999997</v>
      </c>
      <c r="DJ23" s="11">
        <v>10.5</v>
      </c>
      <c r="DK23" s="11"/>
      <c r="DL23" s="11"/>
      <c r="DM23" s="11">
        <v>18</v>
      </c>
      <c r="DN23" s="11">
        <v>5</v>
      </c>
      <c r="DO23" s="11"/>
      <c r="DP23" s="11">
        <f>SUM(DH23:DO23)</f>
        <v>123.22499999999999</v>
      </c>
      <c r="DQ23" s="5">
        <f>(DP23-DH23)/2</f>
        <v>61.462499999999999</v>
      </c>
      <c r="DR23" s="11"/>
      <c r="DS23" s="11"/>
      <c r="DT23" s="11"/>
      <c r="DU23" s="11"/>
      <c r="DV23" s="11">
        <v>5</v>
      </c>
      <c r="DW23" s="11"/>
      <c r="DX23" s="5">
        <f>SUM(DQ23:DV23)</f>
        <v>66.462500000000006</v>
      </c>
      <c r="DY23" s="5">
        <f t="shared" si="10"/>
        <v>2.5000000000000036</v>
      </c>
      <c r="DZ23" s="11"/>
      <c r="EA23" s="11"/>
      <c r="EB23" s="5">
        <f>SUM(DY23:EA23)</f>
        <v>2.5000000000000036</v>
      </c>
    </row>
    <row r="24" spans="1:132" x14ac:dyDescent="0.25">
      <c r="A24">
        <v>14</v>
      </c>
      <c r="B24" s="5" t="s">
        <v>664</v>
      </c>
      <c r="C24" s="5"/>
      <c r="D24" s="5" t="s">
        <v>665</v>
      </c>
      <c r="E24" s="5" t="s">
        <v>69</v>
      </c>
      <c r="F24" s="5"/>
      <c r="G24" s="5"/>
      <c r="H24" s="5"/>
      <c r="I24" s="5"/>
      <c r="J24" s="5"/>
      <c r="K24" s="5"/>
      <c r="L24" s="5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5"/>
      <c r="AG24" s="5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5"/>
      <c r="BG24" s="5"/>
      <c r="BH24" s="5"/>
      <c r="BI24" s="5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5"/>
      <c r="CH24" s="5"/>
      <c r="CI24" s="11"/>
      <c r="CJ24" s="11"/>
      <c r="CK24" s="11"/>
      <c r="CL24" s="11"/>
      <c r="CM24" s="11"/>
      <c r="CN24" s="11"/>
      <c r="CO24" s="5"/>
      <c r="CT24" s="5"/>
      <c r="CU24" s="11">
        <v>36</v>
      </c>
      <c r="CV24" s="11">
        <v>40</v>
      </c>
      <c r="CW24" s="11">
        <v>24</v>
      </c>
      <c r="CX24" s="11">
        <v>36</v>
      </c>
      <c r="CY24" s="11"/>
      <c r="CZ24" s="11"/>
      <c r="DA24" s="5">
        <f t="shared" si="4"/>
        <v>136</v>
      </c>
      <c r="DC24" s="5"/>
      <c r="DD24" s="5"/>
      <c r="DE24" s="5"/>
      <c r="DF24" s="11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11"/>
      <c r="DS24" s="11"/>
      <c r="DT24" s="11"/>
      <c r="DU24" s="11"/>
      <c r="DV24" s="11"/>
      <c r="DW24" s="11"/>
      <c r="DX24" s="5">
        <f t="shared" ref="DX24:DX55" si="12">SUM(DQ24:DW24)</f>
        <v>0</v>
      </c>
      <c r="DY24" s="5">
        <f t="shared" si="10"/>
        <v>0</v>
      </c>
      <c r="DZ24" s="11"/>
      <c r="EA24" s="11"/>
      <c r="EB24" s="5">
        <f>SUM(DY24:DZ24)</f>
        <v>0</v>
      </c>
    </row>
    <row r="25" spans="1:132" x14ac:dyDescent="0.25">
      <c r="A25">
        <v>15</v>
      </c>
      <c r="B25" s="5" t="s">
        <v>136</v>
      </c>
      <c r="C25" s="5"/>
      <c r="D25" s="5" t="s">
        <v>422</v>
      </c>
      <c r="E25" s="5" t="s">
        <v>225</v>
      </c>
      <c r="F25" s="5"/>
      <c r="G25" s="5"/>
      <c r="H25" s="5"/>
      <c r="I25" s="5"/>
      <c r="J25" s="5"/>
      <c r="K25" s="5"/>
      <c r="L25" s="5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5"/>
      <c r="AG25" s="5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>
        <v>39</v>
      </c>
      <c r="BF25" s="5">
        <f>SUM(AG25:BE25)</f>
        <v>39</v>
      </c>
      <c r="BG25" s="5">
        <f>(BF25-AG25)/2</f>
        <v>19.5</v>
      </c>
      <c r="BH25" s="5"/>
      <c r="BI25" s="5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>
        <v>39</v>
      </c>
      <c r="BW25" s="11"/>
      <c r="BX25" s="11"/>
      <c r="BY25" s="11"/>
      <c r="BZ25" s="11"/>
      <c r="CA25" s="11"/>
      <c r="CB25" s="11"/>
      <c r="CC25" s="11"/>
      <c r="CD25" s="11">
        <v>2.4</v>
      </c>
      <c r="CE25" s="11"/>
      <c r="CF25" s="11"/>
      <c r="CG25" s="5">
        <f>SUM(BG25:CF25)</f>
        <v>60.9</v>
      </c>
      <c r="CH25" s="5">
        <f>(CG25-BG25)/2</f>
        <v>20.7</v>
      </c>
      <c r="CI25" s="11">
        <v>36</v>
      </c>
      <c r="CJ25" s="11">
        <v>40</v>
      </c>
      <c r="CK25" s="11">
        <v>7.5</v>
      </c>
      <c r="CL25" s="11">
        <v>7.5</v>
      </c>
      <c r="CM25" s="11">
        <v>4</v>
      </c>
      <c r="CN25" s="11"/>
      <c r="CO25" s="5">
        <f>SUM(CH25:CN25)</f>
        <v>115.7</v>
      </c>
      <c r="CT25" s="5">
        <f>(CO25-CH25)/2</f>
        <v>47.5</v>
      </c>
      <c r="CU25" s="11">
        <v>33.6</v>
      </c>
      <c r="CV25" s="11">
        <v>4</v>
      </c>
      <c r="CW25" s="11">
        <v>39</v>
      </c>
      <c r="CX25" s="11"/>
      <c r="CY25" s="11"/>
      <c r="CZ25" s="11"/>
      <c r="DA25" s="5">
        <f t="shared" si="4"/>
        <v>124.1</v>
      </c>
      <c r="DC25" s="5">
        <f>BF25/4</f>
        <v>9.75</v>
      </c>
      <c r="DD25" s="5"/>
      <c r="DE25" s="5"/>
      <c r="DF25" s="11"/>
      <c r="DG25" s="5">
        <f>SUM(DC25:DF25)</f>
        <v>9.75</v>
      </c>
      <c r="DH25" s="11">
        <f>(DG25)/2</f>
        <v>4.875</v>
      </c>
      <c r="DI25" s="11">
        <f>CG25/4</f>
        <v>15.225</v>
      </c>
      <c r="DJ25" s="11"/>
      <c r="DK25" s="11"/>
      <c r="DL25" s="11"/>
      <c r="DM25" s="11"/>
      <c r="DN25" s="11"/>
      <c r="DO25" s="11"/>
      <c r="DP25" s="11">
        <f>SUM(DH25:DO25)</f>
        <v>20.100000000000001</v>
      </c>
      <c r="DQ25" s="5">
        <f>(DP25-DH25)/2</f>
        <v>7.6125000000000007</v>
      </c>
      <c r="DR25" s="11"/>
      <c r="DS25" s="11"/>
      <c r="DT25" s="11"/>
      <c r="DU25" s="11"/>
      <c r="DV25" s="11"/>
      <c r="DW25" s="11">
        <v>18</v>
      </c>
      <c r="DX25" s="5">
        <f t="shared" si="12"/>
        <v>25.612500000000001</v>
      </c>
      <c r="DY25" s="5">
        <f t="shared" si="10"/>
        <v>9</v>
      </c>
      <c r="DZ25" s="11"/>
      <c r="EA25" s="11"/>
      <c r="EB25" s="5">
        <f>SUM(DY25:EA25)</f>
        <v>9</v>
      </c>
    </row>
    <row r="26" spans="1:132" x14ac:dyDescent="0.25">
      <c r="A26">
        <v>16</v>
      </c>
      <c r="B26" s="5" t="s">
        <v>667</v>
      </c>
      <c r="C26" s="5"/>
      <c r="D26" s="5" t="s">
        <v>60</v>
      </c>
      <c r="E26" s="5" t="s">
        <v>668</v>
      </c>
      <c r="F26" s="5"/>
      <c r="G26" s="5"/>
      <c r="H26" s="5"/>
      <c r="I26" s="5"/>
      <c r="J26" s="5"/>
      <c r="K26" s="5"/>
      <c r="L26" s="5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5"/>
      <c r="AG26" s="5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5"/>
      <c r="BG26" s="5"/>
      <c r="BH26" s="5"/>
      <c r="BI26" s="5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5"/>
      <c r="CH26" s="5"/>
      <c r="CI26" s="11"/>
      <c r="CJ26" s="11"/>
      <c r="CK26" s="11"/>
      <c r="CL26" s="11"/>
      <c r="CM26" s="11"/>
      <c r="CN26" s="11"/>
      <c r="CO26" s="5"/>
      <c r="CT26" s="5"/>
      <c r="CU26" s="11">
        <v>33.6</v>
      </c>
      <c r="CV26" s="11">
        <v>28.8</v>
      </c>
      <c r="CW26" s="11">
        <v>7.5</v>
      </c>
      <c r="CX26" s="11">
        <v>50</v>
      </c>
      <c r="CY26" s="11"/>
      <c r="CZ26" s="11"/>
      <c r="DA26" s="5">
        <f t="shared" si="4"/>
        <v>119.9</v>
      </c>
      <c r="DC26" s="5"/>
      <c r="DD26" s="5"/>
      <c r="DE26" s="5"/>
      <c r="DF26" s="11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11"/>
      <c r="DS26" s="11"/>
      <c r="DT26" s="11"/>
      <c r="DU26" s="11"/>
      <c r="DV26" s="11"/>
      <c r="DW26" s="11"/>
      <c r="DX26" s="5">
        <f t="shared" si="12"/>
        <v>0</v>
      </c>
      <c r="DY26" s="5">
        <f t="shared" si="10"/>
        <v>0</v>
      </c>
      <c r="DZ26" s="11"/>
      <c r="EA26" s="11"/>
      <c r="EB26" s="5">
        <f>SUM(DY26:DZ26)</f>
        <v>0</v>
      </c>
    </row>
    <row r="27" spans="1:132" x14ac:dyDescent="0.25">
      <c r="A27">
        <v>17</v>
      </c>
      <c r="B27" s="5" t="s">
        <v>685</v>
      </c>
      <c r="C27" s="5"/>
      <c r="D27" s="5" t="s">
        <v>684</v>
      </c>
      <c r="E27" s="5" t="s">
        <v>16</v>
      </c>
      <c r="F27" s="5"/>
      <c r="G27" s="5"/>
      <c r="H27" s="5"/>
      <c r="I27" s="5"/>
      <c r="J27" s="5"/>
      <c r="K27" s="5"/>
      <c r="L27" s="5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5"/>
      <c r="AG27" s="5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5"/>
      <c r="BG27" s="5"/>
      <c r="BH27" s="5"/>
      <c r="BI27" s="5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5"/>
      <c r="CH27" s="5"/>
      <c r="CI27" s="11"/>
      <c r="CJ27" s="11"/>
      <c r="CK27" s="11"/>
      <c r="CL27" s="11"/>
      <c r="CM27" s="11"/>
      <c r="CN27" s="11"/>
      <c r="CO27" s="5"/>
      <c r="CT27" s="5"/>
      <c r="CU27" s="11">
        <v>48</v>
      </c>
      <c r="CV27" s="11">
        <v>56</v>
      </c>
      <c r="CW27" s="11">
        <v>7.5</v>
      </c>
      <c r="CX27" s="11"/>
      <c r="CY27" s="11"/>
      <c r="CZ27" s="11"/>
      <c r="DA27" s="5">
        <f t="shared" si="4"/>
        <v>111.5</v>
      </c>
      <c r="DC27" s="5"/>
      <c r="DD27" s="5"/>
      <c r="DE27" s="5"/>
      <c r="DF27" s="11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11"/>
      <c r="DS27" s="11"/>
      <c r="DT27" s="11"/>
      <c r="DU27" s="11"/>
      <c r="DV27" s="11"/>
      <c r="DW27" s="11"/>
      <c r="DX27" s="5">
        <f t="shared" si="12"/>
        <v>0</v>
      </c>
      <c r="DY27" s="5">
        <f t="shared" si="10"/>
        <v>0</v>
      </c>
      <c r="DZ27" s="11"/>
      <c r="EA27" s="11"/>
      <c r="EB27" s="5">
        <f>SUM(DY27:DZ27)</f>
        <v>0</v>
      </c>
    </row>
    <row r="28" spans="1:132" x14ac:dyDescent="0.25">
      <c r="A28">
        <v>18</v>
      </c>
      <c r="B28" s="43" t="s">
        <v>387</v>
      </c>
      <c r="C28" s="43"/>
      <c r="D28" s="43" t="s">
        <v>183</v>
      </c>
      <c r="E28" s="43" t="s">
        <v>119</v>
      </c>
      <c r="F28" s="5"/>
      <c r="G28" s="5"/>
      <c r="H28" s="5"/>
      <c r="I28" s="5"/>
      <c r="J28" s="5"/>
      <c r="K28" s="5"/>
      <c r="L28" s="5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5"/>
      <c r="AG28" s="5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5"/>
      <c r="BG28" s="5"/>
      <c r="BH28" s="5"/>
      <c r="BI28" s="5"/>
      <c r="BJ28" s="11"/>
      <c r="BK28" s="11"/>
      <c r="BL28" s="11"/>
      <c r="BM28" s="11"/>
      <c r="BN28" s="11"/>
      <c r="BO28" s="11"/>
      <c r="BP28" s="11"/>
      <c r="BQ28" s="11">
        <v>39</v>
      </c>
      <c r="BR28" s="11">
        <v>36</v>
      </c>
      <c r="BS28" s="11"/>
      <c r="BT28" s="11"/>
      <c r="BU28" s="11">
        <v>40</v>
      </c>
      <c r="BV28" s="11"/>
      <c r="BW28" s="11"/>
      <c r="BX28" s="11"/>
      <c r="BY28" s="11"/>
      <c r="BZ28" s="11"/>
      <c r="CA28" s="11"/>
      <c r="CB28" s="11"/>
      <c r="CC28" s="11"/>
      <c r="CD28" s="11"/>
      <c r="CE28" s="11">
        <v>7.5</v>
      </c>
      <c r="CF28" s="11">
        <v>10</v>
      </c>
      <c r="CG28" s="5">
        <f>SUM(BG28:CF28)</f>
        <v>132.5</v>
      </c>
      <c r="CH28" s="5">
        <f>(CG28-BG28)/2</f>
        <v>66.25</v>
      </c>
      <c r="CI28" s="11"/>
      <c r="CJ28" s="11"/>
      <c r="CK28" s="11">
        <v>10</v>
      </c>
      <c r="CL28" s="11"/>
      <c r="CM28" s="11"/>
      <c r="CN28" s="11"/>
      <c r="CO28" s="5">
        <f>SUM(CH28:CN28)</f>
        <v>76.25</v>
      </c>
      <c r="CT28" s="5">
        <f>(CO28-CH28)/2</f>
        <v>5</v>
      </c>
      <c r="CU28" s="11"/>
      <c r="CV28" s="11"/>
      <c r="CW28" s="11">
        <v>105</v>
      </c>
      <c r="CX28" s="11"/>
      <c r="CY28" s="11"/>
      <c r="CZ28" s="11"/>
      <c r="DA28" s="5">
        <f t="shared" si="4"/>
        <v>110</v>
      </c>
      <c r="DC28" s="5"/>
      <c r="DD28" s="5"/>
      <c r="DE28" s="5"/>
      <c r="DF28" s="11"/>
      <c r="DG28" s="5">
        <f>SUM(DC28:DF28)</f>
        <v>0</v>
      </c>
      <c r="DH28" s="11">
        <f>(DG28)/2</f>
        <v>0</v>
      </c>
      <c r="DI28" s="11">
        <f>CG28/4</f>
        <v>33.125</v>
      </c>
      <c r="DJ28" s="5"/>
      <c r="DK28" s="5"/>
      <c r="DL28" s="5"/>
      <c r="DM28" s="5"/>
      <c r="DN28" s="5"/>
      <c r="DO28" s="5"/>
      <c r="DP28" s="11">
        <f>SUM(DH28:DO28)</f>
        <v>33.125</v>
      </c>
      <c r="DQ28" s="5">
        <f>(DP28-DH28)/2</f>
        <v>16.5625</v>
      </c>
      <c r="DR28" s="11">
        <v>14</v>
      </c>
      <c r="DS28" s="11"/>
      <c r="DT28" s="11"/>
      <c r="DU28" s="11"/>
      <c r="DV28" s="11"/>
      <c r="DW28" s="11"/>
      <c r="DX28" s="5">
        <f t="shared" si="12"/>
        <v>30.5625</v>
      </c>
      <c r="DY28" s="5">
        <f t="shared" si="10"/>
        <v>7</v>
      </c>
      <c r="DZ28" s="11"/>
      <c r="EA28" s="11">
        <v>36</v>
      </c>
      <c r="EB28" s="43">
        <f>SUM(DY28:EA28)</f>
        <v>43</v>
      </c>
    </row>
    <row r="29" spans="1:132" x14ac:dyDescent="0.25">
      <c r="A29">
        <v>19</v>
      </c>
      <c r="B29" s="5" t="s">
        <v>700</v>
      </c>
      <c r="C29" s="5"/>
      <c r="D29" s="5" t="s">
        <v>631</v>
      </c>
      <c r="E29" s="5" t="s">
        <v>76</v>
      </c>
      <c r="F29" s="5"/>
      <c r="G29" s="5"/>
      <c r="H29" s="5"/>
      <c r="I29" s="5"/>
      <c r="J29" s="5"/>
      <c r="K29" s="5"/>
      <c r="L29" s="5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5"/>
      <c r="AG29" s="5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5"/>
      <c r="BG29" s="5"/>
      <c r="BH29" s="5"/>
      <c r="BI29" s="5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5"/>
      <c r="CH29" s="5"/>
      <c r="CI29" s="11"/>
      <c r="CJ29" s="11"/>
      <c r="CK29" s="11"/>
      <c r="CL29" s="11"/>
      <c r="CM29" s="11"/>
      <c r="CN29" s="11"/>
      <c r="CO29" s="5"/>
      <c r="CT29" s="5"/>
      <c r="CU29" s="11">
        <v>2.4</v>
      </c>
      <c r="CV29" s="11">
        <v>28.8</v>
      </c>
      <c r="CW29" s="11"/>
      <c r="CX29" s="11">
        <v>70</v>
      </c>
      <c r="CY29" s="11"/>
      <c r="CZ29" s="11"/>
      <c r="DA29" s="5">
        <f t="shared" si="4"/>
        <v>101.2</v>
      </c>
      <c r="DC29" s="5"/>
      <c r="DD29" s="5"/>
      <c r="DE29" s="5"/>
      <c r="DF29" s="11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11"/>
      <c r="DS29" s="11"/>
      <c r="DT29" s="11"/>
      <c r="DU29" s="11"/>
      <c r="DV29" s="11"/>
      <c r="DW29" s="11"/>
      <c r="DX29" s="5">
        <f t="shared" si="12"/>
        <v>0</v>
      </c>
      <c r="DY29" s="5">
        <f t="shared" si="10"/>
        <v>0</v>
      </c>
      <c r="DZ29" s="11"/>
      <c r="EA29" s="11"/>
      <c r="EB29" s="5">
        <f t="shared" ref="EB29:EB76" si="13">SUM(DY29:DZ29)</f>
        <v>0</v>
      </c>
    </row>
    <row r="30" spans="1:132" x14ac:dyDescent="0.25">
      <c r="A30">
        <v>20</v>
      </c>
      <c r="B30" s="5" t="s">
        <v>490</v>
      </c>
      <c r="C30" s="5"/>
      <c r="D30" s="5" t="s">
        <v>60</v>
      </c>
      <c r="E30" s="5" t="s">
        <v>76</v>
      </c>
      <c r="F30" s="5"/>
      <c r="G30" s="5"/>
      <c r="H30" s="5"/>
      <c r="I30" s="5"/>
      <c r="J30" s="5"/>
      <c r="K30" s="5"/>
      <c r="L30" s="5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5"/>
      <c r="AG30" s="5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5"/>
      <c r="BG30" s="5"/>
      <c r="BH30" s="5"/>
      <c r="BI30" s="5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5"/>
      <c r="CH30" s="5"/>
      <c r="CI30" s="11">
        <v>36</v>
      </c>
      <c r="CJ30" s="11"/>
      <c r="CK30" s="11"/>
      <c r="CL30" s="11"/>
      <c r="CM30" s="11"/>
      <c r="CN30" s="11"/>
      <c r="CO30" s="5">
        <f>SUM(CH30:CN30)</f>
        <v>36</v>
      </c>
      <c r="CT30" s="5">
        <f>(CO30-CH30)/2</f>
        <v>18</v>
      </c>
      <c r="CU30" s="11">
        <v>36</v>
      </c>
      <c r="CV30" s="11"/>
      <c r="CW30" s="11">
        <v>39</v>
      </c>
      <c r="CX30" s="11"/>
      <c r="CY30" s="11"/>
      <c r="CZ30" s="11"/>
      <c r="DA30" s="5">
        <f t="shared" si="4"/>
        <v>93</v>
      </c>
      <c r="DC30" s="5"/>
      <c r="DD30" s="5"/>
      <c r="DE30" s="5"/>
      <c r="DF30" s="11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11">
        <v>1.75</v>
      </c>
      <c r="DS30" s="11"/>
      <c r="DT30" s="11"/>
      <c r="DU30" s="11"/>
      <c r="DV30" s="11"/>
      <c r="DW30" s="11"/>
      <c r="DX30" s="5">
        <f t="shared" si="12"/>
        <v>1.75</v>
      </c>
      <c r="DY30" s="5">
        <f t="shared" si="10"/>
        <v>0.875</v>
      </c>
      <c r="DZ30" s="11"/>
      <c r="EA30" s="11"/>
      <c r="EB30" s="5">
        <f t="shared" si="13"/>
        <v>0.875</v>
      </c>
    </row>
    <row r="31" spans="1:132" x14ac:dyDescent="0.25">
      <c r="A31">
        <v>21</v>
      </c>
      <c r="B31" s="5" t="s">
        <v>47</v>
      </c>
      <c r="C31" s="5"/>
      <c r="D31" s="5" t="s">
        <v>646</v>
      </c>
      <c r="E31" s="5" t="s">
        <v>498</v>
      </c>
      <c r="F31" s="5"/>
      <c r="G31" s="5"/>
      <c r="H31" s="5"/>
      <c r="I31" s="5"/>
      <c r="J31" s="5"/>
      <c r="K31" s="5"/>
      <c r="L31" s="5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5"/>
      <c r="AG31" s="5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5"/>
      <c r="BG31" s="5"/>
      <c r="BH31" s="5"/>
      <c r="BI31" s="5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5"/>
      <c r="CH31" s="5"/>
      <c r="CI31" s="11"/>
      <c r="CJ31" s="11"/>
      <c r="CK31" s="11"/>
      <c r="CL31" s="11"/>
      <c r="CM31" s="11"/>
      <c r="CN31" s="11"/>
      <c r="CO31" s="5"/>
      <c r="CT31" s="5"/>
      <c r="CU31" s="11">
        <v>30</v>
      </c>
      <c r="CV31" s="11">
        <v>28.8</v>
      </c>
      <c r="CW31" s="11">
        <v>24</v>
      </c>
      <c r="CX31" s="11"/>
      <c r="CY31" s="11"/>
      <c r="CZ31" s="11"/>
      <c r="DA31" s="5">
        <f t="shared" si="4"/>
        <v>82.8</v>
      </c>
      <c r="DC31" s="5"/>
      <c r="DD31" s="5"/>
      <c r="DE31" s="5"/>
      <c r="DF31" s="11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11"/>
      <c r="DS31" s="11"/>
      <c r="DT31" s="11"/>
      <c r="DU31" s="11"/>
      <c r="DV31" s="11"/>
      <c r="DW31" s="11"/>
      <c r="DX31" s="5">
        <f t="shared" si="12"/>
        <v>0</v>
      </c>
      <c r="DY31" s="5">
        <f t="shared" si="10"/>
        <v>0</v>
      </c>
      <c r="DZ31" s="11"/>
      <c r="EA31" s="11"/>
      <c r="EB31" s="5">
        <f t="shared" si="13"/>
        <v>0</v>
      </c>
    </row>
    <row r="32" spans="1:132" x14ac:dyDescent="0.25">
      <c r="A32">
        <v>22</v>
      </c>
      <c r="B32" s="5" t="s">
        <v>610</v>
      </c>
      <c r="C32" s="5"/>
      <c r="D32" s="5" t="s">
        <v>120</v>
      </c>
      <c r="E32" s="5" t="s">
        <v>102</v>
      </c>
      <c r="F32" s="5"/>
      <c r="G32" s="5"/>
      <c r="H32" s="5"/>
      <c r="I32" s="5"/>
      <c r="J32" s="5"/>
      <c r="K32" s="5"/>
      <c r="L32" s="5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5"/>
      <c r="AG32" s="5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5"/>
      <c r="BG32" s="5"/>
      <c r="BH32" s="5"/>
      <c r="BI32" s="5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5"/>
      <c r="CH32" s="5"/>
      <c r="CI32" s="11">
        <v>3</v>
      </c>
      <c r="CJ32" s="11">
        <v>28.8</v>
      </c>
      <c r="CK32" s="11">
        <v>7.5</v>
      </c>
      <c r="CL32" s="11"/>
      <c r="CM32" s="11"/>
      <c r="CN32" s="11"/>
      <c r="CO32" s="5">
        <f>SUM(CH32:CN32)</f>
        <v>39.299999999999997</v>
      </c>
      <c r="CT32" s="5">
        <f>(CO32-CH32)/2</f>
        <v>19.649999999999999</v>
      </c>
      <c r="CU32" s="11">
        <v>36</v>
      </c>
      <c r="CV32" s="11">
        <v>4</v>
      </c>
      <c r="CW32" s="11">
        <v>7.5</v>
      </c>
      <c r="CX32" s="11">
        <v>5</v>
      </c>
      <c r="CY32" s="11">
        <v>2.4</v>
      </c>
      <c r="CZ32" s="11"/>
      <c r="DA32" s="5">
        <f t="shared" si="4"/>
        <v>74.550000000000011</v>
      </c>
      <c r="DC32" s="5"/>
      <c r="DD32" s="5"/>
      <c r="DE32" s="5"/>
      <c r="DF32" s="11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11"/>
      <c r="DS32" s="11"/>
      <c r="DT32" s="11"/>
      <c r="DU32" s="11"/>
      <c r="DV32" s="11"/>
      <c r="DW32" s="11"/>
      <c r="DX32" s="5">
        <f t="shared" si="12"/>
        <v>0</v>
      </c>
      <c r="DY32" s="5">
        <f t="shared" si="10"/>
        <v>0</v>
      </c>
      <c r="DZ32" s="11"/>
      <c r="EA32" s="11"/>
      <c r="EB32" s="5">
        <f t="shared" si="13"/>
        <v>0</v>
      </c>
    </row>
    <row r="33" spans="1:132" x14ac:dyDescent="0.25">
      <c r="A33">
        <v>23</v>
      </c>
      <c r="B33" s="5" t="s">
        <v>315</v>
      </c>
      <c r="C33" s="5"/>
      <c r="D33" s="5" t="s">
        <v>104</v>
      </c>
      <c r="E33" s="5" t="s">
        <v>301</v>
      </c>
      <c r="F33" s="5"/>
      <c r="G33" s="5"/>
      <c r="H33" s="5"/>
      <c r="I33" s="5"/>
      <c r="J33" s="5"/>
      <c r="K33" s="5"/>
      <c r="L33" s="5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5"/>
      <c r="AG33" s="5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5">
        <f>SUM(AG33:BE33)</f>
        <v>0</v>
      </c>
      <c r="BG33" s="5">
        <f>(BF33-AG33)/2</f>
        <v>0</v>
      </c>
      <c r="BH33" s="5"/>
      <c r="BI33" s="5"/>
      <c r="BJ33" s="11"/>
      <c r="BK33" s="11"/>
      <c r="BL33" s="11"/>
      <c r="BM33" s="11"/>
      <c r="BN33" s="11"/>
      <c r="BO33" s="11"/>
      <c r="BP33" s="11">
        <v>60</v>
      </c>
      <c r="BQ33" s="11">
        <v>54</v>
      </c>
      <c r="BR33" s="11"/>
      <c r="BS33" s="11"/>
      <c r="BT33" s="11"/>
      <c r="BU33" s="11">
        <v>80</v>
      </c>
      <c r="BV33" s="11">
        <v>7.5</v>
      </c>
      <c r="BW33" s="11"/>
      <c r="BX33" s="11"/>
      <c r="BY33" s="11"/>
      <c r="BZ33" s="11">
        <v>42</v>
      </c>
      <c r="CA33" s="11"/>
      <c r="CB33" s="11"/>
      <c r="CC33" s="11"/>
      <c r="CD33" s="11"/>
      <c r="CE33" s="11">
        <v>7.5</v>
      </c>
      <c r="CF33" s="11"/>
      <c r="CG33" s="5">
        <f>SUM(BG33:CF33)</f>
        <v>251</v>
      </c>
      <c r="CH33" s="5">
        <f>(CG33-BG33)/2</f>
        <v>125.5</v>
      </c>
      <c r="CI33" s="11"/>
      <c r="CJ33" s="11">
        <v>4</v>
      </c>
      <c r="CK33" s="11">
        <v>5</v>
      </c>
      <c r="CL33" s="11"/>
      <c r="CM33" s="11"/>
      <c r="CN33" s="11"/>
      <c r="CO33" s="5">
        <f>SUM(CH33:CN33)</f>
        <v>134.5</v>
      </c>
      <c r="CT33" s="5">
        <f>(CO33-CH33)/2</f>
        <v>4.5</v>
      </c>
      <c r="CU33" s="11">
        <v>30</v>
      </c>
      <c r="CV33" s="11">
        <v>40</v>
      </c>
      <c r="CW33" s="11"/>
      <c r="CX33" s="11"/>
      <c r="CY33" s="11"/>
      <c r="CZ33" s="11"/>
      <c r="DA33" s="5">
        <f t="shared" si="4"/>
        <v>74.5</v>
      </c>
      <c r="DC33" s="5"/>
      <c r="DD33" s="5"/>
      <c r="DE33" s="5"/>
      <c r="DF33" s="11"/>
      <c r="DG33" s="5">
        <f>SUM(DC33:DF33)</f>
        <v>0</v>
      </c>
      <c r="DH33" s="11">
        <f>(DG33)/2</f>
        <v>0</v>
      </c>
      <c r="DI33" s="11">
        <f>CG33/4</f>
        <v>62.75</v>
      </c>
      <c r="DJ33" s="11">
        <v>1.75</v>
      </c>
      <c r="DK33" s="11"/>
      <c r="DL33" s="11"/>
      <c r="DM33" s="11"/>
      <c r="DN33" s="11"/>
      <c r="DO33" s="11"/>
      <c r="DP33" s="11">
        <f>SUM(DH33:DO33)</f>
        <v>64.5</v>
      </c>
      <c r="DQ33" s="5">
        <f>(DP33-DH33)/2</f>
        <v>32.25</v>
      </c>
      <c r="DR33" s="11"/>
      <c r="DS33" s="11"/>
      <c r="DT33" s="11"/>
      <c r="DU33" s="11"/>
      <c r="DV33" s="11"/>
      <c r="DW33" s="11"/>
      <c r="DX33" s="5">
        <f t="shared" si="12"/>
        <v>32.25</v>
      </c>
      <c r="DY33" s="5">
        <f t="shared" si="10"/>
        <v>0</v>
      </c>
      <c r="DZ33" s="11"/>
      <c r="EA33" s="11"/>
      <c r="EB33" s="5">
        <f t="shared" si="13"/>
        <v>0</v>
      </c>
    </row>
    <row r="34" spans="1:132" x14ac:dyDescent="0.25">
      <c r="A34">
        <v>24</v>
      </c>
      <c r="B34" s="5" t="s">
        <v>426</v>
      </c>
      <c r="C34" s="5"/>
      <c r="D34" s="5" t="s">
        <v>427</v>
      </c>
      <c r="E34" s="5" t="s">
        <v>194</v>
      </c>
      <c r="F34" s="5"/>
      <c r="G34" s="5"/>
      <c r="H34" s="5"/>
      <c r="I34" s="5"/>
      <c r="J34" s="5"/>
      <c r="K34" s="5"/>
      <c r="L34" s="5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5"/>
      <c r="AG34" s="5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5"/>
      <c r="BG34" s="5"/>
      <c r="BH34" s="5"/>
      <c r="BI34" s="5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>
        <v>7.5</v>
      </c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5">
        <f>SUM(BG34:CF34)</f>
        <v>7.5</v>
      </c>
      <c r="CH34" s="5">
        <f>(CG34-BG34)/2</f>
        <v>3.75</v>
      </c>
      <c r="CI34" s="11">
        <v>33.6</v>
      </c>
      <c r="CJ34" s="11">
        <v>40</v>
      </c>
      <c r="CK34" s="11">
        <v>39</v>
      </c>
      <c r="CL34" s="11">
        <v>28.8</v>
      </c>
      <c r="CM34" s="11">
        <v>2.4</v>
      </c>
      <c r="CN34" s="11"/>
      <c r="CO34" s="5">
        <f>SUM(CH34:CN34)</f>
        <v>147.55000000000001</v>
      </c>
      <c r="CT34" s="5">
        <f>(CO34-CH34)/2</f>
        <v>71.900000000000006</v>
      </c>
      <c r="CU34" s="11"/>
      <c r="CV34" s="11"/>
      <c r="CW34" s="11"/>
      <c r="CX34" s="11"/>
      <c r="CY34" s="11"/>
      <c r="CZ34" s="11"/>
      <c r="DA34" s="5">
        <f t="shared" si="4"/>
        <v>71.900000000000006</v>
      </c>
      <c r="DC34" s="5"/>
      <c r="DD34" s="5"/>
      <c r="DE34" s="5"/>
      <c r="DF34" s="11"/>
      <c r="DG34" s="5">
        <f>SUM(DC34:DF34)</f>
        <v>0</v>
      </c>
      <c r="DH34" s="11">
        <f>(DG34)/2</f>
        <v>0</v>
      </c>
      <c r="DI34" s="11">
        <f>CG34/4</f>
        <v>1.875</v>
      </c>
      <c r="DJ34" s="5"/>
      <c r="DK34" s="11"/>
      <c r="DL34" s="11"/>
      <c r="DM34" s="11"/>
      <c r="DN34" s="11"/>
      <c r="DO34" s="11"/>
      <c r="DP34" s="11">
        <f>SUM(DH34:DO34)</f>
        <v>1.875</v>
      </c>
      <c r="DQ34" s="5">
        <f>(DP34-DH34)/2</f>
        <v>0.9375</v>
      </c>
      <c r="DR34" s="11"/>
      <c r="DS34" s="11"/>
      <c r="DT34" s="11"/>
      <c r="DU34" s="11"/>
      <c r="DV34" s="11"/>
      <c r="DW34" s="11"/>
      <c r="DX34" s="5">
        <f t="shared" si="12"/>
        <v>0.9375</v>
      </c>
      <c r="DY34" s="5">
        <f t="shared" si="10"/>
        <v>0</v>
      </c>
      <c r="DZ34" s="11"/>
      <c r="EA34" s="11"/>
      <c r="EB34" s="5">
        <f t="shared" si="13"/>
        <v>0</v>
      </c>
    </row>
    <row r="35" spans="1:132" x14ac:dyDescent="0.25">
      <c r="A35">
        <v>25</v>
      </c>
      <c r="B35" s="5" t="s">
        <v>491</v>
      </c>
      <c r="C35" s="5"/>
      <c r="D35" s="5" t="s">
        <v>492</v>
      </c>
      <c r="E35" s="5" t="s">
        <v>196</v>
      </c>
      <c r="F35" s="5"/>
      <c r="G35" s="5"/>
      <c r="H35" s="5"/>
      <c r="I35" s="5"/>
      <c r="J35" s="5"/>
      <c r="K35" s="5"/>
      <c r="L35" s="5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5"/>
      <c r="AG35" s="5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5"/>
      <c r="BG35" s="5"/>
      <c r="BH35" s="5"/>
      <c r="BI35" s="5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5"/>
      <c r="CH35" s="5"/>
      <c r="CI35" s="11">
        <v>42</v>
      </c>
      <c r="CJ35" s="11"/>
      <c r="CK35" s="11"/>
      <c r="CL35" s="11"/>
      <c r="CM35" s="11"/>
      <c r="CN35" s="11"/>
      <c r="CO35" s="5">
        <f>SUM(CH35:CN35)</f>
        <v>42</v>
      </c>
      <c r="CP35">
        <f>SUM(CI35:CO35)</f>
        <v>84</v>
      </c>
      <c r="CQ35">
        <f>SUM(CJ35:CP35)</f>
        <v>126</v>
      </c>
      <c r="CR35">
        <f>SUM(CK35:CQ35)</f>
        <v>252</v>
      </c>
      <c r="CS35">
        <f>SUM(CL35:CR35)</f>
        <v>504</v>
      </c>
      <c r="CT35" s="5">
        <f>(CO35-CH35)/2</f>
        <v>21</v>
      </c>
      <c r="CU35" s="11">
        <v>48</v>
      </c>
      <c r="CV35" s="11"/>
      <c r="CW35" s="11"/>
      <c r="CX35" s="11"/>
      <c r="CY35" s="11"/>
      <c r="CZ35" s="11"/>
      <c r="DA35" s="5">
        <f t="shared" si="4"/>
        <v>69</v>
      </c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11">
        <v>1.75</v>
      </c>
      <c r="DS35" s="11"/>
      <c r="DT35" s="11"/>
      <c r="DU35" s="11"/>
      <c r="DV35" s="11"/>
      <c r="DW35" s="11"/>
      <c r="DX35" s="5">
        <f t="shared" si="12"/>
        <v>1.75</v>
      </c>
      <c r="DY35" s="5">
        <f t="shared" si="10"/>
        <v>0.875</v>
      </c>
      <c r="DZ35" s="11"/>
      <c r="EA35" s="11"/>
      <c r="EB35" s="5">
        <f t="shared" si="13"/>
        <v>0.875</v>
      </c>
    </row>
    <row r="36" spans="1:132" x14ac:dyDescent="0.25">
      <c r="A36">
        <v>26</v>
      </c>
      <c r="B36" s="5" t="s">
        <v>136</v>
      </c>
      <c r="C36" s="5"/>
      <c r="D36" s="5" t="s">
        <v>60</v>
      </c>
      <c r="E36" s="5" t="s">
        <v>39</v>
      </c>
      <c r="F36" s="5"/>
      <c r="G36" s="5"/>
      <c r="H36" s="5"/>
      <c r="I36" s="5"/>
      <c r="J36" s="5"/>
      <c r="K36" s="5"/>
      <c r="L36" s="5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5"/>
      <c r="AG36" s="5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5"/>
      <c r="BG36" s="5"/>
      <c r="BH36" s="5"/>
      <c r="BI36" s="5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5"/>
      <c r="CH36" s="5"/>
      <c r="CI36" s="11"/>
      <c r="CJ36" s="11"/>
      <c r="CK36" s="11"/>
      <c r="CL36" s="11"/>
      <c r="CM36" s="11"/>
      <c r="CN36" s="11"/>
      <c r="CO36" s="5"/>
      <c r="CT36" s="5"/>
      <c r="CU36" s="11">
        <v>36</v>
      </c>
      <c r="CV36" s="11">
        <v>28.8</v>
      </c>
      <c r="CW36" s="11"/>
      <c r="CX36" s="11"/>
      <c r="CY36" s="11"/>
      <c r="CZ36" s="11"/>
      <c r="DA36" s="5">
        <f t="shared" si="4"/>
        <v>64.8</v>
      </c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11"/>
      <c r="DS36" s="11"/>
      <c r="DT36" s="11"/>
      <c r="DU36" s="11"/>
      <c r="DV36" s="11"/>
      <c r="DW36" s="11"/>
      <c r="DX36" s="5">
        <f t="shared" si="12"/>
        <v>0</v>
      </c>
      <c r="DY36" s="5">
        <f t="shared" si="10"/>
        <v>0</v>
      </c>
      <c r="DZ36" s="11"/>
      <c r="EA36" s="11"/>
      <c r="EB36" s="5">
        <f t="shared" si="13"/>
        <v>0</v>
      </c>
    </row>
    <row r="37" spans="1:132" x14ac:dyDescent="0.25">
      <c r="A37">
        <v>27</v>
      </c>
      <c r="B37" s="5" t="s">
        <v>601</v>
      </c>
      <c r="C37" s="5"/>
      <c r="D37" s="5" t="s">
        <v>307</v>
      </c>
      <c r="E37" s="5" t="s">
        <v>532</v>
      </c>
      <c r="F37" s="5"/>
      <c r="G37" s="5"/>
      <c r="H37" s="5"/>
      <c r="I37" s="5"/>
      <c r="J37" s="5"/>
      <c r="K37" s="5"/>
      <c r="L37" s="5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5"/>
      <c r="AG37" s="5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5"/>
      <c r="BG37" s="5"/>
      <c r="BH37" s="5"/>
      <c r="BI37" s="5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5"/>
      <c r="CH37" s="5"/>
      <c r="CI37" s="11">
        <v>48</v>
      </c>
      <c r="CJ37" s="11">
        <v>80</v>
      </c>
      <c r="CK37" s="11"/>
      <c r="CL37" s="11"/>
      <c r="CM37" s="11"/>
      <c r="CN37" s="11"/>
      <c r="CO37" s="5">
        <f>SUM(CH37:CN37)</f>
        <v>128</v>
      </c>
      <c r="CT37" s="5">
        <f>(CO37-CH37)/2</f>
        <v>64</v>
      </c>
      <c r="CU37" s="11"/>
      <c r="CV37" s="11"/>
      <c r="CW37" s="11"/>
      <c r="CX37" s="11"/>
      <c r="CY37" s="11"/>
      <c r="CZ37" s="11"/>
      <c r="DA37" s="5">
        <f t="shared" si="4"/>
        <v>64</v>
      </c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11"/>
      <c r="DS37" s="11"/>
      <c r="DT37" s="11"/>
      <c r="DU37" s="11"/>
      <c r="DV37" s="11"/>
      <c r="DW37" s="11"/>
      <c r="DX37" s="5">
        <f t="shared" si="12"/>
        <v>0</v>
      </c>
      <c r="DY37" s="5">
        <f t="shared" si="10"/>
        <v>0</v>
      </c>
      <c r="DZ37" s="11"/>
      <c r="EA37" s="11"/>
      <c r="EB37" s="5">
        <f t="shared" si="13"/>
        <v>0</v>
      </c>
    </row>
    <row r="38" spans="1:132" x14ac:dyDescent="0.25">
      <c r="A38">
        <v>28</v>
      </c>
      <c r="B38" s="5" t="s">
        <v>55</v>
      </c>
      <c r="C38" s="5"/>
      <c r="D38" s="5" t="s">
        <v>120</v>
      </c>
      <c r="E38" s="5" t="s">
        <v>75</v>
      </c>
      <c r="F38" s="5"/>
      <c r="G38" s="5"/>
      <c r="H38" s="5"/>
      <c r="I38" s="5"/>
      <c r="J38" s="5"/>
      <c r="K38" s="5"/>
      <c r="L38" s="5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5"/>
      <c r="AG38" s="5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5"/>
      <c r="BG38" s="5"/>
      <c r="BH38" s="5"/>
      <c r="BI38" s="5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5"/>
      <c r="CH38" s="5"/>
      <c r="CI38" s="11">
        <v>48</v>
      </c>
      <c r="CJ38" s="11">
        <v>40</v>
      </c>
      <c r="CK38" s="11">
        <v>24</v>
      </c>
      <c r="CL38" s="11">
        <v>10</v>
      </c>
      <c r="CM38" s="11"/>
      <c r="CN38" s="11"/>
      <c r="CO38" s="5">
        <f>SUM(CH38:CN38)</f>
        <v>122</v>
      </c>
      <c r="CT38" s="5">
        <f>(CO38-CH38)/2</f>
        <v>61</v>
      </c>
      <c r="CU38" s="11"/>
      <c r="CV38" s="11"/>
      <c r="CW38" s="11"/>
      <c r="CX38" s="11"/>
      <c r="CY38" s="11"/>
      <c r="CZ38" s="11"/>
      <c r="DA38" s="5">
        <f t="shared" si="4"/>
        <v>61</v>
      </c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11"/>
      <c r="DS38" s="11"/>
      <c r="DT38" s="11"/>
      <c r="DU38" s="11"/>
      <c r="DV38" s="11"/>
      <c r="DW38" s="11"/>
      <c r="DX38" s="5">
        <f t="shared" si="12"/>
        <v>0</v>
      </c>
      <c r="DY38" s="5">
        <f t="shared" si="10"/>
        <v>0</v>
      </c>
      <c r="DZ38" s="11"/>
      <c r="EA38" s="11"/>
      <c r="EB38" s="5">
        <f t="shared" si="13"/>
        <v>0</v>
      </c>
    </row>
    <row r="39" spans="1:132" x14ac:dyDescent="0.25">
      <c r="A39">
        <v>29</v>
      </c>
      <c r="B39" s="5" t="s">
        <v>538</v>
      </c>
      <c r="C39" s="5"/>
      <c r="D39" s="5" t="s">
        <v>539</v>
      </c>
      <c r="E39" s="5" t="s">
        <v>498</v>
      </c>
      <c r="F39" s="5"/>
      <c r="G39" s="5"/>
      <c r="H39" s="5"/>
      <c r="I39" s="5"/>
      <c r="J39" s="5"/>
      <c r="K39" s="5"/>
      <c r="L39" s="5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5"/>
      <c r="AG39" s="5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5"/>
      <c r="BG39" s="5"/>
      <c r="BH39" s="5"/>
      <c r="BI39" s="5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5"/>
      <c r="CH39" s="5"/>
      <c r="CI39" s="11"/>
      <c r="CJ39" s="11"/>
      <c r="CK39" s="11">
        <v>7.5</v>
      </c>
      <c r="CL39" s="11"/>
      <c r="CM39" s="11"/>
      <c r="CN39" s="11"/>
      <c r="CO39" s="5">
        <f>SUM(CH39:CN39)</f>
        <v>7.5</v>
      </c>
      <c r="CT39" s="5">
        <f>(CO39-CH39)/2</f>
        <v>3.75</v>
      </c>
      <c r="CU39" s="11"/>
      <c r="CV39" s="11">
        <v>56</v>
      </c>
      <c r="CW39" s="11"/>
      <c r="CX39" s="11"/>
      <c r="CY39" s="11"/>
      <c r="CZ39" s="11"/>
      <c r="DA39" s="5">
        <f t="shared" si="4"/>
        <v>59.75</v>
      </c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11"/>
      <c r="DS39" s="11"/>
      <c r="DT39" s="11"/>
      <c r="DU39" s="11"/>
      <c r="DV39" s="11"/>
      <c r="DW39" s="11"/>
      <c r="DX39" s="5">
        <f t="shared" si="12"/>
        <v>0</v>
      </c>
      <c r="DY39" s="5">
        <f t="shared" si="10"/>
        <v>0</v>
      </c>
      <c r="DZ39" s="11"/>
      <c r="EA39" s="11"/>
      <c r="EB39" s="5">
        <f t="shared" si="13"/>
        <v>0</v>
      </c>
    </row>
    <row r="40" spans="1:132" x14ac:dyDescent="0.25">
      <c r="A40">
        <v>30</v>
      </c>
      <c r="B40" s="22" t="s">
        <v>377</v>
      </c>
      <c r="C40" s="22"/>
      <c r="D40" s="22" t="s">
        <v>120</v>
      </c>
      <c r="E40" s="22" t="s">
        <v>379</v>
      </c>
      <c r="F40" s="5"/>
      <c r="G40" s="5"/>
      <c r="H40" s="5"/>
      <c r="I40" s="5"/>
      <c r="J40" s="5"/>
      <c r="K40" s="5"/>
      <c r="L40" s="5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5"/>
      <c r="AG40" s="5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5"/>
      <c r="BG40" s="5"/>
      <c r="BH40" s="5"/>
      <c r="BI40" s="5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>
        <v>7.5</v>
      </c>
      <c r="BW40" s="11"/>
      <c r="BX40" s="11"/>
      <c r="BY40" s="11"/>
      <c r="BZ40" s="11">
        <v>3</v>
      </c>
      <c r="CA40" s="11"/>
      <c r="CB40" s="11"/>
      <c r="CC40" s="11"/>
      <c r="CD40" s="11"/>
      <c r="CE40" s="11">
        <v>7.5</v>
      </c>
      <c r="CF40" s="11"/>
      <c r="CG40" s="5">
        <f>SUM(BG40:CF40)</f>
        <v>18</v>
      </c>
      <c r="CH40" s="5">
        <f>(CG40-BG40)/2</f>
        <v>9</v>
      </c>
      <c r="CI40" s="11">
        <v>33.6</v>
      </c>
      <c r="CJ40" s="11">
        <v>28.8</v>
      </c>
      <c r="CK40" s="11">
        <v>7.5</v>
      </c>
      <c r="CL40" s="11">
        <v>5</v>
      </c>
      <c r="CM40" s="11">
        <v>7.5</v>
      </c>
      <c r="CN40" s="11">
        <v>28.8</v>
      </c>
      <c r="CO40" s="5">
        <f>SUM(CH40:CN40)</f>
        <v>120.2</v>
      </c>
      <c r="CT40" s="5">
        <f>(CO40-CH40)/2</f>
        <v>55.6</v>
      </c>
      <c r="CU40" s="11"/>
      <c r="CV40" s="11"/>
      <c r="CW40" s="11"/>
      <c r="CX40" s="11"/>
      <c r="CY40" s="11"/>
      <c r="CZ40" s="11"/>
      <c r="DA40" s="5">
        <f t="shared" si="4"/>
        <v>55.6</v>
      </c>
      <c r="DG40" s="5">
        <f>SUM(DC40:DF40)</f>
        <v>0</v>
      </c>
      <c r="DH40" s="11">
        <f>(DG40)/2</f>
        <v>0</v>
      </c>
      <c r="DI40" s="11">
        <f>CG40/4</f>
        <v>4.5</v>
      </c>
      <c r="DJ40" s="5"/>
      <c r="DK40" s="11"/>
      <c r="DL40" s="11"/>
      <c r="DM40" s="11"/>
      <c r="DN40" s="11"/>
      <c r="DO40" s="11"/>
      <c r="DP40" s="11">
        <f>SUM(DH40:DO40)</f>
        <v>4.5</v>
      </c>
      <c r="DQ40" s="5">
        <f>(DP40-DH40)/2</f>
        <v>2.25</v>
      </c>
      <c r="DR40" s="11">
        <v>1.75</v>
      </c>
      <c r="DS40" s="11"/>
      <c r="DT40" s="11"/>
      <c r="DU40" s="11"/>
      <c r="DV40" s="11"/>
      <c r="DW40" s="11">
        <v>25</v>
      </c>
      <c r="DX40" s="5">
        <f t="shared" si="12"/>
        <v>29</v>
      </c>
      <c r="DY40" s="5">
        <f t="shared" si="10"/>
        <v>13.375</v>
      </c>
      <c r="DZ40" s="11"/>
      <c r="EA40" s="11"/>
      <c r="EB40" s="22">
        <f t="shared" si="13"/>
        <v>13.375</v>
      </c>
    </row>
    <row r="41" spans="1:132" x14ac:dyDescent="0.25">
      <c r="A41">
        <v>31</v>
      </c>
      <c r="B41" s="5" t="s">
        <v>666</v>
      </c>
      <c r="C41" s="5"/>
      <c r="D41" s="5" t="s">
        <v>13</v>
      </c>
      <c r="E41" s="5" t="s">
        <v>333</v>
      </c>
      <c r="F41" s="5"/>
      <c r="G41" s="5"/>
      <c r="H41" s="5"/>
      <c r="I41" s="5"/>
      <c r="J41" s="5"/>
      <c r="K41" s="5"/>
      <c r="L41" s="5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5"/>
      <c r="AG41" s="5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5"/>
      <c r="BG41" s="5"/>
      <c r="BH41" s="5"/>
      <c r="BI41" s="5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5"/>
      <c r="CH41" s="5"/>
      <c r="CI41" s="11"/>
      <c r="CJ41" s="11"/>
      <c r="CK41" s="11"/>
      <c r="CL41" s="11"/>
      <c r="CM41" s="11"/>
      <c r="CN41" s="11"/>
      <c r="CO41" s="5"/>
      <c r="CT41" s="5"/>
      <c r="CU41" s="11">
        <v>48</v>
      </c>
      <c r="CV41" s="11"/>
      <c r="CW41" s="11">
        <v>7.5</v>
      </c>
      <c r="CX41" s="11"/>
      <c r="CY41" s="11"/>
      <c r="CZ41" s="11"/>
      <c r="DA41" s="5">
        <f t="shared" si="4"/>
        <v>55.5</v>
      </c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11"/>
      <c r="DS41" s="11"/>
      <c r="DT41" s="11"/>
      <c r="DU41" s="11"/>
      <c r="DV41" s="11"/>
      <c r="DW41" s="11"/>
      <c r="DX41" s="5">
        <f t="shared" si="12"/>
        <v>0</v>
      </c>
      <c r="DY41" s="5">
        <f t="shared" si="10"/>
        <v>0</v>
      </c>
      <c r="DZ41" s="11"/>
      <c r="EA41" s="11"/>
      <c r="EB41" s="5">
        <f t="shared" si="13"/>
        <v>0</v>
      </c>
    </row>
    <row r="42" spans="1:132" x14ac:dyDescent="0.25">
      <c r="A42">
        <v>32</v>
      </c>
      <c r="B42" s="5" t="s">
        <v>555</v>
      </c>
      <c r="C42" s="5"/>
      <c r="D42" s="5" t="s">
        <v>259</v>
      </c>
      <c r="E42" s="5" t="s">
        <v>323</v>
      </c>
      <c r="F42" s="5"/>
      <c r="G42" s="5"/>
      <c r="H42" s="5"/>
      <c r="I42" s="5"/>
      <c r="J42" s="5"/>
      <c r="K42" s="5"/>
      <c r="L42" s="5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5"/>
      <c r="AG42" s="5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5"/>
      <c r="BG42" s="5"/>
      <c r="BH42" s="5"/>
      <c r="BI42" s="5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5"/>
      <c r="CH42" s="5"/>
      <c r="CI42" s="11"/>
      <c r="CJ42" s="11"/>
      <c r="CK42" s="11"/>
      <c r="CL42" s="11"/>
      <c r="CM42" s="11"/>
      <c r="CN42" s="11"/>
      <c r="CO42" s="5"/>
      <c r="CT42" s="5"/>
      <c r="CU42" s="11">
        <v>36</v>
      </c>
      <c r="CV42" s="11">
        <v>4</v>
      </c>
      <c r="CW42" s="11">
        <v>7.5</v>
      </c>
      <c r="CX42" s="11">
        <v>5</v>
      </c>
      <c r="CY42" s="11">
        <v>2.4</v>
      </c>
      <c r="CZ42" s="11"/>
      <c r="DA42" s="5">
        <f t="shared" si="4"/>
        <v>54.9</v>
      </c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11"/>
      <c r="DS42" s="11"/>
      <c r="DT42" s="11"/>
      <c r="DU42" s="11"/>
      <c r="DV42" s="11"/>
      <c r="DW42" s="11"/>
      <c r="DX42" s="5">
        <f t="shared" si="12"/>
        <v>0</v>
      </c>
      <c r="DY42" s="5">
        <f t="shared" si="10"/>
        <v>0</v>
      </c>
      <c r="DZ42" s="11"/>
      <c r="EA42" s="11"/>
      <c r="EB42" s="5">
        <f t="shared" si="13"/>
        <v>0</v>
      </c>
    </row>
    <row r="43" spans="1:132" x14ac:dyDescent="0.25">
      <c r="A43">
        <v>33</v>
      </c>
      <c r="B43" s="5" t="s">
        <v>92</v>
      </c>
      <c r="C43" s="5"/>
      <c r="D43" s="5" t="s">
        <v>60</v>
      </c>
      <c r="E43" s="5" t="s">
        <v>521</v>
      </c>
      <c r="F43" s="5"/>
      <c r="G43" s="5"/>
      <c r="H43" s="5"/>
      <c r="I43" s="5"/>
      <c r="J43" s="5"/>
      <c r="K43" s="5"/>
      <c r="L43" s="5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5"/>
      <c r="AG43" s="5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5"/>
      <c r="BG43" s="5"/>
      <c r="BH43" s="5"/>
      <c r="BI43" s="5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5"/>
      <c r="CH43" s="5"/>
      <c r="CI43" s="11">
        <v>48</v>
      </c>
      <c r="CJ43" s="11"/>
      <c r="CK43" s="11">
        <v>7.5</v>
      </c>
      <c r="CL43" s="11">
        <v>48</v>
      </c>
      <c r="CM43" s="11"/>
      <c r="CN43" s="11"/>
      <c r="CO43" s="5">
        <f>SUM(CH43:CN43)</f>
        <v>103.5</v>
      </c>
      <c r="CT43" s="5">
        <f>(CO43-CH43)/2</f>
        <v>51.75</v>
      </c>
      <c r="CU43" s="11"/>
      <c r="CV43" s="11"/>
      <c r="CW43" s="11"/>
      <c r="CX43" s="11"/>
      <c r="CY43" s="11"/>
      <c r="CZ43" s="11"/>
      <c r="DA43" s="5">
        <f t="shared" ref="DA43:DA74" si="14">SUM(CT43:CZ43)</f>
        <v>51.75</v>
      </c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11"/>
      <c r="DS43" s="11"/>
      <c r="DT43" s="11"/>
      <c r="DU43" s="11"/>
      <c r="DV43" s="11"/>
      <c r="DW43" s="11"/>
      <c r="DX43" s="5">
        <f t="shared" si="12"/>
        <v>0</v>
      </c>
      <c r="DY43" s="5">
        <f t="shared" ref="DY43:DY74" si="15">(DX43-DQ43)/2</f>
        <v>0</v>
      </c>
      <c r="DZ43" s="11"/>
      <c r="EA43" s="11"/>
      <c r="EB43" s="5">
        <f t="shared" si="13"/>
        <v>0</v>
      </c>
    </row>
    <row r="44" spans="1:132" x14ac:dyDescent="0.25">
      <c r="A44">
        <v>34</v>
      </c>
      <c r="B44" s="5" t="s">
        <v>314</v>
      </c>
      <c r="C44" s="5" t="s">
        <v>318</v>
      </c>
      <c r="D44" s="5" t="s">
        <v>45</v>
      </c>
      <c r="E44" s="5" t="s">
        <v>253</v>
      </c>
      <c r="F44" s="5"/>
      <c r="G44" s="5"/>
      <c r="H44" s="5"/>
      <c r="I44" s="5"/>
      <c r="J44" s="5"/>
      <c r="K44" s="5"/>
      <c r="L44" s="5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5"/>
      <c r="AG44" s="5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5">
        <f>SUM(AG44:BE44)</f>
        <v>0</v>
      </c>
      <c r="BG44" s="5">
        <f>(BF44-AG44)/2</f>
        <v>0</v>
      </c>
      <c r="BH44" s="5"/>
      <c r="BI44" s="5"/>
      <c r="BJ44" s="11"/>
      <c r="BK44" s="11"/>
      <c r="BL44" s="11">
        <v>2.4</v>
      </c>
      <c r="BM44" s="11"/>
      <c r="BN44" s="11"/>
      <c r="BO44" s="11"/>
      <c r="BP44" s="11"/>
      <c r="BQ44" s="11">
        <v>39</v>
      </c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5">
        <f>SUM(BG44:CF44)</f>
        <v>41.4</v>
      </c>
      <c r="CH44" s="5">
        <f>(CG44-BG44)/2</f>
        <v>20.7</v>
      </c>
      <c r="CI44" s="11"/>
      <c r="CJ44" s="11">
        <v>40</v>
      </c>
      <c r="CK44" s="11">
        <v>7.5</v>
      </c>
      <c r="CL44" s="11">
        <v>39</v>
      </c>
      <c r="CM44" s="11">
        <v>7.5</v>
      </c>
      <c r="CN44" s="11"/>
      <c r="CO44" s="5">
        <f>SUM(CH44:CN44)</f>
        <v>114.7</v>
      </c>
      <c r="CT44" s="5">
        <f>(CO44-CH44)/2</f>
        <v>47</v>
      </c>
      <c r="CU44" s="11"/>
      <c r="CV44" s="11"/>
      <c r="CW44" s="11"/>
      <c r="CX44" s="11"/>
      <c r="CY44" s="11"/>
      <c r="CZ44" s="11"/>
      <c r="DA44" s="5">
        <f t="shared" si="14"/>
        <v>47</v>
      </c>
      <c r="DG44" s="5">
        <f>SUM(DC44:DF44)</f>
        <v>0</v>
      </c>
      <c r="DH44" s="11">
        <f>(DG44)/2</f>
        <v>0</v>
      </c>
      <c r="DI44" s="11">
        <f>CG44/4</f>
        <v>10.35</v>
      </c>
      <c r="DJ44" s="5">
        <v>1.75</v>
      </c>
      <c r="DK44" s="5"/>
      <c r="DL44" s="5"/>
      <c r="DM44" s="5"/>
      <c r="DN44" s="5"/>
      <c r="DO44" s="5"/>
      <c r="DP44" s="11">
        <f>SUM(DH44:DO44)</f>
        <v>12.1</v>
      </c>
      <c r="DQ44" s="5">
        <f>(DP44-DH44)/2</f>
        <v>6.05</v>
      </c>
      <c r="DR44" s="11"/>
      <c r="DS44" s="11"/>
      <c r="DT44" s="11"/>
      <c r="DU44" s="11"/>
      <c r="DV44" s="11"/>
      <c r="DW44" s="11"/>
      <c r="DX44" s="5">
        <f t="shared" si="12"/>
        <v>6.05</v>
      </c>
      <c r="DY44" s="5">
        <f t="shared" si="15"/>
        <v>0</v>
      </c>
      <c r="DZ44" s="11"/>
      <c r="EA44" s="11"/>
      <c r="EB44" s="5">
        <f t="shared" si="13"/>
        <v>0</v>
      </c>
    </row>
    <row r="45" spans="1:132" x14ac:dyDescent="0.25">
      <c r="A45">
        <v>35</v>
      </c>
      <c r="B45" s="5" t="s">
        <v>274</v>
      </c>
      <c r="C45" s="5"/>
      <c r="D45" s="5" t="s">
        <v>374</v>
      </c>
      <c r="E45" s="5" t="s">
        <v>15</v>
      </c>
      <c r="F45" s="5"/>
      <c r="G45" s="5"/>
      <c r="H45" s="5"/>
      <c r="I45" s="5"/>
      <c r="J45" s="5"/>
      <c r="K45" s="5"/>
      <c r="L45" s="5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5"/>
      <c r="AG45" s="5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5"/>
      <c r="BG45" s="5"/>
      <c r="BH45" s="5"/>
      <c r="BI45" s="5"/>
      <c r="BJ45" s="11"/>
      <c r="BK45" s="11"/>
      <c r="BL45" s="11"/>
      <c r="BM45" s="11"/>
      <c r="BN45" s="11"/>
      <c r="BO45" s="11"/>
      <c r="BP45" s="11">
        <v>3</v>
      </c>
      <c r="BQ45" s="11">
        <v>7.5</v>
      </c>
      <c r="BR45" s="11"/>
      <c r="BS45" s="11"/>
      <c r="BT45" s="11"/>
      <c r="BU45" s="11">
        <v>4</v>
      </c>
      <c r="BV45" s="11">
        <v>24</v>
      </c>
      <c r="BW45" s="11"/>
      <c r="BX45" s="11"/>
      <c r="BY45" s="11"/>
      <c r="BZ45" s="11">
        <v>24</v>
      </c>
      <c r="CA45" s="11"/>
      <c r="CB45" s="11"/>
      <c r="CC45" s="11"/>
      <c r="CD45" s="11"/>
      <c r="CE45" s="11">
        <v>54</v>
      </c>
      <c r="CF45" s="11"/>
      <c r="CG45" s="5">
        <f>SUM(BG45:CF45)</f>
        <v>116.5</v>
      </c>
      <c r="CH45" s="5">
        <f>(CG45-BG45)/2</f>
        <v>58.25</v>
      </c>
      <c r="CI45" s="11">
        <v>30</v>
      </c>
      <c r="CJ45" s="11">
        <v>4</v>
      </c>
      <c r="CK45" s="11">
        <v>18</v>
      </c>
      <c r="CL45" s="11">
        <v>7.5</v>
      </c>
      <c r="CM45" s="11">
        <v>7.5</v>
      </c>
      <c r="CN45" s="11">
        <v>4</v>
      </c>
      <c r="CO45" s="5">
        <f>SUM(CH45:CN45)</f>
        <v>129.25</v>
      </c>
      <c r="CT45" s="5">
        <f>(CO45-CH45)/2</f>
        <v>35.5</v>
      </c>
      <c r="CU45" s="11">
        <v>3</v>
      </c>
      <c r="CV45" s="11"/>
      <c r="CW45" s="11">
        <v>7.5</v>
      </c>
      <c r="CX45" s="11"/>
      <c r="CY45" s="11"/>
      <c r="CZ45" s="11"/>
      <c r="DA45" s="5">
        <f t="shared" si="14"/>
        <v>46</v>
      </c>
      <c r="DG45" s="5">
        <f>SUM(DC45:DF45)</f>
        <v>0</v>
      </c>
      <c r="DH45" s="11">
        <f>(DG45)/2</f>
        <v>0</v>
      </c>
      <c r="DI45" s="11">
        <f>CG45/4</f>
        <v>29.125</v>
      </c>
      <c r="DJ45" s="11"/>
      <c r="DK45" s="11"/>
      <c r="DL45" s="11"/>
      <c r="DM45" s="11"/>
      <c r="DN45" s="11"/>
      <c r="DO45" s="11"/>
      <c r="DP45" s="11">
        <f>SUM(DH45:DO45)</f>
        <v>29.125</v>
      </c>
      <c r="DQ45" s="5">
        <f>(DP45-DH45)/2</f>
        <v>14.5625</v>
      </c>
      <c r="DR45" s="11"/>
      <c r="DS45" s="11"/>
      <c r="DT45" s="11"/>
      <c r="DU45" s="11"/>
      <c r="DV45" s="11"/>
      <c r="DW45" s="11"/>
      <c r="DX45" s="5">
        <f t="shared" si="12"/>
        <v>14.5625</v>
      </c>
      <c r="DY45" s="5">
        <f t="shared" si="15"/>
        <v>0</v>
      </c>
      <c r="DZ45" s="11"/>
      <c r="EA45" s="11"/>
      <c r="EB45" s="5">
        <f t="shared" si="13"/>
        <v>0</v>
      </c>
    </row>
    <row r="46" spans="1:132" x14ac:dyDescent="0.25">
      <c r="A46">
        <v>36</v>
      </c>
      <c r="B46" s="5" t="s">
        <v>500</v>
      </c>
      <c r="C46" s="5"/>
      <c r="D46" s="5" t="s">
        <v>530</v>
      </c>
      <c r="E46" s="5" t="s">
        <v>531</v>
      </c>
      <c r="F46" s="5"/>
      <c r="G46" s="5"/>
      <c r="H46" s="5"/>
      <c r="I46" s="5"/>
      <c r="J46" s="5"/>
      <c r="K46" s="5"/>
      <c r="L46" s="5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5"/>
      <c r="AG46" s="5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5"/>
      <c r="BG46" s="5"/>
      <c r="BH46" s="5"/>
      <c r="BI46" s="5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5"/>
      <c r="CH46" s="5"/>
      <c r="CI46" s="11">
        <v>48</v>
      </c>
      <c r="CJ46" s="11">
        <v>28.8</v>
      </c>
      <c r="CK46" s="11">
        <v>5</v>
      </c>
      <c r="CL46" s="11"/>
      <c r="CM46" s="11"/>
      <c r="CN46" s="11"/>
      <c r="CO46" s="5">
        <f>SUM(CH46:CN46)</f>
        <v>81.8</v>
      </c>
      <c r="CT46" s="5">
        <f>(CO46-CH46)/2</f>
        <v>40.9</v>
      </c>
      <c r="CU46" s="11"/>
      <c r="CV46" s="11"/>
      <c r="CW46" s="11"/>
      <c r="CX46" s="11"/>
      <c r="CY46" s="11"/>
      <c r="CZ46" s="11"/>
      <c r="DA46" s="5">
        <f t="shared" si="14"/>
        <v>40.9</v>
      </c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11"/>
      <c r="DS46" s="11"/>
      <c r="DT46" s="11"/>
      <c r="DU46" s="11"/>
      <c r="DV46" s="11"/>
      <c r="DW46" s="11"/>
      <c r="DX46" s="5">
        <f t="shared" si="12"/>
        <v>0</v>
      </c>
      <c r="DY46" s="5">
        <f t="shared" si="15"/>
        <v>0</v>
      </c>
      <c r="DZ46" s="11"/>
      <c r="EA46" s="11"/>
      <c r="EB46" s="5">
        <f t="shared" si="13"/>
        <v>0</v>
      </c>
    </row>
    <row r="47" spans="1:132" x14ac:dyDescent="0.25">
      <c r="A47">
        <v>37</v>
      </c>
      <c r="B47" s="5" t="s">
        <v>423</v>
      </c>
      <c r="C47" s="5"/>
      <c r="D47" s="5" t="s">
        <v>60</v>
      </c>
      <c r="E47" s="5" t="s">
        <v>75</v>
      </c>
      <c r="F47" s="5"/>
      <c r="G47" s="5"/>
      <c r="H47" s="5"/>
      <c r="I47" s="5"/>
      <c r="J47" s="5"/>
      <c r="K47" s="5"/>
      <c r="L47" s="5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5"/>
      <c r="AG47" s="5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5"/>
      <c r="BG47" s="5"/>
      <c r="BH47" s="5"/>
      <c r="BI47" s="5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>
        <v>7.5</v>
      </c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5">
        <f>SUM(BG47:CF47)</f>
        <v>7.5</v>
      </c>
      <c r="CH47" s="5">
        <f>(CG47-BG47)/2</f>
        <v>3.75</v>
      </c>
      <c r="CI47" s="11">
        <v>3</v>
      </c>
      <c r="CJ47" s="11">
        <v>4</v>
      </c>
      <c r="CK47" s="11">
        <v>5</v>
      </c>
      <c r="CL47" s="11">
        <v>7.5</v>
      </c>
      <c r="CM47" s="11"/>
      <c r="CN47" s="11"/>
      <c r="CO47" s="5">
        <f>SUM(CH47:CN47)</f>
        <v>23.25</v>
      </c>
      <c r="CT47" s="5">
        <f>(CO47-CH47)/2</f>
        <v>9.75</v>
      </c>
      <c r="CU47" s="11">
        <v>3</v>
      </c>
      <c r="CV47" s="11">
        <v>4</v>
      </c>
      <c r="CW47" s="11">
        <v>24</v>
      </c>
      <c r="CX47" s="11"/>
      <c r="CY47" s="11"/>
      <c r="CZ47" s="11"/>
      <c r="DA47" s="5">
        <f t="shared" si="14"/>
        <v>40.75</v>
      </c>
      <c r="DG47" s="5">
        <f>SUM(DC47:DF47)</f>
        <v>0</v>
      </c>
      <c r="DH47" s="11">
        <f>(DG47)/2</f>
        <v>0</v>
      </c>
      <c r="DI47" s="11">
        <f>CG47/4</f>
        <v>1.875</v>
      </c>
      <c r="DJ47" s="5"/>
      <c r="DK47" s="11"/>
      <c r="DL47" s="11"/>
      <c r="DM47" s="11"/>
      <c r="DN47" s="11"/>
      <c r="DO47" s="11"/>
      <c r="DP47" s="11">
        <f>SUM(DH47:DO47)</f>
        <v>1.875</v>
      </c>
      <c r="DQ47" s="5">
        <f>(DP47-DH47)/2</f>
        <v>0.9375</v>
      </c>
      <c r="DR47" s="11">
        <v>1.75</v>
      </c>
      <c r="DS47" s="11"/>
      <c r="DT47" s="11"/>
      <c r="DU47" s="11"/>
      <c r="DV47" s="11"/>
      <c r="DW47" s="11"/>
      <c r="DX47" s="5">
        <f t="shared" si="12"/>
        <v>2.6875</v>
      </c>
      <c r="DY47" s="5">
        <f t="shared" si="15"/>
        <v>0.875</v>
      </c>
      <c r="DZ47" s="11"/>
      <c r="EA47" s="11"/>
      <c r="EB47" s="5">
        <f t="shared" si="13"/>
        <v>0.875</v>
      </c>
    </row>
    <row r="48" spans="1:132" x14ac:dyDescent="0.25">
      <c r="A48">
        <v>38</v>
      </c>
      <c r="B48" s="5" t="s">
        <v>710</v>
      </c>
      <c r="C48" s="5"/>
      <c r="D48" s="5" t="s">
        <v>712</v>
      </c>
      <c r="E48" s="5" t="s">
        <v>711</v>
      </c>
      <c r="F48" s="5"/>
      <c r="G48" s="5"/>
      <c r="H48" s="5"/>
      <c r="I48" s="5"/>
      <c r="J48" s="5"/>
      <c r="K48" s="5"/>
      <c r="L48" s="5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5"/>
      <c r="AG48" s="5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5"/>
      <c r="BG48" s="5"/>
      <c r="BH48" s="5"/>
      <c r="BI48" s="5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5"/>
      <c r="CH48" s="5"/>
      <c r="CI48" s="11"/>
      <c r="CJ48" s="11"/>
      <c r="CK48" s="11"/>
      <c r="CL48" s="11"/>
      <c r="CM48" s="11"/>
      <c r="CN48" s="11"/>
      <c r="CO48" s="5"/>
      <c r="CT48" s="5"/>
      <c r="CU48" s="11"/>
      <c r="CV48" s="11">
        <v>40</v>
      </c>
      <c r="CW48" s="11"/>
      <c r="CX48" s="11"/>
      <c r="CY48" s="11"/>
      <c r="CZ48" s="11"/>
      <c r="DA48" s="5">
        <f t="shared" si="14"/>
        <v>40</v>
      </c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11"/>
      <c r="DS48" s="11"/>
      <c r="DT48" s="11"/>
      <c r="DU48" s="11"/>
      <c r="DV48" s="11"/>
      <c r="DW48" s="11"/>
      <c r="DX48" s="5">
        <f t="shared" si="12"/>
        <v>0</v>
      </c>
      <c r="DY48" s="5">
        <f t="shared" si="15"/>
        <v>0</v>
      </c>
      <c r="DZ48" s="11"/>
      <c r="EA48" s="11"/>
      <c r="EB48" s="5">
        <f t="shared" si="13"/>
        <v>0</v>
      </c>
    </row>
    <row r="49" spans="1:132" x14ac:dyDescent="0.25">
      <c r="A49">
        <v>39</v>
      </c>
      <c r="B49" s="5" t="s">
        <v>729</v>
      </c>
      <c r="C49" s="5"/>
      <c r="D49" s="5" t="s">
        <v>120</v>
      </c>
      <c r="E49" s="5" t="s">
        <v>8</v>
      </c>
      <c r="F49" s="5"/>
      <c r="G49" s="5"/>
      <c r="H49" s="5"/>
      <c r="I49" s="5"/>
      <c r="J49" s="5"/>
      <c r="K49" s="5"/>
      <c r="L49" s="5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5"/>
      <c r="AG49" s="5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5"/>
      <c r="BG49" s="5"/>
      <c r="BH49" s="5"/>
      <c r="BI49" s="5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5"/>
      <c r="CH49" s="5"/>
      <c r="CI49" s="11"/>
      <c r="CJ49" s="11"/>
      <c r="CK49" s="11"/>
      <c r="CL49" s="11"/>
      <c r="CM49" s="11"/>
      <c r="CN49" s="11"/>
      <c r="CO49" s="5"/>
      <c r="CT49" s="5"/>
      <c r="CU49" s="11">
        <v>33.6</v>
      </c>
      <c r="CV49" s="11"/>
      <c r="CW49" s="11"/>
      <c r="CX49" s="11"/>
      <c r="CY49" s="11"/>
      <c r="CZ49" s="11"/>
      <c r="DA49" s="5">
        <f t="shared" si="14"/>
        <v>33.6</v>
      </c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11"/>
      <c r="DS49" s="11"/>
      <c r="DT49" s="11"/>
      <c r="DU49" s="11"/>
      <c r="DV49" s="11"/>
      <c r="DW49" s="11"/>
      <c r="DX49" s="5">
        <f t="shared" si="12"/>
        <v>0</v>
      </c>
      <c r="DY49" s="5">
        <f t="shared" si="15"/>
        <v>0</v>
      </c>
      <c r="DZ49" s="11"/>
      <c r="EA49" s="11"/>
      <c r="EB49" s="5">
        <f t="shared" si="13"/>
        <v>0</v>
      </c>
    </row>
    <row r="50" spans="1:132" x14ac:dyDescent="0.25">
      <c r="A50">
        <v>40</v>
      </c>
      <c r="B50" s="5" t="s">
        <v>93</v>
      </c>
      <c r="C50" s="5"/>
      <c r="D50" s="5" t="s">
        <v>121</v>
      </c>
      <c r="E50" s="5" t="s">
        <v>14</v>
      </c>
      <c r="F50" s="5"/>
      <c r="G50" s="5"/>
      <c r="H50" s="5"/>
      <c r="I50" s="5"/>
      <c r="J50" s="5"/>
      <c r="K50" s="5"/>
      <c r="L50" s="5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5"/>
      <c r="AG50" s="5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5"/>
      <c r="BG50" s="5"/>
      <c r="BH50" s="5"/>
      <c r="BI50" s="5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5"/>
      <c r="CH50" s="5"/>
      <c r="CI50" s="11"/>
      <c r="CJ50" s="11"/>
      <c r="CK50" s="11">
        <v>7.5</v>
      </c>
      <c r="CL50" s="11">
        <v>7.5</v>
      </c>
      <c r="CM50" s="11"/>
      <c r="CN50" s="11"/>
      <c r="CO50" s="5">
        <f>SUM(CH50:CN50)</f>
        <v>15</v>
      </c>
      <c r="CT50" s="5">
        <f>(CO50-CH50)/2</f>
        <v>7.5</v>
      </c>
      <c r="CU50" s="11">
        <v>24</v>
      </c>
      <c r="CV50" s="11"/>
      <c r="CW50" s="11"/>
      <c r="CX50" s="11"/>
      <c r="CY50" s="11"/>
      <c r="CZ50" s="11"/>
      <c r="DA50" s="5">
        <f t="shared" si="14"/>
        <v>31.5</v>
      </c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11"/>
      <c r="DS50" s="11"/>
      <c r="DT50" s="11"/>
      <c r="DU50" s="11"/>
      <c r="DV50" s="11"/>
      <c r="DW50" s="11"/>
      <c r="DX50" s="5">
        <f t="shared" si="12"/>
        <v>0</v>
      </c>
      <c r="DY50" s="5">
        <f t="shared" si="15"/>
        <v>0</v>
      </c>
      <c r="DZ50" s="11"/>
      <c r="EA50" s="11"/>
      <c r="EB50" s="5">
        <f t="shared" si="13"/>
        <v>0</v>
      </c>
    </row>
    <row r="51" spans="1:132" x14ac:dyDescent="0.25">
      <c r="A51">
        <v>41</v>
      </c>
      <c r="B51" s="5" t="s">
        <v>676</v>
      </c>
      <c r="C51" s="5"/>
      <c r="D51" s="5" t="s">
        <v>683</v>
      </c>
      <c r="E51" s="5" t="s">
        <v>119</v>
      </c>
      <c r="F51" s="5"/>
      <c r="G51" s="5"/>
      <c r="H51" s="5"/>
      <c r="I51" s="5"/>
      <c r="J51" s="5"/>
      <c r="K51" s="5"/>
      <c r="L51" s="5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5"/>
      <c r="AG51" s="5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5"/>
      <c r="BG51" s="5"/>
      <c r="BH51" s="5"/>
      <c r="BI51" s="5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5"/>
      <c r="CH51" s="5"/>
      <c r="CI51" s="11"/>
      <c r="CJ51" s="11"/>
      <c r="CK51" s="11"/>
      <c r="CL51" s="11"/>
      <c r="CM51" s="11"/>
      <c r="CN51" s="11"/>
      <c r="CO51" s="5"/>
      <c r="CT51" s="5"/>
      <c r="CU51" s="11">
        <v>24</v>
      </c>
      <c r="CV51" s="11"/>
      <c r="CW51" s="11">
        <v>7.5</v>
      </c>
      <c r="CX51" s="11"/>
      <c r="CY51" s="11"/>
      <c r="CZ51" s="11"/>
      <c r="DA51" s="5">
        <f t="shared" si="14"/>
        <v>31.5</v>
      </c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11"/>
      <c r="DS51" s="11"/>
      <c r="DT51" s="11"/>
      <c r="DU51" s="11"/>
      <c r="DV51" s="11"/>
      <c r="DW51" s="11"/>
      <c r="DX51" s="5">
        <f t="shared" si="12"/>
        <v>0</v>
      </c>
      <c r="DY51" s="5">
        <f t="shared" si="15"/>
        <v>0</v>
      </c>
      <c r="DZ51" s="11"/>
      <c r="EA51" s="11"/>
      <c r="EB51" s="5">
        <f t="shared" si="13"/>
        <v>0</v>
      </c>
    </row>
    <row r="52" spans="1:132" x14ac:dyDescent="0.25">
      <c r="A52">
        <v>42</v>
      </c>
      <c r="B52" s="5" t="s">
        <v>564</v>
      </c>
      <c r="C52" s="5"/>
      <c r="D52" s="5" t="s">
        <v>565</v>
      </c>
      <c r="E52" s="5" t="s">
        <v>713</v>
      </c>
      <c r="F52" s="5"/>
      <c r="G52" s="5"/>
      <c r="H52" s="5"/>
      <c r="I52" s="5"/>
      <c r="J52" s="5"/>
      <c r="K52" s="5"/>
      <c r="L52" s="5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5"/>
      <c r="AG52" s="5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5"/>
      <c r="BG52" s="5"/>
      <c r="BH52" s="5"/>
      <c r="BI52" s="5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5"/>
      <c r="CH52" s="5"/>
      <c r="CI52" s="11"/>
      <c r="CJ52" s="11"/>
      <c r="CK52" s="11"/>
      <c r="CL52" s="11"/>
      <c r="CM52" s="11"/>
      <c r="CN52" s="11"/>
      <c r="CO52" s="5"/>
      <c r="CT52" s="5"/>
      <c r="CU52" s="11"/>
      <c r="CV52" s="11">
        <v>28.8</v>
      </c>
      <c r="CW52" s="11"/>
      <c r="CX52" s="11"/>
      <c r="CY52" s="11"/>
      <c r="CZ52" s="11"/>
      <c r="DA52" s="5">
        <f t="shared" si="14"/>
        <v>28.8</v>
      </c>
      <c r="DP52" s="5"/>
      <c r="DQ52" s="5"/>
      <c r="DR52" s="11"/>
      <c r="DS52" s="11"/>
      <c r="DT52" s="11"/>
      <c r="DU52" s="11"/>
      <c r="DV52" s="11"/>
      <c r="DW52" s="11"/>
      <c r="DX52" s="5">
        <f t="shared" si="12"/>
        <v>0</v>
      </c>
      <c r="DY52" s="5">
        <f t="shared" si="15"/>
        <v>0</v>
      </c>
      <c r="DZ52" s="11"/>
      <c r="EA52" s="11"/>
      <c r="EB52" s="5">
        <f t="shared" si="13"/>
        <v>0</v>
      </c>
    </row>
    <row r="53" spans="1:132" x14ac:dyDescent="0.25">
      <c r="A53">
        <v>43</v>
      </c>
      <c r="B53" s="5" t="s">
        <v>493</v>
      </c>
      <c r="C53" s="5"/>
      <c r="D53" s="5" t="s">
        <v>494</v>
      </c>
      <c r="E53" s="5" t="s">
        <v>353</v>
      </c>
      <c r="F53" s="5"/>
      <c r="G53" s="5"/>
      <c r="H53" s="5"/>
      <c r="I53" s="5"/>
      <c r="J53" s="5"/>
      <c r="K53" s="5"/>
      <c r="L53" s="5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5"/>
      <c r="AG53" s="5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5"/>
      <c r="BG53" s="5"/>
      <c r="BH53" s="5"/>
      <c r="BI53" s="5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5"/>
      <c r="CH53" s="5"/>
      <c r="CI53" s="11"/>
      <c r="CJ53" s="11"/>
      <c r="CK53" s="11">
        <v>50</v>
      </c>
      <c r="CL53" s="11"/>
      <c r="CM53" s="11"/>
      <c r="CN53" s="11"/>
      <c r="CO53" s="5">
        <f t="shared" ref="CO53:CO63" si="16">SUM(CH53:CN53)</f>
        <v>50</v>
      </c>
      <c r="CT53" s="5">
        <f t="shared" ref="CT53:CT63" si="17">(CO53-CH53)/2</f>
        <v>25</v>
      </c>
      <c r="CU53" s="11"/>
      <c r="CV53" s="11"/>
      <c r="CW53" s="11"/>
      <c r="CX53" s="11"/>
      <c r="CY53" s="11"/>
      <c r="CZ53" s="11"/>
      <c r="DA53" s="5">
        <f t="shared" si="14"/>
        <v>25</v>
      </c>
      <c r="DP53" s="5"/>
      <c r="DQ53" s="5"/>
      <c r="DR53" s="11"/>
      <c r="DS53" s="11"/>
      <c r="DT53" s="11"/>
      <c r="DU53" s="11"/>
      <c r="DV53" s="11"/>
      <c r="DW53" s="11"/>
      <c r="DX53" s="5">
        <f t="shared" si="12"/>
        <v>0</v>
      </c>
      <c r="DY53" s="5">
        <f t="shared" si="15"/>
        <v>0</v>
      </c>
      <c r="DZ53" s="11"/>
      <c r="EA53" s="11"/>
      <c r="EB53" s="5">
        <f t="shared" si="13"/>
        <v>0</v>
      </c>
    </row>
    <row r="54" spans="1:132" x14ac:dyDescent="0.25">
      <c r="A54">
        <v>44</v>
      </c>
      <c r="B54" s="5" t="s">
        <v>57</v>
      </c>
      <c r="C54" s="5"/>
      <c r="D54" s="5" t="s">
        <v>12</v>
      </c>
      <c r="E54" s="5" t="s">
        <v>102</v>
      </c>
      <c r="F54" s="5"/>
      <c r="G54" s="5"/>
      <c r="H54" s="5"/>
      <c r="I54" s="5"/>
      <c r="J54" s="5"/>
      <c r="K54" s="5"/>
      <c r="L54" s="5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5"/>
      <c r="AG54" s="5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5"/>
      <c r="BG54" s="5"/>
      <c r="BH54" s="5"/>
      <c r="BI54" s="5"/>
      <c r="BJ54" s="11"/>
      <c r="BK54" s="11"/>
      <c r="BL54" s="11"/>
      <c r="BM54" s="11">
        <v>33.6</v>
      </c>
      <c r="BN54" s="11"/>
      <c r="BO54" s="11"/>
      <c r="BP54" s="11"/>
      <c r="BQ54" s="11">
        <v>7.5</v>
      </c>
      <c r="BR54" s="11"/>
      <c r="BS54" s="11"/>
      <c r="BT54" s="11"/>
      <c r="BU54" s="11">
        <v>4</v>
      </c>
      <c r="BV54" s="11">
        <v>7.5</v>
      </c>
      <c r="BW54" s="11"/>
      <c r="BX54" s="11"/>
      <c r="BY54" s="11"/>
      <c r="BZ54" s="11"/>
      <c r="CA54" s="11"/>
      <c r="CB54" s="11"/>
      <c r="CC54" s="11">
        <v>3</v>
      </c>
      <c r="CD54" s="11"/>
      <c r="CE54" s="11">
        <v>7.5</v>
      </c>
      <c r="CF54" s="11"/>
      <c r="CG54" s="5">
        <f>SUM(BG54:CF54)</f>
        <v>63.1</v>
      </c>
      <c r="CH54" s="5">
        <f>(CG54-BG54)/2</f>
        <v>31.55</v>
      </c>
      <c r="CI54" s="11">
        <v>3</v>
      </c>
      <c r="CJ54" s="11">
        <v>20.8</v>
      </c>
      <c r="CK54" s="11">
        <v>7.5</v>
      </c>
      <c r="CL54" s="11">
        <v>7.5</v>
      </c>
      <c r="CM54" s="11">
        <v>5</v>
      </c>
      <c r="CN54" s="11">
        <v>2.4</v>
      </c>
      <c r="CO54" s="5">
        <f t="shared" si="16"/>
        <v>77.75</v>
      </c>
      <c r="CT54" s="5">
        <f t="shared" si="17"/>
        <v>23.1</v>
      </c>
      <c r="CU54" s="11"/>
      <c r="CV54" s="11"/>
      <c r="CW54" s="11"/>
      <c r="CX54" s="11"/>
      <c r="CY54" s="11"/>
      <c r="CZ54" s="11"/>
      <c r="DA54" s="5">
        <f t="shared" si="14"/>
        <v>23.1</v>
      </c>
      <c r="DG54">
        <f>SUM(DC54:DF54)</f>
        <v>0</v>
      </c>
      <c r="DH54" s="7">
        <f>(DG54)/2</f>
        <v>0</v>
      </c>
      <c r="DI54" s="7">
        <f>CG54/4</f>
        <v>15.775</v>
      </c>
      <c r="DK54" s="7"/>
      <c r="DL54" s="7"/>
      <c r="DM54" s="7"/>
      <c r="DN54" s="7"/>
      <c r="DO54" s="7"/>
      <c r="DP54" s="11">
        <f>SUM(DH54:DO54)</f>
        <v>15.775</v>
      </c>
      <c r="DQ54" s="5">
        <f>(DP54-DH54)/2</f>
        <v>7.8875000000000002</v>
      </c>
      <c r="DR54" s="11"/>
      <c r="DS54" s="11"/>
      <c r="DT54" s="11"/>
      <c r="DU54" s="11"/>
      <c r="DV54" s="11"/>
      <c r="DW54" s="11">
        <v>25</v>
      </c>
      <c r="DX54" s="5">
        <f t="shared" si="12"/>
        <v>32.887500000000003</v>
      </c>
      <c r="DY54" s="5">
        <f t="shared" si="15"/>
        <v>12.500000000000002</v>
      </c>
      <c r="DZ54" s="11"/>
      <c r="EA54" s="11"/>
      <c r="EB54" s="5">
        <f t="shared" si="13"/>
        <v>12.500000000000002</v>
      </c>
    </row>
    <row r="55" spans="1:132" x14ac:dyDescent="0.25">
      <c r="A55">
        <v>45</v>
      </c>
      <c r="B55" s="5" t="s">
        <v>123</v>
      </c>
      <c r="C55" s="5"/>
      <c r="D55" s="5" t="s">
        <v>348</v>
      </c>
      <c r="E55" s="5" t="s">
        <v>75</v>
      </c>
      <c r="F55" s="5"/>
      <c r="G55" s="5"/>
      <c r="H55" s="5"/>
      <c r="I55" s="5"/>
      <c r="J55" s="5"/>
      <c r="K55" s="5"/>
      <c r="L55" s="5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5"/>
      <c r="AG55" s="5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5"/>
      <c r="BG55" s="5"/>
      <c r="BH55" s="5"/>
      <c r="BI55" s="5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>
        <v>56</v>
      </c>
      <c r="BU55" s="11"/>
      <c r="BV55" s="11">
        <v>39</v>
      </c>
      <c r="BW55" s="11">
        <v>30</v>
      </c>
      <c r="BX55" s="11"/>
      <c r="BY55" s="11"/>
      <c r="BZ55" s="11"/>
      <c r="CA55" s="11"/>
      <c r="CB55" s="11"/>
      <c r="CC55" s="11"/>
      <c r="CD55" s="11"/>
      <c r="CE55" s="11"/>
      <c r="CF55" s="11"/>
      <c r="CG55" s="5">
        <f>SUM(BG55:CF55)</f>
        <v>125</v>
      </c>
      <c r="CH55" s="5">
        <f>(CG55-BG55)/2</f>
        <v>62.5</v>
      </c>
      <c r="CI55" s="11">
        <v>42</v>
      </c>
      <c r="CJ55" s="11"/>
      <c r="CK55" s="11"/>
      <c r="CL55" s="11"/>
      <c r="CM55" s="11"/>
      <c r="CN55" s="11"/>
      <c r="CO55" s="5">
        <f t="shared" si="16"/>
        <v>104.5</v>
      </c>
      <c r="CT55" s="5">
        <f t="shared" si="17"/>
        <v>21</v>
      </c>
      <c r="CU55" s="11"/>
      <c r="CV55" s="11"/>
      <c r="CW55" s="11"/>
      <c r="CX55" s="11"/>
      <c r="CY55" s="11"/>
      <c r="CZ55" s="11"/>
      <c r="DA55" s="5">
        <f t="shared" si="14"/>
        <v>21</v>
      </c>
      <c r="DG55">
        <f>SUM(DC55:DF55)</f>
        <v>0</v>
      </c>
      <c r="DH55" s="7">
        <f>(DG55)/2</f>
        <v>0</v>
      </c>
      <c r="DI55" s="7">
        <f>CG55/4</f>
        <v>31.25</v>
      </c>
      <c r="DK55" s="7"/>
      <c r="DL55" s="7"/>
      <c r="DM55" s="7"/>
      <c r="DN55" s="7"/>
      <c r="DO55" s="7"/>
      <c r="DP55" s="11">
        <f>SUM(DH55:DO55)</f>
        <v>31.25</v>
      </c>
      <c r="DQ55" s="5">
        <f>(DP55-DH55)/2</f>
        <v>15.625</v>
      </c>
      <c r="DR55" s="11"/>
      <c r="DS55" s="11"/>
      <c r="DT55" s="11"/>
      <c r="DU55" s="11"/>
      <c r="DV55" s="11"/>
      <c r="DW55" s="11"/>
      <c r="DX55" s="5">
        <f t="shared" si="12"/>
        <v>15.625</v>
      </c>
      <c r="DY55" s="5">
        <f t="shared" si="15"/>
        <v>0</v>
      </c>
      <c r="DZ55" s="11"/>
      <c r="EA55" s="11"/>
      <c r="EB55" s="5">
        <f t="shared" si="13"/>
        <v>0</v>
      </c>
    </row>
    <row r="56" spans="1:132" x14ac:dyDescent="0.25">
      <c r="A56">
        <v>46</v>
      </c>
      <c r="B56" s="5" t="s">
        <v>57</v>
      </c>
      <c r="C56" s="5"/>
      <c r="D56" s="5" t="s">
        <v>590</v>
      </c>
      <c r="E56" s="5" t="s">
        <v>129</v>
      </c>
      <c r="F56" s="5"/>
      <c r="G56" s="5"/>
      <c r="H56" s="5"/>
      <c r="I56" s="5"/>
      <c r="J56" s="5"/>
      <c r="K56" s="5"/>
      <c r="L56" s="5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5"/>
      <c r="AG56" s="5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5"/>
      <c r="BG56" s="5"/>
      <c r="BH56" s="5"/>
      <c r="BI56" s="5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5"/>
      <c r="CH56" s="5"/>
      <c r="CI56" s="11">
        <v>33.6</v>
      </c>
      <c r="CJ56" s="11"/>
      <c r="CK56" s="11">
        <v>7.5</v>
      </c>
      <c r="CL56" s="11"/>
      <c r="CM56" s="11"/>
      <c r="CN56" s="11"/>
      <c r="CO56" s="5">
        <f t="shared" si="16"/>
        <v>41.1</v>
      </c>
      <c r="CT56" s="5">
        <f t="shared" si="17"/>
        <v>20.55</v>
      </c>
      <c r="CU56" s="11"/>
      <c r="CV56" s="11"/>
      <c r="CW56" s="11"/>
      <c r="CX56" s="11"/>
      <c r="CY56" s="11"/>
      <c r="CZ56" s="11"/>
      <c r="DA56" s="5">
        <f t="shared" si="14"/>
        <v>20.55</v>
      </c>
      <c r="DP56" s="5"/>
      <c r="DQ56" s="5"/>
      <c r="DR56" s="11"/>
      <c r="DS56" s="11"/>
      <c r="DT56" s="11"/>
      <c r="DU56" s="11"/>
      <c r="DV56" s="11"/>
      <c r="DW56" s="11"/>
      <c r="DX56" s="5">
        <f t="shared" ref="DX56:DX87" si="18">SUM(DQ56:DW56)</f>
        <v>0</v>
      </c>
      <c r="DY56" s="5">
        <f t="shared" si="15"/>
        <v>0</v>
      </c>
      <c r="DZ56" s="11"/>
      <c r="EA56" s="11"/>
      <c r="EB56" s="5">
        <f t="shared" si="13"/>
        <v>0</v>
      </c>
    </row>
    <row r="57" spans="1:132" x14ac:dyDescent="0.25">
      <c r="A57">
        <v>47</v>
      </c>
      <c r="B57" s="5" t="s">
        <v>466</v>
      </c>
      <c r="C57" s="5"/>
      <c r="D57" s="5" t="s">
        <v>126</v>
      </c>
      <c r="E57" s="5" t="s">
        <v>467</v>
      </c>
      <c r="F57" s="5"/>
      <c r="G57" s="5"/>
      <c r="H57" s="5"/>
      <c r="I57" s="5"/>
      <c r="J57" s="5"/>
      <c r="K57" s="5"/>
      <c r="L57" s="5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5"/>
      <c r="AG57" s="5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5"/>
      <c r="BG57" s="5"/>
      <c r="BH57" s="5"/>
      <c r="BI57" s="5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>
        <v>7.5</v>
      </c>
      <c r="CF57" s="11"/>
      <c r="CG57" s="5">
        <f>SUM(BG57:CF57)</f>
        <v>7.5</v>
      </c>
      <c r="CH57" s="5">
        <f>(CG57-BG57)/2</f>
        <v>3.75</v>
      </c>
      <c r="CI57" s="11">
        <v>33.6</v>
      </c>
      <c r="CJ57" s="11"/>
      <c r="CK57" s="11">
        <v>2.4</v>
      </c>
      <c r="CL57" s="11"/>
      <c r="CM57" s="11"/>
      <c r="CN57" s="11"/>
      <c r="CO57" s="5">
        <f t="shared" si="16"/>
        <v>39.75</v>
      </c>
      <c r="CT57" s="5">
        <f t="shared" si="17"/>
        <v>18</v>
      </c>
      <c r="CU57" s="11"/>
      <c r="CV57" s="11"/>
      <c r="CW57" s="11"/>
      <c r="CX57" s="11"/>
      <c r="CY57" s="11"/>
      <c r="CZ57" s="11"/>
      <c r="DA57" s="5">
        <f t="shared" si="14"/>
        <v>18</v>
      </c>
      <c r="DG57">
        <f>SUM(DC57:DF57)</f>
        <v>0</v>
      </c>
      <c r="DH57" s="7">
        <f>(DG57)/2</f>
        <v>0</v>
      </c>
      <c r="DI57" s="7">
        <f>CG57/4</f>
        <v>1.875</v>
      </c>
      <c r="DK57" s="7"/>
      <c r="DL57" s="7"/>
      <c r="DM57" s="7"/>
      <c r="DN57" s="7"/>
      <c r="DO57" s="7"/>
      <c r="DP57" s="11">
        <f>SUM(DH57:DO57)</f>
        <v>1.875</v>
      </c>
      <c r="DQ57" s="5">
        <f>(DP57-DH57)/2</f>
        <v>0.9375</v>
      </c>
      <c r="DR57" s="11"/>
      <c r="DS57" s="11"/>
      <c r="DT57" s="11"/>
      <c r="DU57" s="11"/>
      <c r="DV57" s="11"/>
      <c r="DW57" s="11"/>
      <c r="DX57" s="5">
        <f t="shared" si="18"/>
        <v>0.9375</v>
      </c>
      <c r="DY57" s="5">
        <f t="shared" si="15"/>
        <v>0</v>
      </c>
      <c r="DZ57" s="11"/>
      <c r="EA57" s="11"/>
      <c r="EB57" s="5">
        <f t="shared" si="13"/>
        <v>0</v>
      </c>
    </row>
    <row r="58" spans="1:132" x14ac:dyDescent="0.25">
      <c r="A58">
        <v>48</v>
      </c>
      <c r="B58" s="5" t="s">
        <v>528</v>
      </c>
      <c r="C58" s="5"/>
      <c r="D58" s="5" t="s">
        <v>121</v>
      </c>
      <c r="E58" s="5" t="s">
        <v>404</v>
      </c>
      <c r="F58" s="5"/>
      <c r="G58" s="5"/>
      <c r="H58" s="5"/>
      <c r="I58" s="5"/>
      <c r="J58" s="5"/>
      <c r="K58" s="5"/>
      <c r="L58" s="5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5"/>
      <c r="AG58" s="5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5"/>
      <c r="BG58" s="5"/>
      <c r="BH58" s="5"/>
      <c r="BI58" s="5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5"/>
      <c r="CH58" s="5"/>
      <c r="CI58" s="11">
        <v>36</v>
      </c>
      <c r="CJ58" s="11"/>
      <c r="CK58" s="11"/>
      <c r="CL58" s="11"/>
      <c r="CM58" s="11"/>
      <c r="CN58" s="11"/>
      <c r="CO58" s="5">
        <f t="shared" si="16"/>
        <v>36</v>
      </c>
      <c r="CT58" s="5">
        <f t="shared" si="17"/>
        <v>18</v>
      </c>
      <c r="CU58" s="11"/>
      <c r="CV58" s="11"/>
      <c r="CW58" s="11"/>
      <c r="CX58" s="11"/>
      <c r="CY58" s="11"/>
      <c r="CZ58" s="11"/>
      <c r="DA58" s="5">
        <f t="shared" si="14"/>
        <v>18</v>
      </c>
      <c r="DP58" s="5"/>
      <c r="DQ58" s="5"/>
      <c r="DR58" s="11"/>
      <c r="DS58" s="11"/>
      <c r="DT58" s="11"/>
      <c r="DU58" s="11"/>
      <c r="DV58" s="11"/>
      <c r="DW58" s="11"/>
      <c r="DX58" s="5">
        <f t="shared" si="18"/>
        <v>0</v>
      </c>
      <c r="DY58" s="5">
        <f t="shared" si="15"/>
        <v>0</v>
      </c>
      <c r="DZ58" s="11"/>
      <c r="EA58" s="11"/>
      <c r="EB58" s="5">
        <f t="shared" si="13"/>
        <v>0</v>
      </c>
    </row>
    <row r="59" spans="1:132" x14ac:dyDescent="0.25">
      <c r="A59">
        <v>49</v>
      </c>
      <c r="B59" s="5" t="s">
        <v>558</v>
      </c>
      <c r="C59" s="5"/>
      <c r="D59" s="5" t="s">
        <v>559</v>
      </c>
      <c r="E59" s="5" t="s">
        <v>250</v>
      </c>
      <c r="F59" s="5"/>
      <c r="G59" s="5"/>
      <c r="H59" s="5"/>
      <c r="I59" s="5"/>
      <c r="J59" s="5"/>
      <c r="K59" s="5"/>
      <c r="L59" s="5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5"/>
      <c r="AG59" s="5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5"/>
      <c r="BG59" s="5"/>
      <c r="BH59" s="5"/>
      <c r="BI59" s="5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5"/>
      <c r="CH59" s="5"/>
      <c r="CI59" s="11"/>
      <c r="CJ59" s="11"/>
      <c r="CK59" s="11">
        <v>36</v>
      </c>
      <c r="CL59" s="11"/>
      <c r="CM59" s="11"/>
      <c r="CN59" s="11"/>
      <c r="CO59" s="5">
        <f t="shared" si="16"/>
        <v>36</v>
      </c>
      <c r="CT59" s="5">
        <f t="shared" si="17"/>
        <v>18</v>
      </c>
      <c r="CU59" s="11"/>
      <c r="CV59" s="11"/>
      <c r="CW59" s="11"/>
      <c r="CX59" s="11"/>
      <c r="CY59" s="11"/>
      <c r="CZ59" s="11"/>
      <c r="DA59" s="5">
        <f t="shared" si="14"/>
        <v>18</v>
      </c>
      <c r="DP59" s="5"/>
      <c r="DQ59" s="5"/>
      <c r="DR59" s="11"/>
      <c r="DS59" s="11"/>
      <c r="DT59" s="11"/>
      <c r="DU59" s="11"/>
      <c r="DV59" s="11"/>
      <c r="DW59" s="11"/>
      <c r="DX59" s="5">
        <f t="shared" si="18"/>
        <v>0</v>
      </c>
      <c r="DY59" s="5">
        <f t="shared" si="15"/>
        <v>0</v>
      </c>
      <c r="DZ59" s="11"/>
      <c r="EA59" s="11"/>
      <c r="EB59" s="5">
        <f t="shared" si="13"/>
        <v>0</v>
      </c>
    </row>
    <row r="60" spans="1:132" x14ac:dyDescent="0.25">
      <c r="A60">
        <v>50</v>
      </c>
      <c r="B60" s="5" t="s">
        <v>59</v>
      </c>
      <c r="C60" s="5"/>
      <c r="D60" s="5" t="s">
        <v>493</v>
      </c>
      <c r="E60" s="5" t="s">
        <v>24</v>
      </c>
      <c r="F60" s="5"/>
      <c r="G60" s="5"/>
      <c r="H60" s="5"/>
      <c r="I60" s="5"/>
      <c r="J60" s="5"/>
      <c r="K60" s="5"/>
      <c r="L60" s="5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5"/>
      <c r="AG60" s="5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5"/>
      <c r="BG60" s="5"/>
      <c r="BH60" s="5"/>
      <c r="BI60" s="5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5"/>
      <c r="CH60" s="5"/>
      <c r="CI60" s="11">
        <v>30</v>
      </c>
      <c r="CJ60" s="11"/>
      <c r="CK60" s="11"/>
      <c r="CL60" s="11"/>
      <c r="CM60" s="11"/>
      <c r="CN60" s="11"/>
      <c r="CO60" s="5">
        <f t="shared" si="16"/>
        <v>30</v>
      </c>
      <c r="CP60" s="5"/>
      <c r="CQ60" s="5"/>
      <c r="CR60" s="5"/>
      <c r="CS60" s="36"/>
      <c r="CT60" s="5">
        <f t="shared" si="17"/>
        <v>15</v>
      </c>
      <c r="CU60" s="11"/>
      <c r="CV60" s="11"/>
      <c r="CW60" s="11"/>
      <c r="CX60" s="11"/>
      <c r="CY60" s="11"/>
      <c r="CZ60" s="11"/>
      <c r="DA60" s="5">
        <f t="shared" si="14"/>
        <v>15</v>
      </c>
      <c r="DP60" s="5"/>
      <c r="DQ60" s="5"/>
      <c r="DR60" s="11"/>
      <c r="DS60" s="11"/>
      <c r="DT60" s="11"/>
      <c r="DU60" s="11"/>
      <c r="DV60" s="11"/>
      <c r="DW60" s="11"/>
      <c r="DX60" s="5">
        <f t="shared" si="18"/>
        <v>0</v>
      </c>
      <c r="DY60" s="5">
        <f t="shared" si="15"/>
        <v>0</v>
      </c>
      <c r="DZ60" s="11"/>
      <c r="EA60" s="11"/>
      <c r="EB60" s="5">
        <f t="shared" si="13"/>
        <v>0</v>
      </c>
    </row>
    <row r="61" spans="1:132" x14ac:dyDescent="0.25">
      <c r="A61">
        <v>51</v>
      </c>
      <c r="B61" s="5" t="s">
        <v>274</v>
      </c>
      <c r="C61" s="5"/>
      <c r="D61" s="5" t="s">
        <v>608</v>
      </c>
      <c r="E61" s="5" t="s">
        <v>166</v>
      </c>
      <c r="F61" s="5"/>
      <c r="G61" s="5"/>
      <c r="H61" s="5"/>
      <c r="I61" s="5"/>
      <c r="J61" s="5"/>
      <c r="K61" s="5"/>
      <c r="L61" s="5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5"/>
      <c r="AG61" s="5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5"/>
      <c r="BG61" s="5"/>
      <c r="BH61" s="5"/>
      <c r="BI61" s="5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5"/>
      <c r="CH61" s="5"/>
      <c r="CI61" s="11">
        <v>30</v>
      </c>
      <c r="CJ61" s="11"/>
      <c r="CK61" s="11"/>
      <c r="CL61" s="11"/>
      <c r="CM61" s="11"/>
      <c r="CN61" s="11"/>
      <c r="CO61" s="5">
        <f t="shared" si="16"/>
        <v>30</v>
      </c>
      <c r="CT61" s="5">
        <f t="shared" si="17"/>
        <v>15</v>
      </c>
      <c r="CU61" s="11"/>
      <c r="CV61" s="11"/>
      <c r="CW61" s="11"/>
      <c r="CX61" s="11"/>
      <c r="CY61" s="11"/>
      <c r="CZ61" s="11"/>
      <c r="DA61" s="5">
        <f t="shared" si="14"/>
        <v>15</v>
      </c>
      <c r="DP61" s="5"/>
      <c r="DQ61" s="5"/>
      <c r="DR61" s="11"/>
      <c r="DS61" s="11"/>
      <c r="DT61" s="11"/>
      <c r="DU61" s="11"/>
      <c r="DV61" s="11"/>
      <c r="DW61" s="11"/>
      <c r="DX61" s="5">
        <f t="shared" si="18"/>
        <v>0</v>
      </c>
      <c r="DY61" s="5">
        <f t="shared" si="15"/>
        <v>0</v>
      </c>
      <c r="DZ61" s="11"/>
      <c r="EA61" s="11"/>
      <c r="EB61" s="5">
        <f t="shared" si="13"/>
        <v>0</v>
      </c>
    </row>
    <row r="62" spans="1:132" x14ac:dyDescent="0.25">
      <c r="A62">
        <v>52</v>
      </c>
      <c r="B62" s="5" t="s">
        <v>609</v>
      </c>
      <c r="C62" s="5"/>
      <c r="D62" s="5" t="s">
        <v>195</v>
      </c>
      <c r="E62" s="5" t="s">
        <v>102</v>
      </c>
      <c r="F62" s="5"/>
      <c r="G62" s="5"/>
      <c r="H62" s="5"/>
      <c r="I62" s="5"/>
      <c r="J62" s="5"/>
      <c r="K62" s="5"/>
      <c r="L62" s="5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5"/>
      <c r="AG62" s="5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5"/>
      <c r="BG62" s="5"/>
      <c r="BH62" s="5"/>
      <c r="BI62" s="5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5"/>
      <c r="CH62" s="5"/>
      <c r="CI62" s="11">
        <v>30</v>
      </c>
      <c r="CJ62" s="11"/>
      <c r="CK62" s="11"/>
      <c r="CL62" s="11"/>
      <c r="CM62" s="11"/>
      <c r="CN62" s="11"/>
      <c r="CO62" s="5">
        <f t="shared" si="16"/>
        <v>30</v>
      </c>
      <c r="CT62" s="5">
        <f t="shared" si="17"/>
        <v>15</v>
      </c>
      <c r="CU62" s="11"/>
      <c r="CV62" s="11"/>
      <c r="CW62" s="11"/>
      <c r="CX62" s="11"/>
      <c r="CY62" s="11"/>
      <c r="CZ62" s="11"/>
      <c r="DA62" s="5">
        <f t="shared" si="14"/>
        <v>15</v>
      </c>
      <c r="DP62" s="5"/>
      <c r="DQ62" s="5"/>
      <c r="DR62" s="11"/>
      <c r="DS62" s="11"/>
      <c r="DT62" s="11"/>
      <c r="DU62" s="11"/>
      <c r="DV62" s="11"/>
      <c r="DW62" s="11">
        <v>35</v>
      </c>
      <c r="DX62" s="5">
        <f t="shared" si="18"/>
        <v>35</v>
      </c>
      <c r="DY62" s="5">
        <f t="shared" si="15"/>
        <v>17.5</v>
      </c>
      <c r="DZ62" s="11"/>
      <c r="EA62" s="11"/>
      <c r="EB62" s="5">
        <f t="shared" si="13"/>
        <v>17.5</v>
      </c>
    </row>
    <row r="63" spans="1:132" x14ac:dyDescent="0.25">
      <c r="A63">
        <v>53</v>
      </c>
      <c r="B63" s="5" t="s">
        <v>118</v>
      </c>
      <c r="C63" s="5"/>
      <c r="D63" s="5" t="s">
        <v>489</v>
      </c>
      <c r="E63" s="5" t="s">
        <v>119</v>
      </c>
      <c r="F63" s="5"/>
      <c r="G63" s="5"/>
      <c r="H63" s="5"/>
      <c r="I63" s="5"/>
      <c r="J63" s="5"/>
      <c r="K63" s="5"/>
      <c r="L63" s="5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5"/>
      <c r="AG63" s="5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5"/>
      <c r="BG63" s="5"/>
      <c r="BH63" s="5"/>
      <c r="BI63" s="5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5"/>
      <c r="CH63" s="5"/>
      <c r="CI63" s="11"/>
      <c r="CJ63" s="11"/>
      <c r="CK63" s="11">
        <v>24</v>
      </c>
      <c r="CL63" s="11"/>
      <c r="CM63" s="11"/>
      <c r="CN63" s="11"/>
      <c r="CO63" s="5">
        <f t="shared" si="16"/>
        <v>24</v>
      </c>
      <c r="CT63" s="5">
        <f t="shared" si="17"/>
        <v>12</v>
      </c>
      <c r="CU63" s="11"/>
      <c r="CV63" s="11"/>
      <c r="CW63" s="11"/>
      <c r="CX63" s="11"/>
      <c r="CY63" s="11"/>
      <c r="CZ63" s="11"/>
      <c r="DA63" s="5">
        <f t="shared" si="14"/>
        <v>12</v>
      </c>
      <c r="DP63" s="5"/>
      <c r="DQ63" s="5"/>
      <c r="DR63" s="11"/>
      <c r="DS63" s="11"/>
      <c r="DT63" s="11"/>
      <c r="DU63" s="11"/>
      <c r="DV63" s="11"/>
      <c r="DW63" s="11"/>
      <c r="DX63" s="5">
        <f t="shared" si="18"/>
        <v>0</v>
      </c>
      <c r="DY63" s="5">
        <f t="shared" si="15"/>
        <v>0</v>
      </c>
      <c r="DZ63" s="11"/>
      <c r="EA63" s="11"/>
      <c r="EB63" s="5">
        <f t="shared" si="13"/>
        <v>0</v>
      </c>
    </row>
    <row r="64" spans="1:132" x14ac:dyDescent="0.25">
      <c r="A64">
        <v>54</v>
      </c>
      <c r="B64" s="5" t="s">
        <v>331</v>
      </c>
      <c r="C64" s="5"/>
      <c r="D64" s="5" t="s">
        <v>143</v>
      </c>
      <c r="E64" s="5" t="s">
        <v>166</v>
      </c>
      <c r="F64" s="5"/>
      <c r="G64" s="5"/>
      <c r="H64" s="5"/>
      <c r="I64" s="5"/>
      <c r="J64" s="5"/>
      <c r="K64" s="5"/>
      <c r="L64" s="5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5"/>
      <c r="AG64" s="5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5"/>
      <c r="BG64" s="5"/>
      <c r="BH64" s="5"/>
      <c r="BI64" s="5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5"/>
      <c r="CH64" s="5"/>
      <c r="CI64" s="11"/>
      <c r="CJ64" s="11"/>
      <c r="CK64" s="11"/>
      <c r="CL64" s="11"/>
      <c r="CM64" s="11"/>
      <c r="CN64" s="11"/>
      <c r="CO64" s="5"/>
      <c r="CT64" s="5"/>
      <c r="CU64" s="11"/>
      <c r="CV64" s="11">
        <v>4</v>
      </c>
      <c r="CW64" s="11">
        <v>7.5</v>
      </c>
      <c r="CX64" s="11"/>
      <c r="CY64" s="11"/>
      <c r="CZ64" s="11"/>
      <c r="DA64" s="5">
        <f t="shared" si="14"/>
        <v>11.5</v>
      </c>
      <c r="DP64" s="5"/>
      <c r="DQ64" s="5"/>
      <c r="DR64" s="11"/>
      <c r="DS64" s="11"/>
      <c r="DT64" s="11"/>
      <c r="DU64" s="11"/>
      <c r="DV64" s="11"/>
      <c r="DW64" s="11"/>
      <c r="DX64" s="5">
        <f t="shared" si="18"/>
        <v>0</v>
      </c>
      <c r="DY64" s="5">
        <f t="shared" si="15"/>
        <v>0</v>
      </c>
      <c r="DZ64" s="11"/>
      <c r="EA64" s="11"/>
      <c r="EB64" s="5">
        <f t="shared" si="13"/>
        <v>0</v>
      </c>
    </row>
    <row r="65" spans="1:132" x14ac:dyDescent="0.25">
      <c r="A65">
        <v>55</v>
      </c>
      <c r="B65" s="5" t="s">
        <v>388</v>
      </c>
      <c r="C65" s="5"/>
      <c r="D65" s="5" t="s">
        <v>350</v>
      </c>
      <c r="E65" s="5" t="s">
        <v>196</v>
      </c>
      <c r="F65" s="5"/>
      <c r="G65" s="5"/>
      <c r="H65" s="5"/>
      <c r="I65" s="5"/>
      <c r="J65" s="5"/>
      <c r="K65" s="5"/>
      <c r="L65" s="5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5"/>
      <c r="AG65" s="5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5"/>
      <c r="BG65" s="5"/>
      <c r="BH65" s="5"/>
      <c r="BI65" s="5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5"/>
      <c r="CH65" s="5"/>
      <c r="CI65" s="11"/>
      <c r="CJ65" s="11"/>
      <c r="CK65" s="11">
        <v>18</v>
      </c>
      <c r="CL65" s="11"/>
      <c r="CM65" s="11"/>
      <c r="CN65" s="11"/>
      <c r="CO65" s="5">
        <f t="shared" ref="CO65:CO70" si="19">SUM(CH65:CN65)</f>
        <v>18</v>
      </c>
      <c r="CT65" s="5">
        <f t="shared" ref="CT65:CT70" si="20">(CO65-CH65)/2</f>
        <v>9</v>
      </c>
      <c r="CU65" s="11"/>
      <c r="CV65" s="11"/>
      <c r="CW65" s="11"/>
      <c r="CX65" s="11"/>
      <c r="CY65" s="11"/>
      <c r="CZ65" s="11"/>
      <c r="DA65" s="5">
        <f t="shared" si="14"/>
        <v>9</v>
      </c>
      <c r="DP65" s="5"/>
      <c r="DQ65" s="5"/>
      <c r="DR65" s="11"/>
      <c r="DS65" s="11"/>
      <c r="DT65" s="11"/>
      <c r="DU65" s="11"/>
      <c r="DV65" s="11"/>
      <c r="DW65" s="11"/>
      <c r="DX65" s="5">
        <f t="shared" si="18"/>
        <v>0</v>
      </c>
      <c r="DY65" s="5">
        <f t="shared" si="15"/>
        <v>0</v>
      </c>
      <c r="DZ65" s="11"/>
      <c r="EA65" s="11"/>
      <c r="EB65" s="5">
        <f t="shared" si="13"/>
        <v>0</v>
      </c>
    </row>
    <row r="66" spans="1:132" x14ac:dyDescent="0.25">
      <c r="A66">
        <v>56</v>
      </c>
      <c r="B66" s="5" t="s">
        <v>57</v>
      </c>
      <c r="C66" s="5"/>
      <c r="D66" s="5" t="s">
        <v>157</v>
      </c>
      <c r="E66" s="5" t="s">
        <v>488</v>
      </c>
      <c r="F66" s="5"/>
      <c r="G66" s="5"/>
      <c r="H66" s="5"/>
      <c r="I66" s="5"/>
      <c r="J66" s="5"/>
      <c r="K66" s="5"/>
      <c r="L66" s="5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5"/>
      <c r="AG66" s="5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5"/>
      <c r="BG66" s="5"/>
      <c r="BH66" s="5"/>
      <c r="BI66" s="5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5"/>
      <c r="CH66" s="5"/>
      <c r="CI66" s="11">
        <v>2.4</v>
      </c>
      <c r="CJ66" s="11">
        <v>4</v>
      </c>
      <c r="CK66" s="11">
        <v>7.5</v>
      </c>
      <c r="CL66" s="11"/>
      <c r="CM66" s="11"/>
      <c r="CN66" s="11"/>
      <c r="CO66" s="5">
        <f t="shared" si="19"/>
        <v>13.9</v>
      </c>
      <c r="CT66" s="5">
        <f t="shared" si="20"/>
        <v>6.95</v>
      </c>
      <c r="CU66" s="11"/>
      <c r="CV66" s="11"/>
      <c r="CW66" s="11"/>
      <c r="CX66" s="11"/>
      <c r="CY66" s="11"/>
      <c r="CZ66" s="11"/>
      <c r="DA66" s="5">
        <f t="shared" si="14"/>
        <v>6.95</v>
      </c>
      <c r="DP66" s="5"/>
      <c r="DQ66" s="5"/>
      <c r="DR66" s="11">
        <v>1.75</v>
      </c>
      <c r="DS66" s="11"/>
      <c r="DT66" s="11"/>
      <c r="DU66" s="11"/>
      <c r="DV66" s="11"/>
      <c r="DW66" s="11"/>
      <c r="DX66" s="5">
        <f t="shared" si="18"/>
        <v>1.75</v>
      </c>
      <c r="DY66" s="5">
        <f t="shared" si="15"/>
        <v>0.875</v>
      </c>
      <c r="DZ66" s="11"/>
      <c r="EA66" s="11"/>
      <c r="EB66" s="5">
        <f t="shared" si="13"/>
        <v>0.875</v>
      </c>
    </row>
    <row r="67" spans="1:132" x14ac:dyDescent="0.25">
      <c r="A67">
        <v>57</v>
      </c>
      <c r="B67" s="5" t="s">
        <v>525</v>
      </c>
      <c r="C67" s="5"/>
      <c r="D67" s="5" t="s">
        <v>104</v>
      </c>
      <c r="E67" s="5" t="s">
        <v>521</v>
      </c>
      <c r="F67" s="5"/>
      <c r="G67" s="5"/>
      <c r="H67" s="5"/>
      <c r="I67" s="5"/>
      <c r="J67" s="5"/>
      <c r="K67" s="5"/>
      <c r="L67" s="5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5"/>
      <c r="AG67" s="5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5"/>
      <c r="BG67" s="5"/>
      <c r="BH67" s="5"/>
      <c r="BI67" s="5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5"/>
      <c r="CH67" s="5"/>
      <c r="CI67" s="11">
        <v>2.4</v>
      </c>
      <c r="CJ67" s="11">
        <v>4</v>
      </c>
      <c r="CK67" s="11">
        <v>7.5</v>
      </c>
      <c r="CL67" s="11"/>
      <c r="CM67" s="11"/>
      <c r="CN67" s="11"/>
      <c r="CO67" s="5">
        <f t="shared" si="19"/>
        <v>13.9</v>
      </c>
      <c r="CT67" s="5">
        <f t="shared" si="20"/>
        <v>6.95</v>
      </c>
      <c r="CU67" s="11"/>
      <c r="CV67" s="11"/>
      <c r="CW67" s="11"/>
      <c r="CX67" s="11"/>
      <c r="CY67" s="11"/>
      <c r="CZ67" s="11"/>
      <c r="DA67" s="5">
        <f t="shared" si="14"/>
        <v>6.95</v>
      </c>
      <c r="DP67" s="5"/>
      <c r="DQ67" s="5"/>
      <c r="DR67" s="11"/>
      <c r="DS67" s="11"/>
      <c r="DT67" s="11"/>
      <c r="DU67" s="11"/>
      <c r="DV67" s="11"/>
      <c r="DW67" s="11"/>
      <c r="DX67" s="5">
        <f t="shared" si="18"/>
        <v>0</v>
      </c>
      <c r="DY67" s="5">
        <f t="shared" si="15"/>
        <v>0</v>
      </c>
      <c r="DZ67" s="11"/>
      <c r="EA67" s="11"/>
      <c r="EB67" s="5">
        <f t="shared" si="13"/>
        <v>0</v>
      </c>
    </row>
    <row r="68" spans="1:132" x14ac:dyDescent="0.25">
      <c r="A68">
        <v>58</v>
      </c>
      <c r="B68" s="5" t="s">
        <v>510</v>
      </c>
      <c r="C68" s="5"/>
      <c r="D68" s="5" t="s">
        <v>511</v>
      </c>
      <c r="E68" s="5" t="s">
        <v>379</v>
      </c>
      <c r="F68" s="5"/>
      <c r="G68" s="5"/>
      <c r="H68" s="5"/>
      <c r="I68" s="5"/>
      <c r="J68" s="5"/>
      <c r="K68" s="5"/>
      <c r="L68" s="5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5"/>
      <c r="AG68" s="5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5"/>
      <c r="BG68" s="5"/>
      <c r="BH68" s="5"/>
      <c r="BI68" s="5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5"/>
      <c r="CH68" s="5"/>
      <c r="CI68" s="11"/>
      <c r="CJ68" s="11"/>
      <c r="CK68" s="11">
        <v>7.5</v>
      </c>
      <c r="CL68" s="11"/>
      <c r="CM68" s="11"/>
      <c r="CN68" s="11"/>
      <c r="CO68" s="5">
        <f t="shared" si="19"/>
        <v>7.5</v>
      </c>
      <c r="CT68" s="5">
        <f t="shared" si="20"/>
        <v>3.75</v>
      </c>
      <c r="CU68" s="11"/>
      <c r="CV68" s="11"/>
      <c r="CW68" s="11"/>
      <c r="CX68" s="11"/>
      <c r="CY68" s="11"/>
      <c r="CZ68" s="11"/>
      <c r="DA68" s="5">
        <f t="shared" si="14"/>
        <v>3.75</v>
      </c>
      <c r="DP68" s="5"/>
      <c r="DQ68" s="5"/>
      <c r="DR68" s="11"/>
      <c r="DS68" s="11"/>
      <c r="DT68" s="11"/>
      <c r="DU68" s="11"/>
      <c r="DV68" s="11"/>
      <c r="DW68" s="11"/>
      <c r="DX68" s="5">
        <f t="shared" si="18"/>
        <v>0</v>
      </c>
      <c r="DY68" s="5">
        <f t="shared" si="15"/>
        <v>0</v>
      </c>
      <c r="DZ68" s="11"/>
      <c r="EA68" s="11"/>
      <c r="EB68" s="5">
        <f t="shared" si="13"/>
        <v>0</v>
      </c>
    </row>
    <row r="69" spans="1:132" x14ac:dyDescent="0.25">
      <c r="A69">
        <v>59</v>
      </c>
      <c r="B69" s="5" t="s">
        <v>537</v>
      </c>
      <c r="C69" s="5"/>
      <c r="D69" s="5" t="s">
        <v>17</v>
      </c>
      <c r="E69" s="5" t="s">
        <v>379</v>
      </c>
      <c r="F69" s="5"/>
      <c r="G69" s="5"/>
      <c r="H69" s="5"/>
      <c r="I69" s="5"/>
      <c r="J69" s="5"/>
      <c r="K69" s="5"/>
      <c r="L69" s="5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5"/>
      <c r="AG69" s="5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5"/>
      <c r="BG69" s="5"/>
      <c r="BH69" s="5"/>
      <c r="BI69" s="5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5"/>
      <c r="CH69" s="5"/>
      <c r="CI69" s="11"/>
      <c r="CJ69" s="11"/>
      <c r="CK69" s="11">
        <v>7.5</v>
      </c>
      <c r="CL69" s="11"/>
      <c r="CM69" s="11"/>
      <c r="CN69" s="11"/>
      <c r="CO69" s="5">
        <f t="shared" si="19"/>
        <v>7.5</v>
      </c>
      <c r="CT69" s="5">
        <f t="shared" si="20"/>
        <v>3.75</v>
      </c>
      <c r="CU69" s="11"/>
      <c r="CV69" s="11"/>
      <c r="CW69" s="11"/>
      <c r="CX69" s="11"/>
      <c r="CY69" s="11"/>
      <c r="CZ69" s="11"/>
      <c r="DA69" s="5">
        <f t="shared" si="14"/>
        <v>3.75</v>
      </c>
      <c r="DP69" s="5"/>
      <c r="DQ69" s="5"/>
      <c r="DR69" s="11"/>
      <c r="DS69" s="11"/>
      <c r="DT69" s="11"/>
      <c r="DU69" s="11"/>
      <c r="DV69" s="11"/>
      <c r="DW69" s="11"/>
      <c r="DX69" s="5">
        <f t="shared" si="18"/>
        <v>0</v>
      </c>
      <c r="DY69" s="5">
        <f t="shared" si="15"/>
        <v>0</v>
      </c>
      <c r="DZ69" s="11"/>
      <c r="EA69" s="11"/>
      <c r="EB69" s="5">
        <f t="shared" si="13"/>
        <v>0</v>
      </c>
    </row>
    <row r="70" spans="1:132" x14ac:dyDescent="0.25">
      <c r="A70">
        <v>60</v>
      </c>
      <c r="B70" s="5" t="s">
        <v>47</v>
      </c>
      <c r="C70" s="5"/>
      <c r="D70" s="5" t="s">
        <v>68</v>
      </c>
      <c r="E70" s="5" t="s">
        <v>618</v>
      </c>
      <c r="F70" s="5"/>
      <c r="G70" s="5"/>
      <c r="H70" s="5"/>
      <c r="I70" s="5"/>
      <c r="J70" s="5"/>
      <c r="K70" s="5"/>
      <c r="L70" s="5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5"/>
      <c r="AG70" s="5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5"/>
      <c r="BG70" s="5"/>
      <c r="BH70" s="5"/>
      <c r="BI70" s="5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5"/>
      <c r="CH70" s="5"/>
      <c r="CI70" s="11"/>
      <c r="CJ70" s="11"/>
      <c r="CK70" s="11">
        <v>7.5</v>
      </c>
      <c r="CL70" s="11"/>
      <c r="CM70" s="11"/>
      <c r="CN70" s="11"/>
      <c r="CO70" s="5">
        <f t="shared" si="19"/>
        <v>7.5</v>
      </c>
      <c r="CT70" s="5">
        <f t="shared" si="20"/>
        <v>3.75</v>
      </c>
      <c r="CU70" s="11"/>
      <c r="CV70" s="11"/>
      <c r="CW70" s="11"/>
      <c r="CX70" s="11"/>
      <c r="CY70" s="11"/>
      <c r="CZ70" s="11"/>
      <c r="DA70" s="5">
        <f t="shared" si="14"/>
        <v>3.75</v>
      </c>
      <c r="DP70" s="5"/>
      <c r="DQ70" s="5"/>
      <c r="DR70" s="11"/>
      <c r="DS70" s="11"/>
      <c r="DT70" s="11"/>
      <c r="DU70" s="11"/>
      <c r="DV70" s="11"/>
      <c r="DW70" s="11"/>
      <c r="DX70" s="5">
        <f t="shared" si="18"/>
        <v>0</v>
      </c>
      <c r="DY70" s="5">
        <f t="shared" si="15"/>
        <v>0</v>
      </c>
      <c r="DZ70" s="11"/>
      <c r="EA70" s="11"/>
      <c r="EB70" s="5">
        <f t="shared" si="13"/>
        <v>0</v>
      </c>
    </row>
    <row r="71" spans="1:132" x14ac:dyDescent="0.25">
      <c r="A71">
        <v>61</v>
      </c>
      <c r="B71" s="5" t="s">
        <v>669</v>
      </c>
      <c r="C71" s="5"/>
      <c r="D71" s="5" t="s">
        <v>337</v>
      </c>
      <c r="E71" s="5" t="s">
        <v>521</v>
      </c>
      <c r="F71" s="5"/>
      <c r="G71" s="5"/>
      <c r="H71" s="5"/>
      <c r="I71" s="5"/>
      <c r="J71" s="5"/>
      <c r="K71" s="5"/>
      <c r="L71" s="5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5"/>
      <c r="AG71" s="5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5"/>
      <c r="BG71" s="5"/>
      <c r="BH71" s="5"/>
      <c r="BI71" s="5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5"/>
      <c r="CH71" s="5"/>
      <c r="CI71" s="11"/>
      <c r="CJ71" s="11"/>
      <c r="CK71" s="11"/>
      <c r="CL71" s="11"/>
      <c r="CM71" s="11"/>
      <c r="CN71" s="11"/>
      <c r="CO71" s="5"/>
      <c r="CT71" s="5"/>
      <c r="CU71" s="11">
        <v>2.4</v>
      </c>
      <c r="CV71" s="11"/>
      <c r="CW71" s="11"/>
      <c r="CX71" s="11"/>
      <c r="CY71" s="11"/>
      <c r="CZ71" s="11"/>
      <c r="DA71" s="5">
        <f t="shared" si="14"/>
        <v>2.4</v>
      </c>
      <c r="DP71" s="5"/>
      <c r="DQ71" s="5"/>
      <c r="DR71" s="11"/>
      <c r="DS71" s="11"/>
      <c r="DT71" s="11"/>
      <c r="DU71" s="11"/>
      <c r="DV71" s="11"/>
      <c r="DW71" s="11"/>
      <c r="DX71" s="5">
        <f t="shared" si="18"/>
        <v>0</v>
      </c>
      <c r="DY71" s="5">
        <f t="shared" si="15"/>
        <v>0</v>
      </c>
      <c r="DZ71" s="11"/>
      <c r="EA71" s="11"/>
      <c r="EB71" s="5">
        <f t="shared" si="13"/>
        <v>0</v>
      </c>
    </row>
    <row r="72" spans="1:132" x14ac:dyDescent="0.25">
      <c r="A72">
        <v>62</v>
      </c>
      <c r="B72" s="5" t="s">
        <v>599</v>
      </c>
      <c r="C72" s="5"/>
      <c r="D72" s="5" t="s">
        <v>672</v>
      </c>
      <c r="E72" s="5" t="s">
        <v>9</v>
      </c>
      <c r="F72" s="5"/>
      <c r="G72" s="5"/>
      <c r="H72" s="5"/>
      <c r="I72" s="5"/>
      <c r="J72" s="5"/>
      <c r="K72" s="5"/>
      <c r="L72" s="5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5"/>
      <c r="AG72" s="5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5"/>
      <c r="BG72" s="5"/>
      <c r="BH72" s="5"/>
      <c r="BI72" s="5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5"/>
      <c r="CH72" s="5"/>
      <c r="CI72" s="11"/>
      <c r="CJ72" s="11"/>
      <c r="CK72" s="11"/>
      <c r="CL72" s="11"/>
      <c r="CM72" s="11"/>
      <c r="CN72" s="11"/>
      <c r="CO72" s="5"/>
      <c r="CT72" s="5"/>
      <c r="CU72" s="11">
        <v>2.4</v>
      </c>
      <c r="CV72" s="11"/>
      <c r="CW72" s="11"/>
      <c r="CX72" s="11"/>
      <c r="CY72" s="11"/>
      <c r="CZ72" s="11"/>
      <c r="DA72" s="5">
        <f t="shared" si="14"/>
        <v>2.4</v>
      </c>
      <c r="DP72" s="5"/>
      <c r="DQ72" s="5"/>
      <c r="DR72" s="11"/>
      <c r="DS72" s="11"/>
      <c r="DT72" s="11"/>
      <c r="DU72" s="11"/>
      <c r="DV72" s="11"/>
      <c r="DW72" s="11"/>
      <c r="DX72" s="5">
        <f t="shared" si="18"/>
        <v>0</v>
      </c>
      <c r="DY72" s="5">
        <f t="shared" si="15"/>
        <v>0</v>
      </c>
      <c r="DZ72" s="11"/>
      <c r="EA72" s="11"/>
      <c r="EB72" s="5">
        <f t="shared" si="13"/>
        <v>0</v>
      </c>
    </row>
    <row r="73" spans="1:132" x14ac:dyDescent="0.25">
      <c r="A73">
        <v>63</v>
      </c>
      <c r="B73" s="5" t="s">
        <v>417</v>
      </c>
      <c r="C73" s="5"/>
      <c r="D73" s="5" t="s">
        <v>418</v>
      </c>
      <c r="E73" s="5" t="s">
        <v>311</v>
      </c>
      <c r="F73" s="5"/>
      <c r="G73" s="5"/>
      <c r="H73" s="5"/>
      <c r="I73" s="5"/>
      <c r="J73" s="5"/>
      <c r="K73" s="5"/>
      <c r="L73" s="5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5"/>
      <c r="AG73" s="5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5"/>
      <c r="BG73" s="5"/>
      <c r="BH73" s="5"/>
      <c r="BI73" s="5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>
        <v>4</v>
      </c>
      <c r="BV73" s="11">
        <v>7.5</v>
      </c>
      <c r="BW73" s="11"/>
      <c r="BX73" s="11"/>
      <c r="BY73" s="11"/>
      <c r="BZ73" s="11">
        <v>30</v>
      </c>
      <c r="CA73" s="11"/>
      <c r="CB73" s="11"/>
      <c r="CC73" s="11"/>
      <c r="CD73" s="11"/>
      <c r="CE73" s="11">
        <v>7.5</v>
      </c>
      <c r="CF73" s="11"/>
      <c r="CG73" s="5">
        <f t="shared" ref="CG73:CG92" si="21">SUM(BG73:CF73)</f>
        <v>49</v>
      </c>
      <c r="CH73" s="5">
        <f t="shared" ref="CH73:CH92" si="22">(CG73-BG73)/2</f>
        <v>24.5</v>
      </c>
      <c r="CI73" s="11"/>
      <c r="CJ73" s="11">
        <v>4</v>
      </c>
      <c r="CK73" s="11"/>
      <c r="CL73" s="11"/>
      <c r="CM73" s="11"/>
      <c r="CN73" s="11"/>
      <c r="CO73" s="5">
        <f t="shared" ref="CO73:CO94" si="23">SUM(CH73:CN73)</f>
        <v>28.5</v>
      </c>
      <c r="CT73" s="5">
        <f t="shared" ref="CT73:CT94" si="24">(CO73-CH73)/2</f>
        <v>2</v>
      </c>
      <c r="CU73" s="11"/>
      <c r="CV73" s="11"/>
      <c r="CW73" s="11"/>
      <c r="CX73" s="11"/>
      <c r="CY73" s="11"/>
      <c r="CZ73" s="11"/>
      <c r="DA73" s="5">
        <f t="shared" si="14"/>
        <v>2</v>
      </c>
      <c r="DG73">
        <f>SUM(DC73:DF73)</f>
        <v>0</v>
      </c>
      <c r="DH73" s="7">
        <f t="shared" ref="DH73:DH92" si="25">(DG73)/2</f>
        <v>0</v>
      </c>
      <c r="DI73" s="7">
        <f t="shared" ref="DI73:DI92" si="26">CG73/4</f>
        <v>12.25</v>
      </c>
      <c r="DK73" s="7"/>
      <c r="DL73" s="7"/>
      <c r="DM73" s="7"/>
      <c r="DN73" s="7"/>
      <c r="DO73" s="7"/>
      <c r="DP73" s="11">
        <f t="shared" ref="DP73:DP92" si="27">SUM(DH73:DO73)</f>
        <v>12.25</v>
      </c>
      <c r="DQ73" s="5">
        <f t="shared" ref="DQ73:DQ92" si="28">(DP73-DH73)/2</f>
        <v>6.125</v>
      </c>
      <c r="DR73" s="11"/>
      <c r="DS73" s="11"/>
      <c r="DT73" s="11"/>
      <c r="DU73" s="11"/>
      <c r="DV73" s="11"/>
      <c r="DW73" s="11"/>
      <c r="DX73" s="5">
        <f t="shared" si="18"/>
        <v>6.125</v>
      </c>
      <c r="DY73" s="5">
        <f t="shared" si="15"/>
        <v>0</v>
      </c>
      <c r="DZ73" s="11"/>
      <c r="EA73" s="11"/>
      <c r="EB73" s="5">
        <f t="shared" si="13"/>
        <v>0</v>
      </c>
    </row>
    <row r="74" spans="1:132" x14ac:dyDescent="0.25">
      <c r="A74">
        <v>64</v>
      </c>
      <c r="B74" s="5" t="s">
        <v>285</v>
      </c>
      <c r="C74" s="5"/>
      <c r="D74" s="5" t="s">
        <v>362</v>
      </c>
      <c r="E74" s="5" t="s">
        <v>129</v>
      </c>
      <c r="F74" s="5"/>
      <c r="G74" s="5"/>
      <c r="H74" s="5"/>
      <c r="I74" s="5"/>
      <c r="J74" s="5"/>
      <c r="K74" s="5"/>
      <c r="L74" s="5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5"/>
      <c r="AG74" s="5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5"/>
      <c r="BG74" s="5"/>
      <c r="BH74" s="5"/>
      <c r="BI74" s="5"/>
      <c r="BJ74" s="11"/>
      <c r="BK74" s="11"/>
      <c r="BL74" s="11"/>
      <c r="BM74" s="11">
        <v>48</v>
      </c>
      <c r="BN74" s="11"/>
      <c r="BO74" s="11"/>
      <c r="BP74" s="11"/>
      <c r="BQ74" s="11"/>
      <c r="BR74" s="11"/>
      <c r="BS74" s="11"/>
      <c r="BT74" s="11">
        <v>40</v>
      </c>
      <c r="BU74" s="11"/>
      <c r="BV74" s="11">
        <v>7.5</v>
      </c>
      <c r="BW74" s="11"/>
      <c r="BX74" s="11"/>
      <c r="BY74" s="11"/>
      <c r="BZ74" s="11"/>
      <c r="CA74" s="11"/>
      <c r="CB74" s="11"/>
      <c r="CC74" s="11">
        <v>60</v>
      </c>
      <c r="CD74" s="11"/>
      <c r="CE74" s="11"/>
      <c r="CF74" s="11">
        <v>10</v>
      </c>
      <c r="CG74" s="5">
        <f t="shared" si="21"/>
        <v>165.5</v>
      </c>
      <c r="CH74" s="5">
        <f t="shared" si="22"/>
        <v>82.75</v>
      </c>
      <c r="CI74" s="11"/>
      <c r="CJ74" s="11"/>
      <c r="CK74" s="11"/>
      <c r="CL74" s="11"/>
      <c r="CM74" s="11"/>
      <c r="CN74" s="11"/>
      <c r="CO74" s="5">
        <f t="shared" si="23"/>
        <v>82.75</v>
      </c>
      <c r="CT74" s="5">
        <f t="shared" si="24"/>
        <v>0</v>
      </c>
      <c r="CU74" s="11"/>
      <c r="CV74" s="11"/>
      <c r="CW74" s="11"/>
      <c r="CX74" s="11"/>
      <c r="CY74" s="11"/>
      <c r="CZ74" s="11"/>
      <c r="DA74" s="5">
        <f t="shared" si="14"/>
        <v>0</v>
      </c>
      <c r="DG74">
        <f>SUM(DC74:DF74)</f>
        <v>0</v>
      </c>
      <c r="DH74" s="7">
        <f t="shared" si="25"/>
        <v>0</v>
      </c>
      <c r="DI74" s="7">
        <f t="shared" si="26"/>
        <v>41.375</v>
      </c>
      <c r="DK74" s="7"/>
      <c r="DL74" s="7"/>
      <c r="DM74" s="7"/>
      <c r="DN74" s="7"/>
      <c r="DO74" s="7"/>
      <c r="DP74" s="11">
        <f t="shared" si="27"/>
        <v>41.375</v>
      </c>
      <c r="DQ74" s="5">
        <f t="shared" si="28"/>
        <v>20.6875</v>
      </c>
      <c r="DR74" s="11"/>
      <c r="DS74" s="11"/>
      <c r="DT74" s="11"/>
      <c r="DU74" s="11"/>
      <c r="DV74" s="11"/>
      <c r="DW74" s="11"/>
      <c r="DX74" s="5">
        <f t="shared" si="18"/>
        <v>20.6875</v>
      </c>
      <c r="DY74" s="5">
        <f t="shared" si="15"/>
        <v>0</v>
      </c>
      <c r="DZ74" s="11"/>
      <c r="EA74" s="11"/>
      <c r="EB74" s="5">
        <f t="shared" si="13"/>
        <v>0</v>
      </c>
    </row>
    <row r="75" spans="1:132" x14ac:dyDescent="0.25">
      <c r="A75">
        <v>65</v>
      </c>
      <c r="B75" s="5" t="s">
        <v>190</v>
      </c>
      <c r="C75" s="5"/>
      <c r="D75" s="5" t="s">
        <v>191</v>
      </c>
      <c r="E75" s="5" t="s">
        <v>53</v>
      </c>
      <c r="F75" s="5"/>
      <c r="G75" s="5"/>
      <c r="H75" s="5"/>
      <c r="I75" s="5"/>
      <c r="J75" s="5"/>
      <c r="K75" s="5"/>
      <c r="L75" s="5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5"/>
      <c r="AG75" s="5"/>
      <c r="AH75" s="11"/>
      <c r="AI75" s="11"/>
      <c r="AJ75" s="11"/>
      <c r="AK75" s="11">
        <v>36</v>
      </c>
      <c r="AL75" s="11">
        <v>26</v>
      </c>
      <c r="AM75" s="11"/>
      <c r="AN75" s="11"/>
      <c r="AO75" s="11"/>
      <c r="AP75" s="11"/>
      <c r="AQ75" s="11">
        <v>56</v>
      </c>
      <c r="AR75" s="11"/>
      <c r="AS75" s="11"/>
      <c r="AT75" s="11">
        <v>26</v>
      </c>
      <c r="AU75" s="11"/>
      <c r="AV75" s="11"/>
      <c r="AW75" s="11"/>
      <c r="AX75" s="11"/>
      <c r="AY75" s="11"/>
      <c r="AZ75" s="11"/>
      <c r="BA75" s="11">
        <v>5</v>
      </c>
      <c r="BB75" s="11"/>
      <c r="BC75" s="11"/>
      <c r="BD75" s="11"/>
      <c r="BE75" s="11">
        <v>7.5</v>
      </c>
      <c r="BF75" s="5">
        <f t="shared" ref="BF75:BF81" si="29">SUM(AG75:BE75)</f>
        <v>156.5</v>
      </c>
      <c r="BG75" s="5">
        <f t="shared" ref="BG75:BG81" si="30">(BF75-AG75)/2</f>
        <v>78.25</v>
      </c>
      <c r="BH75" s="5"/>
      <c r="BI75" s="5"/>
      <c r="BJ75" s="11"/>
      <c r="BK75" s="11"/>
      <c r="BL75" s="11"/>
      <c r="BM75" s="11"/>
      <c r="BN75" s="11"/>
      <c r="BO75" s="11"/>
      <c r="BP75" s="11"/>
      <c r="BQ75" s="11">
        <v>7.5</v>
      </c>
      <c r="BR75" s="11"/>
      <c r="BS75" s="11"/>
      <c r="BT75" s="11"/>
      <c r="BU75" s="11"/>
      <c r="BV75" s="11">
        <v>105</v>
      </c>
      <c r="BW75" s="11"/>
      <c r="BX75" s="11"/>
      <c r="BY75" s="11"/>
      <c r="BZ75" s="11"/>
      <c r="CA75" s="11"/>
      <c r="CB75" s="11"/>
      <c r="CC75" s="11"/>
      <c r="CD75" s="11"/>
      <c r="CE75" s="11">
        <v>39</v>
      </c>
      <c r="CF75" s="11"/>
      <c r="CG75" s="5">
        <f t="shared" si="21"/>
        <v>229.75</v>
      </c>
      <c r="CH75" s="5">
        <f t="shared" si="22"/>
        <v>75.75</v>
      </c>
      <c r="CI75" s="11"/>
      <c r="CJ75" s="11"/>
      <c r="CK75" s="11"/>
      <c r="CL75" s="11"/>
      <c r="CM75" s="11"/>
      <c r="CN75" s="11"/>
      <c r="CO75" s="5">
        <f t="shared" si="23"/>
        <v>75.75</v>
      </c>
      <c r="CT75" s="5">
        <f t="shared" si="24"/>
        <v>0</v>
      </c>
      <c r="CU75" s="11"/>
      <c r="CV75" s="11"/>
      <c r="CW75" s="11"/>
      <c r="CX75" s="11"/>
      <c r="CY75" s="11"/>
      <c r="CZ75" s="11"/>
      <c r="DA75" s="5">
        <f t="shared" ref="DA75:DA106" si="31">SUM(CT75:CZ75)</f>
        <v>0</v>
      </c>
      <c r="DC75">
        <f>BF75/4</f>
        <v>39.125</v>
      </c>
      <c r="DG75">
        <f>SUM(DC75:DD75)</f>
        <v>39.125</v>
      </c>
      <c r="DH75" s="7">
        <f t="shared" si="25"/>
        <v>19.5625</v>
      </c>
      <c r="DI75" s="7">
        <f t="shared" si="26"/>
        <v>57.4375</v>
      </c>
      <c r="DJ75" s="7">
        <v>14</v>
      </c>
      <c r="DK75" s="7"/>
      <c r="DL75" s="7"/>
      <c r="DM75" s="7"/>
      <c r="DN75" s="7"/>
      <c r="DO75" s="7"/>
      <c r="DP75" s="11">
        <f t="shared" si="27"/>
        <v>91</v>
      </c>
      <c r="DQ75" s="5">
        <f t="shared" si="28"/>
        <v>35.71875</v>
      </c>
      <c r="DR75" s="11"/>
      <c r="DS75" s="11"/>
      <c r="DT75" s="11"/>
      <c r="DU75" s="11"/>
      <c r="DV75" s="11"/>
      <c r="DW75" s="11"/>
      <c r="DX75" s="5">
        <f t="shared" si="18"/>
        <v>35.71875</v>
      </c>
      <c r="DY75" s="5">
        <f t="shared" ref="DY75:DY106" si="32">(DX75-DQ75)/2</f>
        <v>0</v>
      </c>
      <c r="DZ75" s="11"/>
      <c r="EA75" s="11"/>
      <c r="EB75" s="5">
        <f t="shared" si="13"/>
        <v>0</v>
      </c>
    </row>
    <row r="76" spans="1:132" x14ac:dyDescent="0.25">
      <c r="A76">
        <v>66</v>
      </c>
      <c r="B76" s="5" t="s">
        <v>182</v>
      </c>
      <c r="C76" s="5"/>
      <c r="D76" s="5" t="s">
        <v>183</v>
      </c>
      <c r="E76" s="5" t="s">
        <v>184</v>
      </c>
      <c r="F76" s="5"/>
      <c r="G76" s="5"/>
      <c r="H76" s="5"/>
      <c r="I76" s="5"/>
      <c r="J76" s="5"/>
      <c r="K76" s="5"/>
      <c r="L76" s="5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5"/>
      <c r="AG76" s="5"/>
      <c r="AH76" s="11">
        <v>48</v>
      </c>
      <c r="AI76" s="11"/>
      <c r="AJ76" s="11"/>
      <c r="AK76" s="11"/>
      <c r="AL76" s="11">
        <v>100</v>
      </c>
      <c r="AM76" s="11"/>
      <c r="AN76" s="11"/>
      <c r="AO76" s="11"/>
      <c r="AP76" s="11"/>
      <c r="AQ76" s="11">
        <v>40</v>
      </c>
      <c r="AR76" s="11"/>
      <c r="AS76" s="11"/>
      <c r="AT76" s="11">
        <v>26</v>
      </c>
      <c r="AU76" s="11"/>
      <c r="AV76" s="11"/>
      <c r="AW76" s="11"/>
      <c r="AX76" s="11"/>
      <c r="AY76" s="11"/>
      <c r="AZ76" s="11"/>
      <c r="BA76" s="11">
        <v>5</v>
      </c>
      <c r="BB76" s="11"/>
      <c r="BC76" s="11"/>
      <c r="BD76" s="11"/>
      <c r="BE76" s="11">
        <v>75</v>
      </c>
      <c r="BF76" s="5">
        <f t="shared" si="29"/>
        <v>294</v>
      </c>
      <c r="BG76" s="5">
        <f t="shared" si="30"/>
        <v>147</v>
      </c>
      <c r="BH76" s="5"/>
      <c r="BI76" s="5"/>
      <c r="BJ76" s="11"/>
      <c r="BK76" s="11"/>
      <c r="BL76" s="11"/>
      <c r="BM76" s="11"/>
      <c r="BN76" s="11"/>
      <c r="BO76" s="11"/>
      <c r="BP76" s="11">
        <v>42</v>
      </c>
      <c r="BQ76" s="11"/>
      <c r="BR76" s="11"/>
      <c r="BS76" s="11"/>
      <c r="BT76" s="11"/>
      <c r="BU76" s="11">
        <v>40</v>
      </c>
      <c r="BV76" s="11">
        <v>54</v>
      </c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5">
        <f t="shared" si="21"/>
        <v>283</v>
      </c>
      <c r="CH76" s="5">
        <f t="shared" si="22"/>
        <v>68</v>
      </c>
      <c r="CI76" s="11"/>
      <c r="CJ76" s="11"/>
      <c r="CK76" s="11"/>
      <c r="CL76" s="11"/>
      <c r="CM76" s="11"/>
      <c r="CN76" s="11"/>
      <c r="CO76" s="5">
        <f t="shared" si="23"/>
        <v>68</v>
      </c>
      <c r="CT76" s="5">
        <f t="shared" si="24"/>
        <v>0</v>
      </c>
      <c r="CU76" s="11"/>
      <c r="CV76" s="11"/>
      <c r="CW76" s="11"/>
      <c r="CX76" s="11"/>
      <c r="CY76" s="11"/>
      <c r="CZ76" s="11"/>
      <c r="DA76" s="5">
        <f t="shared" si="31"/>
        <v>0</v>
      </c>
      <c r="DC76">
        <f>BF76/4</f>
        <v>73.5</v>
      </c>
      <c r="DD76">
        <v>36</v>
      </c>
      <c r="DE76">
        <v>36</v>
      </c>
      <c r="DG76">
        <f>SUM(DC76:DE76)</f>
        <v>145.5</v>
      </c>
      <c r="DH76" s="7">
        <f t="shared" si="25"/>
        <v>72.75</v>
      </c>
      <c r="DI76" s="7">
        <f t="shared" si="26"/>
        <v>70.75</v>
      </c>
      <c r="DJ76" s="7"/>
      <c r="DK76" s="7"/>
      <c r="DL76" s="7"/>
      <c r="DM76" s="7"/>
      <c r="DN76" s="7"/>
      <c r="DO76" s="7"/>
      <c r="DP76" s="11">
        <f t="shared" si="27"/>
        <v>143.5</v>
      </c>
      <c r="DQ76" s="5">
        <f t="shared" si="28"/>
        <v>35.375</v>
      </c>
      <c r="DR76" s="11"/>
      <c r="DS76" s="11"/>
      <c r="DT76" s="11"/>
      <c r="DU76" s="11"/>
      <c r="DV76" s="11"/>
      <c r="DW76" s="11"/>
      <c r="DX76" s="5">
        <f t="shared" si="18"/>
        <v>35.375</v>
      </c>
      <c r="DY76" s="5">
        <f t="shared" si="32"/>
        <v>0</v>
      </c>
      <c r="DZ76" s="11"/>
      <c r="EA76" s="11"/>
      <c r="EB76" s="5">
        <f t="shared" si="13"/>
        <v>0</v>
      </c>
    </row>
    <row r="77" spans="1:132" x14ac:dyDescent="0.25">
      <c r="A77">
        <v>67</v>
      </c>
      <c r="B77" s="22" t="s">
        <v>312</v>
      </c>
      <c r="C77" s="22"/>
      <c r="D77" s="22" t="s">
        <v>313</v>
      </c>
      <c r="E77" s="22" t="s">
        <v>138</v>
      </c>
      <c r="F77" s="5"/>
      <c r="G77" s="5"/>
      <c r="H77" s="5"/>
      <c r="I77" s="5"/>
      <c r="J77" s="5"/>
      <c r="K77" s="5"/>
      <c r="L77" s="5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5"/>
      <c r="AG77" s="5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5">
        <f t="shared" si="29"/>
        <v>0</v>
      </c>
      <c r="BG77" s="5">
        <f t="shared" si="30"/>
        <v>0</v>
      </c>
      <c r="BH77" s="5"/>
      <c r="BI77" s="5"/>
      <c r="BJ77" s="11"/>
      <c r="BK77" s="11">
        <v>42</v>
      </c>
      <c r="BL77" s="11"/>
      <c r="BM77" s="11"/>
      <c r="BN77" s="11"/>
      <c r="BO77" s="11"/>
      <c r="BP77" s="11"/>
      <c r="BQ77" s="11">
        <v>7.5</v>
      </c>
      <c r="BR77" s="11"/>
      <c r="BS77" s="11"/>
      <c r="BT77" s="11">
        <v>40</v>
      </c>
      <c r="BU77" s="11"/>
      <c r="BV77" s="11">
        <v>24</v>
      </c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5">
        <f t="shared" si="21"/>
        <v>113.5</v>
      </c>
      <c r="CH77" s="5">
        <f t="shared" si="22"/>
        <v>56.75</v>
      </c>
      <c r="CI77" s="11"/>
      <c r="CJ77" s="11"/>
      <c r="CK77" s="11"/>
      <c r="CL77" s="11"/>
      <c r="CM77" s="11"/>
      <c r="CN77" s="11"/>
      <c r="CO77" s="5">
        <f t="shared" si="23"/>
        <v>56.75</v>
      </c>
      <c r="CT77" s="5">
        <f t="shared" si="24"/>
        <v>0</v>
      </c>
      <c r="CU77" s="11"/>
      <c r="CV77" s="11"/>
      <c r="CW77" s="11"/>
      <c r="CX77" s="11"/>
      <c r="CY77" s="11"/>
      <c r="CZ77" s="11"/>
      <c r="DA77" s="5">
        <f t="shared" si="31"/>
        <v>0</v>
      </c>
      <c r="DG77">
        <f>SUM(DC77:DF77)</f>
        <v>0</v>
      </c>
      <c r="DH77" s="7">
        <f t="shared" si="25"/>
        <v>0</v>
      </c>
      <c r="DI77" s="7">
        <f t="shared" si="26"/>
        <v>28.375</v>
      </c>
      <c r="DJ77">
        <v>10.5</v>
      </c>
      <c r="DP77" s="11">
        <f t="shared" si="27"/>
        <v>38.875</v>
      </c>
      <c r="DQ77" s="5">
        <f t="shared" si="28"/>
        <v>19.4375</v>
      </c>
      <c r="DR77" s="11">
        <v>10.5</v>
      </c>
      <c r="DS77" s="11"/>
      <c r="DT77" s="11"/>
      <c r="DU77" s="11"/>
      <c r="DV77" s="11"/>
      <c r="DW77" s="11"/>
      <c r="DX77" s="5">
        <f t="shared" si="18"/>
        <v>29.9375</v>
      </c>
      <c r="DY77" s="5">
        <f t="shared" si="32"/>
        <v>5.25</v>
      </c>
      <c r="DZ77" s="11"/>
      <c r="EA77" s="11">
        <v>36</v>
      </c>
      <c r="EB77" s="22">
        <f>SUM(DY77:EA77)</f>
        <v>41.25</v>
      </c>
    </row>
    <row r="78" spans="1:132" x14ac:dyDescent="0.25">
      <c r="A78">
        <v>68</v>
      </c>
      <c r="B78" s="5" t="s">
        <v>156</v>
      </c>
      <c r="C78" s="5"/>
      <c r="D78" s="5" t="s">
        <v>157</v>
      </c>
      <c r="E78" s="5" t="s">
        <v>158</v>
      </c>
      <c r="F78" s="5"/>
      <c r="G78" s="5"/>
      <c r="H78" s="5"/>
      <c r="I78" s="5"/>
      <c r="J78" s="5"/>
      <c r="K78" s="5"/>
      <c r="L78" s="5"/>
      <c r="M78" s="11"/>
      <c r="N78" s="11"/>
      <c r="O78" s="11"/>
      <c r="P78" s="11"/>
      <c r="Q78" s="11"/>
      <c r="R78" s="11"/>
      <c r="S78" s="11">
        <v>36</v>
      </c>
      <c r="T78" s="11"/>
      <c r="U78" s="11"/>
      <c r="V78" s="11"/>
      <c r="W78" s="11"/>
      <c r="X78" s="11"/>
      <c r="Y78" s="11"/>
      <c r="Z78" s="11"/>
      <c r="AA78" s="11">
        <v>5</v>
      </c>
      <c r="AB78" s="11"/>
      <c r="AC78" s="11"/>
      <c r="AD78" s="11"/>
      <c r="AE78" s="11"/>
      <c r="AF78" s="6">
        <f>SUM(F78:AE78)</f>
        <v>41</v>
      </c>
      <c r="AG78" s="5">
        <f>AF78/2</f>
        <v>20.5</v>
      </c>
      <c r="AH78" s="11"/>
      <c r="AI78" s="11"/>
      <c r="AJ78" s="11"/>
      <c r="AK78" s="11"/>
      <c r="AL78" s="11">
        <v>5</v>
      </c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>
        <v>5</v>
      </c>
      <c r="BB78" s="11"/>
      <c r="BC78" s="11"/>
      <c r="BD78" s="11"/>
      <c r="BE78" s="11"/>
      <c r="BF78" s="5">
        <f t="shared" si="29"/>
        <v>30.5</v>
      </c>
      <c r="BG78" s="5">
        <f t="shared" si="30"/>
        <v>5</v>
      </c>
      <c r="BH78" s="5"/>
      <c r="BI78" s="5"/>
      <c r="BJ78" s="11"/>
      <c r="BK78" s="11"/>
      <c r="BL78" s="11"/>
      <c r="BM78" s="11"/>
      <c r="BN78" s="11"/>
      <c r="BO78" s="11">
        <v>48</v>
      </c>
      <c r="BP78" s="11"/>
      <c r="BQ78" s="11"/>
      <c r="BR78" s="11"/>
      <c r="BS78" s="11"/>
      <c r="BT78" s="11"/>
      <c r="BU78" s="11">
        <v>28.8</v>
      </c>
      <c r="BV78" s="11"/>
      <c r="BW78" s="11"/>
      <c r="BX78" s="11">
        <v>33.6</v>
      </c>
      <c r="BY78" s="11"/>
      <c r="BZ78" s="11"/>
      <c r="CA78" s="11"/>
      <c r="CB78" s="11"/>
      <c r="CC78" s="11"/>
      <c r="CD78" s="11"/>
      <c r="CE78" s="11"/>
      <c r="CF78" s="11"/>
      <c r="CG78" s="5">
        <f t="shared" si="21"/>
        <v>115.4</v>
      </c>
      <c r="CH78" s="5">
        <f t="shared" si="22"/>
        <v>55.2</v>
      </c>
      <c r="CI78" s="11"/>
      <c r="CJ78" s="11"/>
      <c r="CK78" s="11"/>
      <c r="CL78" s="11"/>
      <c r="CM78" s="11"/>
      <c r="CN78" s="11"/>
      <c r="CO78" s="5">
        <f t="shared" si="23"/>
        <v>55.2</v>
      </c>
      <c r="CT78" s="5">
        <f t="shared" si="24"/>
        <v>0</v>
      </c>
      <c r="CU78" s="11"/>
      <c r="CV78" s="11"/>
      <c r="CW78" s="11"/>
      <c r="CX78" s="11"/>
      <c r="CY78" s="11"/>
      <c r="CZ78" s="11"/>
      <c r="DA78" s="5">
        <f t="shared" si="31"/>
        <v>0</v>
      </c>
      <c r="DC78">
        <f>BF78/4</f>
        <v>7.625</v>
      </c>
      <c r="DG78">
        <f>SUM(DC78:DF78)</f>
        <v>7.625</v>
      </c>
      <c r="DH78" s="7">
        <f t="shared" si="25"/>
        <v>3.8125</v>
      </c>
      <c r="DI78" s="7">
        <f t="shared" si="26"/>
        <v>28.85</v>
      </c>
      <c r="DJ78" s="7"/>
      <c r="DK78" s="7"/>
      <c r="DL78" s="7"/>
      <c r="DM78" s="7"/>
      <c r="DN78" s="7"/>
      <c r="DO78" s="7"/>
      <c r="DP78" s="11">
        <f t="shared" si="27"/>
        <v>32.662500000000001</v>
      </c>
      <c r="DQ78" s="5">
        <f t="shared" si="28"/>
        <v>14.425000000000001</v>
      </c>
      <c r="DR78" s="11"/>
      <c r="DS78" s="11"/>
      <c r="DT78" s="11"/>
      <c r="DU78" s="11"/>
      <c r="DV78" s="11"/>
      <c r="DW78" s="11"/>
      <c r="DX78" s="5">
        <f t="shared" si="18"/>
        <v>14.425000000000001</v>
      </c>
      <c r="DY78" s="5">
        <f t="shared" si="32"/>
        <v>0</v>
      </c>
      <c r="DZ78" s="11"/>
      <c r="EA78" s="11"/>
      <c r="EB78" s="5">
        <f t="shared" ref="EB78:EB94" si="33">SUM(DY78:DZ78)</f>
        <v>0</v>
      </c>
    </row>
    <row r="79" spans="1:132" x14ac:dyDescent="0.25">
      <c r="A79">
        <v>69</v>
      </c>
      <c r="B79" s="29" t="s">
        <v>235</v>
      </c>
      <c r="C79" s="29"/>
      <c r="D79" s="29" t="s">
        <v>236</v>
      </c>
      <c r="E79" s="29" t="s">
        <v>10</v>
      </c>
      <c r="F79" s="29"/>
      <c r="G79" s="29"/>
      <c r="H79" s="29"/>
      <c r="I79" s="29"/>
      <c r="J79" s="29"/>
      <c r="K79" s="29"/>
      <c r="L79" s="29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9"/>
      <c r="AG79" s="29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>
        <v>4</v>
      </c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9">
        <f t="shared" si="29"/>
        <v>4</v>
      </c>
      <c r="BG79" s="29">
        <f t="shared" si="30"/>
        <v>2</v>
      </c>
      <c r="BH79" s="29"/>
      <c r="BI79" s="29"/>
      <c r="BJ79" s="28"/>
      <c r="BK79" s="28">
        <v>30</v>
      </c>
      <c r="BL79" s="28"/>
      <c r="BM79" s="28"/>
      <c r="BN79" s="28"/>
      <c r="BO79" s="28"/>
      <c r="BP79" s="28"/>
      <c r="BQ79" s="28"/>
      <c r="BR79" s="28">
        <v>70</v>
      </c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9">
        <f t="shared" si="21"/>
        <v>102</v>
      </c>
      <c r="CH79" s="29">
        <f t="shared" si="22"/>
        <v>50</v>
      </c>
      <c r="CI79" s="28"/>
      <c r="CJ79" s="28"/>
      <c r="CK79" s="28"/>
      <c r="CL79" s="28"/>
      <c r="CM79" s="28"/>
      <c r="CN79" s="28"/>
      <c r="CO79" s="29">
        <f t="shared" si="23"/>
        <v>50</v>
      </c>
      <c r="CT79" s="29">
        <f t="shared" si="24"/>
        <v>0</v>
      </c>
      <c r="CU79" s="28"/>
      <c r="CV79" s="28"/>
      <c r="CW79" s="28"/>
      <c r="CX79" s="28"/>
      <c r="CY79" s="28"/>
      <c r="CZ79" s="28"/>
      <c r="DA79" s="29">
        <f t="shared" si="31"/>
        <v>0</v>
      </c>
      <c r="DC79">
        <f>BF79/4</f>
        <v>1</v>
      </c>
      <c r="DF79" s="7">
        <v>70</v>
      </c>
      <c r="DG79">
        <f>SUM(DC79:DF79)</f>
        <v>71</v>
      </c>
      <c r="DH79" s="7">
        <f t="shared" si="25"/>
        <v>35.5</v>
      </c>
      <c r="DI79" s="7">
        <f t="shared" si="26"/>
        <v>25.5</v>
      </c>
      <c r="DJ79" s="7"/>
      <c r="DK79" s="7"/>
      <c r="DL79" s="7"/>
      <c r="DM79" s="7"/>
      <c r="DN79" s="7"/>
      <c r="DO79" s="7"/>
      <c r="DP79" s="11">
        <f t="shared" si="27"/>
        <v>61</v>
      </c>
      <c r="DQ79" s="5">
        <f t="shared" si="28"/>
        <v>12.75</v>
      </c>
      <c r="DR79" s="11"/>
      <c r="DS79" s="11"/>
      <c r="DT79" s="11"/>
      <c r="DU79" s="11"/>
      <c r="DV79" s="11"/>
      <c r="DW79" s="11"/>
      <c r="DX79" s="5">
        <f t="shared" si="18"/>
        <v>12.75</v>
      </c>
      <c r="DY79" s="5">
        <f t="shared" si="32"/>
        <v>0</v>
      </c>
      <c r="DZ79" s="11"/>
      <c r="EA79" s="11"/>
      <c r="EB79" s="5">
        <f t="shared" si="33"/>
        <v>0</v>
      </c>
    </row>
    <row r="80" spans="1:132" x14ac:dyDescent="0.25">
      <c r="A80">
        <v>70</v>
      </c>
      <c r="B80" s="5" t="s">
        <v>231</v>
      </c>
      <c r="C80" s="5"/>
      <c r="D80" s="5" t="s">
        <v>68</v>
      </c>
      <c r="E80" s="5" t="s">
        <v>301</v>
      </c>
      <c r="F80" s="5"/>
      <c r="G80" s="5"/>
      <c r="H80" s="5"/>
      <c r="I80" s="5"/>
      <c r="J80" s="5"/>
      <c r="K80" s="5"/>
      <c r="L80" s="5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5"/>
      <c r="AG80" s="5"/>
      <c r="AH80" s="11"/>
      <c r="AI80" s="11"/>
      <c r="AJ80" s="11"/>
      <c r="AK80" s="11"/>
      <c r="AL80" s="11"/>
      <c r="AM80" s="11"/>
      <c r="AN80" s="11"/>
      <c r="AO80" s="11"/>
      <c r="AP80" s="11"/>
      <c r="AQ80" s="11">
        <v>4</v>
      </c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>
        <v>54</v>
      </c>
      <c r="BF80" s="5">
        <f t="shared" si="29"/>
        <v>58</v>
      </c>
      <c r="BG80" s="5">
        <f t="shared" si="30"/>
        <v>29</v>
      </c>
      <c r="BH80" s="5"/>
      <c r="BI80" s="5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>
        <v>28.8</v>
      </c>
      <c r="BV80" s="11"/>
      <c r="BW80" s="11"/>
      <c r="BX80" s="11"/>
      <c r="BY80" s="11"/>
      <c r="BZ80" s="11">
        <v>60</v>
      </c>
      <c r="CA80" s="11"/>
      <c r="CB80" s="11"/>
      <c r="CC80" s="11"/>
      <c r="CD80" s="11"/>
      <c r="CE80" s="11">
        <v>7.5</v>
      </c>
      <c r="CF80" s="11"/>
      <c r="CG80" s="5">
        <f t="shared" si="21"/>
        <v>125.3</v>
      </c>
      <c r="CH80" s="5">
        <f t="shared" si="22"/>
        <v>48.15</v>
      </c>
      <c r="CI80" s="11"/>
      <c r="CJ80" s="11"/>
      <c r="CK80" s="11"/>
      <c r="CL80" s="11"/>
      <c r="CM80" s="11"/>
      <c r="CN80" s="11"/>
      <c r="CO80" s="5">
        <f t="shared" si="23"/>
        <v>48.15</v>
      </c>
      <c r="CP80" s="5"/>
      <c r="CQ80" s="5"/>
      <c r="CR80" s="5"/>
      <c r="CS80" s="5"/>
      <c r="CT80" s="5">
        <f t="shared" si="24"/>
        <v>0</v>
      </c>
      <c r="CU80" s="11"/>
      <c r="CV80" s="11"/>
      <c r="CW80" s="11"/>
      <c r="CX80" s="11"/>
      <c r="CY80" s="11"/>
      <c r="CZ80" s="11"/>
      <c r="DA80" s="5">
        <f t="shared" si="31"/>
        <v>0</v>
      </c>
      <c r="DC80">
        <f>BF80/4</f>
        <v>14.5</v>
      </c>
      <c r="DG80">
        <f>SUM(DC80:DF80)</f>
        <v>14.5</v>
      </c>
      <c r="DH80" s="7">
        <f t="shared" si="25"/>
        <v>7.25</v>
      </c>
      <c r="DI80" s="7">
        <f t="shared" si="26"/>
        <v>31.324999999999999</v>
      </c>
      <c r="DJ80" s="7">
        <v>1.75</v>
      </c>
      <c r="DK80" s="7"/>
      <c r="DL80" s="7"/>
      <c r="DM80" s="7"/>
      <c r="DN80" s="7"/>
      <c r="DO80" s="7"/>
      <c r="DP80" s="7">
        <f t="shared" si="27"/>
        <v>40.325000000000003</v>
      </c>
      <c r="DQ80">
        <f t="shared" si="28"/>
        <v>16.537500000000001</v>
      </c>
      <c r="DX80" s="5">
        <f t="shared" si="18"/>
        <v>16.537500000000001</v>
      </c>
      <c r="DY80" s="5">
        <f t="shared" si="32"/>
        <v>0</v>
      </c>
      <c r="DZ80" s="11"/>
      <c r="EA80" s="11"/>
      <c r="EB80" s="5">
        <f t="shared" si="33"/>
        <v>0</v>
      </c>
    </row>
    <row r="81" spans="1:132" x14ac:dyDescent="0.25">
      <c r="A81">
        <v>71</v>
      </c>
      <c r="B81" s="5" t="s">
        <v>243</v>
      </c>
      <c r="C81" s="5"/>
      <c r="D81" s="5" t="s">
        <v>204</v>
      </c>
      <c r="E81" s="5" t="s">
        <v>24</v>
      </c>
      <c r="F81" s="5"/>
      <c r="G81" s="5"/>
      <c r="H81" s="5"/>
      <c r="I81" s="5"/>
      <c r="J81" s="5"/>
      <c r="K81" s="5"/>
      <c r="L81" s="5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5"/>
      <c r="AG81" s="5"/>
      <c r="AH81" s="11"/>
      <c r="AI81" s="11"/>
      <c r="AJ81" s="11"/>
      <c r="AK81" s="11"/>
      <c r="AL81" s="11">
        <v>5</v>
      </c>
      <c r="AM81" s="11"/>
      <c r="AN81" s="11"/>
      <c r="AO81" s="11"/>
      <c r="AP81" s="11"/>
      <c r="AQ81" s="11">
        <v>4</v>
      </c>
      <c r="AR81" s="11"/>
      <c r="AS81" s="11"/>
      <c r="AT81" s="11">
        <v>36</v>
      </c>
      <c r="AU81" s="11"/>
      <c r="AV81" s="11"/>
      <c r="AW81" s="11"/>
      <c r="AX81" s="11"/>
      <c r="AY81" s="11">
        <v>48</v>
      </c>
      <c r="AZ81" s="11"/>
      <c r="BA81" s="11">
        <v>5</v>
      </c>
      <c r="BB81" s="11"/>
      <c r="BC81" s="11"/>
      <c r="BD81" s="11"/>
      <c r="BE81" s="11"/>
      <c r="BF81" s="5">
        <f t="shared" si="29"/>
        <v>98</v>
      </c>
      <c r="BG81" s="5">
        <f t="shared" si="30"/>
        <v>49</v>
      </c>
      <c r="BH81" s="5"/>
      <c r="BI81" s="5"/>
      <c r="BJ81" s="11"/>
      <c r="BK81" s="11"/>
      <c r="BL81" s="11"/>
      <c r="BM81" s="11"/>
      <c r="BN81" s="11"/>
      <c r="BO81" s="11"/>
      <c r="BP81" s="11"/>
      <c r="BQ81" s="11">
        <v>75</v>
      </c>
      <c r="BR81" s="11"/>
      <c r="BS81" s="11"/>
      <c r="BT81" s="11"/>
      <c r="BU81" s="11" t="s">
        <v>56</v>
      </c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5">
        <f t="shared" si="21"/>
        <v>124</v>
      </c>
      <c r="CH81" s="5">
        <f t="shared" si="22"/>
        <v>37.5</v>
      </c>
      <c r="CI81" s="11"/>
      <c r="CJ81" s="11"/>
      <c r="CK81" s="11"/>
      <c r="CL81" s="11"/>
      <c r="CM81" s="11"/>
      <c r="CN81" s="11"/>
      <c r="CO81" s="5">
        <f t="shared" si="23"/>
        <v>37.5</v>
      </c>
      <c r="CP81" s="5"/>
      <c r="CQ81" s="5"/>
      <c r="CR81" s="5"/>
      <c r="CS81" s="5"/>
      <c r="CT81" s="5">
        <f t="shared" si="24"/>
        <v>0</v>
      </c>
      <c r="CU81" s="11"/>
      <c r="CV81" s="11"/>
      <c r="CW81" s="11"/>
      <c r="CX81" s="11"/>
      <c r="CY81" s="11"/>
      <c r="CZ81" s="11"/>
      <c r="DA81" s="5">
        <f t="shared" si="31"/>
        <v>0</v>
      </c>
      <c r="DC81">
        <f>BF81/4</f>
        <v>24.5</v>
      </c>
      <c r="DG81">
        <f>SUM(DC81:DD81)</f>
        <v>24.5</v>
      </c>
      <c r="DH81" s="7">
        <f t="shared" si="25"/>
        <v>12.25</v>
      </c>
      <c r="DI81" s="7">
        <f t="shared" si="26"/>
        <v>31</v>
      </c>
      <c r="DJ81" s="7">
        <v>21</v>
      </c>
      <c r="DK81" s="7"/>
      <c r="DL81" s="7">
        <v>7.5</v>
      </c>
      <c r="DM81" s="7"/>
      <c r="DN81" s="7"/>
      <c r="DO81" s="7"/>
      <c r="DP81" s="7">
        <f t="shared" si="27"/>
        <v>71.75</v>
      </c>
      <c r="DQ81">
        <f t="shared" si="28"/>
        <v>29.75</v>
      </c>
      <c r="DX81" s="5">
        <f t="shared" si="18"/>
        <v>29.75</v>
      </c>
      <c r="DY81" s="5">
        <f t="shared" si="32"/>
        <v>0</v>
      </c>
      <c r="DZ81" s="11"/>
      <c r="EA81" s="11"/>
      <c r="EB81" s="5">
        <f t="shared" si="33"/>
        <v>0</v>
      </c>
    </row>
    <row r="82" spans="1:132" x14ac:dyDescent="0.25">
      <c r="A82">
        <v>72</v>
      </c>
      <c r="B82" s="5" t="s">
        <v>367</v>
      </c>
      <c r="C82" s="5"/>
      <c r="D82" s="5" t="s">
        <v>137</v>
      </c>
      <c r="E82" s="5" t="s">
        <v>129</v>
      </c>
      <c r="F82" s="5"/>
      <c r="G82" s="5"/>
      <c r="H82" s="5"/>
      <c r="I82" s="5"/>
      <c r="J82" s="5"/>
      <c r="K82" s="5"/>
      <c r="L82" s="5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5"/>
      <c r="AG82" s="5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5"/>
      <c r="BG82" s="5"/>
      <c r="BH82" s="5"/>
      <c r="BI82" s="5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>
        <v>42</v>
      </c>
      <c r="CD82" s="11"/>
      <c r="CE82" s="11"/>
      <c r="CF82" s="11"/>
      <c r="CG82" s="5">
        <f t="shared" si="21"/>
        <v>42</v>
      </c>
      <c r="CH82" s="5">
        <f t="shared" si="22"/>
        <v>21</v>
      </c>
      <c r="CI82" s="11"/>
      <c r="CJ82" s="11"/>
      <c r="CK82" s="11"/>
      <c r="CL82" s="11"/>
      <c r="CM82" s="11"/>
      <c r="CN82" s="11"/>
      <c r="CO82" s="5">
        <f t="shared" si="23"/>
        <v>21</v>
      </c>
      <c r="CP82" s="5"/>
      <c r="CQ82" s="5"/>
      <c r="CR82" s="5"/>
      <c r="CS82" s="5"/>
      <c r="CT82" s="5">
        <f t="shared" si="24"/>
        <v>0</v>
      </c>
      <c r="CU82" s="11"/>
      <c r="CV82" s="11"/>
      <c r="CW82" s="11"/>
      <c r="CX82" s="11"/>
      <c r="CY82" s="11"/>
      <c r="CZ82" s="11"/>
      <c r="DA82" s="5">
        <f t="shared" si="31"/>
        <v>0</v>
      </c>
      <c r="DG82">
        <f t="shared" ref="DG82:DG92" si="34">SUM(DC82:DF82)</f>
        <v>0</v>
      </c>
      <c r="DH82" s="7">
        <f t="shared" si="25"/>
        <v>0</v>
      </c>
      <c r="DI82" s="7">
        <f t="shared" si="26"/>
        <v>10.5</v>
      </c>
      <c r="DK82" s="7"/>
      <c r="DL82" s="7"/>
      <c r="DM82" s="7"/>
      <c r="DN82" s="7"/>
      <c r="DO82" s="7"/>
      <c r="DP82" s="7">
        <f t="shared" si="27"/>
        <v>10.5</v>
      </c>
      <c r="DQ82">
        <f t="shared" si="28"/>
        <v>5.25</v>
      </c>
      <c r="DX82" s="5">
        <f t="shared" si="18"/>
        <v>5.25</v>
      </c>
      <c r="DY82" s="5">
        <f t="shared" si="32"/>
        <v>0</v>
      </c>
      <c r="DZ82" s="11"/>
      <c r="EA82" s="11"/>
      <c r="EB82" s="5">
        <f t="shared" si="33"/>
        <v>0</v>
      </c>
    </row>
    <row r="83" spans="1:132" x14ac:dyDescent="0.25">
      <c r="A83">
        <v>73</v>
      </c>
      <c r="B83" s="5" t="s">
        <v>299</v>
      </c>
      <c r="C83" s="5"/>
      <c r="D83" s="5" t="s">
        <v>337</v>
      </c>
      <c r="E83" s="5" t="s">
        <v>194</v>
      </c>
      <c r="F83" s="5"/>
      <c r="G83" s="5"/>
      <c r="H83" s="5"/>
      <c r="I83" s="5"/>
      <c r="J83" s="5"/>
      <c r="K83" s="5"/>
      <c r="L83" s="5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5"/>
      <c r="AG83" s="5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5"/>
      <c r="BG83" s="5"/>
      <c r="BH83" s="5"/>
      <c r="BI83" s="5">
        <v>36</v>
      </c>
      <c r="BJ83" s="11"/>
      <c r="BK83" s="11"/>
      <c r="BL83" s="11"/>
      <c r="BM83" s="11"/>
      <c r="BN83" s="11"/>
      <c r="BO83" s="11"/>
      <c r="BP83" s="11"/>
      <c r="BQ83" s="11"/>
      <c r="BR83" s="11"/>
      <c r="BS83" s="11">
        <v>4</v>
      </c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5">
        <f t="shared" si="21"/>
        <v>40</v>
      </c>
      <c r="CH83" s="5">
        <f t="shared" si="22"/>
        <v>20</v>
      </c>
      <c r="CI83" s="11"/>
      <c r="CJ83" s="11"/>
      <c r="CK83" s="11"/>
      <c r="CL83" s="11"/>
      <c r="CM83" s="11"/>
      <c r="CN83" s="11"/>
      <c r="CO83" s="5">
        <f t="shared" si="23"/>
        <v>20</v>
      </c>
      <c r="CP83" s="5"/>
      <c r="CQ83" s="5"/>
      <c r="CR83" s="5"/>
      <c r="CS83" s="5"/>
      <c r="CT83" s="5">
        <f t="shared" si="24"/>
        <v>0</v>
      </c>
      <c r="CU83" s="11"/>
      <c r="CV83" s="11"/>
      <c r="CW83" s="11"/>
      <c r="CX83" s="11"/>
      <c r="CY83" s="11"/>
      <c r="CZ83" s="11"/>
      <c r="DA83" s="5">
        <f t="shared" si="31"/>
        <v>0</v>
      </c>
      <c r="DG83">
        <f t="shared" si="34"/>
        <v>0</v>
      </c>
      <c r="DH83" s="7">
        <f t="shared" si="25"/>
        <v>0</v>
      </c>
      <c r="DI83" s="7">
        <f t="shared" si="26"/>
        <v>10</v>
      </c>
      <c r="DP83" s="7">
        <f t="shared" si="27"/>
        <v>10</v>
      </c>
      <c r="DQ83">
        <f t="shared" si="28"/>
        <v>5</v>
      </c>
      <c r="DX83" s="5">
        <f t="shared" si="18"/>
        <v>5</v>
      </c>
      <c r="DY83" s="5">
        <f t="shared" si="32"/>
        <v>0</v>
      </c>
      <c r="DZ83" s="11"/>
      <c r="EA83" s="11"/>
      <c r="EB83" s="5">
        <f t="shared" si="33"/>
        <v>0</v>
      </c>
    </row>
    <row r="84" spans="1:132" x14ac:dyDescent="0.25">
      <c r="A84">
        <v>74</v>
      </c>
      <c r="B84" s="5" t="s">
        <v>136</v>
      </c>
      <c r="C84" s="5"/>
      <c r="D84" s="5" t="s">
        <v>406</v>
      </c>
      <c r="E84" s="5" t="s">
        <v>18</v>
      </c>
      <c r="F84" s="5"/>
      <c r="G84" s="5"/>
      <c r="H84" s="5"/>
      <c r="I84" s="5"/>
      <c r="J84" s="5"/>
      <c r="K84" s="5"/>
      <c r="L84" s="5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5"/>
      <c r="AG84" s="5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5"/>
      <c r="BG84" s="5"/>
      <c r="BH84" s="5"/>
      <c r="BI84" s="5"/>
      <c r="BJ84" s="11"/>
      <c r="BK84" s="11"/>
      <c r="BL84" s="11"/>
      <c r="BM84" s="11"/>
      <c r="BN84" s="11"/>
      <c r="BO84" s="11"/>
      <c r="BP84" s="11"/>
      <c r="BQ84" s="11"/>
      <c r="BR84" s="11"/>
      <c r="BS84" s="11">
        <v>32</v>
      </c>
      <c r="BT84" s="11"/>
      <c r="BU84" s="11"/>
      <c r="BV84" s="11">
        <v>7.5</v>
      </c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5">
        <f t="shared" si="21"/>
        <v>39.5</v>
      </c>
      <c r="CH84" s="5">
        <f t="shared" si="22"/>
        <v>19.75</v>
      </c>
      <c r="CI84" s="11"/>
      <c r="CJ84" s="11"/>
      <c r="CK84" s="11"/>
      <c r="CL84" s="11"/>
      <c r="CM84" s="11"/>
      <c r="CN84" s="11"/>
      <c r="CO84" s="5">
        <f t="shared" si="23"/>
        <v>19.75</v>
      </c>
      <c r="CP84" s="5"/>
      <c r="CQ84" s="5"/>
      <c r="CR84" s="5"/>
      <c r="CS84" s="5"/>
      <c r="CT84" s="5">
        <f t="shared" si="24"/>
        <v>0</v>
      </c>
      <c r="CU84" s="11"/>
      <c r="CV84" s="11"/>
      <c r="CW84" s="11"/>
      <c r="CX84" s="11"/>
      <c r="CY84" s="11"/>
      <c r="CZ84" s="11"/>
      <c r="DA84" s="5">
        <f t="shared" si="31"/>
        <v>0</v>
      </c>
      <c r="DG84">
        <f t="shared" si="34"/>
        <v>0</v>
      </c>
      <c r="DH84" s="7">
        <f t="shared" si="25"/>
        <v>0</v>
      </c>
      <c r="DI84" s="7">
        <f t="shared" si="26"/>
        <v>9.875</v>
      </c>
      <c r="DK84" s="7"/>
      <c r="DL84" s="7"/>
      <c r="DM84" s="7"/>
      <c r="DN84" s="7"/>
      <c r="DO84" s="7"/>
      <c r="DP84" s="7">
        <f t="shared" si="27"/>
        <v>9.875</v>
      </c>
      <c r="DQ84">
        <f t="shared" si="28"/>
        <v>4.9375</v>
      </c>
      <c r="DX84" s="5">
        <f t="shared" si="18"/>
        <v>4.9375</v>
      </c>
      <c r="DY84" s="5">
        <f t="shared" si="32"/>
        <v>0</v>
      </c>
      <c r="DZ84" s="11"/>
      <c r="EA84" s="11"/>
      <c r="EB84" s="5">
        <f t="shared" si="33"/>
        <v>0</v>
      </c>
    </row>
    <row r="85" spans="1:132" x14ac:dyDescent="0.25">
      <c r="A85">
        <v>75</v>
      </c>
      <c r="B85" s="5" t="s">
        <v>96</v>
      </c>
      <c r="C85" s="5"/>
      <c r="D85" s="5" t="s">
        <v>195</v>
      </c>
      <c r="E85" s="5" t="s">
        <v>196</v>
      </c>
      <c r="F85" s="5"/>
      <c r="G85" s="5"/>
      <c r="H85" s="5"/>
      <c r="I85" s="5"/>
      <c r="J85" s="5"/>
      <c r="K85" s="5"/>
      <c r="L85" s="5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5"/>
      <c r="AG85" s="5"/>
      <c r="AH85" s="11"/>
      <c r="AI85" s="11"/>
      <c r="AJ85" s="11"/>
      <c r="AK85" s="11"/>
      <c r="AL85" s="11">
        <v>26</v>
      </c>
      <c r="AM85" s="11"/>
      <c r="AN85" s="11"/>
      <c r="AO85" s="11"/>
      <c r="AP85" s="11"/>
      <c r="AQ85" s="11"/>
      <c r="AR85" s="11"/>
      <c r="AS85" s="11">
        <v>2.4</v>
      </c>
      <c r="AT85" s="11"/>
      <c r="AU85" s="11"/>
      <c r="AV85" s="11"/>
      <c r="AW85" s="11"/>
      <c r="AX85" s="11"/>
      <c r="AY85" s="11"/>
      <c r="AZ85" s="11"/>
      <c r="BA85" s="11"/>
      <c r="BB85" s="11">
        <v>2.4</v>
      </c>
      <c r="BC85" s="11"/>
      <c r="BD85" s="11"/>
      <c r="BE85" s="11"/>
      <c r="BF85" s="5">
        <f>SUM(AG85:BE85)</f>
        <v>30.799999999999997</v>
      </c>
      <c r="BG85" s="5">
        <f>(BF85-AG85)/2</f>
        <v>15.399999999999999</v>
      </c>
      <c r="BH85" s="5"/>
      <c r="BI85" s="5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>
        <v>7.5</v>
      </c>
      <c r="BW85" s="11"/>
      <c r="BX85" s="11"/>
      <c r="BY85" s="11"/>
      <c r="BZ85" s="11"/>
      <c r="CA85" s="11"/>
      <c r="CB85" s="11"/>
      <c r="CC85" s="11">
        <v>30</v>
      </c>
      <c r="CD85" s="11"/>
      <c r="CE85" s="11"/>
      <c r="CF85" s="11"/>
      <c r="CG85" s="5">
        <f t="shared" si="21"/>
        <v>52.9</v>
      </c>
      <c r="CH85" s="5">
        <f t="shared" si="22"/>
        <v>18.75</v>
      </c>
      <c r="CI85" s="11"/>
      <c r="CJ85" s="11"/>
      <c r="CK85" s="11"/>
      <c r="CL85" s="11"/>
      <c r="CM85" s="11"/>
      <c r="CN85" s="11"/>
      <c r="CO85" s="5">
        <f t="shared" si="23"/>
        <v>18.75</v>
      </c>
      <c r="CP85" s="5"/>
      <c r="CQ85" s="5"/>
      <c r="CR85" s="5"/>
      <c r="CS85" s="5"/>
      <c r="CT85" s="5">
        <f t="shared" si="24"/>
        <v>0</v>
      </c>
      <c r="CU85" s="11"/>
      <c r="CV85" s="11"/>
      <c r="CW85" s="11"/>
      <c r="CX85" s="11"/>
      <c r="CY85" s="11"/>
      <c r="CZ85" s="11"/>
      <c r="DA85" s="5">
        <f t="shared" si="31"/>
        <v>0</v>
      </c>
      <c r="DC85">
        <f>BF85/4</f>
        <v>7.6999999999999993</v>
      </c>
      <c r="DG85">
        <f t="shared" si="34"/>
        <v>7.6999999999999993</v>
      </c>
      <c r="DH85" s="7">
        <f t="shared" si="25"/>
        <v>3.8499999999999996</v>
      </c>
      <c r="DI85" s="7">
        <f t="shared" si="26"/>
        <v>13.225</v>
      </c>
      <c r="DJ85" s="7"/>
      <c r="DK85" s="7"/>
      <c r="DL85" s="7"/>
      <c r="DM85" s="7"/>
      <c r="DN85" s="7"/>
      <c r="DO85" s="7"/>
      <c r="DP85" s="7">
        <f t="shared" si="27"/>
        <v>17.074999999999999</v>
      </c>
      <c r="DQ85">
        <f t="shared" si="28"/>
        <v>6.6124999999999998</v>
      </c>
      <c r="DX85" s="5">
        <f t="shared" si="18"/>
        <v>6.6124999999999998</v>
      </c>
      <c r="DY85" s="5">
        <f t="shared" si="32"/>
        <v>0</v>
      </c>
      <c r="DZ85" s="11"/>
      <c r="EA85" s="11"/>
      <c r="EB85" s="5">
        <f t="shared" si="33"/>
        <v>0</v>
      </c>
    </row>
    <row r="86" spans="1:132" x14ac:dyDescent="0.25">
      <c r="A86">
        <v>76</v>
      </c>
      <c r="B86" s="5" t="s">
        <v>269</v>
      </c>
      <c r="C86" s="5"/>
      <c r="D86" s="5" t="s">
        <v>271</v>
      </c>
      <c r="E86" s="5" t="s">
        <v>357</v>
      </c>
      <c r="F86" s="5"/>
      <c r="G86" s="5"/>
      <c r="H86" s="5"/>
      <c r="I86" s="5"/>
      <c r="J86" s="5"/>
      <c r="K86" s="5"/>
      <c r="L86" s="5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5"/>
      <c r="AG86" s="5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>
        <v>5</v>
      </c>
      <c r="BB86" s="11"/>
      <c r="BC86" s="11"/>
      <c r="BD86" s="11"/>
      <c r="BE86" s="11"/>
      <c r="BF86" s="5">
        <f>SUM(AG86:BE86)</f>
        <v>5</v>
      </c>
      <c r="BG86" s="5">
        <f>(BF86-AG86)/2</f>
        <v>2.5</v>
      </c>
      <c r="BH86" s="5"/>
      <c r="BI86" s="5"/>
      <c r="BJ86" s="11"/>
      <c r="BK86" s="11"/>
      <c r="BL86" s="11"/>
      <c r="BM86" s="11"/>
      <c r="BN86" s="11"/>
      <c r="BO86" s="11">
        <v>33.6</v>
      </c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5">
        <f t="shared" si="21"/>
        <v>36.1</v>
      </c>
      <c r="CH86" s="5">
        <f t="shared" si="22"/>
        <v>16.8</v>
      </c>
      <c r="CI86" s="11"/>
      <c r="CJ86" s="11"/>
      <c r="CK86" s="11"/>
      <c r="CL86" s="11"/>
      <c r="CM86" s="11"/>
      <c r="CN86" s="11"/>
      <c r="CO86" s="5">
        <f t="shared" si="23"/>
        <v>16.8</v>
      </c>
      <c r="CP86" s="5"/>
      <c r="CQ86" s="5"/>
      <c r="CR86" s="5"/>
      <c r="CS86" s="5"/>
      <c r="CT86" s="5">
        <f t="shared" si="24"/>
        <v>0</v>
      </c>
      <c r="CU86" s="11"/>
      <c r="CV86" s="11"/>
      <c r="CW86" s="11"/>
      <c r="CX86" s="11"/>
      <c r="CY86" s="11"/>
      <c r="CZ86" s="11"/>
      <c r="DA86" s="5">
        <f t="shared" si="31"/>
        <v>0</v>
      </c>
      <c r="DC86">
        <f>BF86/4</f>
        <v>1.25</v>
      </c>
      <c r="DG86">
        <f t="shared" si="34"/>
        <v>1.25</v>
      </c>
      <c r="DH86" s="7">
        <f t="shared" si="25"/>
        <v>0.625</v>
      </c>
      <c r="DI86" s="7">
        <f t="shared" si="26"/>
        <v>9.0250000000000004</v>
      </c>
      <c r="DJ86" s="7"/>
      <c r="DK86" s="7"/>
      <c r="DL86" s="7"/>
      <c r="DM86" s="7"/>
      <c r="DN86" s="7"/>
      <c r="DO86" s="7"/>
      <c r="DP86" s="7">
        <f t="shared" si="27"/>
        <v>9.65</v>
      </c>
      <c r="DQ86">
        <f t="shared" si="28"/>
        <v>4.5125000000000002</v>
      </c>
      <c r="DX86" s="5">
        <f t="shared" si="18"/>
        <v>4.5125000000000002</v>
      </c>
      <c r="DY86" s="5">
        <f t="shared" si="32"/>
        <v>0</v>
      </c>
      <c r="DZ86" s="11"/>
      <c r="EA86" s="11"/>
      <c r="EB86" s="5">
        <f t="shared" si="33"/>
        <v>0</v>
      </c>
    </row>
    <row r="87" spans="1:132" x14ac:dyDescent="0.25">
      <c r="A87">
        <v>77</v>
      </c>
      <c r="B87" s="5" t="s">
        <v>52</v>
      </c>
      <c r="C87" s="5"/>
      <c r="D87" s="5" t="s">
        <v>428</v>
      </c>
      <c r="E87" s="5" t="s">
        <v>429</v>
      </c>
      <c r="F87" s="5"/>
      <c r="G87" s="5"/>
      <c r="H87" s="5"/>
      <c r="I87" s="5"/>
      <c r="J87" s="5"/>
      <c r="K87" s="5"/>
      <c r="L87" s="5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5"/>
      <c r="AG87" s="5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5"/>
      <c r="BG87" s="5"/>
      <c r="BH87" s="5"/>
      <c r="BI87" s="5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>
        <v>7.5</v>
      </c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5">
        <f t="shared" si="21"/>
        <v>7.5</v>
      </c>
      <c r="CH87" s="5">
        <f t="shared" si="22"/>
        <v>3.75</v>
      </c>
      <c r="CI87" s="11"/>
      <c r="CJ87" s="11"/>
      <c r="CK87" s="11"/>
      <c r="CL87" s="11"/>
      <c r="CM87" s="11"/>
      <c r="CN87" s="11"/>
      <c r="CO87" s="5">
        <f t="shared" si="23"/>
        <v>3.75</v>
      </c>
      <c r="CP87" s="5"/>
      <c r="CQ87" s="5"/>
      <c r="CR87" s="5"/>
      <c r="CS87" s="5"/>
      <c r="CT87" s="5">
        <f t="shared" si="24"/>
        <v>0</v>
      </c>
      <c r="CU87" s="11"/>
      <c r="CV87" s="11"/>
      <c r="CW87" s="11"/>
      <c r="CX87" s="11"/>
      <c r="CY87" s="11"/>
      <c r="CZ87" s="11"/>
      <c r="DA87" s="5">
        <f t="shared" si="31"/>
        <v>0</v>
      </c>
      <c r="DG87">
        <f t="shared" si="34"/>
        <v>0</v>
      </c>
      <c r="DH87" s="7">
        <f t="shared" si="25"/>
        <v>0</v>
      </c>
      <c r="DI87" s="7">
        <f t="shared" si="26"/>
        <v>1.875</v>
      </c>
      <c r="DK87" s="7"/>
      <c r="DL87" s="7"/>
      <c r="DM87" s="7"/>
      <c r="DN87" s="7"/>
      <c r="DO87" s="7"/>
      <c r="DP87" s="7">
        <f t="shared" si="27"/>
        <v>1.875</v>
      </c>
      <c r="DQ87">
        <f t="shared" si="28"/>
        <v>0.9375</v>
      </c>
      <c r="DX87" s="5">
        <f t="shared" si="18"/>
        <v>0.9375</v>
      </c>
      <c r="DY87" s="5">
        <f t="shared" si="32"/>
        <v>0</v>
      </c>
      <c r="DZ87" s="11"/>
      <c r="EA87" s="11"/>
      <c r="EB87" s="5">
        <f t="shared" si="33"/>
        <v>0</v>
      </c>
    </row>
    <row r="88" spans="1:132" x14ac:dyDescent="0.25">
      <c r="A88">
        <v>78</v>
      </c>
      <c r="B88" s="5" t="s">
        <v>201</v>
      </c>
      <c r="C88" s="5"/>
      <c r="D88" s="5" t="s">
        <v>202</v>
      </c>
      <c r="E88" s="5" t="s">
        <v>452</v>
      </c>
      <c r="F88" s="5"/>
      <c r="G88" s="5"/>
      <c r="H88" s="5"/>
      <c r="I88" s="5"/>
      <c r="J88" s="5"/>
      <c r="K88" s="5"/>
      <c r="L88" s="5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5"/>
      <c r="AG88" s="5"/>
      <c r="AH88" s="11"/>
      <c r="AI88" s="11"/>
      <c r="AJ88" s="11"/>
      <c r="AK88" s="11"/>
      <c r="AL88" s="11">
        <v>5</v>
      </c>
      <c r="AM88" s="11"/>
      <c r="AN88" s="11">
        <v>2.4</v>
      </c>
      <c r="AO88" s="11"/>
      <c r="AP88" s="11"/>
      <c r="AQ88" s="11"/>
      <c r="AR88" s="11">
        <v>40</v>
      </c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5">
        <f>SUM(AG88:BE88)</f>
        <v>47.4</v>
      </c>
      <c r="BG88" s="5">
        <f>(BF88-AG88)/2</f>
        <v>23.7</v>
      </c>
      <c r="BH88" s="5"/>
      <c r="BI88" s="5"/>
      <c r="BJ88" s="11"/>
      <c r="BK88" s="11"/>
      <c r="BL88" s="11"/>
      <c r="BM88" s="11"/>
      <c r="BN88" s="11"/>
      <c r="BO88" s="11"/>
      <c r="BP88" s="11"/>
      <c r="BQ88" s="11"/>
      <c r="BR88" s="11">
        <v>5</v>
      </c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5">
        <f t="shared" si="21"/>
        <v>28.7</v>
      </c>
      <c r="CH88" s="5">
        <f t="shared" si="22"/>
        <v>2.5</v>
      </c>
      <c r="CI88" s="11"/>
      <c r="CJ88" s="11"/>
      <c r="CK88" s="11"/>
      <c r="CL88" s="11"/>
      <c r="CM88" s="11"/>
      <c r="CN88" s="11"/>
      <c r="CO88" s="5">
        <f t="shared" si="23"/>
        <v>2.5</v>
      </c>
      <c r="CP88" s="5"/>
      <c r="CQ88" s="5"/>
      <c r="CR88" s="5"/>
      <c r="CS88" s="5"/>
      <c r="CT88" s="5">
        <f t="shared" si="24"/>
        <v>0</v>
      </c>
      <c r="CU88" s="11"/>
      <c r="CV88" s="11"/>
      <c r="CW88" s="11"/>
      <c r="CX88" s="11"/>
      <c r="CY88" s="11"/>
      <c r="CZ88" s="11"/>
      <c r="DA88" s="5">
        <f t="shared" si="31"/>
        <v>0</v>
      </c>
      <c r="DC88">
        <f>BF88/4</f>
        <v>11.85</v>
      </c>
      <c r="DG88">
        <f t="shared" si="34"/>
        <v>11.85</v>
      </c>
      <c r="DH88" s="7">
        <f t="shared" si="25"/>
        <v>5.9249999999999998</v>
      </c>
      <c r="DI88" s="7">
        <f t="shared" si="26"/>
        <v>7.1749999999999998</v>
      </c>
      <c r="DJ88" s="7"/>
      <c r="DK88" s="7"/>
      <c r="DL88" s="7"/>
      <c r="DM88" s="7"/>
      <c r="DN88" s="7"/>
      <c r="DO88" s="7">
        <v>25</v>
      </c>
      <c r="DP88" s="7">
        <f t="shared" si="27"/>
        <v>38.1</v>
      </c>
      <c r="DQ88">
        <f t="shared" si="28"/>
        <v>16.087500000000002</v>
      </c>
      <c r="DX88" s="5">
        <f t="shared" ref="DX88:DX119" si="35">SUM(DQ88:DW88)</f>
        <v>16.087500000000002</v>
      </c>
      <c r="DY88" s="5">
        <f t="shared" si="32"/>
        <v>0</v>
      </c>
      <c r="DZ88" s="11"/>
      <c r="EA88" s="11"/>
      <c r="EB88" s="5">
        <f t="shared" si="33"/>
        <v>0</v>
      </c>
    </row>
    <row r="89" spans="1:132" x14ac:dyDescent="0.25">
      <c r="A89">
        <v>79</v>
      </c>
      <c r="B89" s="5" t="s">
        <v>358</v>
      </c>
      <c r="C89" s="5"/>
      <c r="D89" s="5" t="s">
        <v>259</v>
      </c>
      <c r="E89" s="5" t="s">
        <v>357</v>
      </c>
      <c r="F89" s="5"/>
      <c r="G89" s="5"/>
      <c r="H89" s="5"/>
      <c r="I89" s="5"/>
      <c r="J89" s="5"/>
      <c r="K89" s="5"/>
      <c r="L89" s="5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5"/>
      <c r="AG89" s="5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>
        <v>33.6</v>
      </c>
      <c r="AZ89" s="11"/>
      <c r="BA89" s="11"/>
      <c r="BB89" s="11"/>
      <c r="BC89" s="11"/>
      <c r="BD89" s="11"/>
      <c r="BE89" s="11"/>
      <c r="BF89" s="5">
        <f>SUM(AG89:BE89)</f>
        <v>33.6</v>
      </c>
      <c r="BG89" s="5">
        <f>(BF89-AG89)/2</f>
        <v>16.8</v>
      </c>
      <c r="BH89" s="5"/>
      <c r="BI89" s="5"/>
      <c r="BJ89" s="11"/>
      <c r="BK89" s="11"/>
      <c r="BL89" s="11"/>
      <c r="BM89" s="11"/>
      <c r="BN89" s="11"/>
      <c r="BO89" s="11">
        <v>2.4</v>
      </c>
      <c r="BP89" s="11"/>
      <c r="BQ89" s="11"/>
      <c r="BR89" s="11"/>
      <c r="BS89" s="11"/>
      <c r="BT89" s="11"/>
      <c r="BU89" s="11"/>
      <c r="BV89" s="11"/>
      <c r="BW89" s="11"/>
      <c r="BX89" s="11">
        <v>2.4</v>
      </c>
      <c r="BY89" s="11"/>
      <c r="BZ89" s="11"/>
      <c r="CA89" s="11"/>
      <c r="CB89" s="11"/>
      <c r="CC89" s="11"/>
      <c r="CD89" s="11"/>
      <c r="CE89" s="11"/>
      <c r="CF89" s="11"/>
      <c r="CG89" s="5">
        <f t="shared" si="21"/>
        <v>21.599999999999998</v>
      </c>
      <c r="CH89" s="5">
        <f t="shared" si="22"/>
        <v>2.3999999999999986</v>
      </c>
      <c r="CI89" s="11"/>
      <c r="CJ89" s="11"/>
      <c r="CK89" s="11"/>
      <c r="CL89" s="11"/>
      <c r="CM89" s="11"/>
      <c r="CN89" s="11"/>
      <c r="CO89" s="5">
        <f t="shared" si="23"/>
        <v>2.3999999999999986</v>
      </c>
      <c r="CP89" s="5"/>
      <c r="CQ89" s="5"/>
      <c r="CR89" s="5"/>
      <c r="CS89" s="5"/>
      <c r="CT89" s="5">
        <f t="shared" si="24"/>
        <v>0</v>
      </c>
      <c r="CU89" s="11"/>
      <c r="CV89" s="11"/>
      <c r="CW89" s="11"/>
      <c r="CX89" s="11"/>
      <c r="CY89" s="11"/>
      <c r="CZ89" s="11"/>
      <c r="DA89" s="5">
        <f t="shared" si="31"/>
        <v>0</v>
      </c>
      <c r="DC89">
        <f>BF89/4</f>
        <v>8.4</v>
      </c>
      <c r="DG89">
        <f t="shared" si="34"/>
        <v>8.4</v>
      </c>
      <c r="DH89" s="7">
        <f t="shared" si="25"/>
        <v>4.2</v>
      </c>
      <c r="DI89" s="7">
        <f t="shared" si="26"/>
        <v>5.3999999999999995</v>
      </c>
      <c r="DJ89" s="7"/>
      <c r="DK89" s="7"/>
      <c r="DL89" s="7"/>
      <c r="DM89" s="7"/>
      <c r="DN89" s="7"/>
      <c r="DO89" s="7"/>
      <c r="DP89" s="7">
        <f t="shared" si="27"/>
        <v>9.6</v>
      </c>
      <c r="DQ89">
        <f t="shared" si="28"/>
        <v>2.6999999999999997</v>
      </c>
      <c r="DX89" s="5">
        <f t="shared" si="35"/>
        <v>2.6999999999999997</v>
      </c>
      <c r="DY89" s="5">
        <f t="shared" si="32"/>
        <v>0</v>
      </c>
      <c r="DZ89" s="11"/>
      <c r="EA89" s="11"/>
      <c r="EB89" s="5">
        <f t="shared" si="33"/>
        <v>0</v>
      </c>
    </row>
    <row r="90" spans="1:132" x14ac:dyDescent="0.25">
      <c r="A90">
        <v>80</v>
      </c>
      <c r="B90" s="5" t="s">
        <v>64</v>
      </c>
      <c r="C90" s="5"/>
      <c r="D90" s="5" t="s">
        <v>414</v>
      </c>
      <c r="E90" s="5" t="s">
        <v>203</v>
      </c>
      <c r="F90" s="5"/>
      <c r="G90" s="5"/>
      <c r="H90" s="5"/>
      <c r="I90" s="5"/>
      <c r="J90" s="5"/>
      <c r="K90" s="5"/>
      <c r="L90" s="5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5"/>
      <c r="AG90" s="5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5"/>
      <c r="BG90" s="5"/>
      <c r="BH90" s="5"/>
      <c r="BI90" s="5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>
        <v>4</v>
      </c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5">
        <f t="shared" si="21"/>
        <v>4</v>
      </c>
      <c r="CH90" s="5">
        <f t="shared" si="22"/>
        <v>2</v>
      </c>
      <c r="CI90" s="11"/>
      <c r="CJ90" s="11"/>
      <c r="CK90" s="11"/>
      <c r="CL90" s="11"/>
      <c r="CM90" s="11"/>
      <c r="CN90" s="11"/>
      <c r="CO90" s="5">
        <f t="shared" si="23"/>
        <v>2</v>
      </c>
      <c r="CP90" s="5"/>
      <c r="CQ90" s="5"/>
      <c r="CR90" s="5"/>
      <c r="CS90" s="5"/>
      <c r="CT90" s="5">
        <f t="shared" si="24"/>
        <v>0</v>
      </c>
      <c r="CU90" s="11"/>
      <c r="CV90" s="11"/>
      <c r="CW90" s="11"/>
      <c r="CX90" s="11"/>
      <c r="CY90" s="11"/>
      <c r="CZ90" s="11"/>
      <c r="DA90" s="5">
        <f t="shared" si="31"/>
        <v>0</v>
      </c>
      <c r="DG90">
        <f t="shared" si="34"/>
        <v>0</v>
      </c>
      <c r="DH90" s="7">
        <f t="shared" si="25"/>
        <v>0</v>
      </c>
      <c r="DI90" s="7">
        <f t="shared" si="26"/>
        <v>1</v>
      </c>
      <c r="DK90" s="7"/>
      <c r="DL90" s="7"/>
      <c r="DM90" s="7"/>
      <c r="DN90" s="7"/>
      <c r="DO90" s="7"/>
      <c r="DP90" s="7">
        <f t="shared" si="27"/>
        <v>1</v>
      </c>
      <c r="DQ90">
        <f t="shared" si="28"/>
        <v>0.5</v>
      </c>
      <c r="DX90" s="5">
        <f t="shared" si="35"/>
        <v>0.5</v>
      </c>
      <c r="DY90" s="5">
        <f t="shared" si="32"/>
        <v>0</v>
      </c>
      <c r="DZ90" s="11"/>
      <c r="EA90" s="11"/>
      <c r="EB90" s="5">
        <f t="shared" si="33"/>
        <v>0</v>
      </c>
    </row>
    <row r="91" spans="1:132" x14ac:dyDescent="0.25">
      <c r="A91">
        <v>81</v>
      </c>
      <c r="B91" s="5" t="s">
        <v>92</v>
      </c>
      <c r="C91" s="5"/>
      <c r="D91" s="5" t="s">
        <v>363</v>
      </c>
      <c r="E91" s="5" t="s">
        <v>364</v>
      </c>
      <c r="F91" s="5"/>
      <c r="G91" s="5"/>
      <c r="H91" s="5"/>
      <c r="I91" s="5"/>
      <c r="J91" s="5"/>
      <c r="K91" s="5"/>
      <c r="L91" s="5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5"/>
      <c r="AG91" s="5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5"/>
      <c r="BG91" s="5"/>
      <c r="BH91" s="5"/>
      <c r="BI91" s="5"/>
      <c r="BJ91" s="11"/>
      <c r="BK91" s="11"/>
      <c r="BL91" s="11"/>
      <c r="BM91" s="11">
        <v>2.4</v>
      </c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5">
        <f t="shared" si="21"/>
        <v>2.4</v>
      </c>
      <c r="CH91" s="5">
        <f t="shared" si="22"/>
        <v>1.2</v>
      </c>
      <c r="CI91" s="11"/>
      <c r="CJ91" s="11"/>
      <c r="CK91" s="11"/>
      <c r="CL91" s="11"/>
      <c r="CM91" s="11"/>
      <c r="CN91" s="11"/>
      <c r="CO91" s="5">
        <f t="shared" si="23"/>
        <v>1.2</v>
      </c>
      <c r="CP91" s="5"/>
      <c r="CQ91" s="5"/>
      <c r="CR91" s="5"/>
      <c r="CS91" s="5"/>
      <c r="CT91" s="5">
        <f t="shared" si="24"/>
        <v>0</v>
      </c>
      <c r="CU91" s="11"/>
      <c r="CV91" s="11"/>
      <c r="CW91" s="11"/>
      <c r="CX91" s="11"/>
      <c r="CY91" s="11"/>
      <c r="CZ91" s="11"/>
      <c r="DA91" s="5">
        <f t="shared" si="31"/>
        <v>0</v>
      </c>
      <c r="DG91">
        <f t="shared" si="34"/>
        <v>0</v>
      </c>
      <c r="DH91" s="7">
        <f t="shared" si="25"/>
        <v>0</v>
      </c>
      <c r="DI91" s="7">
        <f t="shared" si="26"/>
        <v>0.6</v>
      </c>
      <c r="DK91" s="7"/>
      <c r="DL91" s="7"/>
      <c r="DM91" s="7"/>
      <c r="DN91" s="7"/>
      <c r="DO91" s="7"/>
      <c r="DP91" s="7">
        <f t="shared" si="27"/>
        <v>0.6</v>
      </c>
      <c r="DQ91">
        <f t="shared" si="28"/>
        <v>0.3</v>
      </c>
      <c r="DX91" s="5">
        <f t="shared" si="35"/>
        <v>0.3</v>
      </c>
      <c r="DY91" s="5">
        <f t="shared" si="32"/>
        <v>0</v>
      </c>
      <c r="DZ91" s="11"/>
      <c r="EA91" s="11"/>
      <c r="EB91" s="5">
        <f t="shared" si="33"/>
        <v>0</v>
      </c>
    </row>
    <row r="92" spans="1:132" x14ac:dyDescent="0.25">
      <c r="A92">
        <v>82</v>
      </c>
      <c r="B92" s="5" t="s">
        <v>198</v>
      </c>
      <c r="C92" s="5"/>
      <c r="D92" s="5" t="s">
        <v>113</v>
      </c>
      <c r="E92" s="5" t="s">
        <v>199</v>
      </c>
      <c r="F92" s="5"/>
      <c r="G92" s="5"/>
      <c r="H92" s="5"/>
      <c r="I92" s="5"/>
      <c r="J92" s="5"/>
      <c r="K92" s="5"/>
      <c r="L92" s="5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5"/>
      <c r="AG92" s="5"/>
      <c r="AH92" s="11"/>
      <c r="AI92" s="11"/>
      <c r="AJ92" s="11"/>
      <c r="AK92" s="11"/>
      <c r="AL92" s="11">
        <v>5</v>
      </c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5">
        <f>SUM(AG92:BE92)</f>
        <v>5</v>
      </c>
      <c r="BG92" s="5">
        <f>(BF92-AG92)/2</f>
        <v>2.5</v>
      </c>
      <c r="BH92" s="5"/>
      <c r="BI92" s="5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5">
        <f t="shared" si="21"/>
        <v>2.5</v>
      </c>
      <c r="CH92" s="5">
        <f t="shared" si="22"/>
        <v>0</v>
      </c>
      <c r="CI92" s="11"/>
      <c r="CJ92" s="11"/>
      <c r="CK92" s="11"/>
      <c r="CL92" s="11"/>
      <c r="CM92" s="11"/>
      <c r="CN92" s="11"/>
      <c r="CO92" s="5">
        <f t="shared" si="23"/>
        <v>0</v>
      </c>
      <c r="CP92" s="5"/>
      <c r="CQ92" s="5"/>
      <c r="CR92" s="5"/>
      <c r="CS92" s="5"/>
      <c r="CT92" s="5">
        <f t="shared" si="24"/>
        <v>0</v>
      </c>
      <c r="CU92" s="11"/>
      <c r="CV92" s="11"/>
      <c r="CW92" s="11"/>
      <c r="CX92" s="11"/>
      <c r="CY92" s="11"/>
      <c r="CZ92" s="11"/>
      <c r="DA92" s="5">
        <f t="shared" si="31"/>
        <v>0</v>
      </c>
      <c r="DC92">
        <f>BF92/4</f>
        <v>1.25</v>
      </c>
      <c r="DG92">
        <f t="shared" si="34"/>
        <v>1.25</v>
      </c>
      <c r="DH92" s="7">
        <f t="shared" si="25"/>
        <v>0.625</v>
      </c>
      <c r="DI92" s="7">
        <f t="shared" si="26"/>
        <v>0.625</v>
      </c>
      <c r="DJ92" s="7"/>
      <c r="DK92" s="7"/>
      <c r="DL92" s="7"/>
      <c r="DM92" s="7"/>
      <c r="DN92" s="7"/>
      <c r="DO92" s="7"/>
      <c r="DP92" s="7">
        <f t="shared" si="27"/>
        <v>1.25</v>
      </c>
      <c r="DQ92">
        <f t="shared" si="28"/>
        <v>0.3125</v>
      </c>
      <c r="DX92" s="5">
        <f t="shared" si="35"/>
        <v>0.3125</v>
      </c>
      <c r="DY92" s="5">
        <f t="shared" si="32"/>
        <v>0</v>
      </c>
      <c r="DZ92" s="11"/>
      <c r="EA92" s="11"/>
      <c r="EB92" s="5">
        <f t="shared" si="33"/>
        <v>0</v>
      </c>
    </row>
    <row r="93" spans="1:132" x14ac:dyDescent="0.25">
      <c r="A93">
        <v>83</v>
      </c>
      <c r="B93" s="5" t="s">
        <v>97</v>
      </c>
      <c r="C93" s="5"/>
      <c r="D93" s="5" t="s">
        <v>60</v>
      </c>
      <c r="E93" s="5" t="s">
        <v>119</v>
      </c>
      <c r="F93" s="5"/>
      <c r="G93" s="5"/>
      <c r="H93" s="5"/>
      <c r="I93" s="5"/>
      <c r="J93" s="5"/>
      <c r="K93" s="5"/>
      <c r="L93" s="5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5"/>
      <c r="AG93" s="5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5"/>
      <c r="BG93" s="5"/>
      <c r="BH93" s="5"/>
      <c r="BI93" s="5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5"/>
      <c r="CH93" s="5"/>
      <c r="CI93" s="11"/>
      <c r="CJ93" s="11"/>
      <c r="CK93" s="11"/>
      <c r="CL93" s="11"/>
      <c r="CM93" s="11"/>
      <c r="CN93" s="11"/>
      <c r="CO93" s="5">
        <f t="shared" si="23"/>
        <v>0</v>
      </c>
      <c r="CP93" s="5"/>
      <c r="CQ93" s="5"/>
      <c r="CR93" s="5"/>
      <c r="CS93" s="5"/>
      <c r="CT93" s="5">
        <f t="shared" si="24"/>
        <v>0</v>
      </c>
      <c r="CU93" s="11"/>
      <c r="CV93" s="11"/>
      <c r="CW93" s="11"/>
      <c r="CX93" s="11"/>
      <c r="CY93" s="11"/>
      <c r="CZ93" s="11"/>
      <c r="DA93" s="5">
        <f t="shared" si="31"/>
        <v>0</v>
      </c>
      <c r="DR93" s="7">
        <v>1.75</v>
      </c>
      <c r="DX93" s="5">
        <f t="shared" si="35"/>
        <v>1.75</v>
      </c>
      <c r="DY93" s="5">
        <f t="shared" si="32"/>
        <v>0.875</v>
      </c>
      <c r="DZ93" s="11"/>
      <c r="EA93" s="11"/>
      <c r="EB93" s="5">
        <f t="shared" si="33"/>
        <v>0.875</v>
      </c>
    </row>
    <row r="94" spans="1:132" x14ac:dyDescent="0.25">
      <c r="A94">
        <v>84</v>
      </c>
      <c r="B94" s="5" t="s">
        <v>95</v>
      </c>
      <c r="C94" s="5"/>
      <c r="D94" s="5" t="s">
        <v>489</v>
      </c>
      <c r="E94" s="5" t="s">
        <v>76</v>
      </c>
      <c r="F94" s="5"/>
      <c r="G94" s="5"/>
      <c r="H94" s="5"/>
      <c r="I94" s="5"/>
      <c r="J94" s="5"/>
      <c r="K94" s="5"/>
      <c r="L94" s="5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5"/>
      <c r="AG94" s="5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5"/>
      <c r="BG94" s="5"/>
      <c r="BH94" s="5"/>
      <c r="BI94" s="5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5"/>
      <c r="CH94" s="5"/>
      <c r="CI94" s="11"/>
      <c r="CJ94" s="11"/>
      <c r="CK94" s="11"/>
      <c r="CL94" s="11"/>
      <c r="CM94" s="11"/>
      <c r="CN94" s="11"/>
      <c r="CO94" s="5">
        <f t="shared" si="23"/>
        <v>0</v>
      </c>
      <c r="CP94" s="5"/>
      <c r="CQ94" s="5"/>
      <c r="CR94" s="5"/>
      <c r="CS94" s="5"/>
      <c r="CT94" s="5">
        <f t="shared" si="24"/>
        <v>0</v>
      </c>
      <c r="CU94" s="11"/>
      <c r="CV94" s="11"/>
      <c r="CW94" s="11"/>
      <c r="CX94" s="11"/>
      <c r="CY94" s="11"/>
      <c r="CZ94" s="11"/>
      <c r="DA94" s="5">
        <f t="shared" si="31"/>
        <v>0</v>
      </c>
      <c r="DR94" s="7">
        <v>1.75</v>
      </c>
      <c r="DX94" s="5">
        <f t="shared" si="35"/>
        <v>1.75</v>
      </c>
      <c r="DY94" s="5">
        <f t="shared" si="32"/>
        <v>0.875</v>
      </c>
      <c r="DZ94" s="11"/>
      <c r="EA94" s="11"/>
      <c r="EB94" s="5">
        <f t="shared" si="33"/>
        <v>0.875</v>
      </c>
    </row>
  </sheetData>
  <sortState xmlns:xlrd2="http://schemas.microsoft.com/office/spreadsheetml/2017/richdata2" ref="B11:EB94">
    <sortCondition descending="1" ref="DA11:DA94"/>
  </sortState>
  <mergeCells count="6">
    <mergeCell ref="B1:EB1"/>
    <mergeCell ref="B8:C10"/>
    <mergeCell ref="CK9:CN9"/>
    <mergeCell ref="CW9:CZ9"/>
    <mergeCell ref="D4:DA5"/>
    <mergeCell ref="DC4:EB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C92"/>
  <sheetViews>
    <sheetView zoomScale="80" zoomScaleNormal="80" workbookViewId="0">
      <selection activeCell="EC25" sqref="EC25"/>
    </sheetView>
  </sheetViews>
  <sheetFormatPr baseColWidth="10" defaultRowHeight="15" x14ac:dyDescent="0.25"/>
  <cols>
    <col min="1" max="1" width="3.28515625" bestFit="1" customWidth="1"/>
    <col min="2" max="2" width="15" bestFit="1" customWidth="1"/>
    <col min="3" max="3" width="12.7109375" bestFit="1" customWidth="1"/>
    <col min="4" max="4" width="14.28515625" bestFit="1" customWidth="1"/>
    <col min="5" max="5" width="20.7109375" bestFit="1" customWidth="1"/>
    <col min="6" max="6" width="6.7109375" hidden="1" customWidth="1"/>
    <col min="7" max="11" width="6.42578125" hidden="1" customWidth="1"/>
    <col min="12" max="14" width="7.28515625" style="7" hidden="1" customWidth="1"/>
    <col min="15" max="19" width="6.28515625" style="7" hidden="1" customWidth="1"/>
    <col min="20" max="24" width="6.7109375" style="7" hidden="1" customWidth="1"/>
    <col min="25" max="32" width="7.28515625" style="7" hidden="1" customWidth="1"/>
    <col min="33" max="34" width="0" hidden="1" customWidth="1"/>
    <col min="35" max="48" width="6" hidden="1" customWidth="1"/>
    <col min="49" max="49" width="10.5703125" hidden="1" customWidth="1"/>
    <col min="50" max="53" width="6" hidden="1" customWidth="1"/>
    <col min="54" max="54" width="6.28515625" hidden="1" customWidth="1"/>
    <col min="55" max="56" width="6.85546875" hidden="1" customWidth="1"/>
    <col min="57" max="57" width="10.5703125" hidden="1" customWidth="1"/>
    <col min="58" max="58" width="6" hidden="1" customWidth="1"/>
    <col min="59" max="59" width="6" style="7" hidden="1" customWidth="1"/>
    <col min="60" max="65" width="6.28515625" hidden="1" customWidth="1"/>
    <col min="66" max="75" width="6.28515625" style="7" hidden="1" customWidth="1"/>
    <col min="76" max="76" width="10.85546875" style="7" hidden="1" customWidth="1"/>
    <col min="77" max="81" width="6.140625" style="7" hidden="1" customWidth="1"/>
    <col min="82" max="82" width="6.28515625" hidden="1" customWidth="1"/>
    <col min="83" max="83" width="7.85546875" hidden="1" customWidth="1"/>
    <col min="84" max="89" width="6.28515625" style="7" hidden="1" customWidth="1"/>
    <col min="90" max="90" width="7.7109375" bestFit="1" customWidth="1"/>
    <col min="91" max="91" width="7.85546875" bestFit="1" customWidth="1"/>
    <col min="92" max="97" width="6.28515625" style="7" customWidth="1"/>
    <col min="98" max="98" width="7.7109375" bestFit="1" customWidth="1"/>
    <col min="100" max="100" width="0" hidden="1" customWidth="1"/>
    <col min="101" max="102" width="7.42578125" hidden="1" customWidth="1"/>
    <col min="103" max="106" width="8.28515625" hidden="1" customWidth="1"/>
    <col min="107" max="109" width="0" hidden="1" customWidth="1"/>
    <col min="110" max="117" width="6.7109375" hidden="1" customWidth="1"/>
    <col min="118" max="119" width="0" hidden="1" customWidth="1"/>
    <col min="120" max="120" width="6.7109375" style="7" hidden="1" customWidth="1"/>
    <col min="121" max="125" width="6" style="7" hidden="1" customWidth="1"/>
    <col min="128" max="128" width="6" style="7" bestFit="1" customWidth="1"/>
    <col min="129" max="129" width="9" customWidth="1"/>
  </cols>
  <sheetData>
    <row r="1" spans="1:129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</row>
    <row r="2" spans="1:129" ht="15.75" thickBot="1" x14ac:dyDescent="0.3">
      <c r="C2" s="7"/>
      <c r="D2" s="7"/>
      <c r="E2" s="7"/>
      <c r="F2" s="7"/>
    </row>
    <row r="3" spans="1:129" ht="15.75" thickTop="1" x14ac:dyDescent="0.25">
      <c r="B3" s="1" t="s">
        <v>0</v>
      </c>
      <c r="C3" s="4" t="s">
        <v>29</v>
      </c>
    </row>
    <row r="4" spans="1:129" ht="14.65" customHeight="1" x14ac:dyDescent="0.25">
      <c r="B4" s="2" t="s">
        <v>1</v>
      </c>
      <c r="C4" s="10" t="s">
        <v>30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V4" s="56" t="s">
        <v>641</v>
      </c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  <c r="DX4" s="56"/>
      <c r="DY4" s="56"/>
    </row>
    <row r="5" spans="1:129" ht="15" customHeight="1" thickBot="1" x14ac:dyDescent="0.3">
      <c r="B5" s="3" t="s">
        <v>2</v>
      </c>
      <c r="C5" s="34">
        <v>-66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</row>
    <row r="6" spans="1:129" ht="15" customHeight="1" thickTop="1" x14ac:dyDescent="0.25"/>
    <row r="7" spans="1:129" ht="15.75" thickBot="1" x14ac:dyDescent="0.3"/>
    <row r="8" spans="1:129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27</v>
      </c>
      <c r="H8" s="4" t="s">
        <v>27</v>
      </c>
      <c r="I8" s="4" t="s">
        <v>31</v>
      </c>
      <c r="J8" s="4" t="s">
        <v>27</v>
      </c>
      <c r="K8" s="4" t="s">
        <v>72</v>
      </c>
      <c r="L8" s="4" t="s">
        <v>99</v>
      </c>
      <c r="M8" s="4" t="s">
        <v>27</v>
      </c>
      <c r="N8" s="4" t="s">
        <v>27</v>
      </c>
      <c r="O8" s="4" t="s">
        <v>134</v>
      </c>
      <c r="P8" s="4" t="s">
        <v>132</v>
      </c>
      <c r="Q8" s="4" t="s">
        <v>141</v>
      </c>
      <c r="R8" s="4" t="s">
        <v>146</v>
      </c>
      <c r="S8" s="4" t="s">
        <v>27</v>
      </c>
      <c r="T8" s="4" t="s">
        <v>27</v>
      </c>
      <c r="U8" s="4" t="s">
        <v>151</v>
      </c>
      <c r="V8" s="4" t="s">
        <v>27</v>
      </c>
      <c r="W8" s="4" t="s">
        <v>27</v>
      </c>
      <c r="X8" s="4" t="s">
        <v>27</v>
      </c>
      <c r="Y8" s="4" t="s">
        <v>27</v>
      </c>
      <c r="Z8" s="4" t="s">
        <v>27</v>
      </c>
      <c r="AA8" s="4" t="s">
        <v>27</v>
      </c>
      <c r="AB8" s="4" t="s">
        <v>27</v>
      </c>
      <c r="AC8" s="4" t="s">
        <v>164</v>
      </c>
      <c r="AD8" s="4" t="s">
        <v>168</v>
      </c>
      <c r="AE8" s="4" t="s">
        <v>171</v>
      </c>
      <c r="AF8" s="4" t="s">
        <v>173</v>
      </c>
      <c r="AG8" s="1"/>
      <c r="AH8" s="12">
        <v>44927</v>
      </c>
      <c r="AI8" s="4" t="s">
        <v>27</v>
      </c>
      <c r="AJ8" s="4" t="s">
        <v>27</v>
      </c>
      <c r="AK8" s="17" t="s">
        <v>27</v>
      </c>
      <c r="AL8" s="17" t="s">
        <v>173</v>
      </c>
      <c r="AM8" s="17" t="s">
        <v>27</v>
      </c>
      <c r="AN8" s="17" t="s">
        <v>27</v>
      </c>
      <c r="AO8" s="17" t="s">
        <v>217</v>
      </c>
      <c r="AP8" s="17" t="s">
        <v>217</v>
      </c>
      <c r="AQ8" s="17" t="s">
        <v>217</v>
      </c>
      <c r="AR8" s="17" t="s">
        <v>27</v>
      </c>
      <c r="AS8" s="17" t="s">
        <v>173</v>
      </c>
      <c r="AT8" s="17" t="s">
        <v>27</v>
      </c>
      <c r="AU8" s="17" t="s">
        <v>27</v>
      </c>
      <c r="AV8" s="17" t="s">
        <v>27</v>
      </c>
      <c r="AW8" s="17" t="s">
        <v>27</v>
      </c>
      <c r="AX8" s="17" t="s">
        <v>27</v>
      </c>
      <c r="AY8" s="17" t="s">
        <v>173</v>
      </c>
      <c r="AZ8" s="17" t="s">
        <v>27</v>
      </c>
      <c r="BA8" s="17" t="s">
        <v>174</v>
      </c>
      <c r="BB8" s="4" t="s">
        <v>6</v>
      </c>
      <c r="BC8" s="16">
        <v>45292</v>
      </c>
      <c r="BD8" s="16" t="s">
        <v>27</v>
      </c>
      <c r="BE8" s="16" t="s">
        <v>27</v>
      </c>
      <c r="BF8" s="16" t="s">
        <v>27</v>
      </c>
      <c r="BG8" s="16" t="s">
        <v>27</v>
      </c>
      <c r="BH8" s="16" t="s">
        <v>27</v>
      </c>
      <c r="BI8" s="16" t="s">
        <v>27</v>
      </c>
      <c r="BJ8" s="16" t="s">
        <v>27</v>
      </c>
      <c r="BK8" s="16" t="s">
        <v>27</v>
      </c>
      <c r="BL8" s="16" t="s">
        <v>27</v>
      </c>
      <c r="BM8" s="16" t="s">
        <v>27</v>
      </c>
      <c r="BN8" s="16" t="s">
        <v>173</v>
      </c>
      <c r="BO8" s="16" t="s">
        <v>173</v>
      </c>
      <c r="BP8" s="16" t="s">
        <v>217</v>
      </c>
      <c r="BQ8" s="16" t="s">
        <v>217</v>
      </c>
      <c r="BR8" s="16" t="s">
        <v>217</v>
      </c>
      <c r="BS8" s="16" t="s">
        <v>173</v>
      </c>
      <c r="BT8" s="16" t="s">
        <v>27</v>
      </c>
      <c r="BU8" s="16" t="s">
        <v>27</v>
      </c>
      <c r="BV8" s="16" t="s">
        <v>27</v>
      </c>
      <c r="BW8" s="16" t="s">
        <v>27</v>
      </c>
      <c r="BX8" s="16" t="s">
        <v>27</v>
      </c>
      <c r="BY8" s="16" t="s">
        <v>27</v>
      </c>
      <c r="BZ8" s="16" t="s">
        <v>27</v>
      </c>
      <c r="CA8" s="16" t="s">
        <v>27</v>
      </c>
      <c r="CB8" s="16" t="s">
        <v>173</v>
      </c>
      <c r="CC8" s="16" t="s">
        <v>174</v>
      </c>
      <c r="CD8" s="16" t="s">
        <v>6</v>
      </c>
      <c r="CE8" s="16">
        <v>45658</v>
      </c>
      <c r="CF8" s="16"/>
      <c r="CG8" s="16"/>
      <c r="CH8" s="38"/>
      <c r="CI8" s="39"/>
      <c r="CJ8" s="39"/>
      <c r="CK8" s="40"/>
      <c r="CL8" s="16" t="s">
        <v>6</v>
      </c>
      <c r="CM8" s="16">
        <v>46023</v>
      </c>
      <c r="CN8" s="16"/>
      <c r="CO8" s="16"/>
      <c r="CP8" s="38"/>
      <c r="CQ8" s="39"/>
      <c r="CR8" s="39"/>
      <c r="CS8" s="40"/>
      <c r="CT8" s="16" t="s">
        <v>178</v>
      </c>
      <c r="CV8" s="1" t="s">
        <v>175</v>
      </c>
      <c r="CW8" s="1" t="s">
        <v>177</v>
      </c>
      <c r="CX8" s="1" t="s">
        <v>214</v>
      </c>
      <c r="CY8" s="1" t="s">
        <v>239</v>
      </c>
      <c r="CZ8" s="1" t="s">
        <v>264</v>
      </c>
      <c r="DA8" s="17" t="s">
        <v>262</v>
      </c>
      <c r="DB8" s="4" t="s">
        <v>283</v>
      </c>
      <c r="DC8" s="1" t="s">
        <v>6</v>
      </c>
      <c r="DD8" s="16">
        <v>45292</v>
      </c>
      <c r="DE8" s="4" t="s">
        <v>175</v>
      </c>
      <c r="DF8" s="4" t="s">
        <v>296</v>
      </c>
      <c r="DG8" s="4" t="s">
        <v>340</v>
      </c>
      <c r="DH8" s="4" t="s">
        <v>31</v>
      </c>
      <c r="DI8" s="4" t="s">
        <v>164</v>
      </c>
      <c r="DJ8" s="4" t="s">
        <v>164</v>
      </c>
      <c r="DK8" s="4" t="s">
        <v>171</v>
      </c>
      <c r="DL8" s="4" t="s">
        <v>164</v>
      </c>
      <c r="DM8" s="4" t="s">
        <v>283</v>
      </c>
      <c r="DN8" s="4" t="s">
        <v>6</v>
      </c>
      <c r="DO8" s="16">
        <v>45658</v>
      </c>
      <c r="DP8" s="4" t="s">
        <v>296</v>
      </c>
      <c r="DQ8" s="4" t="s">
        <v>164</v>
      </c>
      <c r="DR8" s="4" t="s">
        <v>31</v>
      </c>
      <c r="DS8" s="4" t="s">
        <v>275</v>
      </c>
      <c r="DT8" s="4" t="s">
        <v>171</v>
      </c>
      <c r="DU8" s="4" t="s">
        <v>283</v>
      </c>
      <c r="DV8" s="4" t="s">
        <v>178</v>
      </c>
      <c r="DW8" s="16">
        <v>46023</v>
      </c>
      <c r="DX8" s="4" t="s">
        <v>171</v>
      </c>
      <c r="DY8" s="1" t="s">
        <v>6</v>
      </c>
    </row>
    <row r="9" spans="1:129" x14ac:dyDescent="0.25">
      <c r="B9" s="50"/>
      <c r="C9" s="51"/>
      <c r="D9" s="2"/>
      <c r="E9" s="2"/>
      <c r="F9" s="10" t="s">
        <v>73</v>
      </c>
      <c r="G9" s="8" t="s">
        <v>28</v>
      </c>
      <c r="H9" s="8" t="s">
        <v>56</v>
      </c>
      <c r="I9" s="8" t="s">
        <v>32</v>
      </c>
      <c r="J9" s="8" t="s">
        <v>66</v>
      </c>
      <c r="K9" s="10" t="s">
        <v>73</v>
      </c>
      <c r="L9" s="10" t="s">
        <v>100</v>
      </c>
      <c r="M9" s="10" t="s">
        <v>130</v>
      </c>
      <c r="N9" s="10" t="s">
        <v>125</v>
      </c>
      <c r="O9" s="10" t="s">
        <v>135</v>
      </c>
      <c r="P9" s="10" t="s">
        <v>133</v>
      </c>
      <c r="Q9" s="10" t="s">
        <v>140</v>
      </c>
      <c r="R9" s="10" t="s">
        <v>73</v>
      </c>
      <c r="S9" s="8" t="s">
        <v>149</v>
      </c>
      <c r="T9" s="10" t="s">
        <v>56</v>
      </c>
      <c r="U9" s="10" t="s">
        <v>152</v>
      </c>
      <c r="V9" s="10" t="s">
        <v>54</v>
      </c>
      <c r="W9" s="10" t="s">
        <v>159</v>
      </c>
      <c r="X9" s="10" t="s">
        <v>130</v>
      </c>
      <c r="Y9" s="10" t="s">
        <v>149</v>
      </c>
      <c r="Z9" s="10" t="s">
        <v>28</v>
      </c>
      <c r="AA9" s="10" t="s">
        <v>162</v>
      </c>
      <c r="AB9" s="10" t="s">
        <v>128</v>
      </c>
      <c r="AC9" s="10" t="s">
        <v>32</v>
      </c>
      <c r="AD9" s="10" t="s">
        <v>169</v>
      </c>
      <c r="AE9" s="10" t="s">
        <v>172</v>
      </c>
      <c r="AF9" s="10" t="s">
        <v>174</v>
      </c>
      <c r="AG9" s="2" t="s">
        <v>6</v>
      </c>
      <c r="AH9" s="2"/>
      <c r="AI9" s="10" t="s">
        <v>56</v>
      </c>
      <c r="AJ9" s="10" t="s">
        <v>149</v>
      </c>
      <c r="AK9" s="18" t="s">
        <v>54</v>
      </c>
      <c r="AL9" s="18" t="s">
        <v>134</v>
      </c>
      <c r="AM9" s="18" t="s">
        <v>162</v>
      </c>
      <c r="AN9" s="18" t="s">
        <v>66</v>
      </c>
      <c r="AO9" s="18" t="s">
        <v>132</v>
      </c>
      <c r="AP9" s="18" t="s">
        <v>141</v>
      </c>
      <c r="AQ9" s="18" t="s">
        <v>134</v>
      </c>
      <c r="AR9" s="18" t="s">
        <v>128</v>
      </c>
      <c r="AS9" s="18" t="s">
        <v>132</v>
      </c>
      <c r="AT9" s="18" t="s">
        <v>56</v>
      </c>
      <c r="AU9" s="18" t="s">
        <v>162</v>
      </c>
      <c r="AV9" s="18" t="s">
        <v>54</v>
      </c>
      <c r="AW9" s="18" t="s">
        <v>267</v>
      </c>
      <c r="AX9" s="18" t="s">
        <v>149</v>
      </c>
      <c r="AY9" s="18" t="s">
        <v>141</v>
      </c>
      <c r="AZ9" s="18" t="s">
        <v>128</v>
      </c>
      <c r="BA9" s="18"/>
      <c r="BB9" s="2"/>
      <c r="BC9" s="10"/>
      <c r="BD9" s="10" t="s">
        <v>130</v>
      </c>
      <c r="BE9" s="10" t="s">
        <v>328</v>
      </c>
      <c r="BF9" s="10" t="s">
        <v>149</v>
      </c>
      <c r="BG9" s="10" t="s">
        <v>346</v>
      </c>
      <c r="BH9" s="10" t="s">
        <v>251</v>
      </c>
      <c r="BI9" s="10" t="s">
        <v>128</v>
      </c>
      <c r="BJ9" s="10" t="s">
        <v>159</v>
      </c>
      <c r="BK9" s="10" t="s">
        <v>54</v>
      </c>
      <c r="BL9" s="10" t="s">
        <v>56</v>
      </c>
      <c r="BM9" s="10" t="s">
        <v>66</v>
      </c>
      <c r="BN9" s="10" t="s">
        <v>132</v>
      </c>
      <c r="BO9" s="10" t="s">
        <v>396</v>
      </c>
      <c r="BP9" s="10" t="s">
        <v>132</v>
      </c>
      <c r="BQ9" s="10" t="s">
        <v>134</v>
      </c>
      <c r="BR9" s="10" t="s">
        <v>141</v>
      </c>
      <c r="BS9" s="10" t="s">
        <v>134</v>
      </c>
      <c r="BT9" s="10" t="s">
        <v>130</v>
      </c>
      <c r="BU9" s="10" t="s">
        <v>346</v>
      </c>
      <c r="BV9" s="10" t="s">
        <v>54</v>
      </c>
      <c r="BW9" s="10" t="s">
        <v>251</v>
      </c>
      <c r="BX9" s="10" t="s">
        <v>328</v>
      </c>
      <c r="BY9" s="10" t="s">
        <v>56</v>
      </c>
      <c r="BZ9" s="10" t="s">
        <v>159</v>
      </c>
      <c r="CA9" s="10" t="s">
        <v>458</v>
      </c>
      <c r="CB9" s="10" t="s">
        <v>141</v>
      </c>
      <c r="CC9" s="10" t="s">
        <v>475</v>
      </c>
      <c r="CD9" s="10"/>
      <c r="CE9" s="10"/>
      <c r="CF9" s="8" t="s">
        <v>27</v>
      </c>
      <c r="CG9" s="8" t="s">
        <v>217</v>
      </c>
      <c r="CH9" s="52" t="s">
        <v>477</v>
      </c>
      <c r="CI9" s="53"/>
      <c r="CJ9" s="53"/>
      <c r="CK9" s="54"/>
      <c r="CL9" s="10"/>
      <c r="CM9" s="10"/>
      <c r="CN9" s="8" t="s">
        <v>27</v>
      </c>
      <c r="CO9" s="8" t="s">
        <v>217</v>
      </c>
      <c r="CP9" s="52" t="s">
        <v>477</v>
      </c>
      <c r="CQ9" s="53"/>
      <c r="CR9" s="53"/>
      <c r="CS9" s="54"/>
      <c r="CT9" s="8"/>
      <c r="CV9" s="2" t="s">
        <v>176</v>
      </c>
      <c r="CW9" s="2"/>
      <c r="CX9" s="2"/>
      <c r="CY9" s="2"/>
      <c r="CZ9" s="2" t="s">
        <v>265</v>
      </c>
      <c r="DA9" s="18" t="s">
        <v>263</v>
      </c>
      <c r="DB9" s="10" t="s">
        <v>284</v>
      </c>
      <c r="DC9" s="2"/>
      <c r="DD9" s="7"/>
      <c r="DE9" s="10" t="s">
        <v>176</v>
      </c>
      <c r="DF9" s="10"/>
      <c r="DG9" s="10" t="s">
        <v>341</v>
      </c>
      <c r="DH9" s="10" t="s">
        <v>354</v>
      </c>
      <c r="DI9" s="10" t="s">
        <v>419</v>
      </c>
      <c r="DJ9" s="10" t="s">
        <v>255</v>
      </c>
      <c r="DK9" s="10" t="s">
        <v>255</v>
      </c>
      <c r="DL9" s="10" t="s">
        <v>263</v>
      </c>
      <c r="DM9" s="10" t="s">
        <v>73</v>
      </c>
      <c r="DN9" s="10"/>
      <c r="DO9" s="10"/>
      <c r="DP9" s="10"/>
      <c r="DQ9" s="10" t="s">
        <v>100</v>
      </c>
      <c r="DR9" s="10" t="s">
        <v>419</v>
      </c>
      <c r="DS9" s="10" t="s">
        <v>419</v>
      </c>
      <c r="DT9" s="10" t="s">
        <v>255</v>
      </c>
      <c r="DU9" s="10" t="s">
        <v>73</v>
      </c>
      <c r="DV9" s="10"/>
      <c r="DW9" s="10"/>
      <c r="DX9" s="10" t="s">
        <v>419</v>
      </c>
      <c r="DY9" s="2"/>
    </row>
    <row r="10" spans="1:129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44653</v>
      </c>
      <c r="H10" s="9">
        <v>44660</v>
      </c>
      <c r="I10" s="9">
        <v>44661</v>
      </c>
      <c r="J10" s="9">
        <v>44674</v>
      </c>
      <c r="K10" s="9">
        <v>44681</v>
      </c>
      <c r="L10" s="9">
        <v>44695</v>
      </c>
      <c r="M10" s="9">
        <v>44709</v>
      </c>
      <c r="N10" s="9">
        <v>44709</v>
      </c>
      <c r="O10" s="9">
        <v>44730</v>
      </c>
      <c r="P10" s="9">
        <v>44730</v>
      </c>
      <c r="Q10" s="9">
        <v>44737</v>
      </c>
      <c r="R10" s="9">
        <v>44758</v>
      </c>
      <c r="S10" s="9">
        <v>44765</v>
      </c>
      <c r="T10" s="9">
        <v>44779</v>
      </c>
      <c r="U10" s="9">
        <v>44783</v>
      </c>
      <c r="V10" s="9">
        <v>44793</v>
      </c>
      <c r="W10" s="9">
        <v>44800</v>
      </c>
      <c r="X10" s="9">
        <v>44800</v>
      </c>
      <c r="Y10" s="9">
        <v>44814</v>
      </c>
      <c r="Z10" s="9">
        <v>44814</v>
      </c>
      <c r="AA10" s="9">
        <v>44814</v>
      </c>
      <c r="AB10" s="9">
        <v>44814</v>
      </c>
      <c r="AC10" s="9">
        <v>44819</v>
      </c>
      <c r="AD10" s="9">
        <v>44829</v>
      </c>
      <c r="AE10" s="9">
        <v>44867</v>
      </c>
      <c r="AF10" s="9">
        <v>44906</v>
      </c>
      <c r="AG10" s="2">
        <v>2022</v>
      </c>
      <c r="AH10" s="2"/>
      <c r="AI10" s="2" t="s">
        <v>180</v>
      </c>
      <c r="AJ10" s="2" t="s">
        <v>185</v>
      </c>
      <c r="AK10" s="18" t="s">
        <v>189</v>
      </c>
      <c r="AL10" s="18" t="s">
        <v>193</v>
      </c>
      <c r="AM10" s="18" t="s">
        <v>213</v>
      </c>
      <c r="AN10" s="18" t="s">
        <v>216</v>
      </c>
      <c r="AO10" s="18" t="s">
        <v>218</v>
      </c>
      <c r="AP10" s="18" t="s">
        <v>228</v>
      </c>
      <c r="AQ10" s="18" t="s">
        <v>234</v>
      </c>
      <c r="AR10" s="18" t="s">
        <v>240</v>
      </c>
      <c r="AS10" s="18" t="s">
        <v>242</v>
      </c>
      <c r="AT10" s="18" t="s">
        <v>254</v>
      </c>
      <c r="AU10" s="18" t="s">
        <v>256</v>
      </c>
      <c r="AV10" s="18" t="s">
        <v>258</v>
      </c>
      <c r="AW10" s="18" t="s">
        <v>266</v>
      </c>
      <c r="AX10" s="18" t="s">
        <v>266</v>
      </c>
      <c r="AY10" s="18" t="s">
        <v>268</v>
      </c>
      <c r="AZ10" s="18" t="s">
        <v>277</v>
      </c>
      <c r="BA10" s="18" t="s">
        <v>289</v>
      </c>
      <c r="BB10" s="2">
        <v>2023</v>
      </c>
      <c r="BC10" s="31"/>
      <c r="BD10" s="31" t="s">
        <v>317</v>
      </c>
      <c r="BE10" s="31" t="s">
        <v>317</v>
      </c>
      <c r="BF10" s="31" t="s">
        <v>317</v>
      </c>
      <c r="BG10" s="31" t="s">
        <v>317</v>
      </c>
      <c r="BH10" s="31" t="s">
        <v>317</v>
      </c>
      <c r="BI10" s="31" t="s">
        <v>317</v>
      </c>
      <c r="BJ10" s="31" t="s">
        <v>317</v>
      </c>
      <c r="BK10" s="31" t="s">
        <v>356</v>
      </c>
      <c r="BL10" s="31" t="s">
        <v>373</v>
      </c>
      <c r="BM10" s="31" t="s">
        <v>373</v>
      </c>
      <c r="BN10" s="31" t="s">
        <v>384</v>
      </c>
      <c r="BO10" s="31" t="s">
        <v>397</v>
      </c>
      <c r="BP10" s="31" t="s">
        <v>405</v>
      </c>
      <c r="BQ10" s="31" t="s">
        <v>405</v>
      </c>
      <c r="BR10" s="31" t="s">
        <v>416</v>
      </c>
      <c r="BS10" s="31" t="s">
        <v>421</v>
      </c>
      <c r="BT10" s="31" t="s">
        <v>439</v>
      </c>
      <c r="BU10" s="31" t="s">
        <v>441</v>
      </c>
      <c r="BV10" s="31" t="s">
        <v>441</v>
      </c>
      <c r="BW10" s="31" t="s">
        <v>440</v>
      </c>
      <c r="BX10" s="31" t="s">
        <v>445</v>
      </c>
      <c r="BY10" s="31" t="s">
        <v>445</v>
      </c>
      <c r="BZ10" s="31" t="s">
        <v>445</v>
      </c>
      <c r="CA10" s="31" t="s">
        <v>459</v>
      </c>
      <c r="CB10" s="31" t="s">
        <v>465</v>
      </c>
      <c r="CC10" s="31" t="s">
        <v>476</v>
      </c>
      <c r="CD10" s="31">
        <v>2024</v>
      </c>
      <c r="CE10" s="10"/>
      <c r="CF10" s="10"/>
      <c r="CG10" s="10"/>
      <c r="CH10" s="10">
        <v>1</v>
      </c>
      <c r="CI10" s="10">
        <v>2</v>
      </c>
      <c r="CJ10" s="10">
        <v>3</v>
      </c>
      <c r="CK10" s="10">
        <v>4</v>
      </c>
      <c r="CL10" s="10">
        <v>2025</v>
      </c>
      <c r="CM10" s="10"/>
      <c r="CN10" s="10"/>
      <c r="CO10" s="10"/>
      <c r="CP10" s="10">
        <v>1</v>
      </c>
      <c r="CQ10" s="10">
        <v>2</v>
      </c>
      <c r="CR10" s="10">
        <v>3</v>
      </c>
      <c r="CS10" s="10">
        <v>4</v>
      </c>
      <c r="CT10" s="10">
        <v>2026</v>
      </c>
      <c r="CV10" s="13"/>
      <c r="CW10" s="14">
        <v>44986</v>
      </c>
      <c r="CX10" s="14">
        <v>45078</v>
      </c>
      <c r="CY10" s="14">
        <v>45127</v>
      </c>
      <c r="CZ10" s="14">
        <v>45154</v>
      </c>
      <c r="DA10" s="26">
        <v>45178</v>
      </c>
      <c r="DB10" s="8">
        <v>45255</v>
      </c>
      <c r="DC10" s="2">
        <v>2023</v>
      </c>
      <c r="DD10" s="7"/>
      <c r="DE10" s="10"/>
      <c r="DF10" s="9">
        <v>45347</v>
      </c>
      <c r="DG10" s="9" t="s">
        <v>342</v>
      </c>
      <c r="DH10" s="9" t="s">
        <v>355</v>
      </c>
      <c r="DI10" s="9" t="s">
        <v>228</v>
      </c>
      <c r="DJ10" s="9" t="s">
        <v>456</v>
      </c>
      <c r="DK10" s="9" t="s">
        <v>457</v>
      </c>
      <c r="DL10" s="9" t="s">
        <v>473</v>
      </c>
      <c r="DM10" s="9" t="s">
        <v>474</v>
      </c>
      <c r="DN10" s="10">
        <v>2024</v>
      </c>
      <c r="DO10" s="10"/>
      <c r="DP10" s="10" t="s">
        <v>480</v>
      </c>
      <c r="DQ10" s="10" t="s">
        <v>317</v>
      </c>
      <c r="DR10" s="10" t="s">
        <v>527</v>
      </c>
      <c r="DS10" s="10" t="s">
        <v>616</v>
      </c>
      <c r="DT10" s="10" t="s">
        <v>632</v>
      </c>
      <c r="DU10" s="10" t="s">
        <v>474</v>
      </c>
      <c r="DV10" s="10">
        <v>2025</v>
      </c>
      <c r="DW10" s="10"/>
      <c r="DX10" s="10" t="s">
        <v>723</v>
      </c>
      <c r="DY10" s="2">
        <v>2026</v>
      </c>
    </row>
    <row r="11" spans="1:129" x14ac:dyDescent="0.25">
      <c r="A11">
        <v>1</v>
      </c>
      <c r="B11" s="11" t="s">
        <v>123</v>
      </c>
      <c r="C11" s="5"/>
      <c r="D11" s="5" t="s">
        <v>348</v>
      </c>
      <c r="E11" s="5" t="s">
        <v>75</v>
      </c>
      <c r="F11" s="5"/>
      <c r="G11" s="5"/>
      <c r="H11" s="5"/>
      <c r="I11" s="5"/>
      <c r="J11" s="5"/>
      <c r="K11" s="5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11"/>
      <c r="BH11" s="5"/>
      <c r="BI11" s="5"/>
      <c r="BJ11" s="5"/>
      <c r="BK11" s="5"/>
      <c r="BL11" s="5"/>
      <c r="BM11" s="5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5"/>
      <c r="CE11" s="5"/>
      <c r="CF11" s="11">
        <v>33.6</v>
      </c>
      <c r="CG11" s="11">
        <v>64</v>
      </c>
      <c r="CH11" s="11">
        <v>36</v>
      </c>
      <c r="CI11" s="11">
        <v>75</v>
      </c>
      <c r="CJ11" s="11">
        <v>100</v>
      </c>
      <c r="CK11" s="11">
        <v>100</v>
      </c>
      <c r="CL11" s="5">
        <f t="shared" ref="CL11:CL21" si="0">SUM(CE11:CK11)</f>
        <v>408.6</v>
      </c>
      <c r="CM11" s="5">
        <f t="shared" ref="CM11:CM21" si="1">(CL11-CE11)/2</f>
        <v>204.3</v>
      </c>
      <c r="CN11" s="11">
        <v>42</v>
      </c>
      <c r="CO11" s="11">
        <v>64</v>
      </c>
      <c r="CP11" s="11">
        <v>150</v>
      </c>
      <c r="CQ11" s="11">
        <v>100</v>
      </c>
      <c r="CR11" s="11"/>
      <c r="CS11" s="11"/>
      <c r="CT11" s="5">
        <f t="shared" ref="CT11:CT42" si="2">SUM(CM11:CS11)</f>
        <v>560.29999999999995</v>
      </c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11"/>
      <c r="DQ11" s="11"/>
      <c r="DR11" s="11"/>
      <c r="DS11" s="11"/>
      <c r="DT11" s="11"/>
      <c r="DU11" s="11"/>
      <c r="DV11" s="5">
        <f>SUM(DO11:DQ11)</f>
        <v>0</v>
      </c>
      <c r="DW11" s="5">
        <f t="shared" ref="DW11:DW42" si="3">(DV11-DO11)/2</f>
        <v>0</v>
      </c>
      <c r="DX11" s="11"/>
      <c r="DY11" s="5">
        <f t="shared" ref="DY11:DY18" si="4">SUM(DW11:DW11)</f>
        <v>0</v>
      </c>
    </row>
    <row r="12" spans="1:129" x14ac:dyDescent="0.25">
      <c r="A12">
        <v>2</v>
      </c>
      <c r="B12" s="11" t="s">
        <v>542</v>
      </c>
      <c r="C12" s="5"/>
      <c r="D12" s="5" t="s">
        <v>543</v>
      </c>
      <c r="E12" s="5" t="s">
        <v>8</v>
      </c>
      <c r="F12" s="5"/>
      <c r="G12" s="5"/>
      <c r="H12" s="5"/>
      <c r="I12" s="5"/>
      <c r="J12" s="5"/>
      <c r="K12" s="5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11"/>
      <c r="BH12" s="5"/>
      <c r="BI12" s="5"/>
      <c r="BJ12" s="5"/>
      <c r="BK12" s="5"/>
      <c r="BL12" s="5"/>
      <c r="BM12" s="5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5"/>
      <c r="CE12" s="5"/>
      <c r="CF12" s="11">
        <v>33.6</v>
      </c>
      <c r="CG12" s="11">
        <v>64</v>
      </c>
      <c r="CH12" s="11">
        <v>75</v>
      </c>
      <c r="CI12" s="11">
        <v>72</v>
      </c>
      <c r="CJ12" s="11">
        <v>54</v>
      </c>
      <c r="CK12" s="11">
        <v>64</v>
      </c>
      <c r="CL12" s="5">
        <f t="shared" si="0"/>
        <v>362.6</v>
      </c>
      <c r="CM12" s="5">
        <f t="shared" si="1"/>
        <v>181.3</v>
      </c>
      <c r="CN12" s="11">
        <v>48</v>
      </c>
      <c r="CO12" s="11">
        <v>80</v>
      </c>
      <c r="CP12" s="11">
        <v>105</v>
      </c>
      <c r="CQ12" s="11">
        <v>33.6</v>
      </c>
      <c r="CR12" s="11"/>
      <c r="CS12" s="11"/>
      <c r="CT12" s="5">
        <f t="shared" si="2"/>
        <v>447.90000000000003</v>
      </c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11"/>
      <c r="DQ12" s="11"/>
      <c r="DR12" s="11"/>
      <c r="DS12" s="11"/>
      <c r="DT12" s="11"/>
      <c r="DU12" s="11">
        <v>2.5</v>
      </c>
      <c r="DV12" s="5">
        <f>SUM(DO12:DU12)</f>
        <v>2.5</v>
      </c>
      <c r="DW12" s="5">
        <f t="shared" si="3"/>
        <v>1.25</v>
      </c>
      <c r="DX12" s="11"/>
      <c r="DY12" s="5">
        <f t="shared" si="4"/>
        <v>1.25</v>
      </c>
    </row>
    <row r="13" spans="1:129" x14ac:dyDescent="0.25">
      <c r="A13">
        <v>3</v>
      </c>
      <c r="B13" s="11" t="s">
        <v>37</v>
      </c>
      <c r="C13" s="5" t="s">
        <v>326</v>
      </c>
      <c r="D13" s="5" t="s">
        <v>236</v>
      </c>
      <c r="E13" s="5" t="s">
        <v>327</v>
      </c>
      <c r="F13" s="5"/>
      <c r="G13" s="5"/>
      <c r="H13" s="5"/>
      <c r="I13" s="5"/>
      <c r="J13" s="5"/>
      <c r="K13" s="5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36</v>
      </c>
      <c r="BE13" s="5"/>
      <c r="BF13" s="5"/>
      <c r="BG13" s="11"/>
      <c r="BH13" s="5"/>
      <c r="BI13" s="5"/>
      <c r="BJ13" s="5"/>
      <c r="BK13" s="5"/>
      <c r="BL13" s="5"/>
      <c r="BM13" s="5"/>
      <c r="BN13" s="11">
        <v>39</v>
      </c>
      <c r="BO13" s="11"/>
      <c r="BP13" s="11"/>
      <c r="BQ13" s="11"/>
      <c r="BR13" s="11">
        <v>32</v>
      </c>
      <c r="BS13" s="11">
        <v>39</v>
      </c>
      <c r="BT13" s="11">
        <v>36</v>
      </c>
      <c r="BU13" s="11"/>
      <c r="BV13" s="11"/>
      <c r="BW13" s="11"/>
      <c r="BX13" s="11"/>
      <c r="BY13" s="11"/>
      <c r="BZ13" s="11"/>
      <c r="CA13" s="11"/>
      <c r="CB13" s="11">
        <v>54</v>
      </c>
      <c r="CC13" s="11"/>
      <c r="CD13" s="5">
        <f>SUM(BC13:CC13)</f>
        <v>236</v>
      </c>
      <c r="CE13" s="5">
        <f>(CD13-BC13)/2</f>
        <v>118</v>
      </c>
      <c r="CF13" s="11"/>
      <c r="CG13" s="11">
        <v>28.8</v>
      </c>
      <c r="CH13" s="11">
        <v>38</v>
      </c>
      <c r="CI13" s="11"/>
      <c r="CJ13" s="11"/>
      <c r="CK13" s="11"/>
      <c r="CL13" s="5">
        <f t="shared" si="0"/>
        <v>184.8</v>
      </c>
      <c r="CM13" s="5">
        <f t="shared" si="1"/>
        <v>33.400000000000006</v>
      </c>
      <c r="CN13" s="11">
        <v>60</v>
      </c>
      <c r="CO13" s="11">
        <v>80</v>
      </c>
      <c r="CP13" s="11">
        <v>75</v>
      </c>
      <c r="CQ13" s="11">
        <v>24</v>
      </c>
      <c r="CR13" s="11"/>
      <c r="CS13" s="11"/>
      <c r="CT13" s="5">
        <f t="shared" si="2"/>
        <v>272.39999999999998</v>
      </c>
      <c r="CV13" s="5"/>
      <c r="CW13" s="5"/>
      <c r="CX13" s="5"/>
      <c r="CY13" s="5"/>
      <c r="CZ13" s="5"/>
      <c r="DA13" s="5"/>
      <c r="DB13" s="5"/>
      <c r="DC13" s="5">
        <f>SUM(CV13:CW13)</f>
        <v>0</v>
      </c>
      <c r="DD13" s="11">
        <f>(DC13)/2</f>
        <v>0</v>
      </c>
      <c r="DE13" s="11">
        <f>CD13/4</f>
        <v>59</v>
      </c>
      <c r="DF13" s="5"/>
      <c r="DG13" s="5"/>
      <c r="DH13" s="5"/>
      <c r="DI13" s="5"/>
      <c r="DJ13" s="5"/>
      <c r="DK13" s="5"/>
      <c r="DL13" s="5"/>
      <c r="DM13" s="5"/>
      <c r="DN13" s="11">
        <f>SUM(DD13:DM13)</f>
        <v>59</v>
      </c>
      <c r="DO13" s="5">
        <f>(DN13-DD13)/2</f>
        <v>29.5</v>
      </c>
      <c r="DP13" s="11"/>
      <c r="DQ13" s="11"/>
      <c r="DR13" s="11"/>
      <c r="DS13" s="11"/>
      <c r="DT13" s="11"/>
      <c r="DU13" s="11"/>
      <c r="DV13" s="5">
        <f>SUM(DO13:DU13)</f>
        <v>29.5</v>
      </c>
      <c r="DW13" s="5">
        <f t="shared" si="3"/>
        <v>0</v>
      </c>
      <c r="DX13" s="11"/>
      <c r="DY13" s="5">
        <f t="shared" si="4"/>
        <v>0</v>
      </c>
    </row>
    <row r="14" spans="1:129" x14ac:dyDescent="0.25">
      <c r="A14">
        <v>4</v>
      </c>
      <c r="B14" s="11" t="s">
        <v>592</v>
      </c>
      <c r="C14" s="5"/>
      <c r="D14" s="5" t="s">
        <v>350</v>
      </c>
      <c r="E14" s="5" t="s">
        <v>9</v>
      </c>
      <c r="F14" s="5"/>
      <c r="G14" s="5"/>
      <c r="H14" s="5"/>
      <c r="I14" s="5"/>
      <c r="J14" s="5"/>
      <c r="K14" s="5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11"/>
      <c r="BH14" s="5"/>
      <c r="BI14" s="5"/>
      <c r="BJ14" s="5"/>
      <c r="BK14" s="5"/>
      <c r="BL14" s="5"/>
      <c r="BM14" s="5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5"/>
      <c r="CE14" s="5"/>
      <c r="CF14" s="11">
        <v>48</v>
      </c>
      <c r="CG14" s="11"/>
      <c r="CH14" s="11">
        <v>7.5</v>
      </c>
      <c r="CI14" s="11">
        <v>36</v>
      </c>
      <c r="CJ14" s="11"/>
      <c r="CK14" s="11"/>
      <c r="CL14" s="5">
        <f t="shared" si="0"/>
        <v>91.5</v>
      </c>
      <c r="CM14" s="5">
        <f t="shared" si="1"/>
        <v>45.75</v>
      </c>
      <c r="CN14" s="11">
        <v>48</v>
      </c>
      <c r="CO14" s="11">
        <v>40</v>
      </c>
      <c r="CP14" s="11">
        <v>75</v>
      </c>
      <c r="CQ14" s="11">
        <v>33.6</v>
      </c>
      <c r="CR14" s="11"/>
      <c r="CS14" s="11"/>
      <c r="CT14" s="5">
        <f t="shared" si="2"/>
        <v>242.35</v>
      </c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11"/>
      <c r="DQ14" s="11"/>
      <c r="DR14" s="11"/>
      <c r="DS14" s="11"/>
      <c r="DT14" s="11"/>
      <c r="DU14" s="11"/>
      <c r="DV14" s="5">
        <f>SUM(DO14:DU14)</f>
        <v>0</v>
      </c>
      <c r="DW14" s="5">
        <f t="shared" si="3"/>
        <v>0</v>
      </c>
      <c r="DX14" s="11"/>
      <c r="DY14" s="5">
        <f t="shared" si="4"/>
        <v>0</v>
      </c>
    </row>
    <row r="15" spans="1:129" x14ac:dyDescent="0.25">
      <c r="A15">
        <v>5</v>
      </c>
      <c r="B15" s="23" t="s">
        <v>377</v>
      </c>
      <c r="C15" s="20"/>
      <c r="D15" s="20" t="s">
        <v>378</v>
      </c>
      <c r="E15" s="20" t="s">
        <v>379</v>
      </c>
      <c r="F15" s="5"/>
      <c r="G15" s="5"/>
      <c r="H15" s="5"/>
      <c r="I15" s="5"/>
      <c r="J15" s="5"/>
      <c r="K15" s="5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11"/>
      <c r="BH15" s="5"/>
      <c r="BI15" s="5"/>
      <c r="BJ15" s="5"/>
      <c r="BK15" s="5"/>
      <c r="BL15" s="5">
        <v>36</v>
      </c>
      <c r="BM15" s="5"/>
      <c r="BN15" s="11"/>
      <c r="BO15" s="11"/>
      <c r="BP15" s="11"/>
      <c r="BQ15" s="11"/>
      <c r="BR15" s="11">
        <v>64</v>
      </c>
      <c r="BS15" s="11">
        <v>75</v>
      </c>
      <c r="BT15" s="11"/>
      <c r="BU15" s="11"/>
      <c r="BV15" s="11"/>
      <c r="BW15" s="11"/>
      <c r="BX15" s="11"/>
      <c r="BY15" s="11">
        <v>36</v>
      </c>
      <c r="BZ15" s="11"/>
      <c r="CA15" s="11"/>
      <c r="CB15" s="11">
        <v>54</v>
      </c>
      <c r="CC15" s="11">
        <v>72</v>
      </c>
      <c r="CD15" s="5">
        <f>SUM(BC15:CC15)</f>
        <v>337</v>
      </c>
      <c r="CE15" s="5">
        <f>(CD15-BC15)/2</f>
        <v>168.5</v>
      </c>
      <c r="CF15" s="11">
        <v>48</v>
      </c>
      <c r="CG15" s="11">
        <v>40</v>
      </c>
      <c r="CH15" s="11">
        <v>105</v>
      </c>
      <c r="CI15" s="11">
        <v>70</v>
      </c>
      <c r="CJ15" s="11">
        <v>54</v>
      </c>
      <c r="CK15" s="11">
        <v>140</v>
      </c>
      <c r="CL15" s="5">
        <f t="shared" si="0"/>
        <v>625.5</v>
      </c>
      <c r="CM15" s="5">
        <f t="shared" si="1"/>
        <v>228.5</v>
      </c>
      <c r="CN15" s="11"/>
      <c r="CO15" s="11"/>
      <c r="CP15" s="11"/>
      <c r="CQ15" s="11"/>
      <c r="CR15" s="11"/>
      <c r="CS15" s="11"/>
      <c r="CT15" s="5">
        <f t="shared" si="2"/>
        <v>228.5</v>
      </c>
      <c r="CV15" s="5"/>
      <c r="CW15" s="5"/>
      <c r="CX15" s="5"/>
      <c r="CY15" s="5"/>
      <c r="CZ15" s="5"/>
      <c r="DA15" s="5"/>
      <c r="DB15" s="5"/>
      <c r="DC15" s="5">
        <f>SUM(CV15:CW15)</f>
        <v>0</v>
      </c>
      <c r="DD15" s="11">
        <f>(DC15)/2</f>
        <v>0</v>
      </c>
      <c r="DE15" s="11">
        <f>CD15/4</f>
        <v>84.25</v>
      </c>
      <c r="DF15" s="5"/>
      <c r="DG15" s="5"/>
      <c r="DH15" s="5"/>
      <c r="DI15" s="5"/>
      <c r="DJ15" s="5"/>
      <c r="DK15" s="5"/>
      <c r="DL15" s="5"/>
      <c r="DM15" s="5"/>
      <c r="DN15" s="11">
        <f>SUM(DD15:DM15)</f>
        <v>84.25</v>
      </c>
      <c r="DO15" s="5">
        <f>(DN15-DD15)/2</f>
        <v>42.125</v>
      </c>
      <c r="DP15" s="11">
        <v>14</v>
      </c>
      <c r="DQ15" s="11"/>
      <c r="DR15" s="11"/>
      <c r="DS15" s="11"/>
      <c r="DT15" s="11">
        <v>5</v>
      </c>
      <c r="DU15" s="11">
        <v>50</v>
      </c>
      <c r="DV15" s="5">
        <f>SUM(DO15:DU15)</f>
        <v>111.125</v>
      </c>
      <c r="DW15" s="5">
        <f t="shared" si="3"/>
        <v>34.5</v>
      </c>
      <c r="DX15" s="11"/>
      <c r="DY15" s="20">
        <f t="shared" si="4"/>
        <v>34.5</v>
      </c>
    </row>
    <row r="16" spans="1:129" x14ac:dyDescent="0.25">
      <c r="A16">
        <v>6</v>
      </c>
      <c r="B16" s="11" t="s">
        <v>388</v>
      </c>
      <c r="C16" s="5"/>
      <c r="D16" s="5" t="s">
        <v>389</v>
      </c>
      <c r="E16" s="5" t="s">
        <v>102</v>
      </c>
      <c r="F16" s="5"/>
      <c r="G16" s="5"/>
      <c r="H16" s="5"/>
      <c r="I16" s="5"/>
      <c r="J16" s="5"/>
      <c r="K16" s="5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11"/>
      <c r="BH16" s="5"/>
      <c r="BI16" s="5"/>
      <c r="BJ16" s="5"/>
      <c r="BK16" s="5"/>
      <c r="BL16" s="5"/>
      <c r="BM16" s="5"/>
      <c r="BN16" s="11">
        <v>7.5</v>
      </c>
      <c r="BO16" s="11"/>
      <c r="BP16" s="11"/>
      <c r="BQ16" s="11"/>
      <c r="BR16" s="11">
        <v>48.8</v>
      </c>
      <c r="BS16" s="11"/>
      <c r="BT16" s="11"/>
      <c r="BU16" s="11"/>
      <c r="BV16" s="11"/>
      <c r="BW16" s="11"/>
      <c r="BX16" s="11"/>
      <c r="BY16" s="11"/>
      <c r="BZ16" s="11"/>
      <c r="CA16" s="11"/>
      <c r="CB16" s="11">
        <v>7.5</v>
      </c>
      <c r="CC16" s="11"/>
      <c r="CD16" s="5">
        <f>SUM(BC16:CC16)</f>
        <v>63.8</v>
      </c>
      <c r="CE16" s="5">
        <f>(CD16-BC16)/2</f>
        <v>31.9</v>
      </c>
      <c r="CF16" s="11">
        <v>48</v>
      </c>
      <c r="CG16" s="11">
        <v>80</v>
      </c>
      <c r="CH16" s="11">
        <v>54</v>
      </c>
      <c r="CI16" s="11">
        <v>75</v>
      </c>
      <c r="CJ16" s="11">
        <v>50</v>
      </c>
      <c r="CK16" s="11">
        <v>100</v>
      </c>
      <c r="CL16" s="5">
        <f t="shared" si="0"/>
        <v>438.9</v>
      </c>
      <c r="CM16" s="5">
        <f t="shared" si="1"/>
        <v>203.5</v>
      </c>
      <c r="CN16" s="11"/>
      <c r="CO16" s="11"/>
      <c r="CP16" s="11"/>
      <c r="CQ16" s="11"/>
      <c r="CR16" s="11"/>
      <c r="CS16" s="11"/>
      <c r="CT16" s="5">
        <f t="shared" si="2"/>
        <v>203.5</v>
      </c>
      <c r="CV16" s="5"/>
      <c r="CW16" s="5"/>
      <c r="CX16" s="5"/>
      <c r="CY16" s="5"/>
      <c r="CZ16" s="5"/>
      <c r="DA16" s="5"/>
      <c r="DB16" s="5"/>
      <c r="DC16" s="5">
        <f>SUM(CV16:CW16)</f>
        <v>0</v>
      </c>
      <c r="DD16" s="11">
        <f>(DC16)/2</f>
        <v>0</v>
      </c>
      <c r="DE16" s="11">
        <f>CD16/4</f>
        <v>15.95</v>
      </c>
      <c r="DF16" s="5"/>
      <c r="DG16" s="5"/>
      <c r="DH16" s="5"/>
      <c r="DI16" s="5"/>
      <c r="DJ16" s="5"/>
      <c r="DK16" s="5"/>
      <c r="DL16" s="5"/>
      <c r="DM16" s="5">
        <v>2.5</v>
      </c>
      <c r="DN16" s="11">
        <f>SUM(DD16:DM16)</f>
        <v>18.45</v>
      </c>
      <c r="DO16" s="5">
        <f>(DN16-DD16)/2</f>
        <v>9.2249999999999996</v>
      </c>
      <c r="DP16" s="11"/>
      <c r="DQ16" s="11"/>
      <c r="DR16" s="11"/>
      <c r="DS16" s="11"/>
      <c r="DT16" s="11"/>
      <c r="DU16" s="11"/>
      <c r="DV16" s="5">
        <f>SUM(DO16:DQ16)</f>
        <v>9.2249999999999996</v>
      </c>
      <c r="DW16" s="5">
        <f t="shared" si="3"/>
        <v>0</v>
      </c>
      <c r="DX16" s="11"/>
      <c r="DY16" s="5">
        <f t="shared" si="4"/>
        <v>0</v>
      </c>
    </row>
    <row r="17" spans="1:133" x14ac:dyDescent="0.25">
      <c r="A17">
        <v>7</v>
      </c>
      <c r="B17" s="11" t="s">
        <v>564</v>
      </c>
      <c r="C17" s="5"/>
      <c r="D17" s="5" t="s">
        <v>565</v>
      </c>
      <c r="E17" s="5" t="s">
        <v>518</v>
      </c>
      <c r="F17" s="5"/>
      <c r="G17" s="5"/>
      <c r="H17" s="5"/>
      <c r="I17" s="5"/>
      <c r="J17" s="5"/>
      <c r="K17" s="5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11"/>
      <c r="BH17" s="5"/>
      <c r="BI17" s="5"/>
      <c r="BJ17" s="5"/>
      <c r="BK17" s="5"/>
      <c r="BL17" s="5"/>
      <c r="BM17" s="5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5"/>
      <c r="CE17" s="5"/>
      <c r="CF17" s="11"/>
      <c r="CG17" s="11">
        <v>56</v>
      </c>
      <c r="CH17" s="11">
        <v>7.5</v>
      </c>
      <c r="CI17" s="11">
        <v>39</v>
      </c>
      <c r="CJ17" s="11">
        <v>70</v>
      </c>
      <c r="CK17" s="11">
        <v>40</v>
      </c>
      <c r="CL17" s="5">
        <f t="shared" si="0"/>
        <v>212.5</v>
      </c>
      <c r="CM17" s="5">
        <f t="shared" si="1"/>
        <v>106.25</v>
      </c>
      <c r="CN17" s="11">
        <v>36</v>
      </c>
      <c r="CO17" s="11"/>
      <c r="CP17" s="11">
        <v>39</v>
      </c>
      <c r="CQ17" s="11">
        <v>21.6</v>
      </c>
      <c r="CR17" s="11"/>
      <c r="CS17" s="11"/>
      <c r="CT17" s="5">
        <f t="shared" si="2"/>
        <v>202.85</v>
      </c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11"/>
      <c r="DQ17" s="11"/>
      <c r="DR17" s="11"/>
      <c r="DS17" s="11"/>
      <c r="DT17" s="11"/>
      <c r="DU17" s="11"/>
      <c r="DV17" s="5">
        <f t="shared" ref="DV17:DV48" si="5">SUM(DO17:DU17)</f>
        <v>0</v>
      </c>
      <c r="DW17" s="5">
        <f t="shared" si="3"/>
        <v>0</v>
      </c>
      <c r="DX17" s="11"/>
      <c r="DY17" s="5">
        <f t="shared" si="4"/>
        <v>0</v>
      </c>
    </row>
    <row r="18" spans="1:133" x14ac:dyDescent="0.25">
      <c r="A18" s="46">
        <v>8</v>
      </c>
      <c r="B18" s="24" t="s">
        <v>525</v>
      </c>
      <c r="C18" s="24" t="s">
        <v>190</v>
      </c>
      <c r="D18" s="21" t="s">
        <v>191</v>
      </c>
      <c r="E18" s="21" t="s">
        <v>53</v>
      </c>
      <c r="F18" s="5"/>
      <c r="G18" s="5"/>
      <c r="H18" s="5"/>
      <c r="I18" s="5"/>
      <c r="J18" s="5"/>
      <c r="K18" s="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11"/>
      <c r="BH18" s="5"/>
      <c r="BI18" s="5"/>
      <c r="BJ18" s="5"/>
      <c r="BK18" s="5"/>
      <c r="BL18" s="5"/>
      <c r="BM18" s="5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5">
        <f>SUM(BC18:CC18)</f>
        <v>0</v>
      </c>
      <c r="CE18" s="5">
        <f>(CD18-BC18)/2</f>
        <v>0</v>
      </c>
      <c r="CF18" s="11">
        <v>36</v>
      </c>
      <c r="CG18" s="11">
        <v>80</v>
      </c>
      <c r="CH18" s="11">
        <v>75</v>
      </c>
      <c r="CI18" s="11">
        <v>50</v>
      </c>
      <c r="CJ18" s="11">
        <v>105</v>
      </c>
      <c r="CK18" s="11">
        <v>36</v>
      </c>
      <c r="CL18" s="5">
        <f t="shared" si="0"/>
        <v>382</v>
      </c>
      <c r="CM18" s="5">
        <f t="shared" si="1"/>
        <v>191</v>
      </c>
      <c r="CN18" s="11"/>
      <c r="CO18" s="11"/>
      <c r="CP18" s="11"/>
      <c r="CQ18" s="11"/>
      <c r="CR18" s="11"/>
      <c r="CS18" s="11"/>
      <c r="CT18" s="5">
        <f t="shared" si="2"/>
        <v>191</v>
      </c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>
        <v>35</v>
      </c>
      <c r="DN18" s="11">
        <f>SUM(DD18:DM18)</f>
        <v>35</v>
      </c>
      <c r="DO18" s="5">
        <f>(DN18-DD18)/2</f>
        <v>17.5</v>
      </c>
      <c r="DP18" s="11">
        <v>26.25</v>
      </c>
      <c r="DQ18" s="11"/>
      <c r="DR18" s="11"/>
      <c r="DS18" s="11"/>
      <c r="DT18" s="11"/>
      <c r="DU18" s="11">
        <v>35</v>
      </c>
      <c r="DV18" s="5">
        <f t="shared" si="5"/>
        <v>78.75</v>
      </c>
      <c r="DW18" s="5">
        <f t="shared" si="3"/>
        <v>30.625</v>
      </c>
      <c r="DX18" s="11"/>
      <c r="DY18" s="21">
        <f t="shared" si="4"/>
        <v>30.625</v>
      </c>
    </row>
    <row r="19" spans="1:133" x14ac:dyDescent="0.25">
      <c r="A19">
        <v>9</v>
      </c>
      <c r="B19" s="11" t="s">
        <v>500</v>
      </c>
      <c r="C19" s="5"/>
      <c r="D19" s="5" t="s">
        <v>530</v>
      </c>
      <c r="E19" s="5" t="s">
        <v>531</v>
      </c>
      <c r="F19" s="5"/>
      <c r="G19" s="5"/>
      <c r="H19" s="5"/>
      <c r="I19" s="5"/>
      <c r="J19" s="5"/>
      <c r="K19" s="5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11"/>
      <c r="BH19" s="5"/>
      <c r="BI19" s="5"/>
      <c r="BJ19" s="5"/>
      <c r="BK19" s="5"/>
      <c r="BL19" s="5"/>
      <c r="BM19" s="5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5"/>
      <c r="CE19" s="5"/>
      <c r="CF19" s="11"/>
      <c r="CG19" s="11">
        <v>28.8</v>
      </c>
      <c r="CH19" s="11">
        <v>75</v>
      </c>
      <c r="CI19" s="11"/>
      <c r="CJ19" s="11"/>
      <c r="CK19" s="11"/>
      <c r="CL19" s="5">
        <f t="shared" si="0"/>
        <v>103.8</v>
      </c>
      <c r="CM19" s="5">
        <f t="shared" si="1"/>
        <v>51.9</v>
      </c>
      <c r="CN19" s="11">
        <v>30</v>
      </c>
      <c r="CO19" s="11">
        <v>28.8</v>
      </c>
      <c r="CP19" s="11">
        <v>36</v>
      </c>
      <c r="CQ19" s="11">
        <v>30</v>
      </c>
      <c r="CR19" s="11"/>
      <c r="CS19" s="11"/>
      <c r="CT19" s="5">
        <f t="shared" si="2"/>
        <v>176.7</v>
      </c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11"/>
      <c r="DQ19" s="11"/>
      <c r="DR19" s="11"/>
      <c r="DS19" s="11"/>
      <c r="DT19" s="11"/>
      <c r="DU19" s="11"/>
      <c r="DV19" s="5">
        <f t="shared" si="5"/>
        <v>0</v>
      </c>
      <c r="DW19" s="5">
        <f t="shared" si="3"/>
        <v>0</v>
      </c>
      <c r="DX19" s="11"/>
      <c r="DY19" s="5">
        <f>SUM(DW19:DX19)</f>
        <v>0</v>
      </c>
    </row>
    <row r="20" spans="1:133" x14ac:dyDescent="0.25">
      <c r="A20">
        <v>10</v>
      </c>
      <c r="B20" s="11" t="s">
        <v>82</v>
      </c>
      <c r="C20" s="5" t="s">
        <v>44</v>
      </c>
      <c r="D20" s="5" t="s">
        <v>63</v>
      </c>
      <c r="E20" s="5" t="s">
        <v>197</v>
      </c>
      <c r="F20" s="5"/>
      <c r="G20" s="5"/>
      <c r="H20" s="5"/>
      <c r="I20" s="5"/>
      <c r="J20" s="5"/>
      <c r="K20" s="5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f>SUM(AH20:BA20)</f>
        <v>0</v>
      </c>
      <c r="BC20" s="5">
        <f>(BB20-AH20)/2</f>
        <v>0</v>
      </c>
      <c r="BD20" s="5"/>
      <c r="BE20" s="5"/>
      <c r="BF20" s="5"/>
      <c r="BG20" s="11"/>
      <c r="BH20" s="5">
        <v>33.6</v>
      </c>
      <c r="BI20" s="5"/>
      <c r="BJ20" s="5"/>
      <c r="BK20" s="5"/>
      <c r="BL20" s="5"/>
      <c r="BM20" s="5"/>
      <c r="BN20" s="11">
        <v>7.5</v>
      </c>
      <c r="BO20" s="11"/>
      <c r="BP20" s="11"/>
      <c r="BQ20" s="11"/>
      <c r="BR20" s="11"/>
      <c r="BS20" s="11"/>
      <c r="BT20" s="11"/>
      <c r="BU20" s="11"/>
      <c r="BV20" s="11"/>
      <c r="BW20" s="11">
        <v>33.6</v>
      </c>
      <c r="BX20" s="11"/>
      <c r="BY20" s="11"/>
      <c r="BZ20" s="11"/>
      <c r="CA20" s="11"/>
      <c r="CB20" s="11">
        <v>75</v>
      </c>
      <c r="CC20" s="11">
        <v>100</v>
      </c>
      <c r="CD20" s="5">
        <f>SUM(BC20:CC20)</f>
        <v>249.7</v>
      </c>
      <c r="CE20" s="5">
        <f>(CD20-BC20)/2</f>
        <v>124.85</v>
      </c>
      <c r="CF20" s="11">
        <v>36</v>
      </c>
      <c r="CG20" s="11"/>
      <c r="CH20" s="11">
        <v>200</v>
      </c>
      <c r="CI20" s="11"/>
      <c r="CJ20" s="11"/>
      <c r="CK20" s="11"/>
      <c r="CL20" s="5">
        <f t="shared" si="0"/>
        <v>360.85</v>
      </c>
      <c r="CM20" s="5">
        <f t="shared" si="1"/>
        <v>118.00000000000001</v>
      </c>
      <c r="CN20" s="11">
        <v>48</v>
      </c>
      <c r="CO20" s="11"/>
      <c r="CP20" s="11"/>
      <c r="CQ20" s="11"/>
      <c r="CR20" s="11"/>
      <c r="CS20" s="11"/>
      <c r="CT20" s="5">
        <f t="shared" si="2"/>
        <v>166</v>
      </c>
      <c r="CV20" s="5"/>
      <c r="CW20" s="5"/>
      <c r="CX20" s="5"/>
      <c r="CY20" s="5"/>
      <c r="CZ20" s="5"/>
      <c r="DA20" s="5"/>
      <c r="DB20" s="5"/>
      <c r="DC20" s="5">
        <f>SUM(CV20:CW20)</f>
        <v>0</v>
      </c>
      <c r="DD20" s="11">
        <f>(DC20)/2</f>
        <v>0</v>
      </c>
      <c r="DE20" s="11">
        <f>CD20/4</f>
        <v>62.424999999999997</v>
      </c>
      <c r="DF20" s="5">
        <v>1.5</v>
      </c>
      <c r="DG20" s="5"/>
      <c r="DH20" s="5"/>
      <c r="DI20" s="5">
        <v>7.5</v>
      </c>
      <c r="DJ20" s="5"/>
      <c r="DK20" s="5"/>
      <c r="DL20" s="5"/>
      <c r="DM20" s="5"/>
      <c r="DN20" s="11">
        <f>SUM(DD20:DM20)</f>
        <v>71.424999999999997</v>
      </c>
      <c r="DO20" s="5">
        <f>(DN20-DD20)/2</f>
        <v>35.712499999999999</v>
      </c>
      <c r="DP20" s="11"/>
      <c r="DQ20" s="11"/>
      <c r="DR20" s="11"/>
      <c r="DS20" s="11"/>
      <c r="DT20" s="11"/>
      <c r="DU20" s="11"/>
      <c r="DV20" s="5">
        <f t="shared" si="5"/>
        <v>35.712499999999999</v>
      </c>
      <c r="DW20" s="5">
        <f t="shared" si="3"/>
        <v>0</v>
      </c>
      <c r="DX20" s="11"/>
      <c r="DY20" s="5">
        <f>SUM(DW20:DW20)</f>
        <v>0</v>
      </c>
    </row>
    <row r="21" spans="1:133" x14ac:dyDescent="0.25">
      <c r="A21">
        <v>11</v>
      </c>
      <c r="B21" s="11" t="s">
        <v>582</v>
      </c>
      <c r="C21" s="5"/>
      <c r="D21" s="5" t="s">
        <v>84</v>
      </c>
      <c r="E21" s="5" t="s">
        <v>131</v>
      </c>
      <c r="F21" s="5"/>
      <c r="G21" s="5"/>
      <c r="H21" s="5"/>
      <c r="I21" s="5"/>
      <c r="J21" s="5"/>
      <c r="K21" s="5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11"/>
      <c r="BH21" s="5"/>
      <c r="BI21" s="5"/>
      <c r="BJ21" s="5"/>
      <c r="BK21" s="5"/>
      <c r="BL21" s="5"/>
      <c r="BM21" s="5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5"/>
      <c r="CE21" s="5"/>
      <c r="CF21" s="11"/>
      <c r="CG21" s="11"/>
      <c r="CH21" s="11">
        <v>7.5</v>
      </c>
      <c r="CI21" s="11">
        <v>39</v>
      </c>
      <c r="CJ21" s="11"/>
      <c r="CK21" s="11"/>
      <c r="CL21" s="5">
        <f t="shared" si="0"/>
        <v>46.5</v>
      </c>
      <c r="CM21" s="5">
        <f t="shared" si="1"/>
        <v>23.25</v>
      </c>
      <c r="CN21" s="11">
        <v>60</v>
      </c>
      <c r="CO21" s="11">
        <v>40</v>
      </c>
      <c r="CP21" s="11">
        <v>42</v>
      </c>
      <c r="CQ21" s="11"/>
      <c r="CR21" s="11"/>
      <c r="CS21" s="11"/>
      <c r="CT21" s="5">
        <f t="shared" si="2"/>
        <v>165.25</v>
      </c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11"/>
      <c r="DQ21" s="11"/>
      <c r="DR21" s="11"/>
      <c r="DS21" s="11"/>
      <c r="DT21" s="11"/>
      <c r="DU21" s="11"/>
      <c r="DV21" s="5">
        <f t="shared" si="5"/>
        <v>0</v>
      </c>
      <c r="DW21" s="5">
        <f t="shared" si="3"/>
        <v>0</v>
      </c>
      <c r="DX21" s="11"/>
      <c r="DY21" s="5">
        <f>SUM(DW21:DX21)</f>
        <v>0</v>
      </c>
    </row>
    <row r="22" spans="1:133" x14ac:dyDescent="0.25">
      <c r="A22">
        <v>12</v>
      </c>
      <c r="B22" s="11" t="s">
        <v>57</v>
      </c>
      <c r="C22" s="5"/>
      <c r="D22" s="5" t="s">
        <v>60</v>
      </c>
      <c r="E22" s="5" t="s">
        <v>102</v>
      </c>
      <c r="F22" s="5"/>
      <c r="G22" s="5"/>
      <c r="H22" s="5"/>
      <c r="I22" s="5"/>
      <c r="J22" s="5"/>
      <c r="K22" s="5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11"/>
      <c r="BH22" s="5"/>
      <c r="BI22" s="5"/>
      <c r="BJ22" s="5"/>
      <c r="BK22" s="5"/>
      <c r="BL22" s="5"/>
      <c r="BM22" s="5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5"/>
      <c r="CE22" s="5"/>
      <c r="CF22" s="11"/>
      <c r="CG22" s="11"/>
      <c r="CH22" s="11"/>
      <c r="CI22" s="11"/>
      <c r="CJ22" s="11"/>
      <c r="CK22" s="11"/>
      <c r="CL22" s="5"/>
      <c r="CM22" s="5"/>
      <c r="CN22" s="11">
        <v>36</v>
      </c>
      <c r="CO22" s="11">
        <v>40</v>
      </c>
      <c r="CP22" s="11">
        <v>54</v>
      </c>
      <c r="CQ22" s="11">
        <v>5</v>
      </c>
      <c r="CR22" s="11">
        <v>30</v>
      </c>
      <c r="CS22" s="11"/>
      <c r="CT22" s="5">
        <f t="shared" si="2"/>
        <v>165</v>
      </c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11"/>
      <c r="DQ22" s="11"/>
      <c r="DR22" s="11"/>
      <c r="DS22" s="11"/>
      <c r="DT22" s="11"/>
      <c r="DU22" s="11"/>
      <c r="DV22" s="5">
        <f t="shared" si="5"/>
        <v>0</v>
      </c>
      <c r="DW22" s="5">
        <f t="shared" si="3"/>
        <v>0</v>
      </c>
      <c r="DX22" s="11">
        <v>5</v>
      </c>
      <c r="DY22" s="5">
        <f>SUM(DW22:DX22)</f>
        <v>5</v>
      </c>
      <c r="EC22" t="s">
        <v>642</v>
      </c>
    </row>
    <row r="23" spans="1:133" x14ac:dyDescent="0.25">
      <c r="A23">
        <v>13</v>
      </c>
      <c r="B23" s="11" t="s">
        <v>55</v>
      </c>
      <c r="C23" s="5"/>
      <c r="D23" s="5" t="s">
        <v>142</v>
      </c>
      <c r="E23" s="5" t="s">
        <v>76</v>
      </c>
      <c r="F23" s="5"/>
      <c r="G23" s="5"/>
      <c r="H23" s="5"/>
      <c r="I23" s="5"/>
      <c r="J23" s="5"/>
      <c r="K23" s="5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11"/>
      <c r="BH23" s="5"/>
      <c r="BI23" s="5"/>
      <c r="BJ23" s="5"/>
      <c r="BK23" s="5"/>
      <c r="BL23" s="5"/>
      <c r="BM23" s="5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5"/>
      <c r="CE23" s="5"/>
      <c r="CF23" s="11"/>
      <c r="CG23" s="11"/>
      <c r="CH23" s="11"/>
      <c r="CI23" s="11"/>
      <c r="CJ23" s="11"/>
      <c r="CK23" s="11"/>
      <c r="CL23" s="5"/>
      <c r="CM23" s="5"/>
      <c r="CN23" s="11">
        <v>48</v>
      </c>
      <c r="CO23" s="11">
        <v>56</v>
      </c>
      <c r="CP23" s="11">
        <v>48</v>
      </c>
      <c r="CQ23" s="11"/>
      <c r="CR23" s="11"/>
      <c r="CS23" s="11"/>
      <c r="CT23" s="5">
        <f t="shared" si="2"/>
        <v>152</v>
      </c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11"/>
      <c r="DQ23" s="11"/>
      <c r="DR23" s="11"/>
      <c r="DS23" s="11"/>
      <c r="DT23" s="11"/>
      <c r="DU23" s="11"/>
      <c r="DV23" s="5">
        <f t="shared" si="5"/>
        <v>0</v>
      </c>
      <c r="DW23" s="5">
        <f t="shared" si="3"/>
        <v>0</v>
      </c>
      <c r="DX23" s="11"/>
      <c r="DY23" s="5">
        <f>SUM(DW23:DX23)</f>
        <v>0</v>
      </c>
    </row>
    <row r="24" spans="1:133" x14ac:dyDescent="0.25">
      <c r="A24">
        <v>14</v>
      </c>
      <c r="B24" s="11" t="s">
        <v>647</v>
      </c>
      <c r="C24" s="5" t="s">
        <v>560</v>
      </c>
      <c r="D24" s="5" t="s">
        <v>45</v>
      </c>
      <c r="E24" s="5" t="s">
        <v>561</v>
      </c>
      <c r="F24" s="5"/>
      <c r="G24" s="5"/>
      <c r="H24" s="5"/>
      <c r="I24" s="5"/>
      <c r="J24" s="5"/>
      <c r="K24" s="5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11"/>
      <c r="BH24" s="5"/>
      <c r="BI24" s="5"/>
      <c r="BJ24" s="5"/>
      <c r="BK24" s="5"/>
      <c r="BL24" s="5"/>
      <c r="BM24" s="5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5"/>
      <c r="CE24" s="5"/>
      <c r="CF24" s="11">
        <v>2.4</v>
      </c>
      <c r="CG24" s="11"/>
      <c r="CH24" s="11">
        <v>26</v>
      </c>
      <c r="CI24" s="11">
        <v>7.5</v>
      </c>
      <c r="CJ24" s="11">
        <v>36</v>
      </c>
      <c r="CK24" s="11"/>
      <c r="CL24" s="5">
        <f>SUM(CE24:CK24)</f>
        <v>71.900000000000006</v>
      </c>
      <c r="CM24" s="5">
        <f>(CL24-CE24)/2</f>
        <v>35.950000000000003</v>
      </c>
      <c r="CN24" s="11">
        <v>30</v>
      </c>
      <c r="CO24" s="11"/>
      <c r="CP24" s="11">
        <v>50</v>
      </c>
      <c r="CQ24" s="11">
        <v>30</v>
      </c>
      <c r="CR24" s="11"/>
      <c r="CS24" s="11"/>
      <c r="CT24" s="5">
        <f t="shared" si="2"/>
        <v>145.94999999999999</v>
      </c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11"/>
      <c r="DQ24" s="11"/>
      <c r="DR24" s="11"/>
      <c r="DS24" s="11"/>
      <c r="DT24" s="11"/>
      <c r="DU24" s="11"/>
      <c r="DV24" s="5">
        <f t="shared" si="5"/>
        <v>0</v>
      </c>
      <c r="DW24" s="5">
        <f t="shared" si="3"/>
        <v>0</v>
      </c>
      <c r="DX24" s="11"/>
      <c r="DY24" s="5">
        <f>SUM(DW24:DX24)</f>
        <v>0</v>
      </c>
    </row>
    <row r="25" spans="1:133" x14ac:dyDescent="0.25">
      <c r="A25">
        <v>15</v>
      </c>
      <c r="B25" s="25" t="s">
        <v>101</v>
      </c>
      <c r="C25" s="22"/>
      <c r="D25" s="22" t="s">
        <v>126</v>
      </c>
      <c r="E25" s="22" t="s">
        <v>10</v>
      </c>
      <c r="F25" s="5"/>
      <c r="G25" s="5"/>
      <c r="H25" s="5"/>
      <c r="I25" s="5"/>
      <c r="J25" s="5"/>
      <c r="K25" s="5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11"/>
      <c r="BH25" s="5"/>
      <c r="BI25" s="5"/>
      <c r="BJ25" s="5"/>
      <c r="BK25" s="5"/>
      <c r="BL25" s="5"/>
      <c r="BM25" s="5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5"/>
      <c r="CE25" s="5"/>
      <c r="CF25" s="11">
        <v>48</v>
      </c>
      <c r="CG25" s="11">
        <v>3.2</v>
      </c>
      <c r="CH25" s="11">
        <v>7.5</v>
      </c>
      <c r="CI25" s="11">
        <v>72</v>
      </c>
      <c r="CJ25" s="11">
        <v>7.5</v>
      </c>
      <c r="CK25" s="11">
        <v>150</v>
      </c>
      <c r="CL25" s="5">
        <f>SUM(CE25:CK25)</f>
        <v>288.2</v>
      </c>
      <c r="CM25" s="5">
        <f>(CL25-CE25)/2</f>
        <v>144.1</v>
      </c>
      <c r="CN25" s="11"/>
      <c r="CO25" s="11"/>
      <c r="CP25" s="11"/>
      <c r="CQ25" s="11"/>
      <c r="CR25" s="11"/>
      <c r="CS25" s="11"/>
      <c r="CT25" s="5">
        <f t="shared" si="2"/>
        <v>144.1</v>
      </c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11"/>
      <c r="DQ25" s="11"/>
      <c r="DR25" s="11"/>
      <c r="DS25" s="11"/>
      <c r="DT25" s="11"/>
      <c r="DU25" s="11">
        <v>25</v>
      </c>
      <c r="DV25" s="5">
        <f t="shared" si="5"/>
        <v>25</v>
      </c>
      <c r="DW25" s="5">
        <f t="shared" si="3"/>
        <v>12.5</v>
      </c>
      <c r="DX25" s="11"/>
      <c r="DY25" s="22">
        <f>SUM(DW25:DW25)</f>
        <v>12.5</v>
      </c>
    </row>
    <row r="26" spans="1:133" x14ac:dyDescent="0.25">
      <c r="A26">
        <v>16</v>
      </c>
      <c r="B26" s="11" t="s">
        <v>701</v>
      </c>
      <c r="C26" s="5"/>
      <c r="D26" s="5" t="s">
        <v>86</v>
      </c>
      <c r="E26" s="5" t="s">
        <v>69</v>
      </c>
      <c r="F26" s="5"/>
      <c r="G26" s="5"/>
      <c r="H26" s="5"/>
      <c r="I26" s="5"/>
      <c r="J26" s="5"/>
      <c r="K26" s="5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11"/>
      <c r="BH26" s="5"/>
      <c r="BI26" s="5"/>
      <c r="BJ26" s="5"/>
      <c r="BK26" s="5"/>
      <c r="BL26" s="5"/>
      <c r="BM26" s="5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5"/>
      <c r="CE26" s="5"/>
      <c r="CF26" s="11"/>
      <c r="CG26" s="11"/>
      <c r="CH26" s="11"/>
      <c r="CI26" s="11"/>
      <c r="CJ26" s="11"/>
      <c r="CK26" s="11"/>
      <c r="CL26" s="5"/>
      <c r="CM26" s="5"/>
      <c r="CN26" s="11">
        <v>48</v>
      </c>
      <c r="CO26" s="11">
        <v>4</v>
      </c>
      <c r="CP26" s="11">
        <v>70</v>
      </c>
      <c r="CQ26" s="11"/>
      <c r="CR26" s="11"/>
      <c r="CS26" s="11"/>
      <c r="CT26" s="5">
        <f t="shared" si="2"/>
        <v>122</v>
      </c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11"/>
      <c r="DQ26" s="11"/>
      <c r="DR26" s="11"/>
      <c r="DS26" s="11"/>
      <c r="DT26" s="11"/>
      <c r="DU26" s="11"/>
      <c r="DV26" s="5">
        <f t="shared" si="5"/>
        <v>0</v>
      </c>
      <c r="DW26" s="5">
        <f t="shared" si="3"/>
        <v>0</v>
      </c>
      <c r="DX26" s="11"/>
      <c r="DY26" s="5">
        <f>SUM(DW26:DW26)</f>
        <v>0</v>
      </c>
    </row>
    <row r="27" spans="1:133" x14ac:dyDescent="0.25">
      <c r="A27">
        <v>17</v>
      </c>
      <c r="B27" s="11" t="s">
        <v>55</v>
      </c>
      <c r="C27" s="5"/>
      <c r="D27" s="5" t="s">
        <v>120</v>
      </c>
      <c r="E27" s="5" t="s">
        <v>75</v>
      </c>
      <c r="F27" s="5"/>
      <c r="G27" s="5"/>
      <c r="H27" s="5"/>
      <c r="I27" s="5"/>
      <c r="J27" s="5"/>
      <c r="K27" s="5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11"/>
      <c r="BH27" s="5"/>
      <c r="BI27" s="5"/>
      <c r="BJ27" s="5"/>
      <c r="BK27" s="5"/>
      <c r="BL27" s="5"/>
      <c r="BM27" s="5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5"/>
      <c r="CE27" s="5"/>
      <c r="CF27" s="11">
        <v>48</v>
      </c>
      <c r="CG27" s="11">
        <v>64</v>
      </c>
      <c r="CH27" s="11">
        <v>7.5</v>
      </c>
      <c r="CI27" s="11"/>
      <c r="CJ27" s="11"/>
      <c r="CK27" s="11"/>
      <c r="CL27" s="5">
        <f>SUM(CE27:CK27)</f>
        <v>119.5</v>
      </c>
      <c r="CM27" s="5">
        <f>(CL27-CE27)/2</f>
        <v>59.75</v>
      </c>
      <c r="CN27" s="11">
        <v>60</v>
      </c>
      <c r="CO27" s="11"/>
      <c r="CP27" s="11"/>
      <c r="CQ27" s="11"/>
      <c r="CR27" s="11"/>
      <c r="CS27" s="11"/>
      <c r="CT27" s="5">
        <f t="shared" si="2"/>
        <v>119.75</v>
      </c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11">
        <v>14</v>
      </c>
      <c r="DQ27" s="11"/>
      <c r="DR27" s="11"/>
      <c r="DS27" s="11"/>
      <c r="DT27" s="11"/>
      <c r="DU27" s="11"/>
      <c r="DV27" s="5">
        <f t="shared" si="5"/>
        <v>14</v>
      </c>
      <c r="DW27" s="5">
        <f t="shared" si="3"/>
        <v>7</v>
      </c>
      <c r="DX27" s="11"/>
      <c r="DY27" s="5">
        <f>SUM(DW27:DX27)</f>
        <v>7</v>
      </c>
    </row>
    <row r="28" spans="1:133" x14ac:dyDescent="0.25">
      <c r="A28">
        <v>18</v>
      </c>
      <c r="B28" s="11" t="s">
        <v>231</v>
      </c>
      <c r="C28" s="5"/>
      <c r="D28" s="5" t="s">
        <v>68</v>
      </c>
      <c r="E28" s="5" t="s">
        <v>301</v>
      </c>
      <c r="F28" s="5"/>
      <c r="G28" s="5"/>
      <c r="H28" s="5"/>
      <c r="I28" s="5"/>
      <c r="J28" s="5"/>
      <c r="K28" s="5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11"/>
      <c r="BH28" s="5"/>
      <c r="BI28" s="5"/>
      <c r="BJ28" s="5"/>
      <c r="BK28" s="5"/>
      <c r="BL28" s="5"/>
      <c r="BM28" s="5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5"/>
      <c r="CE28" s="5"/>
      <c r="CF28" s="11"/>
      <c r="CG28" s="11"/>
      <c r="CH28" s="11"/>
      <c r="CI28" s="11"/>
      <c r="CJ28" s="11"/>
      <c r="CK28" s="11"/>
      <c r="CL28" s="5"/>
      <c r="CM28" s="5"/>
      <c r="CN28" s="11">
        <v>42</v>
      </c>
      <c r="CO28" s="11">
        <v>4</v>
      </c>
      <c r="CP28" s="11">
        <v>54</v>
      </c>
      <c r="CQ28" s="11"/>
      <c r="CR28" s="11"/>
      <c r="CS28" s="11"/>
      <c r="CT28" s="5">
        <f t="shared" si="2"/>
        <v>100</v>
      </c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11"/>
      <c r="DQ28" s="11"/>
      <c r="DR28" s="11"/>
      <c r="DS28" s="11"/>
      <c r="DT28" s="11"/>
      <c r="DU28" s="11"/>
      <c r="DV28" s="5">
        <f t="shared" si="5"/>
        <v>0</v>
      </c>
      <c r="DW28" s="5">
        <f t="shared" si="3"/>
        <v>0</v>
      </c>
      <c r="DX28" s="11">
        <v>5</v>
      </c>
      <c r="DY28" s="5">
        <f>SUM(DW28:DX28)</f>
        <v>5</v>
      </c>
    </row>
    <row r="29" spans="1:133" x14ac:dyDescent="0.25">
      <c r="A29">
        <v>19</v>
      </c>
      <c r="B29" s="11" t="s">
        <v>92</v>
      </c>
      <c r="C29" s="5"/>
      <c r="D29" s="5" t="s">
        <v>337</v>
      </c>
      <c r="E29" s="5" t="s">
        <v>102</v>
      </c>
      <c r="BB29" s="5"/>
      <c r="BC29" s="5"/>
      <c r="BD29" s="5"/>
      <c r="BE29" s="5"/>
      <c r="BF29" s="5"/>
      <c r="BG29" s="11"/>
      <c r="BH29" s="5"/>
      <c r="BI29" s="5"/>
      <c r="BJ29" s="5"/>
      <c r="BK29" s="5"/>
      <c r="BL29" s="5"/>
      <c r="BM29" s="5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5"/>
      <c r="CE29" s="5"/>
      <c r="CF29" s="11"/>
      <c r="CG29" s="11"/>
      <c r="CH29" s="11"/>
      <c r="CI29" s="11"/>
      <c r="CJ29" s="11"/>
      <c r="CK29" s="11"/>
      <c r="CL29" s="5"/>
      <c r="CM29" s="5"/>
      <c r="CN29" s="11">
        <v>42</v>
      </c>
      <c r="CO29" s="11"/>
      <c r="CP29" s="11">
        <v>50</v>
      </c>
      <c r="CQ29" s="11"/>
      <c r="CR29" s="11"/>
      <c r="CS29" s="11"/>
      <c r="CT29" s="5">
        <f t="shared" si="2"/>
        <v>92</v>
      </c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11"/>
      <c r="DQ29" s="11"/>
      <c r="DR29" s="11"/>
      <c r="DS29" s="11"/>
      <c r="DT29" s="11"/>
      <c r="DU29" s="11"/>
      <c r="DV29" s="5">
        <f t="shared" si="5"/>
        <v>0</v>
      </c>
      <c r="DW29" s="5">
        <f t="shared" si="3"/>
        <v>0</v>
      </c>
      <c r="DX29" s="11"/>
      <c r="DY29" s="5">
        <f>SUM(DW29:DW29)</f>
        <v>0</v>
      </c>
    </row>
    <row r="30" spans="1:133" x14ac:dyDescent="0.25">
      <c r="A30">
        <v>20</v>
      </c>
      <c r="B30" s="11" t="s">
        <v>677</v>
      </c>
      <c r="C30" s="5"/>
      <c r="D30" s="5" t="s">
        <v>157</v>
      </c>
      <c r="E30" s="5" t="s">
        <v>50</v>
      </c>
      <c r="F30" s="5"/>
      <c r="G30" s="5"/>
      <c r="H30" s="5"/>
      <c r="I30" s="5"/>
      <c r="J30" s="5"/>
      <c r="K30" s="5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11"/>
      <c r="BH30" s="5"/>
      <c r="BI30" s="5"/>
      <c r="BJ30" s="5"/>
      <c r="BK30" s="5"/>
      <c r="BL30" s="5"/>
      <c r="BM30" s="5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5"/>
      <c r="CE30" s="5"/>
      <c r="CF30" s="11"/>
      <c r="CG30" s="11"/>
      <c r="CH30" s="11"/>
      <c r="CI30" s="11"/>
      <c r="CJ30" s="11"/>
      <c r="CK30" s="11"/>
      <c r="CL30" s="5"/>
      <c r="CM30" s="5"/>
      <c r="CN30" s="11">
        <v>60</v>
      </c>
      <c r="CO30" s="11">
        <v>28.8</v>
      </c>
      <c r="CP30" s="11"/>
      <c r="CQ30" s="11"/>
      <c r="CR30" s="11"/>
      <c r="CS30" s="11"/>
      <c r="CT30" s="5">
        <f t="shared" si="2"/>
        <v>88.8</v>
      </c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11"/>
      <c r="DQ30" s="11"/>
      <c r="DR30" s="11"/>
      <c r="DS30" s="11"/>
      <c r="DT30" s="11"/>
      <c r="DU30" s="11"/>
      <c r="DV30" s="5">
        <f t="shared" si="5"/>
        <v>0</v>
      </c>
      <c r="DW30" s="5">
        <f t="shared" si="3"/>
        <v>0</v>
      </c>
      <c r="DX30" s="11"/>
      <c r="DY30" s="5">
        <f>SUM(DW30:DX30)</f>
        <v>0</v>
      </c>
    </row>
    <row r="31" spans="1:133" x14ac:dyDescent="0.25">
      <c r="A31">
        <v>21</v>
      </c>
      <c r="B31" s="11" t="s">
        <v>579</v>
      </c>
      <c r="C31" s="5"/>
      <c r="D31" s="5" t="s">
        <v>143</v>
      </c>
      <c r="E31" s="5" t="s">
        <v>532</v>
      </c>
      <c r="F31" s="5"/>
      <c r="G31" s="5"/>
      <c r="H31" s="5"/>
      <c r="I31" s="5"/>
      <c r="J31" s="5"/>
      <c r="K31" s="5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11"/>
      <c r="BH31" s="5"/>
      <c r="BI31" s="5"/>
      <c r="BJ31" s="5"/>
      <c r="BK31" s="5"/>
      <c r="BL31" s="5"/>
      <c r="BM31" s="5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5"/>
      <c r="CE31" s="5"/>
      <c r="CF31" s="11">
        <v>33.6</v>
      </c>
      <c r="CG31" s="11">
        <v>4</v>
      </c>
      <c r="CH31" s="11">
        <v>4</v>
      </c>
      <c r="CI31" s="11"/>
      <c r="CJ31" s="11"/>
      <c r="CK31" s="11"/>
      <c r="CL31" s="5">
        <f>SUM(CE31:CK31)</f>
        <v>41.6</v>
      </c>
      <c r="CM31" s="5">
        <f>(CL31-CE31)/2</f>
        <v>20.8</v>
      </c>
      <c r="CN31" s="11">
        <v>42</v>
      </c>
      <c r="CO31" s="11">
        <v>4</v>
      </c>
      <c r="CP31" s="11">
        <v>21.6</v>
      </c>
      <c r="CQ31" s="11"/>
      <c r="CR31" s="11"/>
      <c r="CS31" s="11"/>
      <c r="CT31" s="5">
        <f t="shared" si="2"/>
        <v>88.4</v>
      </c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11"/>
      <c r="DQ31" s="11"/>
      <c r="DR31" s="11"/>
      <c r="DS31" s="11"/>
      <c r="DT31" s="11"/>
      <c r="DU31" s="11"/>
      <c r="DV31" s="5">
        <f t="shared" si="5"/>
        <v>0</v>
      </c>
      <c r="DW31" s="5">
        <f t="shared" si="3"/>
        <v>0</v>
      </c>
      <c r="DX31" s="11"/>
      <c r="DY31" s="5">
        <f>SUM(DW31:DX31)</f>
        <v>0</v>
      </c>
    </row>
    <row r="32" spans="1:133" x14ac:dyDescent="0.25">
      <c r="A32">
        <v>22</v>
      </c>
      <c r="B32" s="11" t="s">
        <v>649</v>
      </c>
      <c r="C32" s="5"/>
      <c r="D32" s="5" t="s">
        <v>121</v>
      </c>
      <c r="E32" s="5" t="s">
        <v>650</v>
      </c>
      <c r="F32" s="5"/>
      <c r="G32" s="5"/>
      <c r="H32" s="5"/>
      <c r="I32" s="5"/>
      <c r="J32" s="5"/>
      <c r="K32" s="5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11"/>
      <c r="BH32" s="5"/>
      <c r="BI32" s="5"/>
      <c r="BJ32" s="5"/>
      <c r="BK32" s="5"/>
      <c r="BL32" s="5"/>
      <c r="BM32" s="5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5"/>
      <c r="CE32" s="5"/>
      <c r="CF32" s="11"/>
      <c r="CG32" s="11"/>
      <c r="CH32" s="11"/>
      <c r="CI32" s="11"/>
      <c r="CJ32" s="11"/>
      <c r="CK32" s="11"/>
      <c r="CL32" s="5"/>
      <c r="CM32" s="5"/>
      <c r="CN32" s="11">
        <v>21.6</v>
      </c>
      <c r="CO32" s="11">
        <v>44.8</v>
      </c>
      <c r="CP32" s="11">
        <v>5</v>
      </c>
      <c r="CQ32" s="11"/>
      <c r="CR32" s="11"/>
      <c r="CS32" s="11"/>
      <c r="CT32" s="5">
        <f t="shared" si="2"/>
        <v>71.400000000000006</v>
      </c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11"/>
      <c r="DQ32" s="11"/>
      <c r="DR32" s="11"/>
      <c r="DS32" s="11"/>
      <c r="DT32" s="11"/>
      <c r="DU32" s="11"/>
      <c r="DV32" s="5">
        <f t="shared" si="5"/>
        <v>0</v>
      </c>
      <c r="DW32" s="5">
        <f t="shared" si="3"/>
        <v>0</v>
      </c>
      <c r="DX32" s="11"/>
      <c r="DY32" s="5">
        <f>SUM(DW32:DX32)</f>
        <v>0</v>
      </c>
    </row>
    <row r="33" spans="1:129" x14ac:dyDescent="0.25">
      <c r="A33">
        <v>23</v>
      </c>
      <c r="B33" s="11" t="s">
        <v>544</v>
      </c>
      <c r="C33" s="5"/>
      <c r="D33" s="5" t="s">
        <v>195</v>
      </c>
      <c r="E33" s="5" t="s">
        <v>460</v>
      </c>
      <c r="F33" s="5"/>
      <c r="G33" s="5"/>
      <c r="H33" s="5"/>
      <c r="I33" s="5"/>
      <c r="J33" s="5"/>
      <c r="K33" s="5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11"/>
      <c r="BH33" s="5"/>
      <c r="BI33" s="5"/>
      <c r="BJ33" s="5"/>
      <c r="BK33" s="5"/>
      <c r="BL33" s="5"/>
      <c r="BM33" s="5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5"/>
      <c r="CE33" s="5"/>
      <c r="CF33" s="11"/>
      <c r="CG33" s="11">
        <v>44.8</v>
      </c>
      <c r="CH33" s="11">
        <v>7.5</v>
      </c>
      <c r="CI33" s="11"/>
      <c r="CJ33" s="11"/>
      <c r="CK33" s="11"/>
      <c r="CL33" s="5">
        <f>SUM(CE33:CK33)</f>
        <v>52.3</v>
      </c>
      <c r="CM33" s="5">
        <f>(CL33-CE33)/2</f>
        <v>26.15</v>
      </c>
      <c r="CN33" s="11">
        <v>2.4</v>
      </c>
      <c r="CO33" s="11">
        <v>40</v>
      </c>
      <c r="CP33" s="11"/>
      <c r="CQ33" s="11"/>
      <c r="CR33" s="11"/>
      <c r="CS33" s="11"/>
      <c r="CT33" s="5">
        <f t="shared" si="2"/>
        <v>68.55</v>
      </c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11"/>
      <c r="DQ33" s="11"/>
      <c r="DR33" s="11"/>
      <c r="DS33" s="11"/>
      <c r="DT33" s="11"/>
      <c r="DU33" s="11"/>
      <c r="DV33" s="5">
        <f t="shared" si="5"/>
        <v>0</v>
      </c>
      <c r="DW33" s="5">
        <f t="shared" si="3"/>
        <v>0</v>
      </c>
      <c r="DX33" s="11"/>
      <c r="DY33" s="5">
        <f>SUM(DW33:DX33)</f>
        <v>0</v>
      </c>
    </row>
    <row r="34" spans="1:129" x14ac:dyDescent="0.25">
      <c r="A34">
        <v>24</v>
      </c>
      <c r="B34" s="11" t="s">
        <v>628</v>
      </c>
      <c r="C34" s="5"/>
      <c r="D34" s="5" t="s">
        <v>629</v>
      </c>
      <c r="E34" s="5" t="s">
        <v>529</v>
      </c>
      <c r="F34" s="5"/>
      <c r="G34" s="5"/>
      <c r="H34" s="5"/>
      <c r="I34" s="5"/>
      <c r="J34" s="5"/>
      <c r="K34" s="5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11"/>
      <c r="BH34" s="5"/>
      <c r="BI34" s="5"/>
      <c r="BJ34" s="5"/>
      <c r="BK34" s="5"/>
      <c r="BL34" s="5"/>
      <c r="BM34" s="5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5"/>
      <c r="CE34" s="5"/>
      <c r="CF34" s="11">
        <v>48</v>
      </c>
      <c r="CG34" s="11"/>
      <c r="CH34" s="11"/>
      <c r="CI34" s="11"/>
      <c r="CJ34" s="11"/>
      <c r="CK34" s="11"/>
      <c r="CL34" s="5">
        <f>SUM(CE34:CK34)</f>
        <v>48</v>
      </c>
      <c r="CM34" s="5">
        <f>(CL34-CE34)/2</f>
        <v>24</v>
      </c>
      <c r="CN34" s="11">
        <v>36</v>
      </c>
      <c r="CO34" s="11"/>
      <c r="CP34" s="11"/>
      <c r="CQ34" s="11"/>
      <c r="CR34" s="11"/>
      <c r="CS34" s="11"/>
      <c r="CT34" s="5">
        <f t="shared" si="2"/>
        <v>60</v>
      </c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11"/>
      <c r="DQ34" s="11"/>
      <c r="DR34" s="11"/>
      <c r="DS34" s="11"/>
      <c r="DT34" s="11"/>
      <c r="DU34" s="11"/>
      <c r="DV34" s="5">
        <f t="shared" si="5"/>
        <v>0</v>
      </c>
      <c r="DW34" s="5">
        <f t="shared" si="3"/>
        <v>0</v>
      </c>
      <c r="DX34" s="11"/>
      <c r="DY34" s="5">
        <f>SUM(DW34:DX34)</f>
        <v>0</v>
      </c>
    </row>
    <row r="35" spans="1:129" x14ac:dyDescent="0.25">
      <c r="A35">
        <v>25</v>
      </c>
      <c r="B35" s="11" t="s">
        <v>388</v>
      </c>
      <c r="C35" s="5"/>
      <c r="D35" s="5" t="s">
        <v>350</v>
      </c>
      <c r="E35" s="5" t="s">
        <v>196</v>
      </c>
      <c r="F35" s="5"/>
      <c r="G35" s="5"/>
      <c r="H35" s="5"/>
      <c r="I35" s="5"/>
      <c r="J35" s="5"/>
      <c r="K35" s="5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11"/>
      <c r="BH35" s="5"/>
      <c r="BI35" s="5"/>
      <c r="BJ35" s="5"/>
      <c r="BK35" s="5"/>
      <c r="BL35" s="5"/>
      <c r="BM35" s="5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5"/>
      <c r="CE35" s="5"/>
      <c r="CF35" s="11"/>
      <c r="CG35" s="11"/>
      <c r="CH35" s="11"/>
      <c r="CI35" s="11"/>
      <c r="CJ35" s="11"/>
      <c r="CK35" s="11"/>
      <c r="CL35" s="5"/>
      <c r="CM35" s="5"/>
      <c r="CN35" s="11">
        <v>60</v>
      </c>
      <c r="CO35" s="11"/>
      <c r="CP35" s="11"/>
      <c r="CQ35" s="11"/>
      <c r="CR35" s="11"/>
      <c r="CS35" s="11"/>
      <c r="CT35" s="5">
        <f t="shared" si="2"/>
        <v>60</v>
      </c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11"/>
      <c r="DQ35" s="11"/>
      <c r="DR35" s="11"/>
      <c r="DS35" s="11"/>
      <c r="DT35" s="11"/>
      <c r="DU35" s="11"/>
      <c r="DV35" s="5">
        <f t="shared" si="5"/>
        <v>0</v>
      </c>
      <c r="DW35" s="5">
        <f t="shared" si="3"/>
        <v>0</v>
      </c>
      <c r="DX35" s="11"/>
      <c r="DY35" s="5">
        <f>SUM(DW35:DW35)</f>
        <v>0</v>
      </c>
    </row>
    <row r="36" spans="1:129" x14ac:dyDescent="0.25">
      <c r="A36">
        <v>26</v>
      </c>
      <c r="B36" s="11" t="s">
        <v>312</v>
      </c>
      <c r="C36" s="5"/>
      <c r="D36" s="5" t="s">
        <v>313</v>
      </c>
      <c r="E36" s="5" t="s">
        <v>138</v>
      </c>
      <c r="F36" s="5"/>
      <c r="G36" s="5"/>
      <c r="H36" s="5"/>
      <c r="I36" s="5"/>
      <c r="J36" s="5"/>
      <c r="K36" s="5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11"/>
      <c r="BH36" s="5"/>
      <c r="BI36" s="5"/>
      <c r="BJ36" s="5"/>
      <c r="BK36" s="5"/>
      <c r="BL36" s="5"/>
      <c r="BM36" s="5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5"/>
      <c r="CE36" s="5"/>
      <c r="CF36" s="11"/>
      <c r="CG36" s="11"/>
      <c r="CH36" s="11"/>
      <c r="CI36" s="11"/>
      <c r="CJ36" s="11"/>
      <c r="CK36" s="11"/>
      <c r="CL36" s="5"/>
      <c r="CM36" s="5"/>
      <c r="CN36" s="11">
        <v>60</v>
      </c>
      <c r="CO36" s="11"/>
      <c r="CP36" s="11"/>
      <c r="CQ36" s="11"/>
      <c r="CR36" s="11"/>
      <c r="CS36" s="11"/>
      <c r="CT36" s="5">
        <f t="shared" si="2"/>
        <v>60</v>
      </c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11"/>
      <c r="DQ36" s="11"/>
      <c r="DR36" s="11"/>
      <c r="DS36" s="11"/>
      <c r="DT36" s="11"/>
      <c r="DU36" s="11"/>
      <c r="DV36" s="5">
        <f t="shared" si="5"/>
        <v>0</v>
      </c>
      <c r="DW36" s="5">
        <f t="shared" si="3"/>
        <v>0</v>
      </c>
      <c r="DX36" s="11"/>
      <c r="DY36" s="5">
        <f>SUM(DW36:DW36)</f>
        <v>0</v>
      </c>
    </row>
    <row r="37" spans="1:129" x14ac:dyDescent="0.25">
      <c r="A37">
        <v>27</v>
      </c>
      <c r="B37" s="11" t="s">
        <v>508</v>
      </c>
      <c r="C37" s="5"/>
      <c r="D37" s="5" t="s">
        <v>236</v>
      </c>
      <c r="E37" s="5" t="s">
        <v>509</v>
      </c>
      <c r="F37" s="5"/>
      <c r="G37" s="5"/>
      <c r="H37" s="5"/>
      <c r="I37" s="5"/>
      <c r="J37" s="5"/>
      <c r="K37" s="5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11"/>
      <c r="BH37" s="5"/>
      <c r="BI37" s="5"/>
      <c r="BJ37" s="5"/>
      <c r="BK37" s="5"/>
      <c r="BL37" s="5"/>
      <c r="BM37" s="5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5"/>
      <c r="CE37" s="5"/>
      <c r="CF37" s="11">
        <v>36</v>
      </c>
      <c r="CG37" s="11"/>
      <c r="CH37" s="11">
        <v>39</v>
      </c>
      <c r="CI37" s="11">
        <v>39</v>
      </c>
      <c r="CJ37" s="11"/>
      <c r="CK37" s="11"/>
      <c r="CL37" s="5">
        <f>SUM(CE37:CK37)</f>
        <v>114</v>
      </c>
      <c r="CM37" s="5">
        <f>(CL37-CE37)/2</f>
        <v>57</v>
      </c>
      <c r="CN37" s="11"/>
      <c r="CO37" s="11"/>
      <c r="CP37" s="11"/>
      <c r="CQ37" s="11"/>
      <c r="CR37" s="11"/>
      <c r="CS37" s="11"/>
      <c r="CT37" s="5">
        <f t="shared" si="2"/>
        <v>57</v>
      </c>
      <c r="DN37" s="5"/>
      <c r="DO37" s="5"/>
      <c r="DP37" s="11"/>
      <c r="DQ37" s="11"/>
      <c r="DR37" s="11"/>
      <c r="DS37" s="11"/>
      <c r="DT37" s="11"/>
      <c r="DU37" s="11"/>
      <c r="DV37" s="5">
        <f t="shared" si="5"/>
        <v>0</v>
      </c>
      <c r="DW37" s="5">
        <f t="shared" si="3"/>
        <v>0</v>
      </c>
      <c r="DX37" s="11"/>
      <c r="DY37" s="5">
        <f>SUM(DW37:DX37)</f>
        <v>0</v>
      </c>
    </row>
    <row r="38" spans="1:129" x14ac:dyDescent="0.25">
      <c r="A38">
        <v>28</v>
      </c>
      <c r="B38" s="11" t="s">
        <v>714</v>
      </c>
      <c r="C38" s="5"/>
      <c r="D38" s="5" t="s">
        <v>715</v>
      </c>
      <c r="E38" s="5" t="s">
        <v>15</v>
      </c>
      <c r="F38" s="5"/>
      <c r="G38" s="5"/>
      <c r="H38" s="5"/>
      <c r="I38" s="5"/>
      <c r="J38" s="5"/>
      <c r="K38" s="5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11"/>
      <c r="BH38" s="5"/>
      <c r="BI38" s="5"/>
      <c r="BJ38" s="5"/>
      <c r="BK38" s="5"/>
      <c r="BL38" s="5"/>
      <c r="BM38" s="5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5"/>
      <c r="CE38" s="5"/>
      <c r="CF38" s="11"/>
      <c r="CG38" s="11"/>
      <c r="CH38" s="11"/>
      <c r="CI38" s="11"/>
      <c r="CJ38" s="11"/>
      <c r="CK38" s="11"/>
      <c r="CL38" s="5"/>
      <c r="CM38" s="5"/>
      <c r="CN38" s="11"/>
      <c r="CO38" s="11">
        <v>56</v>
      </c>
      <c r="CP38" s="11"/>
      <c r="CQ38" s="11"/>
      <c r="CR38" s="11"/>
      <c r="CS38" s="11"/>
      <c r="CT38" s="5">
        <f t="shared" si="2"/>
        <v>56</v>
      </c>
      <c r="DN38" s="5"/>
      <c r="DO38" s="5"/>
      <c r="DP38" s="11"/>
      <c r="DQ38" s="11"/>
      <c r="DR38" s="11"/>
      <c r="DS38" s="11"/>
      <c r="DT38" s="11"/>
      <c r="DU38" s="11"/>
      <c r="DV38" s="5">
        <f t="shared" si="5"/>
        <v>0</v>
      </c>
      <c r="DW38" s="5">
        <f t="shared" si="3"/>
        <v>0</v>
      </c>
      <c r="DX38" s="11"/>
      <c r="DY38" s="5">
        <f>SUM(DW38:DX38)</f>
        <v>0</v>
      </c>
    </row>
    <row r="39" spans="1:129" x14ac:dyDescent="0.25">
      <c r="A39">
        <v>29</v>
      </c>
      <c r="B39" s="11" t="s">
        <v>190</v>
      </c>
      <c r="C39" s="5"/>
      <c r="D39" s="5" t="s">
        <v>386</v>
      </c>
      <c r="E39" s="5" t="s">
        <v>111</v>
      </c>
      <c r="F39" s="5"/>
      <c r="G39" s="5"/>
      <c r="H39" s="5"/>
      <c r="I39" s="5"/>
      <c r="J39" s="5"/>
      <c r="K39" s="5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11"/>
      <c r="BH39" s="5"/>
      <c r="BI39" s="5"/>
      <c r="BJ39" s="5"/>
      <c r="BK39" s="5"/>
      <c r="BL39" s="5"/>
      <c r="BM39" s="5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5"/>
      <c r="CE39" s="5"/>
      <c r="CF39" s="11"/>
      <c r="CG39" s="11">
        <v>28.8</v>
      </c>
      <c r="CH39" s="11">
        <v>75</v>
      </c>
      <c r="CI39" s="11"/>
      <c r="CJ39" s="11"/>
      <c r="CK39" s="11"/>
      <c r="CL39" s="5">
        <f>SUM(CE39:CK39)</f>
        <v>103.8</v>
      </c>
      <c r="CM39" s="5">
        <f>(CL39-CE39)/2</f>
        <v>51.9</v>
      </c>
      <c r="CN39" s="11"/>
      <c r="CO39" s="11">
        <v>4</v>
      </c>
      <c r="CP39" s="11"/>
      <c r="CQ39" s="11"/>
      <c r="CR39" s="11"/>
      <c r="CS39" s="11"/>
      <c r="CT39" s="5">
        <f t="shared" si="2"/>
        <v>55.9</v>
      </c>
      <c r="DN39" s="5"/>
      <c r="DO39" s="5"/>
      <c r="DP39" s="11"/>
      <c r="DQ39" s="11"/>
      <c r="DR39" s="11"/>
      <c r="DS39" s="11"/>
      <c r="DT39" s="11"/>
      <c r="DU39" s="11"/>
      <c r="DV39" s="5">
        <f t="shared" si="5"/>
        <v>0</v>
      </c>
      <c r="DW39" s="5">
        <f t="shared" si="3"/>
        <v>0</v>
      </c>
      <c r="DX39" s="11"/>
      <c r="DY39" s="5">
        <f>SUM(DW39:DX39)</f>
        <v>0</v>
      </c>
    </row>
    <row r="40" spans="1:129" x14ac:dyDescent="0.25">
      <c r="A40">
        <v>30</v>
      </c>
      <c r="B40" s="11" t="s">
        <v>248</v>
      </c>
      <c r="C40" s="5"/>
      <c r="D40" s="5" t="s">
        <v>68</v>
      </c>
      <c r="E40" s="5" t="s">
        <v>9</v>
      </c>
      <c r="F40" s="5"/>
      <c r="G40" s="5"/>
      <c r="H40" s="5"/>
      <c r="I40" s="5"/>
      <c r="J40" s="5"/>
      <c r="K40" s="5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11"/>
      <c r="BH40" s="5"/>
      <c r="BI40" s="5"/>
      <c r="BJ40" s="5"/>
      <c r="BK40" s="5"/>
      <c r="BL40" s="5"/>
      <c r="BM40" s="5"/>
      <c r="BN40" s="11"/>
      <c r="BO40" s="11"/>
      <c r="BP40" s="11"/>
      <c r="BQ40" s="11"/>
      <c r="BR40" s="11"/>
      <c r="BS40" s="11">
        <v>7.5</v>
      </c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5">
        <f>SUM(BC40:CC40)</f>
        <v>7.5</v>
      </c>
      <c r="CE40" s="5">
        <f>(CD40-BC40)/2</f>
        <v>3.75</v>
      </c>
      <c r="CF40" s="11"/>
      <c r="CG40" s="11"/>
      <c r="CH40" s="11">
        <v>105</v>
      </c>
      <c r="CI40" s="11"/>
      <c r="CJ40" s="11"/>
      <c r="CK40" s="11"/>
      <c r="CL40" s="5">
        <f>SUM(CE40:CK40)</f>
        <v>108.75</v>
      </c>
      <c r="CM40" s="5">
        <f>(CL40-CE40)/2</f>
        <v>52.5</v>
      </c>
      <c r="CN40" s="11"/>
      <c r="CO40" s="11"/>
      <c r="CP40" s="11"/>
      <c r="CQ40" s="11"/>
      <c r="CR40" s="11"/>
      <c r="CS40" s="11"/>
      <c r="CT40" s="5">
        <f t="shared" si="2"/>
        <v>52.5</v>
      </c>
      <c r="DC40" s="37">
        <f>SUM(CV40:CW40)</f>
        <v>0</v>
      </c>
      <c r="DD40" s="7">
        <f>(DC40)/2</f>
        <v>0</v>
      </c>
      <c r="DE40" s="7">
        <f>CD40/4</f>
        <v>1.875</v>
      </c>
      <c r="DN40" s="11">
        <f>SUM(DD40:DM40)</f>
        <v>1.875</v>
      </c>
      <c r="DO40" s="5">
        <f>(DN40-DD40)/2</f>
        <v>0.9375</v>
      </c>
      <c r="DP40" s="11"/>
      <c r="DQ40" s="11"/>
      <c r="DR40" s="11"/>
      <c r="DS40" s="11"/>
      <c r="DT40" s="11"/>
      <c r="DU40" s="11"/>
      <c r="DV40" s="5">
        <f t="shared" si="5"/>
        <v>0.9375</v>
      </c>
      <c r="DW40" s="5">
        <f t="shared" si="3"/>
        <v>0</v>
      </c>
      <c r="DX40" s="11"/>
      <c r="DY40" s="5">
        <f>SUM(DW40:DX40)</f>
        <v>0</v>
      </c>
    </row>
    <row r="41" spans="1:129" x14ac:dyDescent="0.25">
      <c r="A41">
        <v>31</v>
      </c>
      <c r="B41" s="11" t="s">
        <v>538</v>
      </c>
      <c r="C41" s="5"/>
      <c r="D41" s="5" t="s">
        <v>539</v>
      </c>
      <c r="E41" s="5" t="s">
        <v>498</v>
      </c>
      <c r="F41" s="5"/>
      <c r="G41" s="5"/>
      <c r="H41" s="5"/>
      <c r="I41" s="5"/>
      <c r="J41" s="5"/>
      <c r="K41" s="5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11"/>
      <c r="BH41" s="5"/>
      <c r="BI41" s="5"/>
      <c r="BJ41" s="5"/>
      <c r="BK41" s="5"/>
      <c r="BL41" s="5"/>
      <c r="BM41" s="5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5"/>
      <c r="CE41" s="5"/>
      <c r="CF41" s="11"/>
      <c r="CG41" s="11"/>
      <c r="CH41" s="11"/>
      <c r="CI41" s="11"/>
      <c r="CJ41" s="11"/>
      <c r="CK41" s="11"/>
      <c r="CL41" s="5"/>
      <c r="CM41" s="5"/>
      <c r="CN41" s="11">
        <v>42</v>
      </c>
      <c r="CO41" s="11"/>
      <c r="CP41" s="11"/>
      <c r="CQ41" s="11"/>
      <c r="CR41" s="11"/>
      <c r="CS41" s="11"/>
      <c r="CT41" s="5">
        <f t="shared" si="2"/>
        <v>42</v>
      </c>
      <c r="DN41" s="5"/>
      <c r="DO41" s="5"/>
      <c r="DP41" s="11"/>
      <c r="DQ41" s="11"/>
      <c r="DR41" s="11"/>
      <c r="DS41" s="11"/>
      <c r="DT41" s="11"/>
      <c r="DU41" s="11"/>
      <c r="DV41" s="5">
        <f t="shared" si="5"/>
        <v>0</v>
      </c>
      <c r="DW41" s="5">
        <f t="shared" si="3"/>
        <v>0</v>
      </c>
      <c r="DX41" s="11"/>
      <c r="DY41" s="5">
        <f>SUM(DW41:DW41)</f>
        <v>0</v>
      </c>
    </row>
    <row r="42" spans="1:129" x14ac:dyDescent="0.25">
      <c r="A42">
        <v>32</v>
      </c>
      <c r="B42" s="11" t="s">
        <v>331</v>
      </c>
      <c r="C42" s="5"/>
      <c r="D42" s="5" t="s">
        <v>332</v>
      </c>
      <c r="E42" s="5" t="s">
        <v>333</v>
      </c>
      <c r="F42" s="5"/>
      <c r="G42" s="5"/>
      <c r="H42" s="5"/>
      <c r="I42" s="5"/>
      <c r="J42" s="5"/>
      <c r="K42" s="5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33.6</v>
      </c>
      <c r="BF42" s="5"/>
      <c r="BG42" s="11"/>
      <c r="BH42" s="5"/>
      <c r="BI42" s="5"/>
      <c r="BJ42" s="5"/>
      <c r="BK42" s="5"/>
      <c r="BL42" s="5"/>
      <c r="BM42" s="5"/>
      <c r="BN42" s="11"/>
      <c r="BO42" s="11">
        <v>5</v>
      </c>
      <c r="BP42" s="11"/>
      <c r="BQ42" s="11"/>
      <c r="BR42" s="11"/>
      <c r="BS42" s="11"/>
      <c r="BT42" s="11"/>
      <c r="BU42" s="11"/>
      <c r="BV42" s="11"/>
      <c r="BW42" s="11"/>
      <c r="BX42" s="11">
        <v>30</v>
      </c>
      <c r="BY42" s="11"/>
      <c r="BZ42" s="11"/>
      <c r="CA42" s="11"/>
      <c r="CB42" s="11"/>
      <c r="CC42" s="11"/>
      <c r="CD42" s="5">
        <f>SUM(BC42:CC42)</f>
        <v>68.599999999999994</v>
      </c>
      <c r="CE42" s="5">
        <f>(CD42-BC42)/2</f>
        <v>34.299999999999997</v>
      </c>
      <c r="CF42" s="11"/>
      <c r="CG42" s="11"/>
      <c r="CH42" s="11">
        <v>54</v>
      </c>
      <c r="CI42" s="11">
        <v>24</v>
      </c>
      <c r="CJ42" s="11"/>
      <c r="CK42" s="11"/>
      <c r="CL42" s="5">
        <f>SUM(CE42:CK42)</f>
        <v>112.3</v>
      </c>
      <c r="CM42" s="5">
        <f>(CL42-CE42)/2</f>
        <v>39</v>
      </c>
      <c r="CN42" s="11"/>
      <c r="CO42" s="11"/>
      <c r="CP42" s="11"/>
      <c r="CQ42" s="11"/>
      <c r="CR42" s="11"/>
      <c r="CS42" s="11"/>
      <c r="CT42" s="5">
        <f t="shared" si="2"/>
        <v>39</v>
      </c>
      <c r="DC42" s="37">
        <f>SUM(CV42:CW42)</f>
        <v>0</v>
      </c>
      <c r="DD42" s="7">
        <f>(DC42)/2</f>
        <v>0</v>
      </c>
      <c r="DE42" s="7">
        <f>CD42/4</f>
        <v>17.149999999999999</v>
      </c>
      <c r="DN42" s="11">
        <f>SUM(DD42:DM42)</f>
        <v>17.149999999999999</v>
      </c>
      <c r="DO42" s="5">
        <f>(DN42-DD42)/2</f>
        <v>8.5749999999999993</v>
      </c>
      <c r="DP42" s="11"/>
      <c r="DQ42" s="11"/>
      <c r="DR42" s="11"/>
      <c r="DS42" s="11"/>
      <c r="DT42" s="11"/>
      <c r="DU42" s="11"/>
      <c r="DV42" s="5">
        <f t="shared" si="5"/>
        <v>8.5749999999999993</v>
      </c>
      <c r="DW42" s="5">
        <f t="shared" si="3"/>
        <v>0</v>
      </c>
      <c r="DX42" s="11"/>
      <c r="DY42" s="5">
        <f t="shared" ref="DY42:DY48" si="6">SUM(DW42:DX42)</f>
        <v>0</v>
      </c>
    </row>
    <row r="43" spans="1:129" x14ac:dyDescent="0.25">
      <c r="A43">
        <v>33</v>
      </c>
      <c r="B43" s="11" t="s">
        <v>692</v>
      </c>
      <c r="C43" s="5"/>
      <c r="D43" s="5" t="s">
        <v>88</v>
      </c>
      <c r="E43" s="5" t="s">
        <v>39</v>
      </c>
      <c r="F43" s="5"/>
      <c r="G43" s="5"/>
      <c r="H43" s="5"/>
      <c r="I43" s="5"/>
      <c r="J43" s="5"/>
      <c r="K43" s="5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11"/>
      <c r="BH43" s="5"/>
      <c r="BI43" s="5"/>
      <c r="BJ43" s="5"/>
      <c r="BK43" s="5"/>
      <c r="BL43" s="5"/>
      <c r="BM43" s="5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5"/>
      <c r="CE43" s="5"/>
      <c r="CF43" s="11"/>
      <c r="CG43" s="11"/>
      <c r="CH43" s="11"/>
      <c r="CI43" s="11"/>
      <c r="CJ43" s="11"/>
      <c r="CK43" s="11"/>
      <c r="CL43" s="5"/>
      <c r="CM43" s="5"/>
      <c r="CN43" s="11">
        <v>36</v>
      </c>
      <c r="CO43" s="11"/>
      <c r="CP43" s="11"/>
      <c r="CQ43" s="11"/>
      <c r="CR43" s="11"/>
      <c r="CS43" s="11"/>
      <c r="CT43" s="5">
        <f t="shared" ref="CT43:CT74" si="7">SUM(CM43:CS43)</f>
        <v>36</v>
      </c>
      <c r="DN43" s="5"/>
      <c r="DO43" s="5"/>
      <c r="DP43" s="11"/>
      <c r="DQ43" s="11"/>
      <c r="DR43" s="11"/>
      <c r="DS43" s="11"/>
      <c r="DT43" s="11"/>
      <c r="DU43" s="11"/>
      <c r="DV43" s="5">
        <f t="shared" si="5"/>
        <v>0</v>
      </c>
      <c r="DW43" s="5">
        <f t="shared" ref="DW43:DW74" si="8">(DV43-DO43)/2</f>
        <v>0</v>
      </c>
      <c r="DX43" s="11"/>
      <c r="DY43" s="5">
        <f t="shared" si="6"/>
        <v>0</v>
      </c>
    </row>
    <row r="44" spans="1:129" x14ac:dyDescent="0.25">
      <c r="A44">
        <v>34</v>
      </c>
      <c r="B44" s="11" t="s">
        <v>537</v>
      </c>
      <c r="C44" s="5"/>
      <c r="D44" s="5" t="s">
        <v>17</v>
      </c>
      <c r="E44" s="5" t="s">
        <v>379</v>
      </c>
      <c r="F44" s="5"/>
      <c r="G44" s="5"/>
      <c r="H44" s="5"/>
      <c r="I44" s="5"/>
      <c r="J44" s="5"/>
      <c r="K44" s="5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11"/>
      <c r="BH44" s="5"/>
      <c r="BI44" s="5"/>
      <c r="BJ44" s="5"/>
      <c r="BK44" s="5"/>
      <c r="BL44" s="5"/>
      <c r="BM44" s="5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5"/>
      <c r="CE44" s="5"/>
      <c r="CF44" s="11"/>
      <c r="CG44" s="11"/>
      <c r="CH44" s="11"/>
      <c r="CI44" s="11"/>
      <c r="CJ44" s="11"/>
      <c r="CK44" s="11"/>
      <c r="CL44" s="5"/>
      <c r="CM44" s="5"/>
      <c r="CN44" s="11">
        <v>30</v>
      </c>
      <c r="CO44" s="11">
        <v>4</v>
      </c>
      <c r="CP44" s="11"/>
      <c r="CQ44" s="11"/>
      <c r="CR44" s="11"/>
      <c r="CS44" s="11"/>
      <c r="CT44" s="5">
        <f t="shared" si="7"/>
        <v>34</v>
      </c>
      <c r="DN44" s="5"/>
      <c r="DO44" s="5"/>
      <c r="DP44" s="11"/>
      <c r="DQ44" s="11"/>
      <c r="DR44" s="11"/>
      <c r="DS44" s="11"/>
      <c r="DT44" s="11"/>
      <c r="DU44" s="11"/>
      <c r="DV44" s="5">
        <f t="shared" si="5"/>
        <v>0</v>
      </c>
      <c r="DW44" s="5">
        <f t="shared" si="8"/>
        <v>0</v>
      </c>
      <c r="DX44" s="11"/>
      <c r="DY44" s="5">
        <f t="shared" si="6"/>
        <v>0</v>
      </c>
    </row>
    <row r="45" spans="1:129" x14ac:dyDescent="0.25">
      <c r="A45">
        <v>35</v>
      </c>
      <c r="B45" s="11" t="s">
        <v>508</v>
      </c>
      <c r="C45" s="5"/>
      <c r="D45" s="5" t="s">
        <v>643</v>
      </c>
      <c r="E45" s="5" t="s">
        <v>154</v>
      </c>
      <c r="F45" s="5"/>
      <c r="G45" s="5"/>
      <c r="H45" s="5"/>
      <c r="I45" s="5"/>
      <c r="J45" s="5"/>
      <c r="K45" s="5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11"/>
      <c r="BH45" s="5"/>
      <c r="BI45" s="5"/>
      <c r="BJ45" s="5"/>
      <c r="BK45" s="5"/>
      <c r="BL45" s="5"/>
      <c r="BM45" s="5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5"/>
      <c r="CE45" s="5"/>
      <c r="CF45" s="11"/>
      <c r="CG45" s="11"/>
      <c r="CH45" s="11"/>
      <c r="CI45" s="11"/>
      <c r="CJ45" s="11"/>
      <c r="CK45" s="11"/>
      <c r="CL45" s="5"/>
      <c r="CM45" s="5"/>
      <c r="CN45" s="11">
        <v>33.6</v>
      </c>
      <c r="CO45" s="11"/>
      <c r="CP45" s="11"/>
      <c r="CQ45" s="11"/>
      <c r="CR45" s="11"/>
      <c r="CS45" s="11"/>
      <c r="CT45" s="5">
        <f t="shared" si="7"/>
        <v>33.6</v>
      </c>
      <c r="DN45" s="5"/>
      <c r="DO45" s="5"/>
      <c r="DP45" s="11"/>
      <c r="DQ45" s="11"/>
      <c r="DR45" s="11"/>
      <c r="DS45" s="11"/>
      <c r="DT45" s="11"/>
      <c r="DU45" s="11"/>
      <c r="DV45" s="5">
        <f t="shared" si="5"/>
        <v>0</v>
      </c>
      <c r="DW45" s="5">
        <f t="shared" si="8"/>
        <v>0</v>
      </c>
      <c r="DX45" s="11"/>
      <c r="DY45" s="5">
        <f t="shared" si="6"/>
        <v>0</v>
      </c>
    </row>
    <row r="46" spans="1:129" x14ac:dyDescent="0.25">
      <c r="A46">
        <v>36</v>
      </c>
      <c r="B46" s="11" t="s">
        <v>705</v>
      </c>
      <c r="C46" s="5"/>
      <c r="D46" s="5" t="s">
        <v>706</v>
      </c>
      <c r="E46" s="5" t="s">
        <v>707</v>
      </c>
      <c r="F46" s="5"/>
      <c r="G46" s="5"/>
      <c r="H46" s="5"/>
      <c r="I46" s="5"/>
      <c r="J46" s="5"/>
      <c r="K46" s="5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11"/>
      <c r="BH46" s="5"/>
      <c r="BI46" s="5"/>
      <c r="BJ46" s="5"/>
      <c r="BK46" s="5"/>
      <c r="BL46" s="5"/>
      <c r="BM46" s="5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5"/>
      <c r="CE46" s="5"/>
      <c r="CF46" s="11"/>
      <c r="CG46" s="11"/>
      <c r="CH46" s="11"/>
      <c r="CI46" s="11"/>
      <c r="CJ46" s="11"/>
      <c r="CK46" s="11"/>
      <c r="CL46" s="5"/>
      <c r="CM46" s="5"/>
      <c r="CN46" s="11">
        <v>2.4</v>
      </c>
      <c r="CO46" s="11">
        <v>28.8</v>
      </c>
      <c r="CP46" s="11"/>
      <c r="CQ46" s="11"/>
      <c r="CR46" s="11"/>
      <c r="CS46" s="11"/>
      <c r="CT46" s="5">
        <f t="shared" si="7"/>
        <v>31.2</v>
      </c>
      <c r="DN46" s="5"/>
      <c r="DO46" s="5"/>
      <c r="DP46" s="11"/>
      <c r="DQ46" s="11"/>
      <c r="DR46" s="11"/>
      <c r="DS46" s="11"/>
      <c r="DT46" s="11"/>
      <c r="DU46" s="11"/>
      <c r="DV46" s="5">
        <f t="shared" si="5"/>
        <v>0</v>
      </c>
      <c r="DW46" s="5">
        <f t="shared" si="8"/>
        <v>0</v>
      </c>
      <c r="DX46" s="11"/>
      <c r="DY46" s="5">
        <f t="shared" si="6"/>
        <v>0</v>
      </c>
    </row>
    <row r="47" spans="1:129" x14ac:dyDescent="0.25">
      <c r="A47">
        <v>37</v>
      </c>
      <c r="B47" s="11" t="s">
        <v>562</v>
      </c>
      <c r="C47" s="5"/>
      <c r="D47" s="5" t="s">
        <v>563</v>
      </c>
      <c r="E47" s="5" t="s">
        <v>111</v>
      </c>
      <c r="F47" s="5"/>
      <c r="G47" s="5"/>
      <c r="H47" s="5"/>
      <c r="I47" s="5"/>
      <c r="J47" s="5"/>
      <c r="K47" s="5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11"/>
      <c r="BH47" s="5"/>
      <c r="BI47" s="5"/>
      <c r="BJ47" s="5"/>
      <c r="BK47" s="5"/>
      <c r="BL47" s="5"/>
      <c r="BM47" s="5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5"/>
      <c r="CE47" s="5"/>
      <c r="CF47" s="11"/>
      <c r="CG47" s="11">
        <v>56</v>
      </c>
      <c r="CH47" s="11">
        <v>5</v>
      </c>
      <c r="CI47" s="11"/>
      <c r="CJ47" s="11"/>
      <c r="CK47" s="11"/>
      <c r="CL47" s="5">
        <f>SUM(CE47:CK47)</f>
        <v>61</v>
      </c>
      <c r="CM47" s="5">
        <f>(CL47-CE47)/2</f>
        <v>30.5</v>
      </c>
      <c r="CN47" s="11"/>
      <c r="CO47" s="11"/>
      <c r="CP47" s="11"/>
      <c r="CQ47" s="11"/>
      <c r="CR47" s="11"/>
      <c r="CS47" s="11"/>
      <c r="CT47" s="5">
        <f t="shared" si="7"/>
        <v>30.5</v>
      </c>
      <c r="DN47" s="5"/>
      <c r="DO47" s="5"/>
      <c r="DP47" s="11"/>
      <c r="DQ47" s="11"/>
      <c r="DR47" s="11"/>
      <c r="DS47" s="11"/>
      <c r="DT47" s="11"/>
      <c r="DU47" s="11"/>
      <c r="DV47" s="5">
        <f t="shared" si="5"/>
        <v>0</v>
      </c>
      <c r="DW47" s="5">
        <f t="shared" si="8"/>
        <v>0</v>
      </c>
      <c r="DX47" s="11"/>
      <c r="DY47" s="5">
        <f t="shared" si="6"/>
        <v>0</v>
      </c>
    </row>
    <row r="48" spans="1:129" x14ac:dyDescent="0.25">
      <c r="A48">
        <v>38</v>
      </c>
      <c r="B48" s="11" t="s">
        <v>64</v>
      </c>
      <c r="C48" s="5" t="s">
        <v>322</v>
      </c>
      <c r="D48" s="5" t="s">
        <v>58</v>
      </c>
      <c r="E48" s="5" t="s">
        <v>648</v>
      </c>
      <c r="F48" s="5"/>
      <c r="G48" s="5"/>
      <c r="H48" s="5"/>
      <c r="I48" s="5"/>
      <c r="J48" s="5"/>
      <c r="K48" s="5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11"/>
      <c r="BH48" s="5">
        <v>2.4</v>
      </c>
      <c r="BI48" s="5"/>
      <c r="BJ48" s="5"/>
      <c r="BK48" s="5"/>
      <c r="BL48" s="5"/>
      <c r="BM48" s="5"/>
      <c r="BN48" s="11">
        <v>54</v>
      </c>
      <c r="BO48" s="11">
        <v>50</v>
      </c>
      <c r="BP48" s="11"/>
      <c r="BQ48" s="11">
        <v>56</v>
      </c>
      <c r="BR48" s="11"/>
      <c r="BS48" s="11">
        <v>7.5</v>
      </c>
      <c r="BT48" s="11"/>
      <c r="BU48" s="11"/>
      <c r="BV48" s="11"/>
      <c r="BW48" s="11">
        <v>48</v>
      </c>
      <c r="BX48" s="11"/>
      <c r="BY48" s="11"/>
      <c r="BZ48" s="11"/>
      <c r="CA48" s="11"/>
      <c r="CB48" s="11"/>
      <c r="CC48" s="11">
        <v>10</v>
      </c>
      <c r="CD48" s="5">
        <f>SUM(BC48:CC48)</f>
        <v>227.9</v>
      </c>
      <c r="CE48" s="5">
        <f>(CD48-BC48)/2</f>
        <v>113.95</v>
      </c>
      <c r="CF48" s="11"/>
      <c r="CG48" s="11"/>
      <c r="CH48" s="11"/>
      <c r="CI48" s="11"/>
      <c r="CJ48" s="11"/>
      <c r="CK48" s="11"/>
      <c r="CL48" s="5">
        <f>SUM(CE48:CK48)</f>
        <v>113.95</v>
      </c>
      <c r="CM48" s="5">
        <f>(CL48-CE48)/2</f>
        <v>0</v>
      </c>
      <c r="CN48" s="11">
        <v>30</v>
      </c>
      <c r="CO48" s="11"/>
      <c r="CP48" s="11"/>
      <c r="CQ48" s="11"/>
      <c r="CR48" s="11"/>
      <c r="CS48" s="11"/>
      <c r="CT48" s="5">
        <f t="shared" si="7"/>
        <v>30</v>
      </c>
      <c r="DC48">
        <f>SUM(CV48:CW48)</f>
        <v>0</v>
      </c>
      <c r="DD48" s="7">
        <f>(DC48)/2</f>
        <v>0</v>
      </c>
      <c r="DE48" s="7">
        <f>CD48/4</f>
        <v>56.975000000000001</v>
      </c>
      <c r="DN48" s="11">
        <f>SUM(DD48:DM48)</f>
        <v>56.975000000000001</v>
      </c>
      <c r="DO48" s="5">
        <f>(DN48-DD48)/2</f>
        <v>28.487500000000001</v>
      </c>
      <c r="DP48" s="11">
        <v>1.75</v>
      </c>
      <c r="DQ48" s="11"/>
      <c r="DR48" s="11"/>
      <c r="DS48" s="11"/>
      <c r="DT48" s="11"/>
      <c r="DU48" s="11"/>
      <c r="DV48" s="5">
        <f t="shared" si="5"/>
        <v>30.237500000000001</v>
      </c>
      <c r="DW48" s="5">
        <f t="shared" si="8"/>
        <v>0.875</v>
      </c>
      <c r="DX48" s="11"/>
      <c r="DY48" s="5">
        <f t="shared" si="6"/>
        <v>0.875</v>
      </c>
    </row>
    <row r="49" spans="1:129" x14ac:dyDescent="0.25">
      <c r="A49">
        <v>39</v>
      </c>
      <c r="B49" s="11" t="s">
        <v>710</v>
      </c>
      <c r="C49" s="5"/>
      <c r="D49" s="5" t="s">
        <v>712</v>
      </c>
      <c r="E49" s="5" t="s">
        <v>711</v>
      </c>
      <c r="F49" s="5"/>
      <c r="G49" s="5"/>
      <c r="H49" s="5"/>
      <c r="I49" s="5"/>
      <c r="J49" s="5"/>
      <c r="K49" s="5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11"/>
      <c r="BH49" s="5"/>
      <c r="BI49" s="5"/>
      <c r="BJ49" s="5"/>
      <c r="BK49" s="5"/>
      <c r="BL49" s="5"/>
      <c r="BM49" s="5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5"/>
      <c r="CE49" s="5"/>
      <c r="CF49" s="11"/>
      <c r="CG49" s="11"/>
      <c r="CH49" s="11"/>
      <c r="CI49" s="11"/>
      <c r="CJ49" s="11"/>
      <c r="CK49" s="11"/>
      <c r="CL49" s="5"/>
      <c r="CM49" s="5"/>
      <c r="CN49" s="11">
        <v>30</v>
      </c>
      <c r="CO49" s="11"/>
      <c r="CP49" s="11"/>
      <c r="CQ49" s="11"/>
      <c r="CR49" s="11"/>
      <c r="CS49" s="11"/>
      <c r="CT49" s="5">
        <f t="shared" si="7"/>
        <v>30</v>
      </c>
      <c r="DN49" s="5"/>
      <c r="DO49" s="5"/>
      <c r="DP49" s="11"/>
      <c r="DQ49" s="11"/>
      <c r="DR49" s="11"/>
      <c r="DS49" s="11"/>
      <c r="DT49" s="11"/>
      <c r="DU49" s="11"/>
      <c r="DV49" s="5">
        <f t="shared" ref="DV49:DV80" si="9">SUM(DO49:DU49)</f>
        <v>0</v>
      </c>
      <c r="DW49" s="5">
        <f t="shared" si="8"/>
        <v>0</v>
      </c>
      <c r="DX49" s="11"/>
      <c r="DY49" s="5">
        <f>SUM(DW49:DW49)</f>
        <v>0</v>
      </c>
    </row>
    <row r="50" spans="1:129" x14ac:dyDescent="0.25">
      <c r="A50">
        <v>40</v>
      </c>
      <c r="B50" s="11" t="s">
        <v>686</v>
      </c>
      <c r="C50" s="5"/>
      <c r="D50" s="5" t="s">
        <v>337</v>
      </c>
      <c r="E50" s="5" t="s">
        <v>651</v>
      </c>
      <c r="F50" s="5"/>
      <c r="G50" s="5"/>
      <c r="H50" s="5"/>
      <c r="I50" s="5"/>
      <c r="J50" s="5"/>
      <c r="K50" s="5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11"/>
      <c r="BH50" s="5"/>
      <c r="BI50" s="5"/>
      <c r="BJ50" s="5"/>
      <c r="BK50" s="5"/>
      <c r="BL50" s="5"/>
      <c r="BM50" s="5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5"/>
      <c r="CE50" s="5"/>
      <c r="CF50" s="11"/>
      <c r="CG50" s="11"/>
      <c r="CH50" s="11"/>
      <c r="CI50" s="11"/>
      <c r="CJ50" s="11"/>
      <c r="CK50" s="11"/>
      <c r="CL50" s="5"/>
      <c r="CM50" s="5"/>
      <c r="CN50" s="11">
        <v>21.6</v>
      </c>
      <c r="CO50" s="11"/>
      <c r="CP50" s="11">
        <v>7.5</v>
      </c>
      <c r="CQ50" s="11"/>
      <c r="CR50" s="11"/>
      <c r="CS50" s="11"/>
      <c r="CT50" s="5">
        <f t="shared" si="7"/>
        <v>29.1</v>
      </c>
      <c r="DN50" s="5"/>
      <c r="DO50" s="5"/>
      <c r="DP50" s="11"/>
      <c r="DQ50" s="11"/>
      <c r="DR50" s="11"/>
      <c r="DS50" s="11"/>
      <c r="DT50" s="11"/>
      <c r="DU50" s="11"/>
      <c r="DV50" s="5">
        <f t="shared" si="9"/>
        <v>0</v>
      </c>
      <c r="DW50" s="5">
        <f t="shared" si="8"/>
        <v>0</v>
      </c>
      <c r="DX50" s="11"/>
      <c r="DY50" s="5">
        <f>SUM(DW50:DX50)</f>
        <v>0</v>
      </c>
    </row>
    <row r="51" spans="1:129" x14ac:dyDescent="0.25">
      <c r="A51">
        <v>41</v>
      </c>
      <c r="B51" s="11" t="s">
        <v>334</v>
      </c>
      <c r="C51" s="5"/>
      <c r="D51" s="5" t="s">
        <v>259</v>
      </c>
      <c r="E51" s="5" t="s">
        <v>194</v>
      </c>
      <c r="F51" s="5"/>
      <c r="G51" s="5"/>
      <c r="H51" s="5"/>
      <c r="I51" s="5"/>
      <c r="J51" s="5"/>
      <c r="K51" s="5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2.4</v>
      </c>
      <c r="BF51" s="5"/>
      <c r="BG51" s="11"/>
      <c r="BH51" s="5"/>
      <c r="BI51" s="5"/>
      <c r="BJ51" s="5"/>
      <c r="BK51" s="5"/>
      <c r="BL51" s="5"/>
      <c r="BM51" s="5"/>
      <c r="BN51" s="11"/>
      <c r="BO51" s="11"/>
      <c r="BP51" s="11">
        <v>28.8</v>
      </c>
      <c r="BQ51" s="11"/>
      <c r="BR51" s="11"/>
      <c r="BS51" s="11">
        <v>7.5</v>
      </c>
      <c r="BT51" s="11"/>
      <c r="BU51" s="11"/>
      <c r="BV51" s="11"/>
      <c r="BW51" s="11"/>
      <c r="BX51" s="11">
        <v>60</v>
      </c>
      <c r="BY51" s="11"/>
      <c r="BZ51" s="11"/>
      <c r="CA51" s="11"/>
      <c r="CB51" s="11"/>
      <c r="CC51" s="11">
        <v>100</v>
      </c>
      <c r="CD51" s="5">
        <f>SUM(BC51:CC51)</f>
        <v>198.7</v>
      </c>
      <c r="CE51" s="5">
        <f>(CD51-BC51)/2</f>
        <v>99.35</v>
      </c>
      <c r="CF51" s="11"/>
      <c r="CG51" s="11">
        <v>44.8</v>
      </c>
      <c r="CH51" s="11">
        <v>10</v>
      </c>
      <c r="CI51" s="11"/>
      <c r="CJ51" s="11"/>
      <c r="CK51" s="11"/>
      <c r="CL51" s="5">
        <f t="shared" ref="CL51:CL58" si="10">SUM(CE51:CK51)</f>
        <v>154.14999999999998</v>
      </c>
      <c r="CM51" s="5">
        <f t="shared" ref="CM51:CM58" si="11">(CL51-CE51)/2</f>
        <v>27.399999999999991</v>
      </c>
      <c r="CN51" s="11"/>
      <c r="CO51" s="11"/>
      <c r="CP51" s="11"/>
      <c r="CQ51" s="11"/>
      <c r="CR51" s="11"/>
      <c r="CS51" s="11"/>
      <c r="CT51" s="5">
        <f t="shared" si="7"/>
        <v>27.399999999999991</v>
      </c>
      <c r="DC51">
        <f>SUM(CV51:CW51)</f>
        <v>0</v>
      </c>
      <c r="DD51" s="7">
        <f>(DC51)/2</f>
        <v>0</v>
      </c>
      <c r="DE51" s="7">
        <f>CD51/4</f>
        <v>49.674999999999997</v>
      </c>
      <c r="DN51" s="11">
        <f>SUM(DD51:DM51)</f>
        <v>49.674999999999997</v>
      </c>
      <c r="DO51" s="5">
        <f>(DN51-DD51)/2</f>
        <v>24.837499999999999</v>
      </c>
      <c r="DP51" s="11"/>
      <c r="DQ51" s="11"/>
      <c r="DR51" s="11"/>
      <c r="DS51" s="11"/>
      <c r="DT51" s="11"/>
      <c r="DU51" s="11"/>
      <c r="DV51" s="5">
        <f t="shared" si="9"/>
        <v>24.837499999999999</v>
      </c>
      <c r="DW51" s="5">
        <f t="shared" si="8"/>
        <v>0</v>
      </c>
      <c r="DX51" s="11"/>
      <c r="DY51" s="5">
        <f t="shared" ref="DY51:DY92" si="12">SUM(DW51:DW51)</f>
        <v>0</v>
      </c>
    </row>
    <row r="52" spans="1:129" x14ac:dyDescent="0.25">
      <c r="A52">
        <v>42</v>
      </c>
      <c r="B52" s="25" t="s">
        <v>510</v>
      </c>
      <c r="C52" s="22"/>
      <c r="D52" s="22" t="s">
        <v>511</v>
      </c>
      <c r="E52" s="22" t="s">
        <v>379</v>
      </c>
      <c r="F52" s="5"/>
      <c r="G52" s="5"/>
      <c r="H52" s="5"/>
      <c r="I52" s="5"/>
      <c r="J52" s="5"/>
      <c r="K52" s="5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11"/>
      <c r="BH52" s="5"/>
      <c r="BI52" s="5"/>
      <c r="BJ52" s="5"/>
      <c r="BK52" s="5"/>
      <c r="BL52" s="5"/>
      <c r="BM52" s="5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5"/>
      <c r="CE52" s="5"/>
      <c r="CF52" s="11">
        <v>2.4</v>
      </c>
      <c r="CG52" s="11">
        <v>40</v>
      </c>
      <c r="CH52" s="11">
        <v>2.4</v>
      </c>
      <c r="CI52" s="11">
        <v>7.5</v>
      </c>
      <c r="CJ52" s="11"/>
      <c r="CK52" s="11"/>
      <c r="CL52" s="5">
        <f t="shared" si="10"/>
        <v>52.3</v>
      </c>
      <c r="CM52" s="5">
        <f t="shared" si="11"/>
        <v>26.15</v>
      </c>
      <c r="CN52" s="11"/>
      <c r="CO52" s="11"/>
      <c r="CP52" s="11"/>
      <c r="CQ52" s="11"/>
      <c r="CR52" s="11"/>
      <c r="CS52" s="11"/>
      <c r="CT52" s="5">
        <f t="shared" si="7"/>
        <v>26.15</v>
      </c>
      <c r="DN52" s="5"/>
      <c r="DO52" s="5"/>
      <c r="DP52" s="11"/>
      <c r="DQ52" s="11"/>
      <c r="DR52" s="11"/>
      <c r="DS52" s="11"/>
      <c r="DT52" s="11"/>
      <c r="DU52" s="11">
        <v>25</v>
      </c>
      <c r="DV52" s="5">
        <f t="shared" si="9"/>
        <v>25</v>
      </c>
      <c r="DW52" s="5">
        <f t="shared" si="8"/>
        <v>12.5</v>
      </c>
      <c r="DX52" s="11"/>
      <c r="DY52" s="22">
        <f t="shared" si="12"/>
        <v>12.5</v>
      </c>
    </row>
    <row r="53" spans="1:129" x14ac:dyDescent="0.25">
      <c r="A53">
        <v>43</v>
      </c>
      <c r="B53" s="11" t="s">
        <v>461</v>
      </c>
      <c r="C53" s="5"/>
      <c r="D53" s="5" t="s">
        <v>205</v>
      </c>
      <c r="E53" s="5" t="s">
        <v>76</v>
      </c>
      <c r="F53" s="5"/>
      <c r="G53" s="5"/>
      <c r="H53" s="5"/>
      <c r="I53" s="5"/>
      <c r="J53" s="5"/>
      <c r="K53" s="5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11"/>
      <c r="BH53" s="5"/>
      <c r="BI53" s="5"/>
      <c r="BJ53" s="5"/>
      <c r="BK53" s="5"/>
      <c r="BL53" s="5"/>
      <c r="BM53" s="5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5"/>
      <c r="CE53" s="5"/>
      <c r="CF53" s="11"/>
      <c r="CG53" s="11"/>
      <c r="CH53" s="11">
        <v>52</v>
      </c>
      <c r="CI53" s="11"/>
      <c r="CJ53" s="11"/>
      <c r="CK53" s="11"/>
      <c r="CL53" s="5">
        <f t="shared" si="10"/>
        <v>52</v>
      </c>
      <c r="CM53" s="5">
        <f t="shared" si="11"/>
        <v>26</v>
      </c>
      <c r="CN53" s="11"/>
      <c r="CO53" s="11"/>
      <c r="CP53" s="11"/>
      <c r="CQ53" s="11"/>
      <c r="CR53" s="11"/>
      <c r="CS53" s="11"/>
      <c r="CT53" s="5">
        <f t="shared" si="7"/>
        <v>26</v>
      </c>
      <c r="DN53" s="5"/>
      <c r="DO53" s="5"/>
      <c r="DP53" s="11"/>
      <c r="DQ53" s="11"/>
      <c r="DR53" s="11"/>
      <c r="DS53" s="11"/>
      <c r="DT53" s="11"/>
      <c r="DU53" s="11"/>
      <c r="DV53" s="5">
        <f t="shared" si="9"/>
        <v>0</v>
      </c>
      <c r="DW53" s="5">
        <f t="shared" si="8"/>
        <v>0</v>
      </c>
      <c r="DX53" s="11"/>
      <c r="DY53" s="5">
        <f t="shared" si="12"/>
        <v>0</v>
      </c>
    </row>
    <row r="54" spans="1:129" x14ac:dyDescent="0.25">
      <c r="A54">
        <v>44</v>
      </c>
      <c r="B54" s="11" t="s">
        <v>344</v>
      </c>
      <c r="C54" s="5"/>
      <c r="D54" s="5" t="s">
        <v>602</v>
      </c>
      <c r="E54" s="5" t="s">
        <v>531</v>
      </c>
      <c r="F54" s="5"/>
      <c r="G54" s="5"/>
      <c r="H54" s="5"/>
      <c r="I54" s="5"/>
      <c r="J54" s="5"/>
      <c r="K54" s="5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11"/>
      <c r="BH54" s="5"/>
      <c r="BI54" s="5"/>
      <c r="BJ54" s="5"/>
      <c r="BK54" s="5"/>
      <c r="BL54" s="5"/>
      <c r="BM54" s="5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5"/>
      <c r="CE54" s="5"/>
      <c r="CF54" s="11">
        <v>48</v>
      </c>
      <c r="CG54" s="11"/>
      <c r="CH54" s="11"/>
      <c r="CI54" s="11"/>
      <c r="CJ54" s="11"/>
      <c r="CK54" s="11"/>
      <c r="CL54" s="5">
        <f t="shared" si="10"/>
        <v>48</v>
      </c>
      <c r="CM54" s="5">
        <f t="shared" si="11"/>
        <v>24</v>
      </c>
      <c r="CN54" s="11"/>
      <c r="CO54" s="11"/>
      <c r="CP54" s="11"/>
      <c r="CQ54" s="11"/>
      <c r="CR54" s="11"/>
      <c r="CS54" s="11"/>
      <c r="CT54" s="5">
        <f t="shared" si="7"/>
        <v>24</v>
      </c>
      <c r="DN54" s="5"/>
      <c r="DO54" s="5"/>
      <c r="DP54" s="11"/>
      <c r="DQ54" s="11"/>
      <c r="DR54" s="11"/>
      <c r="DS54" s="11"/>
      <c r="DT54" s="11"/>
      <c r="DU54" s="11"/>
      <c r="DV54" s="5">
        <f t="shared" si="9"/>
        <v>0</v>
      </c>
      <c r="DW54" s="5">
        <f t="shared" si="8"/>
        <v>0</v>
      </c>
      <c r="DX54" s="11"/>
      <c r="DY54" s="5">
        <f t="shared" si="12"/>
        <v>0</v>
      </c>
    </row>
    <row r="55" spans="1:129" x14ac:dyDescent="0.25">
      <c r="A55">
        <v>45</v>
      </c>
      <c r="B55" s="11" t="s">
        <v>423</v>
      </c>
      <c r="C55" s="5"/>
      <c r="D55" s="5" t="s">
        <v>451</v>
      </c>
      <c r="E55" s="5" t="s">
        <v>75</v>
      </c>
      <c r="F55" s="5"/>
      <c r="G55" s="5"/>
      <c r="H55" s="5"/>
      <c r="I55" s="5"/>
      <c r="J55" s="5"/>
      <c r="K55" s="5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11"/>
      <c r="BH55" s="5"/>
      <c r="BI55" s="5"/>
      <c r="BJ55" s="5"/>
      <c r="BK55" s="5"/>
      <c r="BL55" s="5"/>
      <c r="BM55" s="5"/>
      <c r="BN55" s="11"/>
      <c r="BO55" s="11"/>
      <c r="BP55" s="11"/>
      <c r="BQ55" s="11"/>
      <c r="BR55" s="11"/>
      <c r="BS55" s="11"/>
      <c r="BT55" s="11"/>
      <c r="BU55" s="11">
        <v>2.4</v>
      </c>
      <c r="BV55" s="11"/>
      <c r="BW55" s="11"/>
      <c r="BX55" s="11"/>
      <c r="BY55" s="11"/>
      <c r="BZ55" s="11"/>
      <c r="CA55" s="11"/>
      <c r="CB55" s="11"/>
      <c r="CC55" s="11"/>
      <c r="CD55" s="5">
        <f>SUM(BC55:CC55)</f>
        <v>2.4</v>
      </c>
      <c r="CE55" s="5">
        <f>(CD55-BC55)/2</f>
        <v>1.2</v>
      </c>
      <c r="CF55" s="11"/>
      <c r="CG55" s="11">
        <v>3.2</v>
      </c>
      <c r="CH55" s="11">
        <v>36</v>
      </c>
      <c r="CI55" s="11">
        <v>5</v>
      </c>
      <c r="CJ55" s="11"/>
      <c r="CK55" s="11"/>
      <c r="CL55" s="5">
        <f t="shared" si="10"/>
        <v>45.4</v>
      </c>
      <c r="CM55" s="5">
        <f t="shared" si="11"/>
        <v>22.099999999999998</v>
      </c>
      <c r="CN55" s="11"/>
      <c r="CO55" s="11"/>
      <c r="CP55" s="11"/>
      <c r="CQ55" s="11"/>
      <c r="CR55" s="11"/>
      <c r="CS55" s="11"/>
      <c r="CT55" s="5">
        <f t="shared" si="7"/>
        <v>22.099999999999998</v>
      </c>
      <c r="DC55" s="37">
        <f>SUM(CV55:CW55)</f>
        <v>0</v>
      </c>
      <c r="DD55" s="7">
        <f>(DC55)/2</f>
        <v>0</v>
      </c>
      <c r="DE55" s="7">
        <f>CD55/4</f>
        <v>0.6</v>
      </c>
      <c r="DN55" s="11">
        <f>SUM(DD55:DM55)</f>
        <v>0.6</v>
      </c>
      <c r="DO55" s="5">
        <f>(DN55-DD55)/2</f>
        <v>0.3</v>
      </c>
      <c r="DP55" s="11"/>
      <c r="DQ55" s="11"/>
      <c r="DR55" s="11"/>
      <c r="DS55" s="11"/>
      <c r="DT55" s="11"/>
      <c r="DU55" s="11"/>
      <c r="DV55" s="5">
        <f t="shared" si="9"/>
        <v>0.3</v>
      </c>
      <c r="DW55" s="5">
        <f t="shared" si="8"/>
        <v>0</v>
      </c>
      <c r="DX55" s="11"/>
      <c r="DY55" s="5">
        <f t="shared" si="12"/>
        <v>0</v>
      </c>
    </row>
    <row r="56" spans="1:129" x14ac:dyDescent="0.25">
      <c r="A56">
        <v>46</v>
      </c>
      <c r="B56" s="11" t="s">
        <v>536</v>
      </c>
      <c r="C56" s="5"/>
      <c r="D56" s="5" t="s">
        <v>272</v>
      </c>
      <c r="E56" s="5" t="s">
        <v>311</v>
      </c>
      <c r="F56" s="5"/>
      <c r="G56" s="5"/>
      <c r="H56" s="5"/>
      <c r="I56" s="5"/>
      <c r="J56" s="5"/>
      <c r="K56" s="5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11"/>
      <c r="BH56" s="5"/>
      <c r="BI56" s="5"/>
      <c r="BJ56" s="5"/>
      <c r="BK56" s="5"/>
      <c r="BL56" s="5"/>
      <c r="BM56" s="5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5"/>
      <c r="CE56" s="5"/>
      <c r="CF56" s="11">
        <v>36</v>
      </c>
      <c r="CG56" s="11"/>
      <c r="CH56" s="11">
        <v>7.5</v>
      </c>
      <c r="CI56" s="11"/>
      <c r="CJ56" s="11"/>
      <c r="CK56" s="11"/>
      <c r="CL56" s="5">
        <f t="shared" si="10"/>
        <v>43.5</v>
      </c>
      <c r="CM56" s="5">
        <f t="shared" si="11"/>
        <v>21.75</v>
      </c>
      <c r="CN56" s="11"/>
      <c r="CO56" s="11"/>
      <c r="CP56" s="11"/>
      <c r="CQ56" s="11"/>
      <c r="CR56" s="11"/>
      <c r="CS56" s="11"/>
      <c r="CT56" s="5">
        <f t="shared" si="7"/>
        <v>21.75</v>
      </c>
      <c r="DN56" s="5"/>
      <c r="DO56" s="5"/>
      <c r="DP56" s="11"/>
      <c r="DQ56" s="11"/>
      <c r="DR56" s="11"/>
      <c r="DS56" s="11"/>
      <c r="DT56" s="11"/>
      <c r="DU56" s="11"/>
      <c r="DV56" s="5">
        <f t="shared" si="9"/>
        <v>0</v>
      </c>
      <c r="DW56" s="5">
        <f t="shared" si="8"/>
        <v>0</v>
      </c>
      <c r="DX56" s="11"/>
      <c r="DY56" s="5">
        <f t="shared" si="12"/>
        <v>0</v>
      </c>
    </row>
    <row r="57" spans="1:129" x14ac:dyDescent="0.25">
      <c r="A57">
        <v>47</v>
      </c>
      <c r="B57" s="11" t="s">
        <v>401</v>
      </c>
      <c r="C57" s="5"/>
      <c r="D57" s="5" t="s">
        <v>63</v>
      </c>
      <c r="E57" s="5" t="s">
        <v>505</v>
      </c>
      <c r="F57" s="5"/>
      <c r="G57" s="5"/>
      <c r="H57" s="5"/>
      <c r="I57" s="5"/>
      <c r="J57" s="5"/>
      <c r="K57" s="5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11"/>
      <c r="BH57" s="5"/>
      <c r="BI57" s="5"/>
      <c r="BJ57" s="5"/>
      <c r="BK57" s="5"/>
      <c r="BL57" s="5"/>
      <c r="BM57" s="5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5"/>
      <c r="CE57" s="5"/>
      <c r="CF57" s="11">
        <v>33.6</v>
      </c>
      <c r="CG57" s="11"/>
      <c r="CH57" s="11"/>
      <c r="CI57" s="11"/>
      <c r="CJ57" s="11"/>
      <c r="CK57" s="11"/>
      <c r="CL57" s="5">
        <f t="shared" si="10"/>
        <v>33.6</v>
      </c>
      <c r="CM57" s="5">
        <f t="shared" si="11"/>
        <v>16.8</v>
      </c>
      <c r="CN57" s="11"/>
      <c r="CO57" s="11"/>
      <c r="CP57" s="11"/>
      <c r="CQ57" s="11"/>
      <c r="CR57" s="11"/>
      <c r="CS57" s="11"/>
      <c r="CT57" s="5">
        <f t="shared" si="7"/>
        <v>16.8</v>
      </c>
      <c r="DN57" s="5"/>
      <c r="DO57" s="5"/>
      <c r="DP57" s="11"/>
      <c r="DQ57" s="11"/>
      <c r="DR57" s="11"/>
      <c r="DS57" s="11"/>
      <c r="DT57" s="11"/>
      <c r="DU57" s="11"/>
      <c r="DV57" s="5">
        <f t="shared" si="9"/>
        <v>0</v>
      </c>
      <c r="DW57" s="5">
        <f t="shared" si="8"/>
        <v>0</v>
      </c>
      <c r="DX57" s="11"/>
      <c r="DY57" s="5">
        <f t="shared" si="12"/>
        <v>0</v>
      </c>
    </row>
    <row r="58" spans="1:129" x14ac:dyDescent="0.25">
      <c r="A58">
        <v>48</v>
      </c>
      <c r="B58" s="11" t="s">
        <v>285</v>
      </c>
      <c r="C58" s="5"/>
      <c r="D58" s="5" t="s">
        <v>399</v>
      </c>
      <c r="E58" s="5" t="s">
        <v>400</v>
      </c>
      <c r="F58" s="5"/>
      <c r="G58" s="5"/>
      <c r="H58" s="5"/>
      <c r="I58" s="5"/>
      <c r="J58" s="5"/>
      <c r="K58" s="5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11"/>
      <c r="BH58" s="5"/>
      <c r="BI58" s="5"/>
      <c r="BJ58" s="5"/>
      <c r="BK58" s="5"/>
      <c r="BL58" s="5"/>
      <c r="BM58" s="5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5"/>
      <c r="CE58" s="5"/>
      <c r="CF58" s="11">
        <v>2.4</v>
      </c>
      <c r="CG58" s="11"/>
      <c r="CH58" s="11">
        <v>26</v>
      </c>
      <c r="CI58" s="11"/>
      <c r="CJ58" s="11"/>
      <c r="CK58" s="11"/>
      <c r="CL58" s="5">
        <f t="shared" si="10"/>
        <v>28.4</v>
      </c>
      <c r="CM58" s="5">
        <f t="shared" si="11"/>
        <v>14.2</v>
      </c>
      <c r="CN58" s="11"/>
      <c r="CO58" s="11"/>
      <c r="CP58" s="11"/>
      <c r="CQ58" s="11"/>
      <c r="CR58" s="11"/>
      <c r="CS58" s="11"/>
      <c r="CT58" s="5">
        <f t="shared" si="7"/>
        <v>14.2</v>
      </c>
      <c r="DN58" s="5"/>
      <c r="DO58" s="5"/>
      <c r="DP58" s="11"/>
      <c r="DQ58" s="11"/>
      <c r="DR58" s="11"/>
      <c r="DS58" s="11"/>
      <c r="DT58" s="11"/>
      <c r="DU58" s="11"/>
      <c r="DV58" s="5">
        <f t="shared" si="9"/>
        <v>0</v>
      </c>
      <c r="DW58" s="5">
        <f t="shared" si="8"/>
        <v>0</v>
      </c>
      <c r="DX58" s="11"/>
      <c r="DY58" s="5">
        <f t="shared" si="12"/>
        <v>0</v>
      </c>
    </row>
    <row r="59" spans="1:129" x14ac:dyDescent="0.25">
      <c r="A59">
        <v>49</v>
      </c>
      <c r="B59" s="11" t="s">
        <v>81</v>
      </c>
      <c r="C59" s="5"/>
      <c r="D59" s="5" t="s">
        <v>259</v>
      </c>
      <c r="E59" s="5" t="s">
        <v>570</v>
      </c>
      <c r="F59" s="5"/>
      <c r="G59" s="5"/>
      <c r="H59" s="5"/>
      <c r="I59" s="5"/>
      <c r="J59" s="5"/>
      <c r="K59" s="5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11"/>
      <c r="BH59" s="5"/>
      <c r="BI59" s="5"/>
      <c r="BJ59" s="5"/>
      <c r="BK59" s="5"/>
      <c r="BL59" s="5"/>
      <c r="BM59" s="5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5"/>
      <c r="CE59" s="5"/>
      <c r="CF59" s="11"/>
      <c r="CG59" s="11"/>
      <c r="CH59" s="11"/>
      <c r="CI59" s="11"/>
      <c r="CJ59" s="11"/>
      <c r="CK59" s="11"/>
      <c r="CL59" s="5"/>
      <c r="CM59" s="5"/>
      <c r="CN59" s="11">
        <v>3</v>
      </c>
      <c r="CO59" s="11">
        <v>3.2</v>
      </c>
      <c r="CP59" s="11">
        <v>3</v>
      </c>
      <c r="CQ59" s="11"/>
      <c r="CR59" s="11"/>
      <c r="CS59" s="11"/>
      <c r="CT59" s="5">
        <f t="shared" si="7"/>
        <v>9.1999999999999993</v>
      </c>
      <c r="DN59" s="5"/>
      <c r="DO59" s="5"/>
      <c r="DP59" s="11"/>
      <c r="DQ59" s="11"/>
      <c r="DR59" s="11"/>
      <c r="DS59" s="11"/>
      <c r="DT59" s="11"/>
      <c r="DU59" s="11"/>
      <c r="DV59" s="5">
        <f t="shared" si="9"/>
        <v>0</v>
      </c>
      <c r="DW59" s="5">
        <f t="shared" si="8"/>
        <v>0</v>
      </c>
      <c r="DX59" s="11"/>
      <c r="DY59" s="5">
        <f t="shared" si="12"/>
        <v>0</v>
      </c>
    </row>
    <row r="60" spans="1:129" x14ac:dyDescent="0.25">
      <c r="A60">
        <v>50</v>
      </c>
      <c r="B60" s="11" t="s">
        <v>523</v>
      </c>
      <c r="C60" s="5"/>
      <c r="D60" s="5" t="s">
        <v>524</v>
      </c>
      <c r="E60" s="5" t="s">
        <v>687</v>
      </c>
      <c r="F60" s="5"/>
      <c r="G60" s="5"/>
      <c r="H60" s="5"/>
      <c r="I60" s="5"/>
      <c r="J60" s="5"/>
      <c r="K60" s="5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11"/>
      <c r="BH60" s="5"/>
      <c r="BI60" s="5"/>
      <c r="BJ60" s="5"/>
      <c r="BK60" s="5"/>
      <c r="BL60" s="5"/>
      <c r="BM60" s="5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5"/>
      <c r="CE60" s="5"/>
      <c r="CF60" s="11"/>
      <c r="CG60" s="11"/>
      <c r="CH60" s="11"/>
      <c r="CI60" s="11"/>
      <c r="CJ60" s="11"/>
      <c r="CK60" s="11"/>
      <c r="CL60" s="5"/>
      <c r="CM60" s="5"/>
      <c r="CN60" s="11"/>
      <c r="CO60" s="11"/>
      <c r="CP60" s="11">
        <v>7.5</v>
      </c>
      <c r="CQ60" s="11"/>
      <c r="CR60" s="11"/>
      <c r="CS60" s="11"/>
      <c r="CT60" s="5">
        <f t="shared" si="7"/>
        <v>7.5</v>
      </c>
      <c r="DN60" s="5"/>
      <c r="DO60" s="5"/>
      <c r="DP60" s="11"/>
      <c r="DQ60" s="11"/>
      <c r="DR60" s="11"/>
      <c r="DS60" s="11"/>
      <c r="DT60" s="11"/>
      <c r="DU60" s="11"/>
      <c r="DV60" s="5">
        <f t="shared" si="9"/>
        <v>0</v>
      </c>
      <c r="DW60" s="5">
        <f t="shared" si="8"/>
        <v>0</v>
      </c>
      <c r="DX60" s="11"/>
      <c r="DY60" s="5">
        <f t="shared" si="12"/>
        <v>0</v>
      </c>
    </row>
    <row r="61" spans="1:129" x14ac:dyDescent="0.25">
      <c r="A61">
        <v>51</v>
      </c>
      <c r="B61" s="11" t="s">
        <v>574</v>
      </c>
      <c r="C61" s="5"/>
      <c r="D61" s="5" t="s">
        <v>587</v>
      </c>
      <c r="E61" s="5" t="s">
        <v>588</v>
      </c>
      <c r="F61" s="5"/>
      <c r="G61" s="5"/>
      <c r="H61" s="5"/>
      <c r="I61" s="5"/>
      <c r="J61" s="5"/>
      <c r="K61" s="5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11"/>
      <c r="BH61" s="5"/>
      <c r="BI61" s="5"/>
      <c r="BJ61" s="5"/>
      <c r="BK61" s="5"/>
      <c r="BL61" s="5"/>
      <c r="BM61" s="5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5"/>
      <c r="CE61" s="5"/>
      <c r="CF61" s="11">
        <v>2.4</v>
      </c>
      <c r="CG61" s="11">
        <v>3.2</v>
      </c>
      <c r="CH61" s="11">
        <v>3.2</v>
      </c>
      <c r="CI61" s="11"/>
      <c r="CJ61" s="11"/>
      <c r="CK61" s="11"/>
      <c r="CL61" s="5">
        <f>SUM(CE61:CK61)</f>
        <v>8.8000000000000007</v>
      </c>
      <c r="CM61" s="5">
        <f>(CL61-CE61)/2</f>
        <v>4.4000000000000004</v>
      </c>
      <c r="CN61" s="11"/>
      <c r="CO61" s="11"/>
      <c r="CP61" s="11"/>
      <c r="CQ61" s="11"/>
      <c r="CR61" s="11"/>
      <c r="CS61" s="11"/>
      <c r="CT61" s="5">
        <f t="shared" si="7"/>
        <v>4.4000000000000004</v>
      </c>
      <c r="DN61" s="5"/>
      <c r="DO61" s="5"/>
      <c r="DP61" s="11"/>
      <c r="DQ61" s="11"/>
      <c r="DR61" s="11"/>
      <c r="DS61" s="11"/>
      <c r="DT61" s="11"/>
      <c r="DU61" s="11"/>
      <c r="DV61" s="5">
        <f t="shared" si="9"/>
        <v>0</v>
      </c>
      <c r="DW61" s="5">
        <f t="shared" si="8"/>
        <v>0</v>
      </c>
      <c r="DX61" s="11"/>
      <c r="DY61" s="5">
        <f t="shared" si="12"/>
        <v>0</v>
      </c>
    </row>
    <row r="62" spans="1:129" x14ac:dyDescent="0.25">
      <c r="A62">
        <v>52</v>
      </c>
      <c r="B62" s="11" t="s">
        <v>703</v>
      </c>
      <c r="C62" s="5"/>
      <c r="D62" s="5" t="s">
        <v>702</v>
      </c>
      <c r="E62" s="5" t="s">
        <v>704</v>
      </c>
      <c r="F62" s="5"/>
      <c r="G62" s="5"/>
      <c r="H62" s="5"/>
      <c r="I62" s="5"/>
      <c r="J62" s="5"/>
      <c r="K62" s="5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11"/>
      <c r="BH62" s="5"/>
      <c r="BI62" s="5"/>
      <c r="BJ62" s="5"/>
      <c r="BK62" s="5"/>
      <c r="BL62" s="5"/>
      <c r="BM62" s="5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5"/>
      <c r="CE62" s="5"/>
      <c r="CF62" s="11"/>
      <c r="CG62" s="11"/>
      <c r="CH62" s="11"/>
      <c r="CI62" s="11"/>
      <c r="CJ62" s="11"/>
      <c r="CK62" s="11"/>
      <c r="CL62" s="5"/>
      <c r="CM62" s="5"/>
      <c r="CN62" s="11"/>
      <c r="CO62" s="11">
        <v>4</v>
      </c>
      <c r="CP62" s="11"/>
      <c r="CQ62" s="11"/>
      <c r="CR62" s="11"/>
      <c r="CS62" s="11"/>
      <c r="CT62" s="5">
        <f t="shared" si="7"/>
        <v>4</v>
      </c>
      <c r="DN62" s="5"/>
      <c r="DO62" s="5"/>
      <c r="DP62" s="11"/>
      <c r="DQ62" s="11"/>
      <c r="DR62" s="11"/>
      <c r="DS62" s="11"/>
      <c r="DT62" s="11"/>
      <c r="DU62" s="11"/>
      <c r="DV62" s="5">
        <f t="shared" si="9"/>
        <v>0</v>
      </c>
      <c r="DW62" s="5">
        <f t="shared" si="8"/>
        <v>0</v>
      </c>
      <c r="DX62" s="11"/>
      <c r="DY62" s="5">
        <f t="shared" si="12"/>
        <v>0</v>
      </c>
    </row>
    <row r="63" spans="1:129" x14ac:dyDescent="0.25">
      <c r="A63">
        <v>53</v>
      </c>
      <c r="B63" s="11" t="s">
        <v>290</v>
      </c>
      <c r="C63" s="5"/>
      <c r="D63" s="5" t="s">
        <v>291</v>
      </c>
      <c r="E63" s="5" t="s">
        <v>50</v>
      </c>
      <c r="F63" s="5"/>
      <c r="G63" s="5"/>
      <c r="H63" s="5"/>
      <c r="I63" s="5"/>
      <c r="J63" s="5"/>
      <c r="K63" s="5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11"/>
      <c r="BH63" s="5"/>
      <c r="BI63" s="5"/>
      <c r="BJ63" s="5"/>
      <c r="BK63" s="5"/>
      <c r="BL63" s="5"/>
      <c r="BM63" s="5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5"/>
      <c r="CE63" s="5"/>
      <c r="CF63" s="11"/>
      <c r="CG63" s="11"/>
      <c r="CH63" s="11"/>
      <c r="CI63" s="11"/>
      <c r="CJ63" s="11"/>
      <c r="CK63" s="11"/>
      <c r="CL63" s="5"/>
      <c r="CM63" s="5"/>
      <c r="CN63" s="11"/>
      <c r="CO63" s="11">
        <v>4</v>
      </c>
      <c r="CP63" s="11"/>
      <c r="CQ63" s="11"/>
      <c r="CR63" s="11"/>
      <c r="CS63" s="11"/>
      <c r="CT63" s="5">
        <f t="shared" si="7"/>
        <v>4</v>
      </c>
      <c r="DN63" s="5"/>
      <c r="DO63" s="5"/>
      <c r="DP63" s="11"/>
      <c r="DQ63" s="11"/>
      <c r="DR63" s="11"/>
      <c r="DS63" s="11"/>
      <c r="DT63" s="11"/>
      <c r="DU63" s="11"/>
      <c r="DV63" s="5">
        <f t="shared" si="9"/>
        <v>0</v>
      </c>
      <c r="DW63" s="5">
        <f t="shared" si="8"/>
        <v>0</v>
      </c>
      <c r="DX63" s="11"/>
      <c r="DY63" s="5">
        <f t="shared" si="12"/>
        <v>0</v>
      </c>
    </row>
    <row r="64" spans="1:129" x14ac:dyDescent="0.25">
      <c r="A64">
        <v>54</v>
      </c>
      <c r="B64" s="11" t="s">
        <v>593</v>
      </c>
      <c r="C64" s="5"/>
      <c r="D64" s="5" t="s">
        <v>594</v>
      </c>
      <c r="E64" s="5" t="s">
        <v>9</v>
      </c>
      <c r="F64" s="5"/>
      <c r="G64" s="5"/>
      <c r="H64" s="5"/>
      <c r="I64" s="5"/>
      <c r="J64" s="5"/>
      <c r="K64" s="5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11"/>
      <c r="BH64" s="5"/>
      <c r="BI64" s="5"/>
      <c r="BJ64" s="5"/>
      <c r="BK64" s="5"/>
      <c r="BL64" s="5"/>
      <c r="BM64" s="5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5"/>
      <c r="CE64" s="5"/>
      <c r="CF64" s="11"/>
      <c r="CG64" s="11"/>
      <c r="CH64" s="11">
        <v>7.5</v>
      </c>
      <c r="CI64" s="11"/>
      <c r="CJ64" s="11"/>
      <c r="CK64" s="11"/>
      <c r="CL64" s="5">
        <f>SUM(CE64:CK64)</f>
        <v>7.5</v>
      </c>
      <c r="CM64" s="5">
        <f>(CL64-CE64)/2</f>
        <v>3.75</v>
      </c>
      <c r="CN64" s="11"/>
      <c r="CO64" s="11"/>
      <c r="CP64" s="11"/>
      <c r="CQ64" s="11"/>
      <c r="CR64" s="11"/>
      <c r="CS64" s="11"/>
      <c r="CT64" s="5">
        <f t="shared" si="7"/>
        <v>3.75</v>
      </c>
      <c r="DN64" s="5"/>
      <c r="DO64" s="5"/>
      <c r="DP64" s="11"/>
      <c r="DQ64" s="11"/>
      <c r="DR64" s="11"/>
      <c r="DS64" s="11"/>
      <c r="DT64" s="11"/>
      <c r="DU64" s="11"/>
      <c r="DV64" s="5">
        <f t="shared" si="9"/>
        <v>0</v>
      </c>
      <c r="DW64" s="5">
        <f t="shared" si="8"/>
        <v>0</v>
      </c>
      <c r="DX64" s="11"/>
      <c r="DY64" s="5">
        <f t="shared" si="12"/>
        <v>0</v>
      </c>
    </row>
    <row r="65" spans="1:129" x14ac:dyDescent="0.25">
      <c r="A65">
        <v>55</v>
      </c>
      <c r="B65" s="11" t="s">
        <v>566</v>
      </c>
      <c r="C65" s="5"/>
      <c r="D65" s="5" t="s">
        <v>60</v>
      </c>
      <c r="E65" s="5" t="s">
        <v>353</v>
      </c>
      <c r="F65" s="5"/>
      <c r="G65" s="5"/>
      <c r="H65" s="5"/>
      <c r="I65" s="5"/>
      <c r="J65" s="5"/>
      <c r="K65" s="5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11"/>
      <c r="BH65" s="5"/>
      <c r="BI65" s="5"/>
      <c r="BJ65" s="5"/>
      <c r="BK65" s="5"/>
      <c r="BL65" s="5"/>
      <c r="BM65" s="5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5"/>
      <c r="CE65" s="5"/>
      <c r="CF65" s="11"/>
      <c r="CG65" s="11"/>
      <c r="CH65" s="11">
        <v>7.5</v>
      </c>
      <c r="CI65" s="11"/>
      <c r="CJ65" s="11"/>
      <c r="CK65" s="11"/>
      <c r="CL65" s="5">
        <f>SUM(CE65:CK65)</f>
        <v>7.5</v>
      </c>
      <c r="CM65" s="5">
        <f>(CL65-CE65)/2</f>
        <v>3.75</v>
      </c>
      <c r="CN65" s="11"/>
      <c r="CO65" s="11"/>
      <c r="CP65" s="11"/>
      <c r="CQ65" s="11"/>
      <c r="CR65" s="11"/>
      <c r="CS65" s="11"/>
      <c r="CT65" s="5">
        <f t="shared" si="7"/>
        <v>3.75</v>
      </c>
      <c r="DN65" s="5"/>
      <c r="DO65" s="5"/>
      <c r="DP65" s="11"/>
      <c r="DQ65" s="11"/>
      <c r="DR65" s="11"/>
      <c r="DS65" s="11"/>
      <c r="DT65" s="11"/>
      <c r="DU65" s="11"/>
      <c r="DV65" s="5">
        <f t="shared" si="9"/>
        <v>0</v>
      </c>
      <c r="DW65" s="5">
        <f t="shared" si="8"/>
        <v>0</v>
      </c>
      <c r="DX65" s="11"/>
      <c r="DY65" s="5">
        <f t="shared" si="12"/>
        <v>0</v>
      </c>
    </row>
    <row r="66" spans="1:129" x14ac:dyDescent="0.25">
      <c r="A66">
        <v>56</v>
      </c>
      <c r="B66" s="11" t="s">
        <v>339</v>
      </c>
      <c r="C66" s="5"/>
      <c r="D66" s="5" t="s">
        <v>142</v>
      </c>
      <c r="E66" s="5" t="s">
        <v>8</v>
      </c>
      <c r="F66" s="5"/>
      <c r="G66" s="5"/>
      <c r="H66" s="5"/>
      <c r="I66" s="5"/>
      <c r="J66" s="5"/>
      <c r="K66" s="5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11"/>
      <c r="BH66" s="5"/>
      <c r="BI66" s="5"/>
      <c r="BJ66" s="5"/>
      <c r="BK66" s="5"/>
      <c r="BL66" s="5"/>
      <c r="BM66" s="5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5"/>
      <c r="CE66" s="5"/>
      <c r="CF66" s="11">
        <v>2.4</v>
      </c>
      <c r="CG66" s="11"/>
      <c r="CH66" s="11"/>
      <c r="CI66" s="11"/>
      <c r="CJ66" s="11"/>
      <c r="CK66" s="11"/>
      <c r="CL66" s="5">
        <f>SUM(CE66:CK66)</f>
        <v>2.4</v>
      </c>
      <c r="CM66" s="5">
        <f>(CL66-CE66)/2</f>
        <v>1.2</v>
      </c>
      <c r="CN66" s="11">
        <v>2.4</v>
      </c>
      <c r="CO66" s="11"/>
      <c r="CP66" s="11"/>
      <c r="CQ66" s="11"/>
      <c r="CR66" s="11"/>
      <c r="CS66" s="11"/>
      <c r="CT66" s="5">
        <f t="shared" si="7"/>
        <v>3.5999999999999996</v>
      </c>
      <c r="DN66" s="5"/>
      <c r="DO66" s="5"/>
      <c r="DP66" s="11"/>
      <c r="DQ66" s="11"/>
      <c r="DR66" s="11"/>
      <c r="DS66" s="11"/>
      <c r="DT66" s="11"/>
      <c r="DU66" s="11"/>
      <c r="DV66" s="5">
        <f t="shared" si="9"/>
        <v>0</v>
      </c>
      <c r="DW66" s="5">
        <f t="shared" si="8"/>
        <v>0</v>
      </c>
      <c r="DX66" s="11"/>
      <c r="DY66" s="5">
        <f t="shared" si="12"/>
        <v>0</v>
      </c>
    </row>
    <row r="67" spans="1:129" x14ac:dyDescent="0.25">
      <c r="A67">
        <v>57</v>
      </c>
      <c r="B67" s="11" t="s">
        <v>314</v>
      </c>
      <c r="C67" s="5"/>
      <c r="D67" s="5" t="s">
        <v>45</v>
      </c>
      <c r="E67" s="5" t="s">
        <v>644</v>
      </c>
      <c r="F67" s="5"/>
      <c r="G67" s="5"/>
      <c r="H67" s="5"/>
      <c r="I67" s="5"/>
      <c r="J67" s="5"/>
      <c r="K67" s="5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11"/>
      <c r="BH67" s="5"/>
      <c r="BI67" s="5"/>
      <c r="BJ67" s="5"/>
      <c r="BK67" s="5"/>
      <c r="BL67" s="5"/>
      <c r="BM67" s="5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5"/>
      <c r="CE67" s="5"/>
      <c r="CF67" s="11"/>
      <c r="CG67" s="11"/>
      <c r="CH67" s="11"/>
      <c r="CI67" s="11"/>
      <c r="CJ67" s="11"/>
      <c r="CK67" s="11"/>
      <c r="CL67" s="5"/>
      <c r="CM67" s="5"/>
      <c r="CN67" s="11">
        <v>3.2</v>
      </c>
      <c r="CO67" s="11"/>
      <c r="CP67" s="11"/>
      <c r="CQ67" s="11"/>
      <c r="CR67" s="11"/>
      <c r="CS67" s="11"/>
      <c r="CT67" s="5">
        <f t="shared" si="7"/>
        <v>3.2</v>
      </c>
      <c r="DV67" s="5">
        <f t="shared" si="9"/>
        <v>0</v>
      </c>
      <c r="DW67" s="5">
        <f t="shared" si="8"/>
        <v>0</v>
      </c>
      <c r="DX67" s="11"/>
      <c r="DY67" s="5">
        <f t="shared" si="12"/>
        <v>0</v>
      </c>
    </row>
    <row r="68" spans="1:129" x14ac:dyDescent="0.25">
      <c r="A68">
        <v>58</v>
      </c>
      <c r="B68" s="11" t="s">
        <v>70</v>
      </c>
      <c r="C68" s="5"/>
      <c r="D68" s="5" t="s">
        <v>652</v>
      </c>
      <c r="E68" s="5" t="s">
        <v>651</v>
      </c>
      <c r="F68" s="5"/>
      <c r="G68" s="5"/>
      <c r="H68" s="5"/>
      <c r="I68" s="5"/>
      <c r="J68" s="5"/>
      <c r="K68" s="5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11"/>
      <c r="BH68" s="5"/>
      <c r="BI68" s="5"/>
      <c r="BJ68" s="5"/>
      <c r="BK68" s="5"/>
      <c r="BL68" s="5"/>
      <c r="BM68" s="5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5"/>
      <c r="CE68" s="5"/>
      <c r="CF68" s="11"/>
      <c r="CG68" s="11"/>
      <c r="CH68" s="11"/>
      <c r="CI68" s="11"/>
      <c r="CJ68" s="11"/>
      <c r="CK68" s="11"/>
      <c r="CL68" s="5"/>
      <c r="CM68" s="5"/>
      <c r="CN68" s="11">
        <v>3</v>
      </c>
      <c r="CO68" s="11"/>
      <c r="CP68" s="11"/>
      <c r="CQ68" s="11"/>
      <c r="CR68" s="11"/>
      <c r="CS68" s="11"/>
      <c r="CT68" s="5">
        <f t="shared" si="7"/>
        <v>3</v>
      </c>
      <c r="DV68" s="5">
        <f t="shared" si="9"/>
        <v>0</v>
      </c>
      <c r="DW68" s="5">
        <f t="shared" si="8"/>
        <v>0</v>
      </c>
      <c r="DX68" s="11"/>
      <c r="DY68" s="5">
        <f t="shared" si="12"/>
        <v>0</v>
      </c>
    </row>
    <row r="69" spans="1:129" x14ac:dyDescent="0.25">
      <c r="A69">
        <v>59</v>
      </c>
      <c r="B69" s="11" t="s">
        <v>207</v>
      </c>
      <c r="C69" s="5"/>
      <c r="D69" s="5" t="s">
        <v>657</v>
      </c>
      <c r="E69" s="5" t="s">
        <v>327</v>
      </c>
      <c r="F69" s="5"/>
      <c r="G69" s="5"/>
      <c r="H69" s="5"/>
      <c r="I69" s="5"/>
      <c r="J69" s="5"/>
      <c r="K69" s="5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11"/>
      <c r="BH69" s="5"/>
      <c r="BI69" s="5"/>
      <c r="BJ69" s="5"/>
      <c r="BK69" s="5"/>
      <c r="BL69" s="5"/>
      <c r="BM69" s="5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5"/>
      <c r="CE69" s="5"/>
      <c r="CF69" s="11"/>
      <c r="CG69" s="11"/>
      <c r="CH69" s="11"/>
      <c r="CI69" s="11"/>
      <c r="CJ69" s="11"/>
      <c r="CK69" s="11"/>
      <c r="CL69" s="5"/>
      <c r="CM69" s="5"/>
      <c r="CN69" s="11">
        <v>3</v>
      </c>
      <c r="CO69" s="11"/>
      <c r="CP69" s="11"/>
      <c r="CQ69" s="11"/>
      <c r="CR69" s="11"/>
      <c r="CS69" s="11"/>
      <c r="CT69" s="5">
        <f t="shared" si="7"/>
        <v>3</v>
      </c>
      <c r="DV69" s="5">
        <f t="shared" si="9"/>
        <v>0</v>
      </c>
      <c r="DW69" s="5">
        <f t="shared" si="8"/>
        <v>0</v>
      </c>
      <c r="DX69" s="11"/>
      <c r="DY69" s="5">
        <f t="shared" si="12"/>
        <v>0</v>
      </c>
    </row>
    <row r="70" spans="1:129" x14ac:dyDescent="0.25">
      <c r="A70">
        <v>60</v>
      </c>
      <c r="B70" s="11" t="s">
        <v>609</v>
      </c>
      <c r="C70" s="5"/>
      <c r="D70" s="5" t="s">
        <v>195</v>
      </c>
      <c r="E70" s="5" t="s">
        <v>102</v>
      </c>
      <c r="F70" s="5"/>
      <c r="G70" s="5"/>
      <c r="H70" s="5"/>
      <c r="I70" s="5"/>
      <c r="J70" s="5"/>
      <c r="K70" s="5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11"/>
      <c r="BH70" s="5"/>
      <c r="BI70" s="5"/>
      <c r="BJ70" s="5"/>
      <c r="BK70" s="5"/>
      <c r="BL70" s="5"/>
      <c r="BM70" s="5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5"/>
      <c r="CE70" s="5"/>
      <c r="CF70" s="11"/>
      <c r="CG70" s="11"/>
      <c r="CH70" s="11"/>
      <c r="CI70" s="11"/>
      <c r="CJ70" s="11"/>
      <c r="CK70" s="11"/>
      <c r="CL70" s="5"/>
      <c r="CM70" s="5"/>
      <c r="CN70" s="11">
        <v>3</v>
      </c>
      <c r="CO70" s="11"/>
      <c r="CP70" s="11"/>
      <c r="CQ70" s="11"/>
      <c r="CR70" s="11"/>
      <c r="CS70" s="11"/>
      <c r="CT70" s="5">
        <f t="shared" si="7"/>
        <v>3</v>
      </c>
      <c r="DV70" s="5">
        <f t="shared" si="9"/>
        <v>0</v>
      </c>
      <c r="DW70" s="5">
        <f t="shared" si="8"/>
        <v>0</v>
      </c>
      <c r="DX70" s="11"/>
      <c r="DY70" s="5">
        <f t="shared" si="12"/>
        <v>0</v>
      </c>
    </row>
    <row r="71" spans="1:129" x14ac:dyDescent="0.25">
      <c r="A71">
        <v>61</v>
      </c>
      <c r="B71" s="11" t="s">
        <v>732</v>
      </c>
      <c r="C71" s="5"/>
      <c r="D71" s="5" t="s">
        <v>195</v>
      </c>
      <c r="E71" s="5" t="s">
        <v>69</v>
      </c>
      <c r="F71" s="5"/>
      <c r="G71" s="5"/>
      <c r="H71" s="5"/>
      <c r="I71" s="5"/>
      <c r="J71" s="5"/>
      <c r="K71" s="5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11"/>
      <c r="BH71" s="5"/>
      <c r="BI71" s="5"/>
      <c r="BJ71" s="5"/>
      <c r="BK71" s="5"/>
      <c r="BL71" s="5"/>
      <c r="BM71" s="5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5"/>
      <c r="CE71" s="5"/>
      <c r="CF71" s="11"/>
      <c r="CG71" s="11"/>
      <c r="CH71" s="11"/>
      <c r="CI71" s="11"/>
      <c r="CJ71" s="11"/>
      <c r="CK71" s="11"/>
      <c r="CL71" s="5"/>
      <c r="CM71" s="5"/>
      <c r="CN71" s="11">
        <v>2.4</v>
      </c>
      <c r="CO71" s="11"/>
      <c r="CP71" s="11"/>
      <c r="CQ71" s="11"/>
      <c r="CR71" s="11"/>
      <c r="CS71" s="11"/>
      <c r="CT71" s="5">
        <f t="shared" si="7"/>
        <v>2.4</v>
      </c>
      <c r="DV71" s="5">
        <f t="shared" si="9"/>
        <v>0</v>
      </c>
      <c r="DW71" s="5">
        <f t="shared" si="8"/>
        <v>0</v>
      </c>
      <c r="DX71" s="11"/>
      <c r="DY71" s="5">
        <f t="shared" si="12"/>
        <v>0</v>
      </c>
    </row>
    <row r="72" spans="1:129" x14ac:dyDescent="0.25">
      <c r="A72">
        <v>62</v>
      </c>
      <c r="B72" s="11" t="s">
        <v>605</v>
      </c>
      <c r="C72" s="5"/>
      <c r="D72" s="5" t="s">
        <v>606</v>
      </c>
      <c r="E72" s="5" t="s">
        <v>102</v>
      </c>
      <c r="F72" s="5"/>
      <c r="G72" s="5"/>
      <c r="H72" s="5"/>
      <c r="I72" s="5"/>
      <c r="J72" s="5"/>
      <c r="K72" s="5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11"/>
      <c r="BH72" s="5"/>
      <c r="BI72" s="5"/>
      <c r="BJ72" s="5"/>
      <c r="BK72" s="5"/>
      <c r="BL72" s="5"/>
      <c r="BM72" s="5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5"/>
      <c r="CE72" s="5"/>
      <c r="CF72" s="11">
        <v>2.4</v>
      </c>
      <c r="CG72" s="11"/>
      <c r="CH72" s="11"/>
      <c r="CI72" s="11"/>
      <c r="CJ72" s="11"/>
      <c r="CK72" s="11"/>
      <c r="CL72" s="5">
        <f t="shared" ref="CL72:CL92" si="13">SUM(CE72:CK72)</f>
        <v>2.4</v>
      </c>
      <c r="CM72" s="5">
        <f t="shared" ref="CM72:CM92" si="14">(CL72-CE72)/2</f>
        <v>1.2</v>
      </c>
      <c r="CN72" s="11"/>
      <c r="CO72" s="11"/>
      <c r="CP72" s="11"/>
      <c r="CQ72" s="11"/>
      <c r="CR72" s="11"/>
      <c r="CS72" s="11"/>
      <c r="CT72" s="5">
        <f t="shared" si="7"/>
        <v>1.2</v>
      </c>
      <c r="DV72" s="5">
        <f t="shared" si="9"/>
        <v>0</v>
      </c>
      <c r="DW72" s="5">
        <f t="shared" si="8"/>
        <v>0</v>
      </c>
      <c r="DX72" s="11"/>
      <c r="DY72" s="5">
        <f t="shared" si="12"/>
        <v>0</v>
      </c>
    </row>
    <row r="73" spans="1:129" x14ac:dyDescent="0.25">
      <c r="A73">
        <v>63</v>
      </c>
      <c r="B73" s="11" t="s">
        <v>219</v>
      </c>
      <c r="C73" s="5"/>
      <c r="D73" s="5" t="s">
        <v>220</v>
      </c>
      <c r="E73" s="5" t="s">
        <v>148</v>
      </c>
      <c r="F73" s="5"/>
      <c r="G73" s="5"/>
      <c r="H73" s="5"/>
      <c r="I73" s="5"/>
      <c r="J73" s="5"/>
      <c r="K73" s="5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5"/>
      <c r="AH73" s="5"/>
      <c r="AI73" s="5"/>
      <c r="AJ73" s="5"/>
      <c r="AK73" s="5"/>
      <c r="AL73" s="5"/>
      <c r="AM73" s="5"/>
      <c r="AN73" s="5"/>
      <c r="AO73" s="5">
        <v>40</v>
      </c>
      <c r="AP73" s="5"/>
      <c r="AQ73" s="5"/>
      <c r="AR73" s="5"/>
      <c r="AS73" s="5">
        <v>36</v>
      </c>
      <c r="AT73" s="5"/>
      <c r="AU73" s="5"/>
      <c r="AV73" s="5"/>
      <c r="AW73" s="5">
        <v>36</v>
      </c>
      <c r="AX73" s="5"/>
      <c r="AY73" s="5"/>
      <c r="AZ73" s="5"/>
      <c r="BA73" s="5">
        <v>7.5</v>
      </c>
      <c r="BB73" s="5">
        <f>SUM(AH73:BA73)</f>
        <v>119.5</v>
      </c>
      <c r="BC73" s="5">
        <f>(BB73-AH73)/2</f>
        <v>59.75</v>
      </c>
      <c r="BD73" s="5"/>
      <c r="BE73" s="5">
        <v>48</v>
      </c>
      <c r="BF73" s="5"/>
      <c r="BG73" s="11"/>
      <c r="BH73" s="5"/>
      <c r="BI73" s="5"/>
      <c r="BJ73" s="5"/>
      <c r="BK73" s="5"/>
      <c r="BL73" s="5"/>
      <c r="BM73" s="5"/>
      <c r="BN73" s="11"/>
      <c r="BO73" s="11"/>
      <c r="BP73" s="11">
        <v>40</v>
      </c>
      <c r="BQ73" s="11"/>
      <c r="BR73" s="11"/>
      <c r="BS73" s="11"/>
      <c r="BT73" s="11"/>
      <c r="BU73" s="11"/>
      <c r="BV73" s="11"/>
      <c r="BW73" s="11"/>
      <c r="BX73" s="11">
        <v>42</v>
      </c>
      <c r="BY73" s="11"/>
      <c r="BZ73" s="11"/>
      <c r="CA73" s="11"/>
      <c r="CB73" s="11"/>
      <c r="CC73" s="11">
        <v>10</v>
      </c>
      <c r="CD73" s="5">
        <f t="shared" ref="CD73:CD88" si="15">SUM(BC73:CC73)</f>
        <v>199.75</v>
      </c>
      <c r="CE73" s="5">
        <f t="shared" ref="CE73:CE88" si="16">(CD73-BC73)/2</f>
        <v>70</v>
      </c>
      <c r="CF73" s="11"/>
      <c r="CG73" s="11"/>
      <c r="CH73" s="11"/>
      <c r="CI73" s="11"/>
      <c r="CJ73" s="11"/>
      <c r="CK73" s="11"/>
      <c r="CL73" s="5">
        <f t="shared" si="13"/>
        <v>70</v>
      </c>
      <c r="CM73" s="5">
        <f t="shared" si="14"/>
        <v>0</v>
      </c>
      <c r="CN73" s="11"/>
      <c r="CO73" s="11"/>
      <c r="CP73" s="11"/>
      <c r="CQ73" s="11"/>
      <c r="CR73" s="11"/>
      <c r="CS73" s="11"/>
      <c r="CT73" s="5">
        <f t="shared" si="7"/>
        <v>0</v>
      </c>
      <c r="CV73" s="7">
        <f>BB73/4</f>
        <v>29.875</v>
      </c>
      <c r="CW73" s="7"/>
      <c r="CX73" s="7"/>
      <c r="CY73" s="7"/>
      <c r="CZ73" s="7"/>
      <c r="DA73" s="7"/>
      <c r="DB73" s="7"/>
      <c r="DC73">
        <f t="shared" ref="DC73:DC87" si="17">SUM(CV73:CW73)</f>
        <v>29.875</v>
      </c>
      <c r="DD73" s="7">
        <f t="shared" ref="DD73:DD87" si="18">(DC73)/2</f>
        <v>14.9375</v>
      </c>
      <c r="DE73" s="7">
        <f t="shared" ref="DE73:DE80" si="19">CD73/4</f>
        <v>49.9375</v>
      </c>
      <c r="DF73" s="7"/>
      <c r="DG73" s="7"/>
      <c r="DH73" s="7"/>
      <c r="DI73" s="7"/>
      <c r="DJ73" s="7"/>
      <c r="DK73" s="7"/>
      <c r="DL73" s="7"/>
      <c r="DM73" s="7"/>
      <c r="DN73" s="7">
        <f t="shared" ref="DN73:DN88" si="20">SUM(DD73:DM73)</f>
        <v>64.875</v>
      </c>
      <c r="DO73">
        <f t="shared" ref="DO73:DO88" si="21">(DN73-DD73)/2</f>
        <v>24.96875</v>
      </c>
      <c r="DV73" s="5">
        <f t="shared" si="9"/>
        <v>24.96875</v>
      </c>
      <c r="DW73" s="5">
        <f t="shared" si="8"/>
        <v>0</v>
      </c>
      <c r="DX73" s="11"/>
      <c r="DY73" s="5">
        <f t="shared" si="12"/>
        <v>0</v>
      </c>
    </row>
    <row r="74" spans="1:129" x14ac:dyDescent="0.25">
      <c r="A74">
        <v>64</v>
      </c>
      <c r="B74" s="11" t="s">
        <v>319</v>
      </c>
      <c r="C74" s="5" t="s">
        <v>320</v>
      </c>
      <c r="D74" s="5" t="s">
        <v>321</v>
      </c>
      <c r="E74" s="5" t="s">
        <v>253</v>
      </c>
      <c r="F74" s="5"/>
      <c r="G74" s="5"/>
      <c r="H74" s="5"/>
      <c r="I74" s="5"/>
      <c r="J74" s="5"/>
      <c r="K74" s="5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11"/>
      <c r="BH74" s="5">
        <v>48</v>
      </c>
      <c r="BI74" s="5"/>
      <c r="BJ74" s="5"/>
      <c r="BK74" s="5"/>
      <c r="BL74" s="5"/>
      <c r="BM74" s="5"/>
      <c r="BN74" s="11"/>
      <c r="BO74" s="11"/>
      <c r="BP74" s="11"/>
      <c r="BQ74" s="11">
        <v>40</v>
      </c>
      <c r="BR74" s="11"/>
      <c r="BS74" s="11">
        <v>7.5</v>
      </c>
      <c r="BT74" s="11"/>
      <c r="BU74" s="11"/>
      <c r="BV74" s="11"/>
      <c r="BW74" s="11">
        <v>2.4</v>
      </c>
      <c r="BX74" s="11"/>
      <c r="BY74" s="11"/>
      <c r="BZ74" s="11"/>
      <c r="CA74" s="11"/>
      <c r="CB74" s="11">
        <v>7.5</v>
      </c>
      <c r="CC74" s="11"/>
      <c r="CD74" s="5">
        <f t="shared" si="15"/>
        <v>105.4</v>
      </c>
      <c r="CE74" s="5">
        <f t="shared" si="16"/>
        <v>52.7</v>
      </c>
      <c r="CF74" s="11"/>
      <c r="CG74" s="11"/>
      <c r="CH74" s="11"/>
      <c r="CI74" s="11"/>
      <c r="CJ74" s="11"/>
      <c r="CK74" s="11"/>
      <c r="CL74" s="5">
        <f t="shared" si="13"/>
        <v>52.7</v>
      </c>
      <c r="CM74" s="5">
        <f t="shared" si="14"/>
        <v>0</v>
      </c>
      <c r="CN74" s="11"/>
      <c r="CO74" s="11"/>
      <c r="CP74" s="11"/>
      <c r="CQ74" s="11"/>
      <c r="CR74" s="11"/>
      <c r="CS74" s="11"/>
      <c r="CT74" s="5">
        <f t="shared" si="7"/>
        <v>0</v>
      </c>
      <c r="DC74">
        <f t="shared" si="17"/>
        <v>0</v>
      </c>
      <c r="DD74" s="7">
        <f t="shared" si="18"/>
        <v>0</v>
      </c>
      <c r="DE74" s="7">
        <f t="shared" si="19"/>
        <v>26.35</v>
      </c>
      <c r="DN74" s="7">
        <f t="shared" si="20"/>
        <v>26.35</v>
      </c>
      <c r="DO74">
        <f t="shared" si="21"/>
        <v>13.175000000000001</v>
      </c>
      <c r="DV74" s="5">
        <f t="shared" si="9"/>
        <v>13.175000000000001</v>
      </c>
      <c r="DW74" s="5">
        <f t="shared" si="8"/>
        <v>0</v>
      </c>
      <c r="DX74" s="11"/>
      <c r="DY74" s="5">
        <f t="shared" si="12"/>
        <v>0</v>
      </c>
    </row>
    <row r="75" spans="1:129" x14ac:dyDescent="0.25">
      <c r="A75">
        <v>65</v>
      </c>
      <c r="B75" s="11" t="s">
        <v>260</v>
      </c>
      <c r="C75" s="5"/>
      <c r="D75" s="5" t="s">
        <v>261</v>
      </c>
      <c r="E75" s="5" t="s">
        <v>357</v>
      </c>
      <c r="F75" s="5"/>
      <c r="G75" s="5"/>
      <c r="H75" s="5"/>
      <c r="I75" s="5"/>
      <c r="J75" s="5"/>
      <c r="K75" s="5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2.4</v>
      </c>
      <c r="AW75" s="5"/>
      <c r="AX75" s="5"/>
      <c r="AY75" s="5"/>
      <c r="AZ75" s="5"/>
      <c r="BA75" s="5"/>
      <c r="BB75" s="5">
        <f>SUM(AH75:BA75)</f>
        <v>2.4</v>
      </c>
      <c r="BC75" s="5">
        <f>(BB75-AH75)/2</f>
        <v>1.2</v>
      </c>
      <c r="BD75" s="5"/>
      <c r="BE75" s="5"/>
      <c r="BF75" s="5"/>
      <c r="BG75" s="11"/>
      <c r="BH75" s="5"/>
      <c r="BI75" s="5"/>
      <c r="BJ75" s="5"/>
      <c r="BK75" s="5">
        <v>36</v>
      </c>
      <c r="BL75" s="5"/>
      <c r="BM75" s="5"/>
      <c r="BN75" s="11"/>
      <c r="BO75" s="11"/>
      <c r="BP75" s="11"/>
      <c r="BQ75" s="11"/>
      <c r="BR75" s="11"/>
      <c r="BS75" s="11">
        <v>54</v>
      </c>
      <c r="BT75" s="11"/>
      <c r="BU75" s="11"/>
      <c r="BV75" s="11">
        <v>2.4</v>
      </c>
      <c r="BW75" s="11"/>
      <c r="BX75" s="11"/>
      <c r="BY75" s="11"/>
      <c r="BZ75" s="11"/>
      <c r="CA75" s="11"/>
      <c r="CB75" s="11"/>
      <c r="CC75" s="11"/>
      <c r="CD75" s="5">
        <f t="shared" si="15"/>
        <v>93.600000000000009</v>
      </c>
      <c r="CE75" s="5">
        <f t="shared" si="16"/>
        <v>46.2</v>
      </c>
      <c r="CF75" s="11"/>
      <c r="CG75" s="11"/>
      <c r="CH75" s="11"/>
      <c r="CI75" s="11"/>
      <c r="CJ75" s="11"/>
      <c r="CK75" s="11"/>
      <c r="CL75" s="5">
        <f t="shared" si="13"/>
        <v>46.2</v>
      </c>
      <c r="CM75" s="5">
        <f t="shared" si="14"/>
        <v>0</v>
      </c>
      <c r="CN75" s="11"/>
      <c r="CO75" s="11"/>
      <c r="CP75" s="11"/>
      <c r="CQ75" s="11"/>
      <c r="CR75" s="11"/>
      <c r="CS75" s="11"/>
      <c r="CT75" s="5">
        <f t="shared" ref="CT75:CT106" si="22">SUM(CM75:CS75)</f>
        <v>0</v>
      </c>
      <c r="CV75" s="7">
        <f>BB75/4</f>
        <v>0.6</v>
      </c>
      <c r="CW75" s="7"/>
      <c r="CX75" s="7"/>
      <c r="CY75" s="7"/>
      <c r="CZ75" s="7"/>
      <c r="DA75" s="7"/>
      <c r="DB75" s="7"/>
      <c r="DC75">
        <f t="shared" si="17"/>
        <v>0.6</v>
      </c>
      <c r="DD75" s="7">
        <f t="shared" si="18"/>
        <v>0.3</v>
      </c>
      <c r="DE75" s="7">
        <f t="shared" si="19"/>
        <v>23.400000000000002</v>
      </c>
      <c r="DF75" s="7"/>
      <c r="DG75" s="7"/>
      <c r="DH75" s="7"/>
      <c r="DI75" s="7"/>
      <c r="DJ75" s="7"/>
      <c r="DK75" s="7"/>
      <c r="DL75" s="7"/>
      <c r="DM75" s="7"/>
      <c r="DN75" s="7">
        <f t="shared" si="20"/>
        <v>23.700000000000003</v>
      </c>
      <c r="DO75">
        <f t="shared" si="21"/>
        <v>11.700000000000001</v>
      </c>
      <c r="DP75" s="7">
        <v>1.75</v>
      </c>
      <c r="DV75" s="5">
        <f t="shared" si="9"/>
        <v>13.450000000000001</v>
      </c>
      <c r="DW75" s="5">
        <f t="shared" ref="DW75:DW106" si="23">(DV75-DO75)/2</f>
        <v>0.875</v>
      </c>
      <c r="DX75" s="11"/>
      <c r="DY75" s="5">
        <f t="shared" si="12"/>
        <v>0.875</v>
      </c>
    </row>
    <row r="76" spans="1:129" x14ac:dyDescent="0.25">
      <c r="A76">
        <v>66</v>
      </c>
      <c r="B76" s="11" t="s">
        <v>407</v>
      </c>
      <c r="C76" s="5"/>
      <c r="D76" s="5" t="s">
        <v>337</v>
      </c>
      <c r="E76" s="5" t="s">
        <v>408</v>
      </c>
      <c r="F76" s="5"/>
      <c r="G76" s="5"/>
      <c r="H76" s="5"/>
      <c r="I76" s="5"/>
      <c r="J76" s="5"/>
      <c r="K76" s="5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11"/>
      <c r="BH76" s="5"/>
      <c r="BI76" s="5"/>
      <c r="BJ76" s="5"/>
      <c r="BK76" s="5"/>
      <c r="BL76" s="5"/>
      <c r="BM76" s="5"/>
      <c r="BN76" s="11"/>
      <c r="BO76" s="11"/>
      <c r="BP76" s="11">
        <v>40</v>
      </c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>
        <v>36</v>
      </c>
      <c r="CB76" s="11"/>
      <c r="CC76" s="11"/>
      <c r="CD76" s="5">
        <f t="shared" si="15"/>
        <v>76</v>
      </c>
      <c r="CE76" s="5">
        <f t="shared" si="16"/>
        <v>38</v>
      </c>
      <c r="CF76" s="11"/>
      <c r="CG76" s="11"/>
      <c r="CH76" s="11"/>
      <c r="CI76" s="11"/>
      <c r="CJ76" s="11"/>
      <c r="CK76" s="11"/>
      <c r="CL76" s="5">
        <f t="shared" si="13"/>
        <v>38</v>
      </c>
      <c r="CM76" s="5">
        <f t="shared" si="14"/>
        <v>0</v>
      </c>
      <c r="CN76" s="11"/>
      <c r="CO76" s="11"/>
      <c r="CP76" s="11"/>
      <c r="CQ76" s="11"/>
      <c r="CR76" s="11"/>
      <c r="CS76" s="11"/>
      <c r="CT76" s="5">
        <f t="shared" si="22"/>
        <v>0</v>
      </c>
      <c r="DC76">
        <f t="shared" si="17"/>
        <v>0</v>
      </c>
      <c r="DD76" s="7">
        <f t="shared" si="18"/>
        <v>0</v>
      </c>
      <c r="DE76" s="7">
        <f t="shared" si="19"/>
        <v>19</v>
      </c>
      <c r="DN76" s="7">
        <f t="shared" si="20"/>
        <v>19</v>
      </c>
      <c r="DO76">
        <f t="shared" si="21"/>
        <v>9.5</v>
      </c>
      <c r="DV76" s="5">
        <f t="shared" si="9"/>
        <v>9.5</v>
      </c>
      <c r="DW76" s="5">
        <f t="shared" si="23"/>
        <v>0</v>
      </c>
      <c r="DX76" s="11"/>
      <c r="DY76" s="5">
        <f t="shared" si="12"/>
        <v>0</v>
      </c>
    </row>
    <row r="77" spans="1:129" x14ac:dyDescent="0.25">
      <c r="A77">
        <v>67</v>
      </c>
      <c r="B77" s="11" t="s">
        <v>229</v>
      </c>
      <c r="C77" s="5"/>
      <c r="D77" s="5" t="s">
        <v>230</v>
      </c>
      <c r="E77" s="5" t="s">
        <v>53</v>
      </c>
      <c r="F77" s="5"/>
      <c r="G77" s="5"/>
      <c r="H77" s="5"/>
      <c r="I77" s="5"/>
      <c r="J77" s="5"/>
      <c r="K77" s="5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11"/>
      <c r="BH77" s="5"/>
      <c r="BI77" s="5"/>
      <c r="BJ77" s="5"/>
      <c r="BK77" s="5"/>
      <c r="BL77" s="5"/>
      <c r="BM77" s="5"/>
      <c r="BN77" s="11">
        <v>75</v>
      </c>
      <c r="BO77" s="11"/>
      <c r="BP77" s="11"/>
      <c r="BQ77" s="11"/>
      <c r="BR77" s="11" t="s">
        <v>56</v>
      </c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5">
        <f t="shared" si="15"/>
        <v>75</v>
      </c>
      <c r="CE77" s="5">
        <f t="shared" si="16"/>
        <v>37.5</v>
      </c>
      <c r="CF77" s="11"/>
      <c r="CG77" s="11"/>
      <c r="CH77" s="11"/>
      <c r="CI77" s="11"/>
      <c r="CJ77" s="11"/>
      <c r="CK77" s="11"/>
      <c r="CL77" s="5">
        <f t="shared" si="13"/>
        <v>37.5</v>
      </c>
      <c r="CM77" s="5">
        <f t="shared" si="14"/>
        <v>0</v>
      </c>
      <c r="CN77" s="11"/>
      <c r="CO77" s="11"/>
      <c r="CP77" s="11"/>
      <c r="CQ77" s="11"/>
      <c r="CR77" s="11"/>
      <c r="CS77" s="11"/>
      <c r="CT77" s="5">
        <f t="shared" si="22"/>
        <v>0</v>
      </c>
      <c r="DC77">
        <f t="shared" si="17"/>
        <v>0</v>
      </c>
      <c r="DD77" s="7">
        <f t="shared" si="18"/>
        <v>0</v>
      </c>
      <c r="DE77" s="7">
        <f t="shared" si="19"/>
        <v>18.75</v>
      </c>
      <c r="DI77">
        <v>7.5</v>
      </c>
      <c r="DN77" s="7">
        <f t="shared" si="20"/>
        <v>26.25</v>
      </c>
      <c r="DO77">
        <f t="shared" si="21"/>
        <v>13.125</v>
      </c>
      <c r="DV77" s="5">
        <f t="shared" si="9"/>
        <v>13.125</v>
      </c>
      <c r="DW77" s="5">
        <f t="shared" si="23"/>
        <v>0</v>
      </c>
      <c r="DX77" s="11"/>
      <c r="DY77" s="5">
        <f t="shared" si="12"/>
        <v>0</v>
      </c>
    </row>
    <row r="78" spans="1:129" x14ac:dyDescent="0.25">
      <c r="A78">
        <v>68</v>
      </c>
      <c r="B78" s="11" t="s">
        <v>269</v>
      </c>
      <c r="C78" s="5"/>
      <c r="D78" s="5" t="s">
        <v>271</v>
      </c>
      <c r="E78" s="5" t="s">
        <v>357</v>
      </c>
      <c r="F78" s="5"/>
      <c r="G78" s="5"/>
      <c r="H78" s="5"/>
      <c r="I78" s="5"/>
      <c r="J78" s="5"/>
      <c r="K78" s="5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11"/>
      <c r="BH78" s="5"/>
      <c r="BI78" s="5"/>
      <c r="BJ78" s="5"/>
      <c r="BK78" s="5"/>
      <c r="BL78" s="5"/>
      <c r="BM78" s="5"/>
      <c r="BN78" s="11"/>
      <c r="BO78" s="11"/>
      <c r="BP78" s="11"/>
      <c r="BQ78" s="11"/>
      <c r="BR78" s="11"/>
      <c r="BS78" s="11">
        <v>39</v>
      </c>
      <c r="BT78" s="11"/>
      <c r="BU78" s="11"/>
      <c r="BV78" s="11">
        <v>33.6</v>
      </c>
      <c r="BW78" s="11"/>
      <c r="BX78" s="11"/>
      <c r="BY78" s="11"/>
      <c r="BZ78" s="11"/>
      <c r="CA78" s="11"/>
      <c r="CB78" s="11"/>
      <c r="CC78" s="11"/>
      <c r="CD78" s="5">
        <f t="shared" si="15"/>
        <v>72.599999999999994</v>
      </c>
      <c r="CE78" s="5">
        <f t="shared" si="16"/>
        <v>36.299999999999997</v>
      </c>
      <c r="CF78" s="11"/>
      <c r="CG78" s="11"/>
      <c r="CH78" s="11"/>
      <c r="CI78" s="11"/>
      <c r="CJ78" s="11"/>
      <c r="CK78" s="11"/>
      <c r="CL78" s="5">
        <f t="shared" si="13"/>
        <v>36.299999999999997</v>
      </c>
      <c r="CM78" s="5">
        <f t="shared" si="14"/>
        <v>0</v>
      </c>
      <c r="CN78" s="11"/>
      <c r="CO78" s="11"/>
      <c r="CP78" s="11"/>
      <c r="CQ78" s="11"/>
      <c r="CR78" s="11"/>
      <c r="CS78" s="11"/>
      <c r="CT78" s="5">
        <f t="shared" si="22"/>
        <v>0</v>
      </c>
      <c r="DC78">
        <f t="shared" si="17"/>
        <v>0</v>
      </c>
      <c r="DD78" s="7">
        <f t="shared" si="18"/>
        <v>0</v>
      </c>
      <c r="DE78" s="7">
        <f t="shared" si="19"/>
        <v>18.149999999999999</v>
      </c>
      <c r="DN78" s="7">
        <f t="shared" si="20"/>
        <v>18.149999999999999</v>
      </c>
      <c r="DO78">
        <f t="shared" si="21"/>
        <v>9.0749999999999993</v>
      </c>
      <c r="DP78" s="7">
        <v>1.75</v>
      </c>
      <c r="DV78" s="5">
        <f t="shared" si="9"/>
        <v>10.824999999999999</v>
      </c>
      <c r="DW78" s="5">
        <f t="shared" si="23"/>
        <v>0.875</v>
      </c>
      <c r="DX78" s="11"/>
      <c r="DY78" s="5">
        <f t="shared" si="12"/>
        <v>0.875</v>
      </c>
    </row>
    <row r="79" spans="1:129" x14ac:dyDescent="0.25">
      <c r="A79">
        <v>69</v>
      </c>
      <c r="B79" s="11" t="s">
        <v>147</v>
      </c>
      <c r="C79" s="5"/>
      <c r="D79" s="5" t="s">
        <v>13</v>
      </c>
      <c r="E79" s="5" t="s">
        <v>9</v>
      </c>
      <c r="F79" s="5"/>
      <c r="G79" s="5"/>
      <c r="H79" s="5"/>
      <c r="I79" s="5"/>
      <c r="J79" s="5"/>
      <c r="K79" s="5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11"/>
      <c r="BH79" s="5"/>
      <c r="BI79" s="5"/>
      <c r="BJ79" s="5"/>
      <c r="BK79" s="5"/>
      <c r="BL79" s="5"/>
      <c r="BM79" s="5"/>
      <c r="BN79" s="11">
        <v>54</v>
      </c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5">
        <f t="shared" si="15"/>
        <v>54</v>
      </c>
      <c r="CE79" s="5">
        <f t="shared" si="16"/>
        <v>27</v>
      </c>
      <c r="CF79" s="11"/>
      <c r="CG79" s="11"/>
      <c r="CH79" s="11"/>
      <c r="CI79" s="11"/>
      <c r="CJ79" s="11"/>
      <c r="CK79" s="11"/>
      <c r="CL79" s="5">
        <f t="shared" si="13"/>
        <v>27</v>
      </c>
      <c r="CM79" s="5">
        <f t="shared" si="14"/>
        <v>0</v>
      </c>
      <c r="CN79" s="11"/>
      <c r="CO79" s="11"/>
      <c r="CP79" s="11"/>
      <c r="CQ79" s="11"/>
      <c r="CR79" s="11"/>
      <c r="CS79" s="11"/>
      <c r="CT79" s="5">
        <f t="shared" si="22"/>
        <v>0</v>
      </c>
      <c r="DC79" s="37">
        <f t="shared" si="17"/>
        <v>0</v>
      </c>
      <c r="DD79" s="7">
        <f t="shared" si="18"/>
        <v>0</v>
      </c>
      <c r="DE79" s="7">
        <f t="shared" si="19"/>
        <v>13.5</v>
      </c>
      <c r="DN79" s="7">
        <f t="shared" si="20"/>
        <v>13.5</v>
      </c>
      <c r="DO79">
        <f t="shared" si="21"/>
        <v>6.75</v>
      </c>
      <c r="DV79" s="5">
        <f t="shared" si="9"/>
        <v>6.75</v>
      </c>
      <c r="DW79" s="5">
        <f t="shared" si="23"/>
        <v>0</v>
      </c>
      <c r="DX79" s="11"/>
      <c r="DY79" s="5">
        <f t="shared" si="12"/>
        <v>0</v>
      </c>
    </row>
    <row r="80" spans="1:129" x14ac:dyDescent="0.25">
      <c r="A80">
        <v>70</v>
      </c>
      <c r="B80" s="11" t="s">
        <v>243</v>
      </c>
      <c r="C80" s="5"/>
      <c r="D80" s="5" t="s">
        <v>204</v>
      </c>
      <c r="E80" s="5" t="s">
        <v>24</v>
      </c>
      <c r="F80" s="5"/>
      <c r="G80" s="5"/>
      <c r="H80" s="5"/>
      <c r="I80" s="5"/>
      <c r="J80" s="5"/>
      <c r="K80" s="5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11"/>
      <c r="BH80" s="5"/>
      <c r="BI80" s="5"/>
      <c r="BJ80" s="5"/>
      <c r="BK80" s="5"/>
      <c r="BL80" s="5"/>
      <c r="BM80" s="5"/>
      <c r="BN80" s="11"/>
      <c r="BO80" s="11"/>
      <c r="BP80" s="11"/>
      <c r="BQ80" s="11"/>
      <c r="BR80" s="11"/>
      <c r="BS80" s="11">
        <v>54</v>
      </c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5">
        <f t="shared" si="15"/>
        <v>54</v>
      </c>
      <c r="CE80" s="5">
        <f t="shared" si="16"/>
        <v>27</v>
      </c>
      <c r="CF80" s="11"/>
      <c r="CG80" s="11"/>
      <c r="CH80" s="11"/>
      <c r="CI80" s="11"/>
      <c r="CJ80" s="11"/>
      <c r="CK80" s="11"/>
      <c r="CL80" s="5">
        <f t="shared" si="13"/>
        <v>27</v>
      </c>
      <c r="CM80" s="5">
        <f t="shared" si="14"/>
        <v>0</v>
      </c>
      <c r="CN80" s="11"/>
      <c r="CO80" s="11"/>
      <c r="CP80" s="11"/>
      <c r="CQ80" s="11"/>
      <c r="CR80" s="11"/>
      <c r="CS80" s="11"/>
      <c r="CT80" s="5">
        <f t="shared" si="22"/>
        <v>0</v>
      </c>
      <c r="DC80" s="37">
        <f t="shared" si="17"/>
        <v>0</v>
      </c>
      <c r="DD80" s="7">
        <f t="shared" si="18"/>
        <v>0</v>
      </c>
      <c r="DE80" s="7">
        <f t="shared" si="19"/>
        <v>13.5</v>
      </c>
      <c r="DL80">
        <v>7.5</v>
      </c>
      <c r="DM80">
        <v>20</v>
      </c>
      <c r="DN80" s="7">
        <f t="shared" si="20"/>
        <v>41</v>
      </c>
      <c r="DO80">
        <f t="shared" si="21"/>
        <v>20.5</v>
      </c>
      <c r="DV80" s="5">
        <f t="shared" si="9"/>
        <v>20.5</v>
      </c>
      <c r="DW80" s="5">
        <f t="shared" si="23"/>
        <v>0</v>
      </c>
      <c r="DX80" s="11"/>
      <c r="DY80" s="5">
        <f t="shared" si="12"/>
        <v>0</v>
      </c>
    </row>
    <row r="81" spans="1:129" x14ac:dyDescent="0.25">
      <c r="A81">
        <v>71</v>
      </c>
      <c r="B81" s="11" t="s">
        <v>365</v>
      </c>
      <c r="C81" s="5"/>
      <c r="D81" s="5" t="s">
        <v>60</v>
      </c>
      <c r="E81" s="5" t="s">
        <v>129</v>
      </c>
      <c r="F81" s="5"/>
      <c r="G81" s="5"/>
      <c r="H81" s="5"/>
      <c r="I81" s="5"/>
      <c r="J81" s="5"/>
      <c r="K81" s="5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11"/>
      <c r="BH81" s="5"/>
      <c r="BI81" s="5">
        <v>36</v>
      </c>
      <c r="BJ81" s="5"/>
      <c r="BK81" s="5"/>
      <c r="BL81" s="5"/>
      <c r="BM81" s="5"/>
      <c r="BN81" s="11"/>
      <c r="BO81" s="11"/>
      <c r="BP81" s="11"/>
      <c r="BQ81" s="11">
        <v>4</v>
      </c>
      <c r="BR81" s="11"/>
      <c r="BS81" s="11">
        <v>7.5</v>
      </c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5">
        <f t="shared" si="15"/>
        <v>47.5</v>
      </c>
      <c r="CE81" s="5">
        <f t="shared" si="16"/>
        <v>23.75</v>
      </c>
      <c r="CF81" s="11"/>
      <c r="CG81" s="11"/>
      <c r="CH81" s="11"/>
      <c r="CI81" s="11"/>
      <c r="CJ81" s="11"/>
      <c r="CK81" s="11"/>
      <c r="CL81" s="5">
        <f t="shared" si="13"/>
        <v>23.75</v>
      </c>
      <c r="CM81" s="5">
        <f t="shared" si="14"/>
        <v>0</v>
      </c>
      <c r="CN81" s="11"/>
      <c r="CO81" s="11"/>
      <c r="CP81" s="11"/>
      <c r="CQ81" s="11"/>
      <c r="CR81" s="11"/>
      <c r="CS81" s="11"/>
      <c r="CT81" s="5">
        <f t="shared" si="22"/>
        <v>0</v>
      </c>
      <c r="DC81" s="37">
        <f t="shared" si="17"/>
        <v>0</v>
      </c>
      <c r="DD81" s="7">
        <f t="shared" si="18"/>
        <v>0</v>
      </c>
      <c r="DE81" s="7">
        <v>9</v>
      </c>
      <c r="DN81" s="7">
        <f t="shared" si="20"/>
        <v>9</v>
      </c>
      <c r="DO81">
        <f t="shared" si="21"/>
        <v>4.5</v>
      </c>
      <c r="DV81" s="5">
        <f t="shared" ref="DV81:DV112" si="24">SUM(DO81:DU81)</f>
        <v>4.5</v>
      </c>
      <c r="DW81" s="5">
        <f t="shared" si="23"/>
        <v>0</v>
      </c>
      <c r="DX81" s="11"/>
      <c r="DY81" s="5">
        <f t="shared" si="12"/>
        <v>0</v>
      </c>
    </row>
    <row r="82" spans="1:129" x14ac:dyDescent="0.25">
      <c r="A82">
        <v>72</v>
      </c>
      <c r="B82" s="11" t="s">
        <v>221</v>
      </c>
      <c r="C82" s="5"/>
      <c r="D82" s="5" t="s">
        <v>222</v>
      </c>
      <c r="E82" s="5" t="s">
        <v>16</v>
      </c>
      <c r="F82" s="5"/>
      <c r="G82" s="5"/>
      <c r="H82" s="5"/>
      <c r="I82" s="5"/>
      <c r="J82" s="5"/>
      <c r="K82" s="5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5"/>
      <c r="AH82" s="5"/>
      <c r="AI82" s="5"/>
      <c r="AJ82" s="5"/>
      <c r="AK82" s="5"/>
      <c r="AL82" s="5"/>
      <c r="AM82" s="5"/>
      <c r="AN82" s="5"/>
      <c r="AO82" s="5">
        <v>4</v>
      </c>
      <c r="AP82" s="5"/>
      <c r="AQ82" s="5"/>
      <c r="AR82" s="5"/>
      <c r="AS82" s="5">
        <v>5</v>
      </c>
      <c r="AT82" s="5"/>
      <c r="AU82" s="5"/>
      <c r="AV82" s="5"/>
      <c r="AW82" s="5"/>
      <c r="AX82" s="5"/>
      <c r="AY82" s="5"/>
      <c r="AZ82" s="5"/>
      <c r="BA82" s="5"/>
      <c r="BB82" s="5">
        <f>SUM(AH82:BA82)</f>
        <v>9</v>
      </c>
      <c r="BC82" s="5">
        <f>(BB82-AH82)/2</f>
        <v>4.5</v>
      </c>
      <c r="BD82" s="5"/>
      <c r="BE82" s="5"/>
      <c r="BF82" s="5">
        <v>2.4</v>
      </c>
      <c r="BG82" s="11"/>
      <c r="BH82" s="5"/>
      <c r="BI82" s="5"/>
      <c r="BJ82" s="5"/>
      <c r="BK82" s="5"/>
      <c r="BL82" s="5"/>
      <c r="BM82" s="5"/>
      <c r="BN82" s="11"/>
      <c r="BO82" s="11">
        <v>5</v>
      </c>
      <c r="BP82" s="11">
        <v>28.8</v>
      </c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5">
        <f t="shared" si="15"/>
        <v>40.700000000000003</v>
      </c>
      <c r="CE82" s="5">
        <f t="shared" si="16"/>
        <v>18.100000000000001</v>
      </c>
      <c r="CF82" s="11"/>
      <c r="CG82" s="11"/>
      <c r="CH82" s="11"/>
      <c r="CI82" s="11"/>
      <c r="CJ82" s="11"/>
      <c r="CK82" s="11"/>
      <c r="CL82" s="5">
        <f t="shared" si="13"/>
        <v>18.100000000000001</v>
      </c>
      <c r="CM82" s="5">
        <f t="shared" si="14"/>
        <v>0</v>
      </c>
      <c r="CN82" s="11"/>
      <c r="CO82" s="11"/>
      <c r="CP82" s="11"/>
      <c r="CQ82" s="11"/>
      <c r="CR82" s="11"/>
      <c r="CS82" s="11"/>
      <c r="CT82" s="5">
        <f t="shared" si="22"/>
        <v>0</v>
      </c>
      <c r="CV82" s="7">
        <f>BB82/4</f>
        <v>2.25</v>
      </c>
      <c r="CW82" s="7"/>
      <c r="CX82" s="7"/>
      <c r="CY82" s="7"/>
      <c r="CZ82" s="7"/>
      <c r="DA82" s="7"/>
      <c r="DB82" s="7"/>
      <c r="DC82" s="37">
        <f t="shared" si="17"/>
        <v>2.25</v>
      </c>
      <c r="DD82" s="7">
        <f t="shared" si="18"/>
        <v>1.125</v>
      </c>
      <c r="DE82" s="7">
        <f t="shared" ref="DE82:DE87" si="25">CD82/4</f>
        <v>10.175000000000001</v>
      </c>
      <c r="DF82" s="7"/>
      <c r="DG82" s="7"/>
      <c r="DH82" s="7"/>
      <c r="DI82" s="7"/>
      <c r="DJ82" s="7"/>
      <c r="DK82" s="7"/>
      <c r="DL82" s="7"/>
      <c r="DM82" s="7"/>
      <c r="DN82" s="7">
        <f t="shared" si="20"/>
        <v>11.3</v>
      </c>
      <c r="DO82">
        <f t="shared" si="21"/>
        <v>5.0875000000000004</v>
      </c>
      <c r="DV82" s="5">
        <f t="shared" si="24"/>
        <v>5.0875000000000004</v>
      </c>
      <c r="DW82" s="5">
        <f t="shared" si="23"/>
        <v>0</v>
      </c>
      <c r="DX82" s="11"/>
      <c r="DY82" s="5">
        <f t="shared" si="12"/>
        <v>0</v>
      </c>
    </row>
    <row r="83" spans="1:129" x14ac:dyDescent="0.25">
      <c r="A83">
        <v>73</v>
      </c>
      <c r="B83" s="11" t="s">
        <v>382</v>
      </c>
      <c r="C83" s="5"/>
      <c r="D83" s="5" t="s">
        <v>383</v>
      </c>
      <c r="E83" s="5" t="s">
        <v>14</v>
      </c>
      <c r="F83" s="5"/>
      <c r="G83" s="5"/>
      <c r="H83" s="5"/>
      <c r="I83" s="5"/>
      <c r="J83" s="5"/>
      <c r="K83" s="5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11">
        <v>36</v>
      </c>
      <c r="BH83" s="5"/>
      <c r="BI83" s="5"/>
      <c r="BJ83" s="5"/>
      <c r="BK83" s="5"/>
      <c r="BL83" s="5"/>
      <c r="BM83" s="5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5">
        <f t="shared" si="15"/>
        <v>36</v>
      </c>
      <c r="CE83" s="5">
        <f t="shared" si="16"/>
        <v>18</v>
      </c>
      <c r="CF83" s="11"/>
      <c r="CG83" s="11"/>
      <c r="CH83" s="11"/>
      <c r="CI83" s="11"/>
      <c r="CJ83" s="11"/>
      <c r="CK83" s="11"/>
      <c r="CL83" s="5">
        <f t="shared" si="13"/>
        <v>18</v>
      </c>
      <c r="CM83" s="5">
        <f t="shared" si="14"/>
        <v>0</v>
      </c>
      <c r="CN83" s="11"/>
      <c r="CO83" s="11"/>
      <c r="CP83" s="11"/>
      <c r="CQ83" s="11"/>
      <c r="CR83" s="11"/>
      <c r="CS83" s="11"/>
      <c r="CT83" s="5">
        <f t="shared" si="22"/>
        <v>0</v>
      </c>
      <c r="DC83" s="37">
        <f t="shared" si="17"/>
        <v>0</v>
      </c>
      <c r="DD83" s="7">
        <f t="shared" si="18"/>
        <v>0</v>
      </c>
      <c r="DE83" s="7">
        <f t="shared" si="25"/>
        <v>9</v>
      </c>
      <c r="DN83" s="7">
        <f t="shared" si="20"/>
        <v>9</v>
      </c>
      <c r="DO83">
        <f t="shared" si="21"/>
        <v>4.5</v>
      </c>
      <c r="DV83" s="5">
        <f t="shared" si="24"/>
        <v>4.5</v>
      </c>
      <c r="DW83" s="5">
        <f t="shared" si="23"/>
        <v>0</v>
      </c>
      <c r="DX83" s="11"/>
      <c r="DY83" s="5">
        <f t="shared" si="12"/>
        <v>0</v>
      </c>
    </row>
    <row r="84" spans="1:129" x14ac:dyDescent="0.25">
      <c r="A84">
        <v>74</v>
      </c>
      <c r="B84" s="11" t="s">
        <v>244</v>
      </c>
      <c r="C84" s="5"/>
      <c r="D84" s="5" t="s">
        <v>137</v>
      </c>
      <c r="E84" s="5" t="s">
        <v>122</v>
      </c>
      <c r="F84" s="5"/>
      <c r="G84" s="5"/>
      <c r="H84" s="5"/>
      <c r="I84" s="5"/>
      <c r="J84" s="5"/>
      <c r="K84" s="5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5</v>
      </c>
      <c r="AT84" s="5"/>
      <c r="AU84" s="5"/>
      <c r="AV84" s="5"/>
      <c r="AW84" s="5"/>
      <c r="AX84" s="5">
        <v>2.4</v>
      </c>
      <c r="AY84" s="5"/>
      <c r="AZ84" s="5"/>
      <c r="BA84" s="5"/>
      <c r="BB84" s="5">
        <f>SUM(AH84:BA84)</f>
        <v>7.4</v>
      </c>
      <c r="BC84" s="5">
        <f>(BB84-AH84)/2</f>
        <v>3.7</v>
      </c>
      <c r="BD84" s="5"/>
      <c r="BE84" s="5"/>
      <c r="BF84" s="5">
        <v>33.6</v>
      </c>
      <c r="BG84" s="11"/>
      <c r="BH84" s="5"/>
      <c r="BI84" s="5"/>
      <c r="BJ84" s="5"/>
      <c r="BK84" s="5"/>
      <c r="BL84" s="5"/>
      <c r="BM84" s="5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5">
        <f t="shared" si="15"/>
        <v>37.300000000000004</v>
      </c>
      <c r="CE84" s="5">
        <f t="shared" si="16"/>
        <v>16.8</v>
      </c>
      <c r="CF84" s="11"/>
      <c r="CG84" s="11"/>
      <c r="CH84" s="11"/>
      <c r="CI84" s="11"/>
      <c r="CJ84" s="11"/>
      <c r="CK84" s="11"/>
      <c r="CL84" s="5">
        <f t="shared" si="13"/>
        <v>16.8</v>
      </c>
      <c r="CM84" s="5">
        <f t="shared" si="14"/>
        <v>0</v>
      </c>
      <c r="CN84" s="11"/>
      <c r="CO84" s="11"/>
      <c r="CP84" s="11"/>
      <c r="CQ84" s="11"/>
      <c r="CR84" s="11"/>
      <c r="CS84" s="11"/>
      <c r="CT84" s="5">
        <f t="shared" si="22"/>
        <v>0</v>
      </c>
      <c r="CV84" s="7">
        <f>BB84/4</f>
        <v>1.85</v>
      </c>
      <c r="CW84" s="7"/>
      <c r="CX84" s="7"/>
      <c r="CY84" s="7"/>
      <c r="CZ84" s="7"/>
      <c r="DA84" s="7"/>
      <c r="DB84" s="7"/>
      <c r="DC84" s="37">
        <f t="shared" si="17"/>
        <v>1.85</v>
      </c>
      <c r="DD84" s="7">
        <f t="shared" si="18"/>
        <v>0.92500000000000004</v>
      </c>
      <c r="DE84" s="7">
        <f t="shared" si="25"/>
        <v>9.3250000000000011</v>
      </c>
      <c r="DF84" s="7"/>
      <c r="DG84" s="7"/>
      <c r="DH84" s="7"/>
      <c r="DI84" s="7"/>
      <c r="DJ84" s="7"/>
      <c r="DK84" s="7"/>
      <c r="DL84" s="7"/>
      <c r="DM84" s="7"/>
      <c r="DN84" s="7">
        <f t="shared" si="20"/>
        <v>10.250000000000002</v>
      </c>
      <c r="DO84">
        <f t="shared" si="21"/>
        <v>4.6625000000000005</v>
      </c>
      <c r="DV84" s="5">
        <f t="shared" si="24"/>
        <v>4.6625000000000005</v>
      </c>
      <c r="DW84" s="5">
        <f t="shared" si="23"/>
        <v>0</v>
      </c>
      <c r="DX84" s="11"/>
      <c r="DY84" s="5">
        <f t="shared" si="12"/>
        <v>0</v>
      </c>
    </row>
    <row r="85" spans="1:129" x14ac:dyDescent="0.25">
      <c r="A85">
        <v>75</v>
      </c>
      <c r="B85" s="11" t="s">
        <v>201</v>
      </c>
      <c r="C85" s="5"/>
      <c r="D85" s="5" t="s">
        <v>202</v>
      </c>
      <c r="E85" s="5" t="s">
        <v>452</v>
      </c>
      <c r="F85" s="5"/>
      <c r="G85" s="5"/>
      <c r="H85" s="5"/>
      <c r="I85" s="5"/>
      <c r="J85" s="5"/>
      <c r="K85" s="5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11"/>
      <c r="BH85" s="5"/>
      <c r="BI85" s="5"/>
      <c r="BJ85" s="5"/>
      <c r="BK85" s="5"/>
      <c r="BL85" s="5"/>
      <c r="BM85" s="5"/>
      <c r="BN85" s="11"/>
      <c r="BO85" s="11"/>
      <c r="BP85" s="11"/>
      <c r="BQ85" s="11"/>
      <c r="BR85" s="11"/>
      <c r="BS85" s="11">
        <v>7.5</v>
      </c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5">
        <f t="shared" si="15"/>
        <v>7.5</v>
      </c>
      <c r="CE85" s="5">
        <f t="shared" si="16"/>
        <v>3.75</v>
      </c>
      <c r="CF85" s="11"/>
      <c r="CG85" s="11"/>
      <c r="CH85" s="11"/>
      <c r="CI85" s="11"/>
      <c r="CJ85" s="11"/>
      <c r="CK85" s="11"/>
      <c r="CL85" s="5">
        <f t="shared" si="13"/>
        <v>3.75</v>
      </c>
      <c r="CM85" s="5">
        <f t="shared" si="14"/>
        <v>0</v>
      </c>
      <c r="CN85" s="11"/>
      <c r="CO85" s="11"/>
      <c r="CP85" s="11"/>
      <c r="CQ85" s="11"/>
      <c r="CR85" s="11"/>
      <c r="CS85" s="11"/>
      <c r="CT85" s="5">
        <f t="shared" si="22"/>
        <v>0</v>
      </c>
      <c r="DC85" s="37">
        <f t="shared" si="17"/>
        <v>0</v>
      </c>
      <c r="DD85" s="7">
        <f t="shared" si="18"/>
        <v>0</v>
      </c>
      <c r="DE85" s="7">
        <f t="shared" si="25"/>
        <v>1.875</v>
      </c>
      <c r="DN85" s="7">
        <f t="shared" si="20"/>
        <v>1.875</v>
      </c>
      <c r="DO85">
        <f t="shared" si="21"/>
        <v>0.9375</v>
      </c>
      <c r="DV85" s="5">
        <f t="shared" si="24"/>
        <v>0.9375</v>
      </c>
      <c r="DW85" s="5">
        <f t="shared" si="23"/>
        <v>0</v>
      </c>
      <c r="DX85" s="11"/>
      <c r="DY85" s="5">
        <f t="shared" si="12"/>
        <v>0</v>
      </c>
    </row>
    <row r="86" spans="1:129" x14ac:dyDescent="0.25">
      <c r="A86">
        <v>76</v>
      </c>
      <c r="B86" s="11" t="s">
        <v>409</v>
      </c>
      <c r="C86" s="5"/>
      <c r="D86" s="5" t="s">
        <v>410</v>
      </c>
      <c r="E86" s="5" t="s">
        <v>411</v>
      </c>
      <c r="F86" s="5"/>
      <c r="G86" s="5"/>
      <c r="H86" s="5"/>
      <c r="I86" s="5"/>
      <c r="J86" s="5"/>
      <c r="K86" s="5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11"/>
      <c r="BH86" s="5"/>
      <c r="BI86" s="5"/>
      <c r="BJ86" s="5"/>
      <c r="BK86" s="5"/>
      <c r="BL86" s="5"/>
      <c r="BM86" s="5"/>
      <c r="BN86" s="11"/>
      <c r="BO86" s="11"/>
      <c r="BP86" s="11">
        <v>4</v>
      </c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5">
        <f t="shared" si="15"/>
        <v>4</v>
      </c>
      <c r="CE86" s="5">
        <f t="shared" si="16"/>
        <v>2</v>
      </c>
      <c r="CF86" s="11"/>
      <c r="CG86" s="11"/>
      <c r="CH86" s="11"/>
      <c r="CI86" s="11"/>
      <c r="CJ86" s="11"/>
      <c r="CK86" s="11"/>
      <c r="CL86" s="5">
        <f t="shared" si="13"/>
        <v>2</v>
      </c>
      <c r="CM86" s="5">
        <f t="shared" si="14"/>
        <v>0</v>
      </c>
      <c r="CN86" s="11"/>
      <c r="CO86" s="11"/>
      <c r="CP86" s="11"/>
      <c r="CQ86" s="11"/>
      <c r="CR86" s="11"/>
      <c r="CS86" s="11"/>
      <c r="CT86" s="5">
        <f t="shared" si="22"/>
        <v>0</v>
      </c>
      <c r="DC86" s="37">
        <f t="shared" si="17"/>
        <v>0</v>
      </c>
      <c r="DD86" s="7">
        <f t="shared" si="18"/>
        <v>0</v>
      </c>
      <c r="DE86" s="7">
        <f t="shared" si="25"/>
        <v>1</v>
      </c>
      <c r="DN86" s="7">
        <f t="shared" si="20"/>
        <v>1</v>
      </c>
      <c r="DO86">
        <f t="shared" si="21"/>
        <v>0.5</v>
      </c>
      <c r="DV86" s="5">
        <f t="shared" si="24"/>
        <v>0.5</v>
      </c>
      <c r="DW86" s="5">
        <f t="shared" si="23"/>
        <v>0</v>
      </c>
      <c r="DX86" s="11"/>
      <c r="DY86" s="5">
        <f t="shared" si="12"/>
        <v>0</v>
      </c>
    </row>
    <row r="87" spans="1:129" x14ac:dyDescent="0.25">
      <c r="A87">
        <v>77</v>
      </c>
      <c r="B87" s="11" t="s">
        <v>446</v>
      </c>
      <c r="C87" s="5"/>
      <c r="D87" s="5" t="s">
        <v>11</v>
      </c>
      <c r="E87" s="5" t="s">
        <v>447</v>
      </c>
      <c r="F87" s="5"/>
      <c r="G87" s="5"/>
      <c r="H87" s="5"/>
      <c r="I87" s="5"/>
      <c r="J87" s="5"/>
      <c r="K87" s="5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11"/>
      <c r="BH87" s="5"/>
      <c r="BI87" s="5"/>
      <c r="BJ87" s="5"/>
      <c r="BK87" s="5"/>
      <c r="BL87" s="5"/>
      <c r="BM87" s="5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>
        <v>3</v>
      </c>
      <c r="BY87" s="11"/>
      <c r="BZ87" s="11"/>
      <c r="CA87" s="11"/>
      <c r="CB87" s="11"/>
      <c r="CC87" s="11"/>
      <c r="CD87" s="5">
        <f t="shared" si="15"/>
        <v>3</v>
      </c>
      <c r="CE87" s="5">
        <f t="shared" si="16"/>
        <v>1.5</v>
      </c>
      <c r="CF87" s="11"/>
      <c r="CG87" s="11"/>
      <c r="CH87" s="11"/>
      <c r="CI87" s="11"/>
      <c r="CJ87" s="11"/>
      <c r="CK87" s="11"/>
      <c r="CL87" s="5">
        <f t="shared" si="13"/>
        <v>1.5</v>
      </c>
      <c r="CM87" s="5">
        <f t="shared" si="14"/>
        <v>0</v>
      </c>
      <c r="CN87" s="11"/>
      <c r="CO87" s="11"/>
      <c r="CP87" s="11"/>
      <c r="CQ87" s="11"/>
      <c r="CR87" s="11"/>
      <c r="CS87" s="11"/>
      <c r="CT87" s="5">
        <f t="shared" si="22"/>
        <v>0</v>
      </c>
      <c r="DC87" s="37">
        <f t="shared" si="17"/>
        <v>0</v>
      </c>
      <c r="DD87" s="7">
        <f t="shared" si="18"/>
        <v>0</v>
      </c>
      <c r="DE87" s="7">
        <f t="shared" si="25"/>
        <v>0.75</v>
      </c>
      <c r="DN87" s="7">
        <f t="shared" si="20"/>
        <v>0.75</v>
      </c>
      <c r="DO87">
        <f t="shared" si="21"/>
        <v>0.375</v>
      </c>
      <c r="DV87" s="5">
        <f t="shared" si="24"/>
        <v>0.375</v>
      </c>
      <c r="DW87" s="5">
        <f t="shared" si="23"/>
        <v>0</v>
      </c>
      <c r="DX87" s="11"/>
      <c r="DY87" s="5">
        <f t="shared" si="12"/>
        <v>0</v>
      </c>
    </row>
    <row r="88" spans="1:129" x14ac:dyDescent="0.25">
      <c r="A88">
        <v>78</v>
      </c>
      <c r="B88" s="11" t="s">
        <v>182</v>
      </c>
      <c r="C88" s="5"/>
      <c r="D88" s="5" t="s">
        <v>183</v>
      </c>
      <c r="E88" s="5" t="s">
        <v>25</v>
      </c>
      <c r="F88" s="5"/>
      <c r="G88" s="5"/>
      <c r="H88" s="5"/>
      <c r="I88" s="5"/>
      <c r="J88" s="5"/>
      <c r="K88" s="5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11"/>
      <c r="BH88" s="5"/>
      <c r="BI88" s="5"/>
      <c r="BJ88" s="5"/>
      <c r="BK88" s="5"/>
      <c r="BL88" s="5"/>
      <c r="BM88" s="5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5">
        <f t="shared" si="15"/>
        <v>0</v>
      </c>
      <c r="CE88" s="5">
        <f t="shared" si="16"/>
        <v>0</v>
      </c>
      <c r="CF88" s="11"/>
      <c r="CG88" s="11"/>
      <c r="CH88" s="11"/>
      <c r="CI88" s="11"/>
      <c r="CJ88" s="11"/>
      <c r="CK88" s="11"/>
      <c r="CL88" s="5">
        <f t="shared" si="13"/>
        <v>0</v>
      </c>
      <c r="CM88" s="5">
        <f t="shared" si="14"/>
        <v>0</v>
      </c>
      <c r="CN88" s="11"/>
      <c r="CO88" s="11"/>
      <c r="CP88" s="11"/>
      <c r="CQ88" s="11"/>
      <c r="CR88" s="11"/>
      <c r="CS88" s="11"/>
      <c r="CT88" s="5">
        <f t="shared" si="22"/>
        <v>0</v>
      </c>
      <c r="DM88">
        <v>25</v>
      </c>
      <c r="DN88" s="7">
        <f t="shared" si="20"/>
        <v>25</v>
      </c>
      <c r="DO88">
        <f t="shared" si="21"/>
        <v>12.5</v>
      </c>
      <c r="DV88" s="5">
        <f t="shared" si="24"/>
        <v>12.5</v>
      </c>
      <c r="DW88" s="5">
        <f t="shared" si="23"/>
        <v>0</v>
      </c>
      <c r="DX88" s="11"/>
      <c r="DY88" s="5">
        <f t="shared" si="12"/>
        <v>0</v>
      </c>
    </row>
    <row r="89" spans="1:129" x14ac:dyDescent="0.25">
      <c r="A89">
        <v>79</v>
      </c>
      <c r="B89" s="11" t="s">
        <v>493</v>
      </c>
      <c r="C89" s="5"/>
      <c r="D89" s="5" t="s">
        <v>494</v>
      </c>
      <c r="E89" s="5" t="s">
        <v>353</v>
      </c>
      <c r="F89" s="5"/>
      <c r="G89" s="5"/>
      <c r="H89" s="5"/>
      <c r="I89" s="5"/>
      <c r="J89" s="5"/>
      <c r="K89" s="5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11"/>
      <c r="BH89" s="5"/>
      <c r="BI89" s="5"/>
      <c r="BJ89" s="5"/>
      <c r="BK89" s="5"/>
      <c r="BL89" s="5"/>
      <c r="BM89" s="5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5"/>
      <c r="CE89" s="5"/>
      <c r="CF89" s="11"/>
      <c r="CG89" s="11"/>
      <c r="CH89" s="11"/>
      <c r="CI89" s="11"/>
      <c r="CJ89" s="11"/>
      <c r="CK89" s="11"/>
      <c r="CL89" s="5">
        <f t="shared" si="13"/>
        <v>0</v>
      </c>
      <c r="CM89" s="5">
        <f t="shared" si="14"/>
        <v>0</v>
      </c>
      <c r="CN89" s="11"/>
      <c r="CO89" s="11"/>
      <c r="CP89" s="11"/>
      <c r="CQ89" s="11"/>
      <c r="CR89" s="11"/>
      <c r="CS89" s="11"/>
      <c r="CT89" s="5">
        <f t="shared" si="22"/>
        <v>0</v>
      </c>
      <c r="DP89" s="7">
        <v>21</v>
      </c>
      <c r="DV89" s="5">
        <f t="shared" si="24"/>
        <v>21</v>
      </c>
      <c r="DW89" s="5">
        <f t="shared" si="23"/>
        <v>10.5</v>
      </c>
      <c r="DX89" s="11"/>
      <c r="DY89" s="5">
        <f t="shared" si="12"/>
        <v>10.5</v>
      </c>
    </row>
    <row r="90" spans="1:129" x14ac:dyDescent="0.25">
      <c r="A90">
        <v>80</v>
      </c>
      <c r="B90" s="11" t="s">
        <v>495</v>
      </c>
      <c r="C90" s="5"/>
      <c r="D90" s="5" t="s">
        <v>496</v>
      </c>
      <c r="E90" s="5" t="s">
        <v>76</v>
      </c>
      <c r="F90" s="5"/>
      <c r="G90" s="5"/>
      <c r="H90" s="5"/>
      <c r="I90" s="5"/>
      <c r="J90" s="5"/>
      <c r="K90" s="5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11"/>
      <c r="BH90" s="5"/>
      <c r="BI90" s="5"/>
      <c r="BJ90" s="5"/>
      <c r="BK90" s="5"/>
      <c r="BL90" s="5"/>
      <c r="BM90" s="5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5"/>
      <c r="CE90" s="5"/>
      <c r="CF90" s="11"/>
      <c r="CG90" s="11"/>
      <c r="CH90" s="11"/>
      <c r="CI90" s="11"/>
      <c r="CJ90" s="11"/>
      <c r="CK90" s="11"/>
      <c r="CL90" s="5">
        <f t="shared" si="13"/>
        <v>0</v>
      </c>
      <c r="CM90" s="5">
        <f t="shared" si="14"/>
        <v>0</v>
      </c>
      <c r="CN90" s="11"/>
      <c r="CO90" s="11"/>
      <c r="CP90" s="11"/>
      <c r="CQ90" s="11"/>
      <c r="CR90" s="11"/>
      <c r="CS90" s="11"/>
      <c r="CT90" s="5">
        <f t="shared" si="22"/>
        <v>0</v>
      </c>
      <c r="DP90" s="7">
        <v>21</v>
      </c>
      <c r="DV90" s="5">
        <f t="shared" si="24"/>
        <v>21</v>
      </c>
      <c r="DW90" s="5">
        <f t="shared" si="23"/>
        <v>10.5</v>
      </c>
      <c r="DX90" s="11"/>
      <c r="DY90" s="5">
        <f t="shared" si="12"/>
        <v>10.5</v>
      </c>
    </row>
    <row r="91" spans="1:129" x14ac:dyDescent="0.25">
      <c r="A91">
        <v>81</v>
      </c>
      <c r="B91" s="11" t="s">
        <v>497</v>
      </c>
      <c r="C91" s="5"/>
      <c r="D91" s="5" t="s">
        <v>104</v>
      </c>
      <c r="E91" s="5" t="s">
        <v>14</v>
      </c>
      <c r="F91" s="5"/>
      <c r="G91" s="5"/>
      <c r="H91" s="5"/>
      <c r="I91" s="5"/>
      <c r="J91" s="5"/>
      <c r="K91" s="5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11"/>
      <c r="BH91" s="5"/>
      <c r="BI91" s="5"/>
      <c r="BJ91" s="5"/>
      <c r="BK91" s="5"/>
      <c r="BL91" s="5"/>
      <c r="BM91" s="5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5"/>
      <c r="CE91" s="5"/>
      <c r="CF91" s="11"/>
      <c r="CG91" s="11"/>
      <c r="CH91" s="11"/>
      <c r="CI91" s="11"/>
      <c r="CJ91" s="11"/>
      <c r="CK91" s="11"/>
      <c r="CL91" s="5">
        <f t="shared" si="13"/>
        <v>0</v>
      </c>
      <c r="CM91" s="5">
        <f t="shared" si="14"/>
        <v>0</v>
      </c>
      <c r="CN91" s="11"/>
      <c r="CO91" s="11"/>
      <c r="CP91" s="11"/>
      <c r="CQ91" s="11"/>
      <c r="CR91" s="11"/>
      <c r="CS91" s="11"/>
      <c r="CT91" s="5">
        <f t="shared" si="22"/>
        <v>0</v>
      </c>
      <c r="DP91" s="7">
        <v>1.75</v>
      </c>
      <c r="DV91" s="5">
        <f t="shared" si="24"/>
        <v>1.75</v>
      </c>
      <c r="DW91" s="5">
        <f t="shared" si="23"/>
        <v>0.875</v>
      </c>
      <c r="DX91" s="11"/>
      <c r="DY91" s="5">
        <f t="shared" si="12"/>
        <v>0.875</v>
      </c>
    </row>
    <row r="92" spans="1:129" x14ac:dyDescent="0.25">
      <c r="A92">
        <v>82</v>
      </c>
      <c r="B92" s="11" t="s">
        <v>637</v>
      </c>
      <c r="C92" s="5"/>
      <c r="D92" s="5" t="s">
        <v>143</v>
      </c>
      <c r="E92" s="5" t="s">
        <v>452</v>
      </c>
      <c r="F92" s="5"/>
      <c r="G92" s="5"/>
      <c r="H92" s="5"/>
      <c r="I92" s="5"/>
      <c r="J92" s="5"/>
      <c r="K92" s="5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11"/>
      <c r="BH92" s="5"/>
      <c r="BI92" s="5"/>
      <c r="BJ92" s="5"/>
      <c r="BK92" s="5"/>
      <c r="BL92" s="5"/>
      <c r="BM92" s="5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5"/>
      <c r="CE92" s="5"/>
      <c r="CF92" s="11"/>
      <c r="CG92" s="11"/>
      <c r="CH92" s="11"/>
      <c r="CI92" s="11"/>
      <c r="CJ92" s="11"/>
      <c r="CK92" s="11"/>
      <c r="CL92" s="5">
        <f t="shared" si="13"/>
        <v>0</v>
      </c>
      <c r="CM92" s="5">
        <f t="shared" si="14"/>
        <v>0</v>
      </c>
      <c r="CN92" s="11"/>
      <c r="CO92" s="11"/>
      <c r="CP92" s="11"/>
      <c r="CQ92" s="11"/>
      <c r="CR92" s="11"/>
      <c r="CS92" s="11"/>
      <c r="CT92" s="5">
        <f t="shared" si="22"/>
        <v>0</v>
      </c>
      <c r="DU92" s="7">
        <v>2.5</v>
      </c>
      <c r="DV92" s="5">
        <f t="shared" si="24"/>
        <v>2.5</v>
      </c>
      <c r="DW92" s="5">
        <f t="shared" si="23"/>
        <v>1.25</v>
      </c>
      <c r="DX92" s="11"/>
      <c r="DY92" s="5">
        <f t="shared" si="12"/>
        <v>1.25</v>
      </c>
    </row>
  </sheetData>
  <sortState xmlns:xlrd2="http://schemas.microsoft.com/office/spreadsheetml/2017/richdata2" ref="B11:DY92">
    <sortCondition descending="1" ref="CT11:CT92"/>
  </sortState>
  <mergeCells count="6">
    <mergeCell ref="B1:DY1"/>
    <mergeCell ref="B8:C10"/>
    <mergeCell ref="CH9:CK9"/>
    <mergeCell ref="CP9:CS9"/>
    <mergeCell ref="D4:CT5"/>
    <mergeCell ref="CV4:DY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V82"/>
  <sheetViews>
    <sheetView zoomScale="80" zoomScaleNormal="80" workbookViewId="0">
      <selection activeCell="DY22" sqref="DY22"/>
    </sheetView>
  </sheetViews>
  <sheetFormatPr baseColWidth="10" defaultRowHeight="15" x14ac:dyDescent="0.25"/>
  <cols>
    <col min="1" max="1" width="3.140625" bestFit="1" customWidth="1"/>
    <col min="2" max="2" width="13.5703125" bestFit="1" customWidth="1"/>
    <col min="3" max="3" width="12.7109375" bestFit="1" customWidth="1"/>
    <col min="4" max="4" width="14.28515625" bestFit="1" customWidth="1"/>
    <col min="5" max="5" width="20.85546875" bestFit="1" customWidth="1"/>
    <col min="6" max="6" width="6.7109375" hidden="1" customWidth="1"/>
    <col min="7" max="7" width="6.42578125" hidden="1" customWidth="1"/>
    <col min="8" max="8" width="6.28515625" hidden="1" customWidth="1"/>
    <col min="9" max="11" width="6.42578125" hidden="1" customWidth="1"/>
    <col min="12" max="14" width="7.28515625" style="7" hidden="1" customWidth="1"/>
    <col min="15" max="18" width="6.28515625" style="7" hidden="1" customWidth="1"/>
    <col min="19" max="26" width="6.7109375" style="7" hidden="1" customWidth="1"/>
    <col min="27" max="28" width="6" style="7" hidden="1" customWidth="1"/>
    <col min="29" max="30" width="6.5703125" style="7" hidden="1" customWidth="1"/>
    <col min="31" max="32" width="0" hidden="1" customWidth="1"/>
    <col min="33" max="46" width="6" hidden="1" customWidth="1"/>
    <col min="47" max="47" width="6.28515625" hidden="1" customWidth="1"/>
    <col min="48" max="48" width="6.85546875" hidden="1" customWidth="1"/>
    <col min="49" max="49" width="10.5703125" style="7" hidden="1" customWidth="1"/>
    <col min="50" max="51" width="6" style="7" hidden="1" customWidth="1"/>
    <col min="52" max="57" width="6.28515625" hidden="1" customWidth="1"/>
    <col min="58" max="72" width="6.28515625" style="7" hidden="1" customWidth="1"/>
    <col min="73" max="73" width="6.28515625" hidden="1" customWidth="1"/>
    <col min="74" max="74" width="7.85546875" hidden="1" customWidth="1"/>
    <col min="75" max="80" width="6.28515625" style="7" hidden="1" customWidth="1"/>
    <col min="81" max="81" width="6.28515625" customWidth="1"/>
    <col min="82" max="85" width="6.28515625" hidden="1" customWidth="1"/>
    <col min="86" max="86" width="7.85546875" bestFit="1" customWidth="1"/>
    <col min="87" max="90" width="6.28515625" style="7" customWidth="1"/>
    <col min="91" max="91" width="6.28515625" customWidth="1"/>
    <col min="92" max="92" width="6.7109375" customWidth="1"/>
    <col min="93" max="93" width="7.42578125" bestFit="1" customWidth="1"/>
    <col min="95" max="95" width="0" hidden="1" customWidth="1"/>
    <col min="96" max="97" width="6.7109375" hidden="1" customWidth="1"/>
    <col min="98" max="100" width="8.28515625" hidden="1" customWidth="1"/>
    <col min="101" max="101" width="8.28515625" style="7" hidden="1" customWidth="1"/>
    <col min="102" max="104" width="0" hidden="1" customWidth="1"/>
    <col min="105" max="111" width="6.7109375" style="7" hidden="1" customWidth="1"/>
    <col min="112" max="113" width="0" hidden="1" customWidth="1"/>
    <col min="114" max="114" width="6.7109375" style="7" hidden="1" customWidth="1"/>
    <col min="115" max="120" width="6" style="7" hidden="1" customWidth="1"/>
    <col min="123" max="123" width="6" bestFit="1" customWidth="1"/>
    <col min="124" max="125" width="6" style="7" customWidth="1"/>
  </cols>
  <sheetData>
    <row r="1" spans="1:126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</row>
    <row r="2" spans="1:126" ht="15.75" thickBot="1" x14ac:dyDescent="0.3">
      <c r="C2" s="7"/>
      <c r="D2" s="7"/>
      <c r="E2" s="7"/>
      <c r="F2" s="7"/>
      <c r="G2" s="7"/>
    </row>
    <row r="3" spans="1:126" ht="15.75" thickTop="1" x14ac:dyDescent="0.25">
      <c r="B3" s="1" t="s">
        <v>0</v>
      </c>
      <c r="C3" s="4" t="s">
        <v>29</v>
      </c>
    </row>
    <row r="4" spans="1:126" ht="14.65" customHeight="1" x14ac:dyDescent="0.25">
      <c r="B4" s="2" t="s">
        <v>1</v>
      </c>
      <c r="C4" s="10" t="s">
        <v>30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Q4" s="56" t="s">
        <v>641</v>
      </c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</row>
    <row r="5" spans="1:126" ht="15" customHeight="1" thickBot="1" x14ac:dyDescent="0.3">
      <c r="B5" s="3" t="s">
        <v>2</v>
      </c>
      <c r="C5" s="34">
        <v>-73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</row>
    <row r="6" spans="1:126" ht="15.75" thickTop="1" x14ac:dyDescent="0.25"/>
    <row r="7" spans="1:126" ht="15.75" thickBot="1" x14ac:dyDescent="0.3"/>
    <row r="8" spans="1:126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27</v>
      </c>
      <c r="H8" s="4" t="s">
        <v>27</v>
      </c>
      <c r="I8" s="4" t="s">
        <v>31</v>
      </c>
      <c r="J8" s="4" t="s">
        <v>27</v>
      </c>
      <c r="K8" s="4" t="s">
        <v>72</v>
      </c>
      <c r="L8" s="4" t="s">
        <v>99</v>
      </c>
      <c r="M8" s="4" t="s">
        <v>27</v>
      </c>
      <c r="N8" s="4" t="s">
        <v>27</v>
      </c>
      <c r="O8" s="4" t="s">
        <v>134</v>
      </c>
      <c r="P8" s="4" t="s">
        <v>132</v>
      </c>
      <c r="Q8" s="4" t="s">
        <v>141</v>
      </c>
      <c r="R8" s="4" t="s">
        <v>146</v>
      </c>
      <c r="S8" s="4" t="s">
        <v>27</v>
      </c>
      <c r="T8" s="4" t="s">
        <v>151</v>
      </c>
      <c r="U8" s="4" t="s">
        <v>27</v>
      </c>
      <c r="V8" s="4" t="s">
        <v>27</v>
      </c>
      <c r="W8" s="4" t="s">
        <v>27</v>
      </c>
      <c r="X8" s="4" t="s">
        <v>27</v>
      </c>
      <c r="Y8" s="4" t="s">
        <v>27</v>
      </c>
      <c r="Z8" s="4" t="s">
        <v>168</v>
      </c>
      <c r="AA8" s="4" t="s">
        <v>27</v>
      </c>
      <c r="AB8" s="4" t="s">
        <v>27</v>
      </c>
      <c r="AC8" s="4" t="s">
        <v>171</v>
      </c>
      <c r="AD8" s="4" t="s">
        <v>173</v>
      </c>
      <c r="AE8" s="1"/>
      <c r="AF8" s="12">
        <v>44927</v>
      </c>
      <c r="AG8" s="4" t="s">
        <v>27</v>
      </c>
      <c r="AH8" s="4" t="s">
        <v>27</v>
      </c>
      <c r="AI8" s="17" t="s">
        <v>27</v>
      </c>
      <c r="AJ8" s="17" t="s">
        <v>173</v>
      </c>
      <c r="AK8" s="17" t="s">
        <v>27</v>
      </c>
      <c r="AL8" s="17" t="s">
        <v>27</v>
      </c>
      <c r="AM8" s="17" t="s">
        <v>217</v>
      </c>
      <c r="AN8" s="17" t="s">
        <v>217</v>
      </c>
      <c r="AO8" s="17" t="s">
        <v>217</v>
      </c>
      <c r="AP8" s="17" t="s">
        <v>173</v>
      </c>
      <c r="AQ8" s="17" t="s">
        <v>27</v>
      </c>
      <c r="AR8" s="17" t="s">
        <v>27</v>
      </c>
      <c r="AS8" s="17" t="s">
        <v>173</v>
      </c>
      <c r="AT8" s="17" t="s">
        <v>174</v>
      </c>
      <c r="AU8" s="4" t="s">
        <v>6</v>
      </c>
      <c r="AV8" s="16">
        <v>45292</v>
      </c>
      <c r="AW8" s="16" t="s">
        <v>27</v>
      </c>
      <c r="AX8" s="16" t="s">
        <v>27</v>
      </c>
      <c r="AY8" s="16" t="s">
        <v>27</v>
      </c>
      <c r="AZ8" s="16" t="s">
        <v>27</v>
      </c>
      <c r="BA8" s="16" t="s">
        <v>27</v>
      </c>
      <c r="BB8" s="16" t="s">
        <v>27</v>
      </c>
      <c r="BC8" s="16" t="s">
        <v>27</v>
      </c>
      <c r="BD8" s="16" t="s">
        <v>27</v>
      </c>
      <c r="BE8" s="16" t="s">
        <v>173</v>
      </c>
      <c r="BF8" s="16" t="s">
        <v>173</v>
      </c>
      <c r="BG8" s="16" t="s">
        <v>217</v>
      </c>
      <c r="BH8" s="16" t="s">
        <v>217</v>
      </c>
      <c r="BI8" s="16" t="s">
        <v>217</v>
      </c>
      <c r="BJ8" s="16" t="s">
        <v>173</v>
      </c>
      <c r="BK8" s="16" t="s">
        <v>27</v>
      </c>
      <c r="BL8" s="16" t="s">
        <v>27</v>
      </c>
      <c r="BM8" s="16" t="s">
        <v>27</v>
      </c>
      <c r="BN8" s="16" t="s">
        <v>27</v>
      </c>
      <c r="BO8" s="16" t="s">
        <v>27</v>
      </c>
      <c r="BP8" s="16" t="s">
        <v>27</v>
      </c>
      <c r="BQ8" s="16" t="s">
        <v>27</v>
      </c>
      <c r="BR8" s="16" t="s">
        <v>27</v>
      </c>
      <c r="BS8" s="16" t="s">
        <v>173</v>
      </c>
      <c r="BT8" s="16" t="s">
        <v>174</v>
      </c>
      <c r="BU8" s="16" t="s">
        <v>6</v>
      </c>
      <c r="BV8" s="16">
        <v>45658</v>
      </c>
      <c r="BW8" s="16"/>
      <c r="BX8" s="16"/>
      <c r="BY8" s="38"/>
      <c r="BZ8" s="39"/>
      <c r="CA8" s="39"/>
      <c r="CB8" s="40"/>
      <c r="CC8" s="16" t="s">
        <v>6</v>
      </c>
      <c r="CD8" s="32"/>
      <c r="CE8" s="32"/>
      <c r="CF8" s="32"/>
      <c r="CG8" s="32"/>
      <c r="CH8" s="16">
        <v>46023</v>
      </c>
      <c r="CI8" s="16"/>
      <c r="CJ8" s="16"/>
      <c r="CK8" s="38"/>
      <c r="CL8" s="39"/>
      <c r="CM8" s="39"/>
      <c r="CN8" s="40"/>
      <c r="CO8" s="16" t="s">
        <v>178</v>
      </c>
      <c r="CQ8" s="1" t="s">
        <v>175</v>
      </c>
      <c r="CR8" s="1" t="s">
        <v>214</v>
      </c>
      <c r="CS8" s="1" t="s">
        <v>238</v>
      </c>
      <c r="CT8" s="1" t="s">
        <v>239</v>
      </c>
      <c r="CU8" s="4" t="s">
        <v>171</v>
      </c>
      <c r="CV8" s="17" t="s">
        <v>262</v>
      </c>
      <c r="CW8" s="4" t="s">
        <v>283</v>
      </c>
      <c r="CX8" s="1" t="s">
        <v>6</v>
      </c>
      <c r="CY8" s="16">
        <v>45292</v>
      </c>
      <c r="CZ8" s="4" t="s">
        <v>175</v>
      </c>
      <c r="DA8" s="4" t="s">
        <v>296</v>
      </c>
      <c r="DB8" s="4" t="s">
        <v>31</v>
      </c>
      <c r="DC8" s="4" t="s">
        <v>164</v>
      </c>
      <c r="DD8" s="4" t="s">
        <v>164</v>
      </c>
      <c r="DE8" s="4" t="s">
        <v>171</v>
      </c>
      <c r="DF8" s="4" t="s">
        <v>275</v>
      </c>
      <c r="DG8" s="4" t="s">
        <v>283</v>
      </c>
      <c r="DH8" s="4" t="s">
        <v>6</v>
      </c>
      <c r="DI8" s="16">
        <v>45658</v>
      </c>
      <c r="DJ8" s="4" t="s">
        <v>296</v>
      </c>
      <c r="DK8" s="4" t="s">
        <v>164</v>
      </c>
      <c r="DL8" s="4" t="s">
        <v>31</v>
      </c>
      <c r="DM8" s="4" t="s">
        <v>164</v>
      </c>
      <c r="DN8" s="4" t="s">
        <v>275</v>
      </c>
      <c r="DO8" s="4" t="s">
        <v>171</v>
      </c>
      <c r="DP8" s="4" t="s">
        <v>283</v>
      </c>
      <c r="DQ8" s="4" t="s">
        <v>178</v>
      </c>
      <c r="DR8" s="16">
        <v>46023</v>
      </c>
      <c r="DS8" s="4" t="s">
        <v>31</v>
      </c>
      <c r="DT8" s="4" t="s">
        <v>721</v>
      </c>
      <c r="DU8" s="4" t="s">
        <v>171</v>
      </c>
      <c r="DV8" s="1" t="s">
        <v>6</v>
      </c>
    </row>
    <row r="9" spans="1:126" x14ac:dyDescent="0.25">
      <c r="B9" s="50"/>
      <c r="C9" s="51"/>
      <c r="D9" s="2"/>
      <c r="E9" s="2"/>
      <c r="F9" s="10" t="s">
        <v>73</v>
      </c>
      <c r="G9" s="10" t="s">
        <v>61</v>
      </c>
      <c r="H9" s="8" t="s">
        <v>54</v>
      </c>
      <c r="I9" s="8" t="s">
        <v>32</v>
      </c>
      <c r="J9" s="8" t="s">
        <v>66</v>
      </c>
      <c r="K9" s="10" t="s">
        <v>73</v>
      </c>
      <c r="L9" s="10" t="s">
        <v>100</v>
      </c>
      <c r="M9" s="10" t="s">
        <v>130</v>
      </c>
      <c r="N9" s="10" t="s">
        <v>125</v>
      </c>
      <c r="O9" s="10" t="s">
        <v>135</v>
      </c>
      <c r="P9" s="10" t="s">
        <v>133</v>
      </c>
      <c r="Q9" s="10" t="s">
        <v>140</v>
      </c>
      <c r="R9" s="10" t="s">
        <v>73</v>
      </c>
      <c r="S9" s="10" t="s">
        <v>56</v>
      </c>
      <c r="T9" s="10" t="s">
        <v>152</v>
      </c>
      <c r="U9" s="10" t="s">
        <v>54</v>
      </c>
      <c r="V9" s="10" t="s">
        <v>159</v>
      </c>
      <c r="W9" s="10" t="s">
        <v>149</v>
      </c>
      <c r="X9" s="8" t="s">
        <v>28</v>
      </c>
      <c r="Y9" s="10" t="s">
        <v>162</v>
      </c>
      <c r="Z9" s="10" t="s">
        <v>169</v>
      </c>
      <c r="AA9" s="10" t="s">
        <v>125</v>
      </c>
      <c r="AB9" s="10" t="s">
        <v>162</v>
      </c>
      <c r="AC9" s="10" t="s">
        <v>172</v>
      </c>
      <c r="AD9" s="10" t="s">
        <v>174</v>
      </c>
      <c r="AE9" s="2" t="s">
        <v>6</v>
      </c>
      <c r="AF9" s="2"/>
      <c r="AG9" s="10" t="s">
        <v>56</v>
      </c>
      <c r="AH9" s="10" t="s">
        <v>149</v>
      </c>
      <c r="AI9" s="18" t="s">
        <v>54</v>
      </c>
      <c r="AJ9" s="18" t="s">
        <v>134</v>
      </c>
      <c r="AK9" s="18" t="s">
        <v>130</v>
      </c>
      <c r="AL9" s="18" t="s">
        <v>162</v>
      </c>
      <c r="AM9" s="18" t="s">
        <v>132</v>
      </c>
      <c r="AN9" s="18" t="s">
        <v>141</v>
      </c>
      <c r="AO9" s="18" t="s">
        <v>134</v>
      </c>
      <c r="AP9" s="18" t="s">
        <v>132</v>
      </c>
      <c r="AQ9" s="18" t="s">
        <v>162</v>
      </c>
      <c r="AR9" s="18" t="s">
        <v>149</v>
      </c>
      <c r="AS9" s="18" t="s">
        <v>141</v>
      </c>
      <c r="AT9" s="18"/>
      <c r="AU9" s="2"/>
      <c r="AV9" s="10"/>
      <c r="AW9" s="10" t="s">
        <v>328</v>
      </c>
      <c r="AX9" s="10" t="s">
        <v>149</v>
      </c>
      <c r="AY9" s="10" t="s">
        <v>346</v>
      </c>
      <c r="AZ9" s="10" t="s">
        <v>251</v>
      </c>
      <c r="BA9" s="10" t="s">
        <v>128</v>
      </c>
      <c r="BB9" s="10" t="s">
        <v>159</v>
      </c>
      <c r="BC9" s="10" t="s">
        <v>54</v>
      </c>
      <c r="BD9" s="10" t="s">
        <v>56</v>
      </c>
      <c r="BE9" s="10" t="s">
        <v>132</v>
      </c>
      <c r="BF9" s="10" t="s">
        <v>396</v>
      </c>
      <c r="BG9" s="10" t="s">
        <v>132</v>
      </c>
      <c r="BH9" s="10" t="s">
        <v>134</v>
      </c>
      <c r="BI9" s="10" t="s">
        <v>141</v>
      </c>
      <c r="BJ9" s="10" t="s">
        <v>134</v>
      </c>
      <c r="BK9" s="10" t="s">
        <v>346</v>
      </c>
      <c r="BL9" s="10" t="s">
        <v>54</v>
      </c>
      <c r="BM9" s="10" t="s">
        <v>251</v>
      </c>
      <c r="BN9" s="10" t="s">
        <v>56</v>
      </c>
      <c r="BO9" s="10" t="s">
        <v>159</v>
      </c>
      <c r="BP9" s="10" t="s">
        <v>28</v>
      </c>
      <c r="BQ9" s="10" t="s">
        <v>128</v>
      </c>
      <c r="BR9" s="10" t="s">
        <v>458</v>
      </c>
      <c r="BS9" s="10" t="s">
        <v>141</v>
      </c>
      <c r="BT9" s="10" t="s">
        <v>475</v>
      </c>
      <c r="BU9" s="10"/>
      <c r="BV9" s="10"/>
      <c r="BW9" s="8" t="s">
        <v>27</v>
      </c>
      <c r="BX9" s="8" t="s">
        <v>217</v>
      </c>
      <c r="BY9" s="52" t="s">
        <v>477</v>
      </c>
      <c r="BZ9" s="53"/>
      <c r="CA9" s="53"/>
      <c r="CB9" s="54"/>
      <c r="CC9" s="10"/>
      <c r="CD9" s="7"/>
      <c r="CE9" s="7"/>
      <c r="CF9" s="7"/>
      <c r="CG9" s="7"/>
      <c r="CH9" s="10"/>
      <c r="CI9" s="8" t="s">
        <v>27</v>
      </c>
      <c r="CJ9" s="8" t="s">
        <v>217</v>
      </c>
      <c r="CK9" s="52" t="s">
        <v>477</v>
      </c>
      <c r="CL9" s="53"/>
      <c r="CM9" s="53"/>
      <c r="CN9" s="54"/>
      <c r="CO9" s="8"/>
      <c r="CQ9" s="2" t="s">
        <v>176</v>
      </c>
      <c r="CR9" s="2"/>
      <c r="CS9" s="2"/>
      <c r="CT9" s="2"/>
      <c r="CU9" s="10" t="s">
        <v>255</v>
      </c>
      <c r="CV9" s="18" t="s">
        <v>263</v>
      </c>
      <c r="CW9" s="10" t="s">
        <v>284</v>
      </c>
      <c r="CX9" s="2"/>
      <c r="CY9" s="7"/>
      <c r="CZ9" s="10" t="s">
        <v>176</v>
      </c>
      <c r="DA9" s="10"/>
      <c r="DB9" s="10" t="s">
        <v>354</v>
      </c>
      <c r="DC9" s="10" t="s">
        <v>419</v>
      </c>
      <c r="DD9" s="10" t="s">
        <v>255</v>
      </c>
      <c r="DE9" s="10" t="s">
        <v>255</v>
      </c>
      <c r="DF9" s="10" t="s">
        <v>462</v>
      </c>
      <c r="DG9" s="10" t="s">
        <v>73</v>
      </c>
      <c r="DH9" s="10"/>
      <c r="DI9" s="10"/>
      <c r="DJ9" s="10"/>
      <c r="DK9" s="10" t="s">
        <v>100</v>
      </c>
      <c r="DL9" s="10" t="s">
        <v>419</v>
      </c>
      <c r="DM9" s="10" t="s">
        <v>152</v>
      </c>
      <c r="DN9" s="10" t="s">
        <v>419</v>
      </c>
      <c r="DO9" s="10" t="s">
        <v>255</v>
      </c>
      <c r="DP9" s="10" t="s">
        <v>73</v>
      </c>
      <c r="DQ9" s="10"/>
      <c r="DR9" s="10"/>
      <c r="DS9" s="10" t="s">
        <v>152</v>
      </c>
      <c r="DT9" s="10" t="s">
        <v>32</v>
      </c>
      <c r="DU9" s="10" t="s">
        <v>419</v>
      </c>
      <c r="DV9" s="2"/>
    </row>
    <row r="10" spans="1:126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44654</v>
      </c>
      <c r="H10" s="9">
        <v>44660</v>
      </c>
      <c r="I10" s="9">
        <v>44661</v>
      </c>
      <c r="J10" s="9">
        <v>44674</v>
      </c>
      <c r="K10" s="9">
        <v>44681</v>
      </c>
      <c r="L10" s="9">
        <v>44695</v>
      </c>
      <c r="M10" s="9">
        <v>44709</v>
      </c>
      <c r="N10" s="9">
        <v>44709</v>
      </c>
      <c r="O10" s="9">
        <v>44730</v>
      </c>
      <c r="P10" s="9">
        <v>44730</v>
      </c>
      <c r="Q10" s="9">
        <v>44737</v>
      </c>
      <c r="R10" s="9">
        <v>44758</v>
      </c>
      <c r="S10" s="9">
        <v>44779</v>
      </c>
      <c r="T10" s="9">
        <v>44783</v>
      </c>
      <c r="U10" s="9">
        <v>44793</v>
      </c>
      <c r="V10" s="9">
        <v>44800</v>
      </c>
      <c r="W10" s="9">
        <v>44814</v>
      </c>
      <c r="X10" s="9">
        <v>44814</v>
      </c>
      <c r="Y10" s="9">
        <v>44814</v>
      </c>
      <c r="Z10" s="9">
        <v>44829</v>
      </c>
      <c r="AA10" s="9">
        <v>44849</v>
      </c>
      <c r="AB10" s="9">
        <v>44856</v>
      </c>
      <c r="AC10" s="9">
        <v>44867</v>
      </c>
      <c r="AD10" s="9">
        <v>44906</v>
      </c>
      <c r="AE10" s="2">
        <v>2022</v>
      </c>
      <c r="AF10" s="2"/>
      <c r="AG10" s="2" t="s">
        <v>180</v>
      </c>
      <c r="AH10" s="2" t="s">
        <v>185</v>
      </c>
      <c r="AI10" s="18" t="s">
        <v>189</v>
      </c>
      <c r="AJ10" s="18" t="s">
        <v>193</v>
      </c>
      <c r="AK10" s="18" t="s">
        <v>215</v>
      </c>
      <c r="AL10" s="18" t="s">
        <v>213</v>
      </c>
      <c r="AM10" s="18" t="s">
        <v>218</v>
      </c>
      <c r="AN10" s="18" t="s">
        <v>228</v>
      </c>
      <c r="AO10" s="18" t="s">
        <v>234</v>
      </c>
      <c r="AP10" s="18" t="s">
        <v>242</v>
      </c>
      <c r="AQ10" s="18" t="s">
        <v>256</v>
      </c>
      <c r="AR10" s="18" t="s">
        <v>266</v>
      </c>
      <c r="AS10" s="18" t="s">
        <v>268</v>
      </c>
      <c r="AT10" s="18" t="s">
        <v>289</v>
      </c>
      <c r="AU10" s="2">
        <v>2023</v>
      </c>
      <c r="AV10" s="31"/>
      <c r="AW10" s="31" t="s">
        <v>317</v>
      </c>
      <c r="AX10" s="31" t="s">
        <v>317</v>
      </c>
      <c r="AY10" s="31" t="s">
        <v>317</v>
      </c>
      <c r="AZ10" s="31" t="s">
        <v>317</v>
      </c>
      <c r="BA10" s="31" t="s">
        <v>317</v>
      </c>
      <c r="BB10" s="31" t="s">
        <v>317</v>
      </c>
      <c r="BC10" s="31" t="s">
        <v>356</v>
      </c>
      <c r="BD10" s="31" t="s">
        <v>373</v>
      </c>
      <c r="BE10" s="31" t="s">
        <v>384</v>
      </c>
      <c r="BF10" s="31" t="s">
        <v>397</v>
      </c>
      <c r="BG10" s="31" t="s">
        <v>405</v>
      </c>
      <c r="BH10" s="31" t="s">
        <v>405</v>
      </c>
      <c r="BI10" s="31" t="s">
        <v>416</v>
      </c>
      <c r="BJ10" s="31" t="s">
        <v>421</v>
      </c>
      <c r="BK10" s="31" t="s">
        <v>441</v>
      </c>
      <c r="BL10" s="31" t="s">
        <v>441</v>
      </c>
      <c r="BM10" s="31" t="s">
        <v>440</v>
      </c>
      <c r="BN10" s="31" t="s">
        <v>445</v>
      </c>
      <c r="BO10" s="31" t="s">
        <v>445</v>
      </c>
      <c r="BP10" s="31" t="s">
        <v>455</v>
      </c>
      <c r="BQ10" s="31" t="s">
        <v>456</v>
      </c>
      <c r="BR10" s="31" t="s">
        <v>459</v>
      </c>
      <c r="BS10" s="31" t="s">
        <v>465</v>
      </c>
      <c r="BT10" s="31" t="s">
        <v>476</v>
      </c>
      <c r="BU10" s="31">
        <v>2024</v>
      </c>
      <c r="BV10" s="10"/>
      <c r="BW10" s="10"/>
      <c r="BX10" s="10"/>
      <c r="BY10" s="10">
        <v>1</v>
      </c>
      <c r="BZ10" s="10">
        <v>2</v>
      </c>
      <c r="CA10" s="10">
        <v>3</v>
      </c>
      <c r="CB10" s="10">
        <v>4</v>
      </c>
      <c r="CC10" s="10">
        <v>2025</v>
      </c>
      <c r="CD10" s="7"/>
      <c r="CE10" s="7"/>
      <c r="CF10" s="7"/>
      <c r="CG10" s="7"/>
      <c r="CH10" s="10"/>
      <c r="CI10" s="10"/>
      <c r="CJ10" s="10"/>
      <c r="CK10" s="10">
        <v>1</v>
      </c>
      <c r="CL10" s="10">
        <v>2</v>
      </c>
      <c r="CM10" s="10">
        <v>3</v>
      </c>
      <c r="CN10" s="10">
        <v>4</v>
      </c>
      <c r="CO10" s="10">
        <v>2026</v>
      </c>
      <c r="CQ10" s="2"/>
      <c r="CR10" s="14">
        <v>45078</v>
      </c>
      <c r="CS10" s="14">
        <v>45085</v>
      </c>
      <c r="CT10" s="14">
        <v>45127</v>
      </c>
      <c r="CU10" s="14">
        <v>45154</v>
      </c>
      <c r="CV10" s="26">
        <v>45178</v>
      </c>
      <c r="CW10" s="8">
        <v>45255</v>
      </c>
      <c r="CX10" s="2">
        <v>2023</v>
      </c>
      <c r="CY10" s="7"/>
      <c r="CZ10" s="10"/>
      <c r="DA10" s="9">
        <v>45347</v>
      </c>
      <c r="DB10" s="9" t="s">
        <v>355</v>
      </c>
      <c r="DC10" s="9" t="s">
        <v>228</v>
      </c>
      <c r="DD10" s="9" t="s">
        <v>456</v>
      </c>
      <c r="DE10" s="9" t="s">
        <v>457</v>
      </c>
      <c r="DF10" s="9" t="s">
        <v>463</v>
      </c>
      <c r="DG10" s="9" t="s">
        <v>474</v>
      </c>
      <c r="DH10" s="10">
        <v>2024</v>
      </c>
      <c r="DI10" s="10"/>
      <c r="DJ10" s="10" t="s">
        <v>480</v>
      </c>
      <c r="DK10" s="10" t="s">
        <v>317</v>
      </c>
      <c r="DL10" s="10" t="s">
        <v>527</v>
      </c>
      <c r="DM10" s="10" t="s">
        <v>557</v>
      </c>
      <c r="DN10" s="10" t="s">
        <v>616</v>
      </c>
      <c r="DO10" s="10" t="s">
        <v>632</v>
      </c>
      <c r="DP10" s="10" t="s">
        <v>474</v>
      </c>
      <c r="DQ10" s="10">
        <v>2025</v>
      </c>
      <c r="DR10" s="10"/>
      <c r="DS10" s="10" t="s">
        <v>193</v>
      </c>
      <c r="DT10" s="10" t="s">
        <v>722</v>
      </c>
      <c r="DU10" s="10" t="s">
        <v>723</v>
      </c>
      <c r="DV10" s="2">
        <v>2026</v>
      </c>
    </row>
    <row r="11" spans="1:126" x14ac:dyDescent="0.25">
      <c r="A11">
        <v>1</v>
      </c>
      <c r="B11" s="11" t="s">
        <v>40</v>
      </c>
      <c r="C11" s="5"/>
      <c r="D11" s="5" t="s">
        <v>121</v>
      </c>
      <c r="E11" s="5" t="s">
        <v>138</v>
      </c>
      <c r="F11" s="5"/>
      <c r="G11" s="5"/>
      <c r="H11" s="5"/>
      <c r="I11" s="5"/>
      <c r="J11" s="5"/>
      <c r="K11" s="5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11"/>
      <c r="AX11" s="11"/>
      <c r="AY11" s="11"/>
      <c r="AZ11" s="5"/>
      <c r="BA11" s="5"/>
      <c r="BB11" s="5"/>
      <c r="BC11" s="5"/>
      <c r="BD11" s="5"/>
      <c r="BE11" s="5"/>
      <c r="BF11" s="11">
        <v>5</v>
      </c>
      <c r="BG11" s="11"/>
      <c r="BH11" s="11">
        <v>40</v>
      </c>
      <c r="BI11" s="11"/>
      <c r="BJ11" s="11">
        <v>105</v>
      </c>
      <c r="BK11" s="11"/>
      <c r="BL11" s="11"/>
      <c r="BM11" s="11"/>
      <c r="BN11" s="11"/>
      <c r="BO11" s="11"/>
      <c r="BP11" s="11"/>
      <c r="BQ11" s="11"/>
      <c r="BR11" s="11"/>
      <c r="BS11" s="11">
        <v>7.5</v>
      </c>
      <c r="BT11" s="11">
        <v>72</v>
      </c>
      <c r="BU11" s="5">
        <f>SUM(AV11:BT11)</f>
        <v>229.5</v>
      </c>
      <c r="BV11" s="5">
        <f>(BU11-AV11)/2</f>
        <v>114.75</v>
      </c>
      <c r="BW11" s="11">
        <v>60</v>
      </c>
      <c r="BX11" s="11">
        <v>56</v>
      </c>
      <c r="BY11" s="11">
        <v>105</v>
      </c>
      <c r="BZ11" s="11">
        <v>200</v>
      </c>
      <c r="CA11" s="11">
        <v>75</v>
      </c>
      <c r="CB11" s="11">
        <v>70</v>
      </c>
      <c r="CC11" s="5">
        <f t="shared" ref="CC11:CC18" si="0">SUM(BV11:CB11)</f>
        <v>680.75</v>
      </c>
      <c r="CH11" s="5">
        <f t="shared" ref="CH11:CH18" si="1">(CC11-BV11)/2</f>
        <v>283</v>
      </c>
      <c r="CI11" s="11">
        <v>60</v>
      </c>
      <c r="CJ11" s="11"/>
      <c r="CK11" s="11">
        <v>105</v>
      </c>
      <c r="CL11" s="11">
        <v>48</v>
      </c>
      <c r="CM11" s="5"/>
      <c r="CN11" s="5"/>
      <c r="CO11" s="5">
        <f t="shared" ref="CO11:CO42" si="2">SUM(CH11:CN11)</f>
        <v>496</v>
      </c>
      <c r="CQ11" s="5"/>
      <c r="CR11" s="5"/>
      <c r="CS11" s="5"/>
      <c r="CT11" s="5"/>
      <c r="CU11" s="5"/>
      <c r="CV11" s="5"/>
      <c r="CW11" s="11"/>
      <c r="CX11" s="5">
        <f>SUM(CQ11:CW11)</f>
        <v>0</v>
      </c>
      <c r="CY11" s="5">
        <f>CX11/2</f>
        <v>0</v>
      </c>
      <c r="CZ11" s="5">
        <f>BU11/4</f>
        <v>57.375</v>
      </c>
      <c r="DA11" s="11"/>
      <c r="DB11" s="11"/>
      <c r="DC11" s="11"/>
      <c r="DD11" s="11">
        <v>7.5</v>
      </c>
      <c r="DE11" s="11">
        <v>5</v>
      </c>
      <c r="DF11" s="11"/>
      <c r="DG11" s="11"/>
      <c r="DH11" s="5">
        <f>SUM(CY11:DG11)</f>
        <v>69.875</v>
      </c>
      <c r="DI11" s="5">
        <f>(DH11-CY11)/2</f>
        <v>34.9375</v>
      </c>
      <c r="DJ11" s="11">
        <v>21</v>
      </c>
      <c r="DK11" s="11"/>
      <c r="DL11" s="11"/>
      <c r="DM11" s="11"/>
      <c r="DN11" s="11"/>
      <c r="DO11" s="11"/>
      <c r="DP11" s="11"/>
      <c r="DQ11" s="5">
        <f>SUM(DI11:DK11)</f>
        <v>55.9375</v>
      </c>
      <c r="DR11" s="5">
        <f t="shared" ref="DR11:DR42" si="3">(DQ11-DI11)/2</f>
        <v>10.5</v>
      </c>
      <c r="DS11" s="5"/>
      <c r="DT11" s="11"/>
      <c r="DU11" s="11">
        <v>5</v>
      </c>
      <c r="DV11" s="5">
        <f t="shared" ref="DV11:DV30" si="4">SUM(DR11:DU11)</f>
        <v>15.5</v>
      </c>
    </row>
    <row r="12" spans="1:126" x14ac:dyDescent="0.25">
      <c r="A12">
        <v>2</v>
      </c>
      <c r="B12" s="43" t="s">
        <v>109</v>
      </c>
      <c r="C12" s="43"/>
      <c r="D12" s="43" t="s">
        <v>110</v>
      </c>
      <c r="E12" s="43" t="s">
        <v>53</v>
      </c>
      <c r="F12" s="5"/>
      <c r="G12" s="5"/>
      <c r="H12" s="5"/>
      <c r="I12" s="5"/>
      <c r="J12" s="5"/>
      <c r="K12" s="5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11"/>
      <c r="AX12" s="11"/>
      <c r="AY12" s="11"/>
      <c r="AZ12" s="5"/>
      <c r="BA12" s="5"/>
      <c r="BB12" s="5"/>
      <c r="BC12" s="5"/>
      <c r="BD12" s="5"/>
      <c r="BE12" s="5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5">
        <f>SUM(AV12:BT12)</f>
        <v>0</v>
      </c>
      <c r="BV12" s="5">
        <f>(BU12-AV12)/2</f>
        <v>0</v>
      </c>
      <c r="BW12" s="11">
        <v>48</v>
      </c>
      <c r="BX12" s="11"/>
      <c r="BY12" s="11">
        <v>150</v>
      </c>
      <c r="BZ12" s="11"/>
      <c r="CA12" s="11"/>
      <c r="CB12" s="11"/>
      <c r="CC12" s="5">
        <f t="shared" si="0"/>
        <v>198</v>
      </c>
      <c r="CH12" s="5">
        <f t="shared" si="1"/>
        <v>99</v>
      </c>
      <c r="CI12" s="11">
        <v>60</v>
      </c>
      <c r="CJ12" s="11">
        <v>80</v>
      </c>
      <c r="CK12" s="11">
        <v>150</v>
      </c>
      <c r="CL12" s="11">
        <v>48</v>
      </c>
      <c r="CM12" s="5"/>
      <c r="CN12" s="5"/>
      <c r="CO12" s="5">
        <f t="shared" si="2"/>
        <v>437</v>
      </c>
      <c r="CQ12" s="5"/>
      <c r="CR12" s="5"/>
      <c r="CS12" s="5"/>
      <c r="CT12" s="5"/>
      <c r="CU12" s="5"/>
      <c r="CV12" s="5"/>
      <c r="CW12" s="11"/>
      <c r="CX12" s="5"/>
      <c r="CY12" s="5"/>
      <c r="CZ12" s="5"/>
      <c r="DA12" s="11"/>
      <c r="DB12" s="11"/>
      <c r="DC12" s="11"/>
      <c r="DD12" s="11"/>
      <c r="DE12" s="11"/>
      <c r="DF12" s="11"/>
      <c r="DG12" s="11">
        <v>35</v>
      </c>
      <c r="DH12" s="5">
        <f>SUM(CY12:DG12)</f>
        <v>35</v>
      </c>
      <c r="DI12" s="5">
        <f>(DH12-CY12)/2</f>
        <v>17.5</v>
      </c>
      <c r="DJ12" s="11"/>
      <c r="DK12" s="11"/>
      <c r="DL12" s="11"/>
      <c r="DM12" s="11"/>
      <c r="DN12" s="11"/>
      <c r="DO12" s="11"/>
      <c r="DP12" s="11"/>
      <c r="DQ12" s="5">
        <f>SUM(DI12:DK12)</f>
        <v>17.5</v>
      </c>
      <c r="DR12" s="5">
        <f t="shared" si="3"/>
        <v>0</v>
      </c>
      <c r="DS12" s="5">
        <v>15</v>
      </c>
      <c r="DT12" s="11"/>
      <c r="DU12" s="11">
        <v>70</v>
      </c>
      <c r="DV12" s="43">
        <f t="shared" si="4"/>
        <v>85</v>
      </c>
    </row>
    <row r="13" spans="1:126" x14ac:dyDescent="0.25">
      <c r="A13">
        <v>3</v>
      </c>
      <c r="B13" s="5" t="s">
        <v>95</v>
      </c>
      <c r="C13" s="5"/>
      <c r="D13" s="5" t="s">
        <v>60</v>
      </c>
      <c r="E13" s="5" t="s">
        <v>24</v>
      </c>
      <c r="F13" s="5"/>
      <c r="G13" s="5"/>
      <c r="H13" s="5"/>
      <c r="I13" s="5"/>
      <c r="J13" s="5"/>
      <c r="K13" s="5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11"/>
      <c r="AX13" s="11"/>
      <c r="AY13" s="11"/>
      <c r="AZ13" s="5"/>
      <c r="BA13" s="5"/>
      <c r="BB13" s="5"/>
      <c r="BC13" s="5"/>
      <c r="BD13" s="5"/>
      <c r="BE13" s="5"/>
      <c r="BF13" s="11"/>
      <c r="BG13" s="11"/>
      <c r="BH13" s="11"/>
      <c r="BI13" s="11"/>
      <c r="BJ13" s="11">
        <v>7.5</v>
      </c>
      <c r="BK13" s="11"/>
      <c r="BL13" s="11">
        <v>33.6</v>
      </c>
      <c r="BM13" s="11"/>
      <c r="BN13" s="11"/>
      <c r="BO13" s="11"/>
      <c r="BP13" s="11"/>
      <c r="BQ13" s="11"/>
      <c r="BR13" s="11"/>
      <c r="BS13" s="11"/>
      <c r="BT13" s="11"/>
      <c r="BU13" s="5">
        <f>SUM(AV13:BT13)</f>
        <v>41.1</v>
      </c>
      <c r="BV13" s="5">
        <f>(BU13-AV13)/2</f>
        <v>20.55</v>
      </c>
      <c r="BW13" s="11">
        <v>30</v>
      </c>
      <c r="BX13" s="11">
        <v>80</v>
      </c>
      <c r="BY13" s="11">
        <v>54</v>
      </c>
      <c r="BZ13" s="11">
        <v>36</v>
      </c>
      <c r="CA13" s="11">
        <v>105</v>
      </c>
      <c r="CB13" s="11">
        <v>7.5</v>
      </c>
      <c r="CC13" s="5">
        <f t="shared" si="0"/>
        <v>333.05</v>
      </c>
      <c r="CH13" s="5">
        <f t="shared" si="1"/>
        <v>156.25</v>
      </c>
      <c r="CI13" s="11">
        <v>33.6</v>
      </c>
      <c r="CJ13" s="11">
        <v>28.8</v>
      </c>
      <c r="CK13" s="11">
        <v>7.5</v>
      </c>
      <c r="CL13" s="11">
        <v>70</v>
      </c>
      <c r="CM13" s="5">
        <v>30</v>
      </c>
      <c r="CN13" s="5"/>
      <c r="CO13" s="5">
        <f t="shared" si="2"/>
        <v>326.14999999999998</v>
      </c>
      <c r="CQ13" s="5"/>
      <c r="CR13" s="5"/>
      <c r="CS13" s="5"/>
      <c r="CT13" s="5"/>
      <c r="CU13" s="5"/>
      <c r="CV13" s="5"/>
      <c r="CW13" s="11"/>
      <c r="CX13" s="5">
        <f>SUM(CQ13:CW13)</f>
        <v>0</v>
      </c>
      <c r="CY13" s="5">
        <f>CX13/2</f>
        <v>0</v>
      </c>
      <c r="CZ13" s="5">
        <f>BU13/4</f>
        <v>10.275</v>
      </c>
      <c r="DA13" s="11"/>
      <c r="DB13" s="11"/>
      <c r="DC13" s="11"/>
      <c r="DD13" s="11"/>
      <c r="DE13" s="11"/>
      <c r="DF13" s="11"/>
      <c r="DG13" s="11"/>
      <c r="DH13" s="5">
        <f>SUM(CY13:DG13)</f>
        <v>10.275</v>
      </c>
      <c r="DI13" s="5">
        <f>(DH13-CY13)/2</f>
        <v>5.1375000000000002</v>
      </c>
      <c r="DJ13" s="11"/>
      <c r="DK13" s="11"/>
      <c r="DL13" s="11"/>
      <c r="DM13" s="11"/>
      <c r="DN13" s="11">
        <v>25</v>
      </c>
      <c r="DO13" s="11"/>
      <c r="DP13" s="11"/>
      <c r="DQ13" s="5">
        <f>SUM(DI13:DN13)</f>
        <v>30.137499999999999</v>
      </c>
      <c r="DR13" s="5">
        <f t="shared" si="3"/>
        <v>12.5</v>
      </c>
      <c r="DS13" s="5"/>
      <c r="DT13" s="11"/>
      <c r="DU13" s="11"/>
      <c r="DV13" s="5">
        <f t="shared" si="4"/>
        <v>12.5</v>
      </c>
    </row>
    <row r="14" spans="1:126" x14ac:dyDescent="0.25">
      <c r="A14">
        <v>4</v>
      </c>
      <c r="B14" s="5" t="s">
        <v>461</v>
      </c>
      <c r="C14" s="5"/>
      <c r="D14" s="5" t="s">
        <v>205</v>
      </c>
      <c r="E14" s="5" t="s">
        <v>76</v>
      </c>
      <c r="F14" s="5"/>
      <c r="G14" s="5"/>
      <c r="H14" s="5"/>
      <c r="I14" s="5"/>
      <c r="J14" s="5"/>
      <c r="K14" s="5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11"/>
      <c r="AX14" s="11"/>
      <c r="AY14" s="11"/>
      <c r="AZ14" s="5"/>
      <c r="BA14" s="5"/>
      <c r="BB14" s="5"/>
      <c r="BC14" s="5"/>
      <c r="BD14" s="5"/>
      <c r="BE14" s="5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>
        <v>2.4</v>
      </c>
      <c r="BS14" s="11"/>
      <c r="BT14" s="11"/>
      <c r="BU14" s="5">
        <f>SUM(AV14:BT14)</f>
        <v>2.4</v>
      </c>
      <c r="BV14" s="5">
        <f>(BU14-AV14)/2</f>
        <v>1.2</v>
      </c>
      <c r="BW14" s="11">
        <v>36</v>
      </c>
      <c r="BX14" s="11">
        <v>40</v>
      </c>
      <c r="BY14" s="11">
        <v>7.5</v>
      </c>
      <c r="BZ14" s="11"/>
      <c r="CA14" s="11"/>
      <c r="CB14" s="11"/>
      <c r="CC14" s="5">
        <f t="shared" si="0"/>
        <v>84.7</v>
      </c>
      <c r="CH14" s="5">
        <f t="shared" si="1"/>
        <v>41.75</v>
      </c>
      <c r="CI14" s="11">
        <v>48</v>
      </c>
      <c r="CJ14" s="11">
        <v>64</v>
      </c>
      <c r="CK14" s="11">
        <v>75</v>
      </c>
      <c r="CL14" s="11">
        <v>50</v>
      </c>
      <c r="CM14" s="5">
        <v>36</v>
      </c>
      <c r="CN14" s="5"/>
      <c r="CO14" s="5">
        <f t="shared" si="2"/>
        <v>314.75</v>
      </c>
      <c r="CQ14" s="5"/>
      <c r="CR14" s="5"/>
      <c r="CS14" s="5"/>
      <c r="CT14" s="5"/>
      <c r="CU14" s="5"/>
      <c r="CV14" s="5"/>
      <c r="CW14" s="11"/>
      <c r="CX14" s="5">
        <f>SUM(CQ14:CW14)</f>
        <v>0</v>
      </c>
      <c r="CY14" s="5">
        <f>CX14/2</f>
        <v>0</v>
      </c>
      <c r="CZ14" s="5">
        <f>BU14/4</f>
        <v>0.6</v>
      </c>
      <c r="DA14" s="11"/>
      <c r="DB14" s="11"/>
      <c r="DC14" s="11"/>
      <c r="DD14" s="11"/>
      <c r="DE14" s="11"/>
      <c r="DF14" s="11"/>
      <c r="DG14" s="11"/>
      <c r="DH14" s="5">
        <f>SUM(CY14:DG14)</f>
        <v>0.6</v>
      </c>
      <c r="DI14" s="5">
        <f>(DH14-CY14)/2</f>
        <v>0.3</v>
      </c>
      <c r="DJ14" s="11">
        <v>10.5</v>
      </c>
      <c r="DK14" s="11"/>
      <c r="DL14" s="11"/>
      <c r="DM14" s="11"/>
      <c r="DN14" s="11"/>
      <c r="DO14" s="11"/>
      <c r="DP14" s="11"/>
      <c r="DQ14" s="5">
        <f>SUM(DI14:DP14)</f>
        <v>10.8</v>
      </c>
      <c r="DR14" s="5">
        <f t="shared" si="3"/>
        <v>5.25</v>
      </c>
      <c r="DS14" s="5"/>
      <c r="DT14" s="11"/>
      <c r="DU14" s="11"/>
      <c r="DV14" s="5">
        <f t="shared" si="4"/>
        <v>5.25</v>
      </c>
    </row>
    <row r="15" spans="1:126" x14ac:dyDescent="0.25">
      <c r="A15">
        <v>5</v>
      </c>
      <c r="B15" s="5" t="s">
        <v>388</v>
      </c>
      <c r="C15" s="5"/>
      <c r="D15" s="5" t="s">
        <v>389</v>
      </c>
      <c r="E15" s="5" t="s">
        <v>102</v>
      </c>
      <c r="F15" s="5"/>
      <c r="G15" s="5"/>
      <c r="H15" s="5"/>
      <c r="I15" s="5"/>
      <c r="J15" s="5"/>
      <c r="K15" s="5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11"/>
      <c r="AX15" s="11"/>
      <c r="AY15" s="11"/>
      <c r="AZ15" s="5"/>
      <c r="BA15" s="5"/>
      <c r="BB15" s="5"/>
      <c r="BC15" s="5"/>
      <c r="BD15" s="5"/>
      <c r="BE15" s="5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5"/>
      <c r="BV15" s="5"/>
      <c r="BW15" s="11">
        <v>36</v>
      </c>
      <c r="BX15" s="11"/>
      <c r="BY15" s="11"/>
      <c r="BZ15" s="11"/>
      <c r="CA15" s="11"/>
      <c r="CB15" s="11"/>
      <c r="CC15" s="5">
        <f t="shared" si="0"/>
        <v>36</v>
      </c>
      <c r="CH15" s="5">
        <f t="shared" si="1"/>
        <v>18</v>
      </c>
      <c r="CI15" s="11">
        <v>36</v>
      </c>
      <c r="CJ15" s="11">
        <v>40</v>
      </c>
      <c r="CK15" s="11">
        <v>75</v>
      </c>
      <c r="CL15" s="11">
        <v>100</v>
      </c>
      <c r="CM15" s="5">
        <v>36</v>
      </c>
      <c r="CN15" s="5"/>
      <c r="CO15" s="5">
        <f t="shared" si="2"/>
        <v>305</v>
      </c>
      <c r="CQ15" s="5"/>
      <c r="CR15" s="5"/>
      <c r="CS15" s="5"/>
      <c r="CT15" s="5"/>
      <c r="CU15" s="5"/>
      <c r="CV15" s="5"/>
      <c r="CW15" s="11"/>
      <c r="CX15" s="5"/>
      <c r="CY15" s="5"/>
      <c r="CZ15" s="5"/>
      <c r="DA15" s="11"/>
      <c r="DB15" s="11"/>
      <c r="DC15" s="11"/>
      <c r="DD15" s="11"/>
      <c r="DE15" s="11"/>
      <c r="DF15" s="11"/>
      <c r="DG15" s="11"/>
      <c r="DH15" s="5"/>
      <c r="DI15" s="5"/>
      <c r="DJ15" s="11"/>
      <c r="DK15" s="11"/>
      <c r="DL15" s="11"/>
      <c r="DM15" s="11"/>
      <c r="DN15" s="11"/>
      <c r="DO15" s="11"/>
      <c r="DP15" s="11"/>
      <c r="DQ15" s="5">
        <f>SUM(DI15:DP15)</f>
        <v>0</v>
      </c>
      <c r="DR15" s="5">
        <f t="shared" si="3"/>
        <v>0</v>
      </c>
      <c r="DS15" s="5"/>
      <c r="DT15" s="11"/>
      <c r="DU15" s="11">
        <v>36</v>
      </c>
      <c r="DV15" s="5">
        <f t="shared" si="4"/>
        <v>36</v>
      </c>
    </row>
    <row r="16" spans="1:126" x14ac:dyDescent="0.25">
      <c r="A16">
        <v>6</v>
      </c>
      <c r="B16" s="5" t="s">
        <v>310</v>
      </c>
      <c r="C16" s="5" t="s">
        <v>324</v>
      </c>
      <c r="D16" s="5" t="s">
        <v>121</v>
      </c>
      <c r="E16" s="5" t="s">
        <v>311</v>
      </c>
      <c r="F16" s="5"/>
      <c r="G16" s="5"/>
      <c r="H16" s="5"/>
      <c r="I16" s="5"/>
      <c r="J16" s="5"/>
      <c r="K16" s="5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f>SUM(AF16:AT16)</f>
        <v>0</v>
      </c>
      <c r="AV16" s="5">
        <f>(AU16-AF16)/2</f>
        <v>0</v>
      </c>
      <c r="AW16" s="11"/>
      <c r="AX16" s="11"/>
      <c r="AY16" s="11"/>
      <c r="AZ16" s="5">
        <v>36</v>
      </c>
      <c r="BA16" s="5"/>
      <c r="BB16" s="5"/>
      <c r="BC16" s="5"/>
      <c r="BD16" s="5"/>
      <c r="BE16" s="5">
        <v>39</v>
      </c>
      <c r="BF16" s="11">
        <v>36</v>
      </c>
      <c r="BG16" s="11"/>
      <c r="BH16" s="11">
        <v>4</v>
      </c>
      <c r="BI16" s="11"/>
      <c r="BJ16" s="11"/>
      <c r="BK16" s="11"/>
      <c r="BL16" s="11"/>
      <c r="BM16" s="11">
        <v>36</v>
      </c>
      <c r="BN16" s="11"/>
      <c r="BO16" s="11"/>
      <c r="BP16" s="11"/>
      <c r="BQ16" s="11"/>
      <c r="BR16" s="11"/>
      <c r="BS16" s="11">
        <v>7.5</v>
      </c>
      <c r="BT16" s="11"/>
      <c r="BU16" s="5">
        <f>SUM(AV16:BT16)</f>
        <v>158.5</v>
      </c>
      <c r="BV16" s="5">
        <f>(BU16-AV16)/2</f>
        <v>79.25</v>
      </c>
      <c r="BW16" s="11">
        <v>36</v>
      </c>
      <c r="BX16" s="11">
        <v>3.2</v>
      </c>
      <c r="BY16" s="11">
        <v>7.5</v>
      </c>
      <c r="BZ16" s="11">
        <v>54</v>
      </c>
      <c r="CA16" s="11">
        <v>5</v>
      </c>
      <c r="CB16" s="11">
        <v>72</v>
      </c>
      <c r="CC16" s="5">
        <f t="shared" si="0"/>
        <v>256.95</v>
      </c>
      <c r="CH16" s="5">
        <f t="shared" si="1"/>
        <v>88.85</v>
      </c>
      <c r="CI16" s="11">
        <v>60</v>
      </c>
      <c r="CJ16" s="11">
        <v>56</v>
      </c>
      <c r="CK16" s="11">
        <v>39</v>
      </c>
      <c r="CL16" s="11">
        <v>36</v>
      </c>
      <c r="CM16" s="5"/>
      <c r="CN16" s="5"/>
      <c r="CO16" s="5">
        <f t="shared" si="2"/>
        <v>279.85000000000002</v>
      </c>
      <c r="CQ16" s="5"/>
      <c r="CR16" s="5"/>
      <c r="CS16" s="5"/>
      <c r="CT16" s="5"/>
      <c r="CU16" s="5"/>
      <c r="CV16" s="5"/>
      <c r="CW16" s="11"/>
      <c r="CX16" s="5"/>
      <c r="CY16" s="5"/>
      <c r="CZ16" s="5"/>
      <c r="DA16" s="11">
        <v>1.5</v>
      </c>
      <c r="DB16" s="11"/>
      <c r="DC16" s="11"/>
      <c r="DD16" s="11"/>
      <c r="DE16" s="11"/>
      <c r="DF16" s="11"/>
      <c r="DG16" s="11">
        <v>25</v>
      </c>
      <c r="DH16" s="5">
        <f>SUM(CY16:DG16)</f>
        <v>26.5</v>
      </c>
      <c r="DI16" s="5">
        <f>(DH16-CY16)/2</f>
        <v>13.25</v>
      </c>
      <c r="DJ16" s="11"/>
      <c r="DK16" s="11"/>
      <c r="DL16" s="11"/>
      <c r="DM16" s="11"/>
      <c r="DN16" s="11"/>
      <c r="DO16" s="11"/>
      <c r="DP16" s="11"/>
      <c r="DQ16" s="5">
        <f>SUM(DI16:DK16)</f>
        <v>13.25</v>
      </c>
      <c r="DR16" s="5">
        <f t="shared" si="3"/>
        <v>0</v>
      </c>
      <c r="DS16" s="5"/>
      <c r="DT16" s="11"/>
      <c r="DU16" s="11"/>
      <c r="DV16" s="5">
        <f t="shared" si="4"/>
        <v>0</v>
      </c>
    </row>
    <row r="17" spans="1:126" x14ac:dyDescent="0.25">
      <c r="A17">
        <v>7</v>
      </c>
      <c r="B17" s="5" t="s">
        <v>136</v>
      </c>
      <c r="C17" s="5"/>
      <c r="D17" s="5" t="s">
        <v>60</v>
      </c>
      <c r="E17" s="5" t="s">
        <v>532</v>
      </c>
      <c r="F17" s="5"/>
      <c r="G17" s="5"/>
      <c r="H17" s="5"/>
      <c r="I17" s="5"/>
      <c r="J17" s="5"/>
      <c r="K17" s="5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11"/>
      <c r="AX17" s="11"/>
      <c r="AY17" s="11"/>
      <c r="AZ17" s="5"/>
      <c r="BA17" s="5"/>
      <c r="BB17" s="5"/>
      <c r="BC17" s="5"/>
      <c r="BD17" s="5"/>
      <c r="BE17" s="5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5"/>
      <c r="BV17" s="5"/>
      <c r="BW17" s="11">
        <v>48</v>
      </c>
      <c r="BX17" s="11">
        <v>4</v>
      </c>
      <c r="BY17" s="11">
        <v>10</v>
      </c>
      <c r="BZ17" s="11">
        <v>7.5</v>
      </c>
      <c r="CA17" s="11">
        <v>36</v>
      </c>
      <c r="CB17" s="11">
        <v>75</v>
      </c>
      <c r="CC17" s="5">
        <f t="shared" si="0"/>
        <v>180.5</v>
      </c>
      <c r="CH17" s="5">
        <f t="shared" si="1"/>
        <v>90.25</v>
      </c>
      <c r="CI17" s="11">
        <v>48</v>
      </c>
      <c r="CJ17" s="11">
        <v>40</v>
      </c>
      <c r="CK17" s="11">
        <v>48</v>
      </c>
      <c r="CL17" s="11"/>
      <c r="CM17" s="5"/>
      <c r="CN17" s="5"/>
      <c r="CO17" s="5">
        <f t="shared" si="2"/>
        <v>226.25</v>
      </c>
      <c r="CQ17" s="5"/>
      <c r="CR17" s="5"/>
      <c r="CS17" s="5"/>
      <c r="CT17" s="5"/>
      <c r="CU17" s="5"/>
      <c r="CV17" s="5"/>
      <c r="CW17" s="11"/>
      <c r="CX17" s="5"/>
      <c r="CY17" s="5"/>
      <c r="CZ17" s="5"/>
      <c r="DA17" s="11"/>
      <c r="DB17" s="11"/>
      <c r="DC17" s="11"/>
      <c r="DD17" s="11"/>
      <c r="DE17" s="11"/>
      <c r="DF17" s="11"/>
      <c r="DG17" s="11"/>
      <c r="DH17" s="5"/>
      <c r="DI17" s="5"/>
      <c r="DJ17" s="11"/>
      <c r="DK17" s="11"/>
      <c r="DL17" s="11"/>
      <c r="DM17" s="11"/>
      <c r="DN17" s="11"/>
      <c r="DO17" s="11"/>
      <c r="DP17" s="11">
        <v>35</v>
      </c>
      <c r="DQ17" s="5">
        <f>SUM(DI17:DP17)</f>
        <v>35</v>
      </c>
      <c r="DR17" s="5">
        <f t="shared" si="3"/>
        <v>17.5</v>
      </c>
      <c r="DS17" s="5"/>
      <c r="DT17" s="11"/>
      <c r="DU17" s="11"/>
      <c r="DV17" s="5">
        <f t="shared" si="4"/>
        <v>17.5</v>
      </c>
    </row>
    <row r="18" spans="1:126" x14ac:dyDescent="0.25">
      <c r="A18" s="46">
        <v>8</v>
      </c>
      <c r="B18" s="5" t="s">
        <v>257</v>
      </c>
      <c r="C18" s="5"/>
      <c r="D18" s="5" t="s">
        <v>63</v>
      </c>
      <c r="E18" s="5" t="s">
        <v>10</v>
      </c>
      <c r="F18" s="5"/>
      <c r="G18" s="5"/>
      <c r="H18" s="5"/>
      <c r="I18" s="5"/>
      <c r="J18" s="5"/>
      <c r="K18" s="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3</v>
      </c>
      <c r="AR18" s="5"/>
      <c r="AS18" s="5">
        <v>16</v>
      </c>
      <c r="AT18" s="5"/>
      <c r="AU18" s="5">
        <f>SUM(AF18:AT18)</f>
        <v>19</v>
      </c>
      <c r="AV18" s="5">
        <f>(AU18-AF18)/2</f>
        <v>9.5</v>
      </c>
      <c r="AW18" s="11"/>
      <c r="AX18" s="11"/>
      <c r="AY18" s="11"/>
      <c r="AZ18" s="5"/>
      <c r="BA18" s="5"/>
      <c r="BB18" s="5"/>
      <c r="BC18" s="5"/>
      <c r="BD18" s="5"/>
      <c r="BE18" s="5"/>
      <c r="BF18" s="11"/>
      <c r="BG18" s="11"/>
      <c r="BH18" s="11"/>
      <c r="BI18" s="11"/>
      <c r="BJ18" s="11"/>
      <c r="BK18" s="11">
        <v>30</v>
      </c>
      <c r="BL18" s="11"/>
      <c r="BM18" s="11"/>
      <c r="BN18" s="11"/>
      <c r="BO18" s="11"/>
      <c r="BP18" s="11"/>
      <c r="BQ18" s="11"/>
      <c r="BR18" s="11"/>
      <c r="BS18" s="11">
        <v>54</v>
      </c>
      <c r="BT18" s="11">
        <v>100</v>
      </c>
      <c r="BU18" s="5">
        <f>SUM(AV18:BT18)</f>
        <v>193.5</v>
      </c>
      <c r="BV18" s="5">
        <f>(BU18-AV18)/2</f>
        <v>92</v>
      </c>
      <c r="BW18" s="11">
        <v>42</v>
      </c>
      <c r="BX18" s="11">
        <v>40</v>
      </c>
      <c r="BY18" s="11">
        <v>54</v>
      </c>
      <c r="BZ18" s="11">
        <v>100</v>
      </c>
      <c r="CA18" s="11">
        <v>150</v>
      </c>
      <c r="CB18" s="11">
        <v>50</v>
      </c>
      <c r="CC18" s="5">
        <f t="shared" si="0"/>
        <v>528</v>
      </c>
      <c r="CH18" s="5">
        <f t="shared" si="1"/>
        <v>218</v>
      </c>
      <c r="CI18" s="11"/>
      <c r="CJ18" s="11"/>
      <c r="CK18" s="11"/>
      <c r="CL18" s="11"/>
      <c r="CM18" s="5"/>
      <c r="CN18" s="5"/>
      <c r="CO18" s="5">
        <f t="shared" si="2"/>
        <v>218</v>
      </c>
      <c r="CQ18" s="5">
        <f>AU18/4</f>
        <v>4.75</v>
      </c>
      <c r="CR18" s="5"/>
      <c r="CS18" s="5"/>
      <c r="CT18" s="5"/>
      <c r="CU18" s="5"/>
      <c r="CV18" s="5"/>
      <c r="CW18" s="11">
        <v>36</v>
      </c>
      <c r="CX18" s="5">
        <f>SUM(CQ18:CW18)</f>
        <v>40.75</v>
      </c>
      <c r="CY18" s="5">
        <f>CX18/2</f>
        <v>20.375</v>
      </c>
      <c r="CZ18" s="5">
        <f>BU18/4</f>
        <v>48.375</v>
      </c>
      <c r="DA18" s="11">
        <v>1.5</v>
      </c>
      <c r="DB18" s="11"/>
      <c r="DC18" s="11"/>
      <c r="DD18" s="11"/>
      <c r="DE18" s="11"/>
      <c r="DF18" s="11"/>
      <c r="DG18" s="11">
        <v>2.5</v>
      </c>
      <c r="DH18" s="5">
        <f>SUM(CY18:DG18)</f>
        <v>72.75</v>
      </c>
      <c r="DI18" s="5">
        <f>(DH18-CY18)/2</f>
        <v>26.1875</v>
      </c>
      <c r="DJ18" s="11">
        <v>21</v>
      </c>
      <c r="DK18" s="11"/>
      <c r="DL18" s="11"/>
      <c r="DM18" s="11"/>
      <c r="DN18" s="11"/>
      <c r="DO18" s="11">
        <v>5</v>
      </c>
      <c r="DP18" s="11">
        <v>50</v>
      </c>
      <c r="DQ18" s="5">
        <f>SUM(DI18:DP18)</f>
        <v>102.1875</v>
      </c>
      <c r="DR18" s="5">
        <f t="shared" si="3"/>
        <v>38</v>
      </c>
      <c r="DS18" s="5"/>
      <c r="DT18" s="11"/>
      <c r="DU18" s="11"/>
      <c r="DV18" s="5">
        <f t="shared" si="4"/>
        <v>38</v>
      </c>
    </row>
    <row r="19" spans="1:126" x14ac:dyDescent="0.25">
      <c r="A19">
        <v>9</v>
      </c>
      <c r="B19" s="45" t="s">
        <v>101</v>
      </c>
      <c r="C19" s="45"/>
      <c r="D19" s="45" t="s">
        <v>126</v>
      </c>
      <c r="E19" s="45" t="s">
        <v>10</v>
      </c>
      <c r="F19" s="5"/>
      <c r="G19" s="5"/>
      <c r="H19" s="5"/>
      <c r="I19" s="5"/>
      <c r="J19" s="5"/>
      <c r="K19" s="5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11"/>
      <c r="AX19" s="11"/>
      <c r="AY19" s="11"/>
      <c r="AZ19" s="5"/>
      <c r="BA19" s="5"/>
      <c r="BB19" s="5"/>
      <c r="BC19" s="5"/>
      <c r="BD19" s="5"/>
      <c r="BE19" s="5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5"/>
      <c r="BV19" s="5"/>
      <c r="BW19" s="11"/>
      <c r="BX19" s="11"/>
      <c r="BY19" s="11"/>
      <c r="BZ19" s="11"/>
      <c r="CA19" s="11"/>
      <c r="CB19" s="11"/>
      <c r="CC19" s="5"/>
      <c r="CH19" s="5"/>
      <c r="CI19" s="11">
        <v>42</v>
      </c>
      <c r="CJ19" s="11">
        <v>80</v>
      </c>
      <c r="CK19" s="11">
        <v>7.5</v>
      </c>
      <c r="CL19" s="11">
        <v>50</v>
      </c>
      <c r="CM19" s="5">
        <v>33.6</v>
      </c>
      <c r="CN19" s="5"/>
      <c r="CO19" s="5">
        <f t="shared" si="2"/>
        <v>213.1</v>
      </c>
      <c r="CQ19" s="5"/>
      <c r="CR19" s="5"/>
      <c r="CS19" s="5"/>
      <c r="CT19" s="5"/>
      <c r="CU19" s="5"/>
      <c r="CV19" s="5"/>
      <c r="CW19" s="11"/>
      <c r="CX19" s="5"/>
      <c r="CY19" s="5"/>
      <c r="CZ19" s="5"/>
      <c r="DA19" s="11"/>
      <c r="DB19" s="11"/>
      <c r="DC19" s="11"/>
      <c r="DD19" s="11"/>
      <c r="DE19" s="11"/>
      <c r="DF19" s="11"/>
      <c r="DG19" s="11"/>
      <c r="DH19" s="5"/>
      <c r="DI19" s="5"/>
      <c r="DJ19" s="11"/>
      <c r="DK19" s="11"/>
      <c r="DL19" s="11"/>
      <c r="DM19" s="11"/>
      <c r="DN19" s="11"/>
      <c r="DO19" s="11"/>
      <c r="DP19" s="11"/>
      <c r="DQ19" s="5">
        <f>SUM(DI19:DP19)</f>
        <v>0</v>
      </c>
      <c r="DR19" s="5">
        <f t="shared" si="3"/>
        <v>0</v>
      </c>
      <c r="DS19" s="5"/>
      <c r="DT19" s="11"/>
      <c r="DU19" s="11">
        <v>50</v>
      </c>
      <c r="DV19" s="45">
        <f t="shared" si="4"/>
        <v>50</v>
      </c>
    </row>
    <row r="20" spans="1:126" x14ac:dyDescent="0.25">
      <c r="A20">
        <v>10</v>
      </c>
      <c r="B20" s="5" t="s">
        <v>243</v>
      </c>
      <c r="C20" s="5"/>
      <c r="D20" s="5" t="s">
        <v>204</v>
      </c>
      <c r="E20" s="5" t="s">
        <v>24</v>
      </c>
      <c r="F20" s="5"/>
      <c r="G20" s="5"/>
      <c r="H20" s="5"/>
      <c r="I20" s="5"/>
      <c r="J20" s="5"/>
      <c r="K20" s="5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11"/>
      <c r="AX20" s="11"/>
      <c r="AY20" s="11"/>
      <c r="AZ20" s="5"/>
      <c r="BA20" s="5"/>
      <c r="BB20" s="5"/>
      <c r="BC20" s="5"/>
      <c r="BD20" s="5"/>
      <c r="BE20" s="5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5"/>
      <c r="BV20" s="5"/>
      <c r="BW20" s="11">
        <v>30</v>
      </c>
      <c r="BX20" s="11"/>
      <c r="BY20" s="11">
        <v>54</v>
      </c>
      <c r="BZ20" s="11">
        <v>50</v>
      </c>
      <c r="CA20" s="11">
        <v>2.4</v>
      </c>
      <c r="CB20" s="11">
        <v>75</v>
      </c>
      <c r="CC20" s="5">
        <f>SUM(BV20:CB20)</f>
        <v>211.4</v>
      </c>
      <c r="CH20" s="5">
        <f>(CC20-BV20)/2</f>
        <v>105.7</v>
      </c>
      <c r="CI20" s="11">
        <v>42</v>
      </c>
      <c r="CJ20" s="11">
        <v>56</v>
      </c>
      <c r="CK20" s="11"/>
      <c r="CL20" s="11"/>
      <c r="CM20" s="5"/>
      <c r="CN20" s="5"/>
      <c r="CO20" s="5">
        <f t="shared" si="2"/>
        <v>203.7</v>
      </c>
      <c r="CQ20" s="5"/>
      <c r="CR20" s="5"/>
      <c r="CS20" s="5"/>
      <c r="CT20" s="5"/>
      <c r="CU20" s="5"/>
      <c r="CV20" s="5"/>
      <c r="CW20" s="11"/>
      <c r="CX20" s="5"/>
      <c r="CY20" s="5"/>
      <c r="CZ20" s="5"/>
      <c r="DA20" s="11"/>
      <c r="DB20" s="11"/>
      <c r="DC20" s="11"/>
      <c r="DD20" s="11"/>
      <c r="DE20" s="11"/>
      <c r="DF20" s="11"/>
      <c r="DG20" s="11"/>
      <c r="DH20" s="5"/>
      <c r="DI20" s="5"/>
      <c r="DJ20" s="11"/>
      <c r="DK20" s="11"/>
      <c r="DL20" s="11"/>
      <c r="DM20" s="11"/>
      <c r="DN20" s="11"/>
      <c r="DO20" s="11"/>
      <c r="DP20" s="11"/>
      <c r="DQ20" s="5">
        <f>SUM(DI20:DK20)</f>
        <v>0</v>
      </c>
      <c r="DR20" s="5">
        <f t="shared" si="3"/>
        <v>0</v>
      </c>
      <c r="DS20" s="5"/>
      <c r="DT20" s="11"/>
      <c r="DU20" s="11"/>
      <c r="DV20" s="5">
        <f t="shared" si="4"/>
        <v>0</v>
      </c>
    </row>
    <row r="21" spans="1:126" x14ac:dyDescent="0.25">
      <c r="A21">
        <v>11</v>
      </c>
      <c r="B21" s="5" t="s">
        <v>51</v>
      </c>
      <c r="C21" s="5"/>
      <c r="D21" s="5" t="s">
        <v>398</v>
      </c>
      <c r="E21" s="5" t="s">
        <v>394</v>
      </c>
      <c r="F21" s="5"/>
      <c r="G21" s="5"/>
      <c r="H21" s="5"/>
      <c r="I21" s="5"/>
      <c r="J21" s="5"/>
      <c r="K21" s="5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11"/>
      <c r="AX21" s="11"/>
      <c r="AY21" s="11"/>
      <c r="AZ21" s="5"/>
      <c r="BA21" s="5"/>
      <c r="BB21" s="5"/>
      <c r="BC21" s="5"/>
      <c r="BD21" s="5"/>
      <c r="BE21" s="5"/>
      <c r="BF21" s="11">
        <v>50</v>
      </c>
      <c r="BG21" s="11"/>
      <c r="BH21" s="11">
        <v>56</v>
      </c>
      <c r="BI21" s="11"/>
      <c r="BJ21" s="11">
        <v>75</v>
      </c>
      <c r="BK21" s="11">
        <v>60</v>
      </c>
      <c r="BL21" s="11"/>
      <c r="BM21" s="11"/>
      <c r="BN21" s="11"/>
      <c r="BO21" s="11"/>
      <c r="BP21" s="11"/>
      <c r="BQ21" s="11"/>
      <c r="BR21" s="11"/>
      <c r="BS21" s="11">
        <v>75</v>
      </c>
      <c r="BT21" s="11">
        <v>72</v>
      </c>
      <c r="BU21" s="5">
        <f>SUM(AV21:BT21)</f>
        <v>388</v>
      </c>
      <c r="BV21" s="5">
        <f>(BU21-AV21)/2</f>
        <v>194</v>
      </c>
      <c r="BW21" s="11">
        <v>42</v>
      </c>
      <c r="BX21" s="11"/>
      <c r="BY21" s="11">
        <v>75</v>
      </c>
      <c r="BZ21" s="11">
        <v>100</v>
      </c>
      <c r="CA21" s="11">
        <v>39</v>
      </c>
      <c r="CB21" s="11">
        <v>140</v>
      </c>
      <c r="CC21" s="5">
        <f>SUM(BV21:CB21)</f>
        <v>590</v>
      </c>
      <c r="CH21" s="5">
        <f>(CC21-BV21)/2</f>
        <v>198</v>
      </c>
      <c r="CI21" s="11"/>
      <c r="CJ21" s="11"/>
      <c r="CK21" s="11"/>
      <c r="CL21" s="11"/>
      <c r="CM21" s="5"/>
      <c r="CN21" s="5"/>
      <c r="CO21" s="5">
        <f t="shared" si="2"/>
        <v>198</v>
      </c>
      <c r="CQ21" s="5"/>
      <c r="CR21" s="5"/>
      <c r="CS21" s="5"/>
      <c r="CT21" s="5"/>
      <c r="CU21" s="5"/>
      <c r="CV21" s="5"/>
      <c r="CW21" s="11"/>
      <c r="CX21" s="5">
        <f>SUM(CQ21:CW21)</f>
        <v>0</v>
      </c>
      <c r="CY21" s="5">
        <f>CX21/2</f>
        <v>0</v>
      </c>
      <c r="CZ21" s="5">
        <f>BU21/4</f>
        <v>97</v>
      </c>
      <c r="DA21" s="11"/>
      <c r="DB21" s="11"/>
      <c r="DC21" s="11"/>
      <c r="DD21" s="11"/>
      <c r="DE21" s="11"/>
      <c r="DF21" s="11"/>
      <c r="DG21" s="11"/>
      <c r="DH21" s="5">
        <f>SUM(CY21:DE21)</f>
        <v>97</v>
      </c>
      <c r="DI21" s="5">
        <f>(DH21-CY21)/2</f>
        <v>48.5</v>
      </c>
      <c r="DJ21" s="11"/>
      <c r="DK21" s="11"/>
      <c r="DL21" s="11"/>
      <c r="DM21" s="11"/>
      <c r="DN21" s="11"/>
      <c r="DO21" s="11"/>
      <c r="DP21" s="11"/>
      <c r="DQ21" s="5">
        <f>SUM(DI21:DK21)</f>
        <v>48.5</v>
      </c>
      <c r="DR21" s="5">
        <f t="shared" si="3"/>
        <v>0</v>
      </c>
      <c r="DS21" s="5"/>
      <c r="DT21" s="11"/>
      <c r="DU21" s="11"/>
      <c r="DV21" s="5">
        <f t="shared" si="4"/>
        <v>0</v>
      </c>
    </row>
    <row r="22" spans="1:126" x14ac:dyDescent="0.25">
      <c r="A22">
        <v>12</v>
      </c>
      <c r="B22" s="5" t="s">
        <v>380</v>
      </c>
      <c r="C22" s="5"/>
      <c r="D22" s="5" t="s">
        <v>412</v>
      </c>
      <c r="E22" s="5" t="s">
        <v>304</v>
      </c>
      <c r="F22" s="5"/>
      <c r="G22" s="5"/>
      <c r="H22" s="5"/>
      <c r="I22" s="5"/>
      <c r="J22" s="5"/>
      <c r="K22" s="5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11"/>
      <c r="AX22" s="11"/>
      <c r="AY22" s="11"/>
      <c r="AZ22" s="5"/>
      <c r="BA22" s="5"/>
      <c r="BB22" s="5"/>
      <c r="BC22" s="5"/>
      <c r="BD22" s="5"/>
      <c r="BE22" s="5"/>
      <c r="BF22" s="11"/>
      <c r="BG22" s="11">
        <v>4</v>
      </c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5">
        <f>SUM(AV22:BT22)</f>
        <v>4</v>
      </c>
      <c r="BV22" s="5">
        <f>(BU22-AV22)/2</f>
        <v>2</v>
      </c>
      <c r="BW22" s="11">
        <v>48</v>
      </c>
      <c r="BX22" s="11">
        <v>80</v>
      </c>
      <c r="BY22" s="11">
        <v>7.5</v>
      </c>
      <c r="BZ22" s="11">
        <v>54</v>
      </c>
      <c r="CA22" s="11">
        <v>64</v>
      </c>
      <c r="CB22" s="11">
        <v>100</v>
      </c>
      <c r="CC22" s="5">
        <f>SUM(BV22:CB22)</f>
        <v>355.5</v>
      </c>
      <c r="CH22" s="5">
        <f>(CC22-BV22)/2</f>
        <v>176.75</v>
      </c>
      <c r="CI22" s="11"/>
      <c r="CJ22" s="11"/>
      <c r="CK22" s="11"/>
      <c r="CL22" s="11"/>
      <c r="CM22" s="5"/>
      <c r="CN22" s="5"/>
      <c r="CO22" s="5">
        <f t="shared" si="2"/>
        <v>176.75</v>
      </c>
      <c r="CQ22" s="5"/>
      <c r="CR22" s="5"/>
      <c r="CS22" s="5"/>
      <c r="CT22" s="5"/>
      <c r="CU22" s="5"/>
      <c r="CV22" s="5"/>
      <c r="CW22" s="11"/>
      <c r="CX22" s="5">
        <f>SUM(CQ22:CW22)</f>
        <v>0</v>
      </c>
      <c r="CY22" s="5">
        <f>CX22/2</f>
        <v>0</v>
      </c>
      <c r="CZ22" s="5">
        <f>BU22/4</f>
        <v>1</v>
      </c>
      <c r="DA22" s="11"/>
      <c r="DB22" s="11"/>
      <c r="DC22" s="11"/>
      <c r="DD22" s="11"/>
      <c r="DE22" s="11"/>
      <c r="DF22" s="11"/>
      <c r="DG22" s="11"/>
      <c r="DH22" s="5">
        <f>SUM(CY22:DG22)</f>
        <v>1</v>
      </c>
      <c r="DI22" s="5">
        <f>(DH22-CY22)/2</f>
        <v>0.5</v>
      </c>
      <c r="DJ22" s="11">
        <v>14</v>
      </c>
      <c r="DK22" s="11"/>
      <c r="DL22" s="11"/>
      <c r="DM22" s="11"/>
      <c r="DN22" s="11"/>
      <c r="DO22" s="11"/>
      <c r="DP22" s="11"/>
      <c r="DQ22" s="5">
        <f>SUM(DI22:DK22)</f>
        <v>14.5</v>
      </c>
      <c r="DR22" s="5">
        <f t="shared" si="3"/>
        <v>7</v>
      </c>
      <c r="DS22" s="5"/>
      <c r="DT22" s="11"/>
      <c r="DU22" s="11"/>
      <c r="DV22" s="5">
        <f t="shared" si="4"/>
        <v>7</v>
      </c>
    </row>
    <row r="23" spans="1:126" x14ac:dyDescent="0.25">
      <c r="A23">
        <v>13</v>
      </c>
      <c r="B23" s="5" t="s">
        <v>127</v>
      </c>
      <c r="C23" s="5"/>
      <c r="D23" s="5" t="s">
        <v>121</v>
      </c>
      <c r="E23" s="5" t="s">
        <v>119</v>
      </c>
      <c r="F23" s="5"/>
      <c r="G23" s="5"/>
      <c r="H23" s="5"/>
      <c r="I23" s="5"/>
      <c r="J23" s="5"/>
      <c r="K23" s="5"/>
      <c r="L23" s="11"/>
      <c r="M23" s="11"/>
      <c r="N23" s="11"/>
      <c r="O23" s="11"/>
      <c r="P23" s="11"/>
      <c r="Q23" s="11"/>
      <c r="R23" s="11">
        <v>5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6">
        <f>SUM(F23:AD23)</f>
        <v>5</v>
      </c>
      <c r="AF23" s="5">
        <f>AE23/2</f>
        <v>2.5</v>
      </c>
      <c r="AG23" s="5">
        <v>33.6</v>
      </c>
      <c r="AH23" s="5"/>
      <c r="AI23" s="5"/>
      <c r="AJ23" s="5">
        <v>36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f>SUM(AF23:AT23)</f>
        <v>72.099999999999994</v>
      </c>
      <c r="AV23" s="5">
        <f>(AU23-AF23)/2</f>
        <v>34.799999999999997</v>
      </c>
      <c r="AW23" s="11"/>
      <c r="AX23" s="11"/>
      <c r="AY23" s="11"/>
      <c r="AZ23" s="5"/>
      <c r="BA23" s="5"/>
      <c r="BB23" s="5"/>
      <c r="BC23" s="5"/>
      <c r="BD23" s="5">
        <v>36</v>
      </c>
      <c r="BE23" s="5">
        <v>7.5</v>
      </c>
      <c r="BF23" s="11"/>
      <c r="BG23" s="11"/>
      <c r="BH23" s="11"/>
      <c r="BI23" s="11">
        <v>56</v>
      </c>
      <c r="BJ23" s="11"/>
      <c r="BK23" s="11"/>
      <c r="BL23" s="11"/>
      <c r="BM23" s="11"/>
      <c r="BN23" s="11">
        <v>36</v>
      </c>
      <c r="BO23" s="11"/>
      <c r="BP23" s="11"/>
      <c r="BQ23" s="11"/>
      <c r="BR23" s="11"/>
      <c r="BS23" s="11">
        <v>75</v>
      </c>
      <c r="BT23" s="11">
        <v>100</v>
      </c>
      <c r="BU23" s="5">
        <f>SUM(AV23:BT23)</f>
        <v>345.3</v>
      </c>
      <c r="BV23" s="5">
        <f>(BU23-AV23)/2</f>
        <v>155.25</v>
      </c>
      <c r="BW23" s="11">
        <v>48</v>
      </c>
      <c r="BX23" s="11">
        <v>80</v>
      </c>
      <c r="BY23" s="11">
        <v>75</v>
      </c>
      <c r="BZ23" s="11">
        <v>36</v>
      </c>
      <c r="CA23" s="11">
        <v>54</v>
      </c>
      <c r="CB23" s="11"/>
      <c r="CC23" s="5">
        <f>SUM(BV23:CB23)</f>
        <v>448.25</v>
      </c>
      <c r="CH23" s="5">
        <f>(CC23-BV23)/2</f>
        <v>146.5</v>
      </c>
      <c r="CI23" s="11"/>
      <c r="CJ23" s="11"/>
      <c r="CK23" s="11"/>
      <c r="CL23" s="11"/>
      <c r="CM23" s="5"/>
      <c r="CN23" s="5"/>
      <c r="CO23" s="5">
        <f t="shared" si="2"/>
        <v>146.5</v>
      </c>
      <c r="CQ23" s="5">
        <f>AU23/4</f>
        <v>18.024999999999999</v>
      </c>
      <c r="CR23" s="5"/>
      <c r="CS23" s="5"/>
      <c r="CT23" s="5"/>
      <c r="CU23" s="5"/>
      <c r="CV23" s="5"/>
      <c r="CW23" s="11"/>
      <c r="CX23" s="5">
        <f>SUM(CQ23:CW23)</f>
        <v>18.024999999999999</v>
      </c>
      <c r="CY23" s="5">
        <f>CX23/2</f>
        <v>9.0124999999999993</v>
      </c>
      <c r="CZ23" s="5">
        <f>BU23/4</f>
        <v>86.325000000000003</v>
      </c>
      <c r="DA23" s="11"/>
      <c r="DB23" s="11"/>
      <c r="DC23" s="11"/>
      <c r="DD23" s="11"/>
      <c r="DE23" s="11"/>
      <c r="DF23" s="11"/>
      <c r="DG23" s="11">
        <v>25</v>
      </c>
      <c r="DH23" s="5">
        <f>SUM(CY23:DG23)</f>
        <v>120.33750000000001</v>
      </c>
      <c r="DI23" s="5">
        <f>(DH23-CY23)/2</f>
        <v>55.662500000000001</v>
      </c>
      <c r="DJ23" s="11"/>
      <c r="DK23" s="11"/>
      <c r="DL23" s="11"/>
      <c r="DM23" s="11"/>
      <c r="DN23" s="11"/>
      <c r="DO23" s="11"/>
      <c r="DP23" s="11"/>
      <c r="DQ23" s="5">
        <f>SUM(DI23:DK23)</f>
        <v>55.662500000000001</v>
      </c>
      <c r="DR23" s="5">
        <f t="shared" si="3"/>
        <v>0</v>
      </c>
      <c r="DS23" s="5"/>
      <c r="DT23" s="11"/>
      <c r="DU23" s="11"/>
      <c r="DV23" s="5">
        <f t="shared" si="4"/>
        <v>0</v>
      </c>
    </row>
    <row r="24" spans="1:126" x14ac:dyDescent="0.25">
      <c r="A24">
        <v>14</v>
      </c>
      <c r="B24" s="20" t="s">
        <v>678</v>
      </c>
      <c r="C24" s="20"/>
      <c r="D24" s="20" t="s">
        <v>17</v>
      </c>
      <c r="E24" s="20" t="s">
        <v>611</v>
      </c>
      <c r="F24" s="5"/>
      <c r="G24" s="5"/>
      <c r="H24" s="5"/>
      <c r="I24" s="5"/>
      <c r="J24" s="5"/>
      <c r="K24" s="5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11"/>
      <c r="AX24" s="11"/>
      <c r="AY24" s="11"/>
      <c r="AZ24" s="5"/>
      <c r="BA24" s="5"/>
      <c r="BB24" s="5"/>
      <c r="BC24" s="5"/>
      <c r="BD24" s="5"/>
      <c r="BE24" s="5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5"/>
      <c r="BV24" s="5"/>
      <c r="BW24" s="11"/>
      <c r="BX24" s="11"/>
      <c r="BY24" s="11"/>
      <c r="BZ24" s="11"/>
      <c r="CA24" s="11"/>
      <c r="CB24" s="11"/>
      <c r="CC24" s="5"/>
      <c r="CH24" s="5"/>
      <c r="CI24" s="11">
        <v>48</v>
      </c>
      <c r="CJ24" s="11">
        <v>28.8</v>
      </c>
      <c r="CK24" s="11">
        <v>7.5</v>
      </c>
      <c r="CL24" s="11">
        <v>36</v>
      </c>
      <c r="CM24" s="5"/>
      <c r="CN24" s="5"/>
      <c r="CO24" s="5">
        <f t="shared" si="2"/>
        <v>120.3</v>
      </c>
      <c r="CQ24" s="5"/>
      <c r="CR24" s="5"/>
      <c r="CS24" s="5"/>
      <c r="CT24" s="5"/>
      <c r="CU24" s="5"/>
      <c r="CV24" s="5"/>
      <c r="CW24" s="11"/>
      <c r="CX24" s="5"/>
      <c r="CY24" s="5"/>
      <c r="CZ24" s="5"/>
      <c r="DA24" s="11"/>
      <c r="DB24" s="11"/>
      <c r="DC24" s="11"/>
      <c r="DD24" s="11"/>
      <c r="DE24" s="11"/>
      <c r="DF24" s="11"/>
      <c r="DG24" s="11"/>
      <c r="DH24" s="5"/>
      <c r="DI24" s="5"/>
      <c r="DJ24" s="11"/>
      <c r="DK24" s="11"/>
      <c r="DL24" s="11"/>
      <c r="DM24" s="11"/>
      <c r="DN24" s="11"/>
      <c r="DO24" s="11"/>
      <c r="DP24" s="11"/>
      <c r="DQ24" s="5">
        <f>SUM(DI24:DP24)</f>
        <v>0</v>
      </c>
      <c r="DR24" s="5">
        <f t="shared" si="3"/>
        <v>0</v>
      </c>
      <c r="DS24" s="5"/>
      <c r="DT24" s="11">
        <v>75</v>
      </c>
      <c r="DU24" s="11">
        <v>26</v>
      </c>
      <c r="DV24" s="20">
        <f t="shared" si="4"/>
        <v>101</v>
      </c>
    </row>
    <row r="25" spans="1:126" x14ac:dyDescent="0.25">
      <c r="A25">
        <v>15</v>
      </c>
      <c r="B25" s="5" t="s">
        <v>562</v>
      </c>
      <c r="C25" s="5"/>
      <c r="D25" s="5" t="s">
        <v>653</v>
      </c>
      <c r="E25" s="5" t="s">
        <v>163</v>
      </c>
      <c r="F25" s="5"/>
      <c r="G25" s="5"/>
      <c r="H25" s="5"/>
      <c r="I25" s="5"/>
      <c r="J25" s="5"/>
      <c r="K25" s="5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11"/>
      <c r="AX25" s="11"/>
      <c r="AY25" s="11"/>
      <c r="AZ25" s="5"/>
      <c r="BA25" s="5"/>
      <c r="BB25" s="5"/>
      <c r="BC25" s="5"/>
      <c r="BD25" s="5"/>
      <c r="BE25" s="5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5"/>
      <c r="BV25" s="5"/>
      <c r="BW25" s="11"/>
      <c r="BX25" s="11"/>
      <c r="BY25" s="11"/>
      <c r="BZ25" s="11"/>
      <c r="CA25" s="11"/>
      <c r="CB25" s="11"/>
      <c r="CC25" s="5"/>
      <c r="CH25" s="5"/>
      <c r="CI25" s="11">
        <v>30</v>
      </c>
      <c r="CJ25" s="11">
        <v>40</v>
      </c>
      <c r="CK25" s="11">
        <v>39</v>
      </c>
      <c r="CL25" s="11">
        <v>5</v>
      </c>
      <c r="CM25" s="5"/>
      <c r="CN25" s="5"/>
      <c r="CO25" s="5">
        <f t="shared" si="2"/>
        <v>114</v>
      </c>
      <c r="CQ25" s="5"/>
      <c r="CR25" s="5"/>
      <c r="CS25" s="5"/>
      <c r="CT25" s="5"/>
      <c r="CU25" s="5"/>
      <c r="CV25" s="5"/>
      <c r="CW25" s="11"/>
      <c r="CX25" s="5"/>
      <c r="CY25" s="5"/>
      <c r="CZ25" s="5"/>
      <c r="DA25" s="11"/>
      <c r="DB25" s="11"/>
      <c r="DC25" s="11"/>
      <c r="DD25" s="11"/>
      <c r="DE25" s="11"/>
      <c r="DF25" s="11"/>
      <c r="DG25" s="11"/>
      <c r="DH25" s="5"/>
      <c r="DI25" s="5"/>
      <c r="DJ25" s="11"/>
      <c r="DK25" s="11"/>
      <c r="DL25" s="11"/>
      <c r="DM25" s="11"/>
      <c r="DN25" s="11"/>
      <c r="DO25" s="11"/>
      <c r="DP25" s="11"/>
      <c r="DQ25" s="5">
        <f>SUM(DI25:DP25)</f>
        <v>0</v>
      </c>
      <c r="DR25" s="5">
        <f t="shared" si="3"/>
        <v>0</v>
      </c>
      <c r="DS25" s="5"/>
      <c r="DT25" s="11"/>
      <c r="DU25" s="11"/>
      <c r="DV25" s="5">
        <f t="shared" si="4"/>
        <v>0</v>
      </c>
    </row>
    <row r="26" spans="1:126" x14ac:dyDescent="0.25">
      <c r="A26">
        <v>16</v>
      </c>
      <c r="B26" s="5" t="s">
        <v>229</v>
      </c>
      <c r="C26" s="5"/>
      <c r="D26" s="5" t="s">
        <v>230</v>
      </c>
      <c r="E26" s="5" t="s">
        <v>53</v>
      </c>
      <c r="F26" s="5"/>
      <c r="G26" s="5"/>
      <c r="H26" s="5"/>
      <c r="I26" s="5"/>
      <c r="J26" s="5"/>
      <c r="K26" s="5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11"/>
      <c r="AX26" s="11"/>
      <c r="AY26" s="11"/>
      <c r="AZ26" s="5"/>
      <c r="BA26" s="5"/>
      <c r="BB26" s="5"/>
      <c r="BC26" s="5"/>
      <c r="BD26" s="5"/>
      <c r="BE26" s="5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5"/>
      <c r="BV26" s="5"/>
      <c r="BW26" s="11"/>
      <c r="BX26" s="11">
        <v>40</v>
      </c>
      <c r="BY26" s="11">
        <v>105</v>
      </c>
      <c r="BZ26" s="11">
        <v>72</v>
      </c>
      <c r="CA26" s="11"/>
      <c r="CB26" s="11"/>
      <c r="CC26" s="5">
        <f>SUM(BV26:CB26)</f>
        <v>217</v>
      </c>
      <c r="CH26" s="5">
        <f>(CC26-BV26)/2</f>
        <v>108.5</v>
      </c>
      <c r="CI26" s="11"/>
      <c r="CJ26" s="11"/>
      <c r="CK26" s="11"/>
      <c r="CL26" s="11"/>
      <c r="CM26" s="5"/>
      <c r="CN26" s="5"/>
      <c r="CO26" s="5">
        <f t="shared" si="2"/>
        <v>108.5</v>
      </c>
      <c r="CX26" s="5"/>
      <c r="CY26" s="5"/>
      <c r="CZ26" s="5"/>
      <c r="DA26" s="11"/>
      <c r="DB26" s="11"/>
      <c r="DC26" s="11"/>
      <c r="DD26" s="11"/>
      <c r="DE26" s="11"/>
      <c r="DF26" s="11"/>
      <c r="DG26" s="11"/>
      <c r="DH26" s="5"/>
      <c r="DI26" s="5"/>
      <c r="DJ26" s="11"/>
      <c r="DK26" s="11"/>
      <c r="DL26" s="11"/>
      <c r="DM26" s="11"/>
      <c r="DN26" s="11"/>
      <c r="DO26" s="11"/>
      <c r="DP26" s="11"/>
      <c r="DQ26" s="5">
        <f>SUM(DI26:DK26)</f>
        <v>0</v>
      </c>
      <c r="DR26" s="5">
        <f t="shared" si="3"/>
        <v>0</v>
      </c>
      <c r="DS26" s="5"/>
      <c r="DT26" s="11"/>
      <c r="DU26" s="11"/>
      <c r="DV26" s="5">
        <f t="shared" si="4"/>
        <v>0</v>
      </c>
    </row>
    <row r="27" spans="1:126" x14ac:dyDescent="0.25">
      <c r="A27">
        <v>17</v>
      </c>
      <c r="B27" s="5" t="s">
        <v>377</v>
      </c>
      <c r="C27" s="5"/>
      <c r="D27" s="5" t="s">
        <v>378</v>
      </c>
      <c r="E27" s="5" t="s">
        <v>379</v>
      </c>
      <c r="F27" s="5"/>
      <c r="G27" s="5"/>
      <c r="H27" s="5"/>
      <c r="I27" s="5"/>
      <c r="J27" s="5"/>
      <c r="K27" s="5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11"/>
      <c r="AX27" s="11"/>
      <c r="AY27" s="11"/>
      <c r="AZ27" s="5"/>
      <c r="BA27" s="5"/>
      <c r="BB27" s="5"/>
      <c r="BC27" s="5"/>
      <c r="BD27" s="5"/>
      <c r="BE27" s="5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5"/>
      <c r="BV27" s="5"/>
      <c r="BW27" s="11"/>
      <c r="BX27" s="11"/>
      <c r="BY27" s="11"/>
      <c r="BZ27" s="11"/>
      <c r="CA27" s="11"/>
      <c r="CB27" s="11"/>
      <c r="CC27" s="5"/>
      <c r="CH27" s="5"/>
      <c r="CI27" s="11">
        <v>33.6</v>
      </c>
      <c r="CJ27" s="11">
        <v>20.8</v>
      </c>
      <c r="CK27" s="11">
        <v>54</v>
      </c>
      <c r="CL27" s="11"/>
      <c r="CM27" s="5"/>
      <c r="CN27" s="5"/>
      <c r="CO27" s="5">
        <f t="shared" si="2"/>
        <v>108.4</v>
      </c>
      <c r="CX27" s="5"/>
      <c r="CY27" s="5"/>
      <c r="CZ27" s="5"/>
      <c r="DA27" s="11"/>
      <c r="DB27" s="11"/>
      <c r="DC27" s="11"/>
      <c r="DD27" s="11"/>
      <c r="DE27" s="11"/>
      <c r="DF27" s="11"/>
      <c r="DG27" s="11"/>
      <c r="DH27" s="5"/>
      <c r="DI27" s="5"/>
      <c r="DJ27" s="11"/>
      <c r="DK27" s="11"/>
      <c r="DL27" s="11"/>
      <c r="DM27" s="11"/>
      <c r="DN27" s="11"/>
      <c r="DO27" s="11"/>
      <c r="DP27" s="11"/>
      <c r="DQ27" s="5">
        <f t="shared" ref="DQ27:DQ39" si="5">SUM(DI27:DP27)</f>
        <v>0</v>
      </c>
      <c r="DR27" s="5">
        <f t="shared" si="3"/>
        <v>0</v>
      </c>
      <c r="DS27" s="5"/>
      <c r="DT27" s="11"/>
      <c r="DU27" s="11"/>
      <c r="DV27" s="5">
        <f t="shared" si="4"/>
        <v>0</v>
      </c>
    </row>
    <row r="28" spans="1:126" x14ac:dyDescent="0.25">
      <c r="A28">
        <v>18</v>
      </c>
      <c r="B28" s="5" t="s">
        <v>136</v>
      </c>
      <c r="C28" s="5"/>
      <c r="D28" s="5" t="s">
        <v>406</v>
      </c>
      <c r="E28" s="5" t="s">
        <v>111</v>
      </c>
      <c r="F28" s="5"/>
      <c r="G28" s="5"/>
      <c r="H28" s="5"/>
      <c r="I28" s="5"/>
      <c r="J28" s="5"/>
      <c r="K28" s="5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11"/>
      <c r="AX28" s="11"/>
      <c r="AY28" s="11"/>
      <c r="AZ28" s="5"/>
      <c r="BA28" s="5"/>
      <c r="BB28" s="5"/>
      <c r="BC28" s="5"/>
      <c r="BD28" s="5"/>
      <c r="BE28" s="5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5"/>
      <c r="BV28" s="5"/>
      <c r="BW28" s="11">
        <v>33.6</v>
      </c>
      <c r="BX28" s="11">
        <v>40</v>
      </c>
      <c r="BY28" s="11"/>
      <c r="BZ28" s="11"/>
      <c r="CA28" s="11"/>
      <c r="CB28" s="11"/>
      <c r="CC28" s="5">
        <f>SUM(BV28:CB28)</f>
        <v>73.599999999999994</v>
      </c>
      <c r="CH28" s="5">
        <f>(CC28-BV28)/2</f>
        <v>36.799999999999997</v>
      </c>
      <c r="CI28" s="11">
        <v>2.4</v>
      </c>
      <c r="CJ28" s="11">
        <v>4</v>
      </c>
      <c r="CK28" s="11">
        <v>54</v>
      </c>
      <c r="CL28" s="11"/>
      <c r="CM28" s="5"/>
      <c r="CN28" s="5"/>
      <c r="CO28" s="5">
        <f t="shared" si="2"/>
        <v>97.199999999999989</v>
      </c>
      <c r="CX28" s="5"/>
      <c r="CY28" s="5"/>
      <c r="CZ28" s="5"/>
      <c r="DA28" s="11"/>
      <c r="DB28" s="11"/>
      <c r="DC28" s="11"/>
      <c r="DD28" s="11"/>
      <c r="DE28" s="11"/>
      <c r="DF28" s="11"/>
      <c r="DG28" s="11"/>
      <c r="DH28" s="5"/>
      <c r="DI28" s="5"/>
      <c r="DJ28" s="11"/>
      <c r="DK28" s="11"/>
      <c r="DL28" s="11"/>
      <c r="DM28" s="11"/>
      <c r="DN28" s="11"/>
      <c r="DO28" s="11"/>
      <c r="DP28" s="11"/>
      <c r="DQ28" s="5">
        <f t="shared" si="5"/>
        <v>0</v>
      </c>
      <c r="DR28" s="5">
        <f t="shared" si="3"/>
        <v>0</v>
      </c>
      <c r="DS28" s="5"/>
      <c r="DT28" s="11"/>
      <c r="DU28" s="11"/>
      <c r="DV28" s="5">
        <f t="shared" si="4"/>
        <v>0</v>
      </c>
    </row>
    <row r="29" spans="1:126" x14ac:dyDescent="0.25">
      <c r="A29">
        <v>19</v>
      </c>
      <c r="B29" s="5" t="s">
        <v>136</v>
      </c>
      <c r="C29" s="5"/>
      <c r="D29" s="5" t="s">
        <v>63</v>
      </c>
      <c r="E29" s="5" t="s">
        <v>304</v>
      </c>
      <c r="F29" s="5"/>
      <c r="G29" s="5"/>
      <c r="H29" s="5"/>
      <c r="I29" s="5"/>
      <c r="J29" s="5"/>
      <c r="K29" s="5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11"/>
      <c r="AX29" s="11"/>
      <c r="AY29" s="11"/>
      <c r="AZ29" s="5"/>
      <c r="BA29" s="5"/>
      <c r="BB29" s="5"/>
      <c r="BC29" s="5"/>
      <c r="BD29" s="5"/>
      <c r="BE29" s="5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5"/>
      <c r="BV29" s="5"/>
      <c r="BW29" s="11">
        <v>36</v>
      </c>
      <c r="BX29" s="11">
        <v>44.8</v>
      </c>
      <c r="BY29" s="11"/>
      <c r="BZ29" s="11"/>
      <c r="CA29" s="11"/>
      <c r="CB29" s="11"/>
      <c r="CC29" s="5">
        <f>SUM(BV29:CB29)</f>
        <v>80.8</v>
      </c>
      <c r="CH29" s="5">
        <f>(CC29-BV29)/2</f>
        <v>40.4</v>
      </c>
      <c r="CI29" s="11"/>
      <c r="CJ29" s="11">
        <v>44.8</v>
      </c>
      <c r="CK29" s="11"/>
      <c r="CL29" s="11"/>
      <c r="CM29" s="5"/>
      <c r="CN29" s="5"/>
      <c r="CO29" s="5">
        <f t="shared" si="2"/>
        <v>85.199999999999989</v>
      </c>
      <c r="CX29" s="5"/>
      <c r="CY29" s="5"/>
      <c r="CZ29" s="5"/>
      <c r="DA29" s="11"/>
      <c r="DB29" s="11"/>
      <c r="DC29" s="11"/>
      <c r="DD29" s="11"/>
      <c r="DE29" s="11"/>
      <c r="DF29" s="11"/>
      <c r="DG29" s="11"/>
      <c r="DH29" s="5"/>
      <c r="DI29" s="5"/>
      <c r="DJ29" s="11"/>
      <c r="DK29" s="11"/>
      <c r="DL29" s="11"/>
      <c r="DM29" s="11"/>
      <c r="DN29" s="11"/>
      <c r="DO29" s="11"/>
      <c r="DP29" s="11">
        <v>25</v>
      </c>
      <c r="DQ29" s="5">
        <f t="shared" si="5"/>
        <v>25</v>
      </c>
      <c r="DR29" s="5">
        <f t="shared" si="3"/>
        <v>12.5</v>
      </c>
      <c r="DS29" s="5"/>
      <c r="DT29" s="11"/>
      <c r="DU29" s="11"/>
      <c r="DV29" s="5">
        <f t="shared" si="4"/>
        <v>12.5</v>
      </c>
    </row>
    <row r="30" spans="1:126" x14ac:dyDescent="0.25">
      <c r="A30">
        <v>20</v>
      </c>
      <c r="B30" s="5" t="s">
        <v>517</v>
      </c>
      <c r="C30" s="5"/>
      <c r="D30" s="5" t="s">
        <v>386</v>
      </c>
      <c r="E30" s="5" t="s">
        <v>518</v>
      </c>
      <c r="F30" s="5"/>
      <c r="G30" s="5"/>
      <c r="H30" s="5"/>
      <c r="I30" s="5"/>
      <c r="J30" s="5"/>
      <c r="K30" s="5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11"/>
      <c r="AX30" s="11"/>
      <c r="AY30" s="11"/>
      <c r="AZ30" s="5"/>
      <c r="BA30" s="5"/>
      <c r="BB30" s="5"/>
      <c r="BC30" s="5"/>
      <c r="BD30" s="5"/>
      <c r="BE30" s="5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5"/>
      <c r="BV30" s="5"/>
      <c r="BW30" s="11">
        <v>42</v>
      </c>
      <c r="BX30" s="11">
        <v>56</v>
      </c>
      <c r="BY30" s="11">
        <v>7.5</v>
      </c>
      <c r="BZ30" s="11">
        <v>54</v>
      </c>
      <c r="CA30" s="11"/>
      <c r="CB30" s="11"/>
      <c r="CC30" s="5">
        <f>SUM(BV30:CB30)</f>
        <v>159.5</v>
      </c>
      <c r="CH30" s="5">
        <f>(CC30-BV30)/2</f>
        <v>79.75</v>
      </c>
      <c r="CI30" s="11"/>
      <c r="CJ30" s="11">
        <v>4</v>
      </c>
      <c r="CK30" s="11"/>
      <c r="CL30" s="11"/>
      <c r="CM30" s="5"/>
      <c r="CN30" s="5"/>
      <c r="CO30" s="5">
        <f t="shared" si="2"/>
        <v>83.75</v>
      </c>
      <c r="CX30" s="5"/>
      <c r="CY30" s="5"/>
      <c r="CZ30" s="5"/>
      <c r="DA30" s="11"/>
      <c r="DB30" s="11"/>
      <c r="DC30" s="11"/>
      <c r="DD30" s="11"/>
      <c r="DE30" s="11"/>
      <c r="DF30" s="11"/>
      <c r="DG30" s="11"/>
      <c r="DH30" s="5"/>
      <c r="DI30" s="5"/>
      <c r="DJ30" s="11"/>
      <c r="DK30" s="11"/>
      <c r="DL30" s="11"/>
      <c r="DM30" s="11"/>
      <c r="DN30" s="11"/>
      <c r="DO30" s="11"/>
      <c r="DP30" s="11">
        <v>2.5</v>
      </c>
      <c r="DQ30" s="5">
        <f t="shared" si="5"/>
        <v>2.5</v>
      </c>
      <c r="DR30" s="5">
        <f t="shared" si="3"/>
        <v>1.25</v>
      </c>
      <c r="DS30" s="5"/>
      <c r="DT30" s="11"/>
      <c r="DU30" s="11"/>
      <c r="DV30" s="5">
        <f t="shared" si="4"/>
        <v>1.25</v>
      </c>
    </row>
    <row r="31" spans="1:126" x14ac:dyDescent="0.25">
      <c r="A31">
        <v>21</v>
      </c>
      <c r="B31" s="5" t="s">
        <v>314</v>
      </c>
      <c r="C31" s="5"/>
      <c r="D31" s="5" t="s">
        <v>45</v>
      </c>
      <c r="E31" s="5" t="s">
        <v>644</v>
      </c>
      <c r="F31" s="5"/>
      <c r="G31" s="5"/>
      <c r="H31" s="5"/>
      <c r="I31" s="5"/>
      <c r="J31" s="5"/>
      <c r="K31" s="5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11"/>
      <c r="AX31" s="11"/>
      <c r="AY31" s="11"/>
      <c r="AZ31" s="5"/>
      <c r="BA31" s="5"/>
      <c r="BB31" s="5"/>
      <c r="BC31" s="5"/>
      <c r="BD31" s="5"/>
      <c r="BE31" s="5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5"/>
      <c r="BV31" s="5"/>
      <c r="BW31" s="11"/>
      <c r="BX31" s="11"/>
      <c r="BY31" s="11"/>
      <c r="BZ31" s="11"/>
      <c r="CA31" s="11"/>
      <c r="CB31" s="11"/>
      <c r="CC31" s="5"/>
      <c r="CH31" s="5"/>
      <c r="CI31" s="11">
        <v>42</v>
      </c>
      <c r="CJ31" s="11"/>
      <c r="CK31" s="11">
        <v>26</v>
      </c>
      <c r="CL31" s="11"/>
      <c r="CM31" s="5"/>
      <c r="CN31" s="5"/>
      <c r="CO31" s="5">
        <f t="shared" si="2"/>
        <v>68</v>
      </c>
      <c r="CX31" s="5"/>
      <c r="CY31" s="5"/>
      <c r="CZ31" s="5"/>
      <c r="DA31" s="11"/>
      <c r="DB31" s="11"/>
      <c r="DC31" s="11"/>
      <c r="DD31" s="11"/>
      <c r="DE31" s="11"/>
      <c r="DF31" s="11"/>
      <c r="DG31" s="11"/>
      <c r="DH31" s="5"/>
      <c r="DI31" s="5"/>
      <c r="DJ31" s="11"/>
      <c r="DK31" s="11"/>
      <c r="DL31" s="11"/>
      <c r="DM31" s="11"/>
      <c r="DN31" s="11"/>
      <c r="DO31" s="11"/>
      <c r="DP31" s="11"/>
      <c r="DQ31" s="5">
        <f t="shared" si="5"/>
        <v>0</v>
      </c>
      <c r="DR31" s="5">
        <f t="shared" si="3"/>
        <v>0</v>
      </c>
      <c r="DS31" s="5"/>
      <c r="DT31" s="11"/>
      <c r="DU31" s="11"/>
      <c r="DV31" s="5">
        <f>SUM(DR31:DS31)</f>
        <v>0</v>
      </c>
    </row>
    <row r="32" spans="1:126" x14ac:dyDescent="0.25">
      <c r="A32">
        <v>22</v>
      </c>
      <c r="B32" s="5" t="s">
        <v>545</v>
      </c>
      <c r="C32" s="5"/>
      <c r="D32" s="5" t="s">
        <v>60</v>
      </c>
      <c r="E32" s="5" t="s">
        <v>529</v>
      </c>
      <c r="F32" s="5"/>
      <c r="G32" s="5"/>
      <c r="H32" s="5"/>
      <c r="I32" s="5"/>
      <c r="J32" s="5"/>
      <c r="K32" s="5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11"/>
      <c r="AX32" s="11"/>
      <c r="AY32" s="11"/>
      <c r="AZ32" s="5"/>
      <c r="BA32" s="5"/>
      <c r="BB32" s="5"/>
      <c r="BC32" s="5"/>
      <c r="BD32" s="5"/>
      <c r="BE32" s="5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5"/>
      <c r="BV32" s="5"/>
      <c r="BW32" s="11">
        <v>48</v>
      </c>
      <c r="BX32" s="11">
        <v>56</v>
      </c>
      <c r="BY32" s="11">
        <v>7.5</v>
      </c>
      <c r="BZ32" s="11">
        <v>7.5</v>
      </c>
      <c r="CA32" s="11">
        <v>3.2</v>
      </c>
      <c r="CB32" s="11"/>
      <c r="CC32" s="5">
        <f>SUM(BV32:CB32)</f>
        <v>122.2</v>
      </c>
      <c r="CH32" s="5">
        <f>(CC32-BV32)/2</f>
        <v>61.1</v>
      </c>
      <c r="CI32" s="11">
        <v>2.4</v>
      </c>
      <c r="CJ32" s="11"/>
      <c r="CK32" s="11"/>
      <c r="CL32" s="11"/>
      <c r="CM32" s="5"/>
      <c r="CN32" s="5"/>
      <c r="CO32" s="5">
        <f t="shared" si="2"/>
        <v>63.5</v>
      </c>
      <c r="CX32" s="5"/>
      <c r="CY32" s="5"/>
      <c r="CZ32" s="5"/>
      <c r="DA32" s="11"/>
      <c r="DB32" s="11"/>
      <c r="DC32" s="11"/>
      <c r="DD32" s="11"/>
      <c r="DE32" s="11"/>
      <c r="DF32" s="11"/>
      <c r="DG32" s="11"/>
      <c r="DH32" s="5"/>
      <c r="DI32" s="5"/>
      <c r="DJ32" s="11"/>
      <c r="DK32" s="11"/>
      <c r="DL32" s="11"/>
      <c r="DM32" s="11"/>
      <c r="DN32" s="11"/>
      <c r="DO32" s="11"/>
      <c r="DP32" s="11"/>
      <c r="DQ32" s="5">
        <f t="shared" si="5"/>
        <v>0</v>
      </c>
      <c r="DR32" s="5">
        <f t="shared" si="3"/>
        <v>0</v>
      </c>
      <c r="DS32" s="5"/>
      <c r="DT32" s="11"/>
      <c r="DU32" s="11"/>
      <c r="DV32" s="5">
        <f t="shared" ref="DV32:DV37" si="6">SUM(DR32:DU32)</f>
        <v>0</v>
      </c>
    </row>
    <row r="33" spans="1:126" x14ac:dyDescent="0.25">
      <c r="A33">
        <v>23</v>
      </c>
      <c r="B33" s="5" t="s">
        <v>430</v>
      </c>
      <c r="C33" s="5"/>
      <c r="D33" s="5" t="s">
        <v>126</v>
      </c>
      <c r="E33" s="5" t="s">
        <v>431</v>
      </c>
      <c r="F33" s="5"/>
      <c r="G33" s="5"/>
      <c r="H33" s="5"/>
      <c r="I33" s="5"/>
      <c r="J33" s="5"/>
      <c r="K33" s="5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11"/>
      <c r="AX33" s="11"/>
      <c r="AY33" s="11"/>
      <c r="AZ33" s="5"/>
      <c r="BA33" s="5"/>
      <c r="BB33" s="5"/>
      <c r="BC33" s="5"/>
      <c r="BD33" s="5"/>
      <c r="BE33" s="5"/>
      <c r="BF33" s="11"/>
      <c r="BG33" s="11"/>
      <c r="BH33" s="11"/>
      <c r="BI33" s="11"/>
      <c r="BJ33" s="11">
        <v>7.5</v>
      </c>
      <c r="BK33" s="11"/>
      <c r="BL33" s="11"/>
      <c r="BM33" s="11"/>
      <c r="BN33" s="11"/>
      <c r="BO33" s="11"/>
      <c r="BP33" s="11"/>
      <c r="BQ33" s="11"/>
      <c r="BR33" s="11"/>
      <c r="BS33" s="11">
        <v>54</v>
      </c>
      <c r="BT33" s="11"/>
      <c r="BU33" s="5">
        <f>SUM(AV33:BT33)</f>
        <v>61.5</v>
      </c>
      <c r="BV33" s="5">
        <f>(BU33-AV33)/2</f>
        <v>30.75</v>
      </c>
      <c r="BW33" s="11">
        <v>33.6</v>
      </c>
      <c r="BX33" s="11">
        <v>32</v>
      </c>
      <c r="BY33" s="11">
        <v>7.5</v>
      </c>
      <c r="BZ33" s="11"/>
      <c r="CA33" s="11"/>
      <c r="CB33" s="11"/>
      <c r="CC33" s="5">
        <f>SUM(BV33:CB33)</f>
        <v>103.85</v>
      </c>
      <c r="CH33" s="5">
        <f>(CC33-BV33)/2</f>
        <v>36.549999999999997</v>
      </c>
      <c r="CI33" s="11">
        <v>2.4</v>
      </c>
      <c r="CJ33" s="11">
        <v>4</v>
      </c>
      <c r="CK33" s="11">
        <v>7.5</v>
      </c>
      <c r="CL33" s="11">
        <v>2.4</v>
      </c>
      <c r="CM33" s="5"/>
      <c r="CN33" s="5"/>
      <c r="CO33" s="5">
        <f t="shared" si="2"/>
        <v>52.849999999999994</v>
      </c>
      <c r="CX33" s="5">
        <f>SUM(CQ33:CW33)</f>
        <v>0</v>
      </c>
      <c r="CY33" s="5">
        <f>CX33/2</f>
        <v>0</v>
      </c>
      <c r="CZ33" s="5">
        <f>BU33/4</f>
        <v>15.375</v>
      </c>
      <c r="DA33" s="11"/>
      <c r="DB33" s="11"/>
      <c r="DC33" s="11"/>
      <c r="DD33" s="11"/>
      <c r="DE33" s="11"/>
      <c r="DF33" s="11"/>
      <c r="DG33" s="11"/>
      <c r="DH33" s="5">
        <f>SUM(CY33:DG33)</f>
        <v>15.375</v>
      </c>
      <c r="DI33" s="5">
        <f>(DH33-CY33)/2</f>
        <v>7.6875</v>
      </c>
      <c r="DJ33" s="11"/>
      <c r="DK33" s="11"/>
      <c r="DL33" s="11"/>
      <c r="DM33" s="11"/>
      <c r="DN33" s="11"/>
      <c r="DO33" s="11"/>
      <c r="DP33" s="11"/>
      <c r="DQ33" s="5">
        <f t="shared" si="5"/>
        <v>7.6875</v>
      </c>
      <c r="DR33" s="5">
        <f t="shared" si="3"/>
        <v>0</v>
      </c>
      <c r="DS33" s="5"/>
      <c r="DT33" s="11"/>
      <c r="DU33" s="11"/>
      <c r="DV33" s="5">
        <f t="shared" si="6"/>
        <v>0</v>
      </c>
    </row>
    <row r="34" spans="1:126" x14ac:dyDescent="0.25">
      <c r="A34">
        <v>24</v>
      </c>
      <c r="B34" s="5" t="s">
        <v>118</v>
      </c>
      <c r="C34" s="5"/>
      <c r="D34" s="5" t="s">
        <v>142</v>
      </c>
      <c r="E34" s="5" t="s">
        <v>600</v>
      </c>
      <c r="F34" s="5"/>
      <c r="G34" s="5"/>
      <c r="H34" s="5"/>
      <c r="I34" s="5"/>
      <c r="J34" s="5"/>
      <c r="K34" s="5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11"/>
      <c r="AX34" s="11"/>
      <c r="AY34" s="11"/>
      <c r="AZ34" s="5"/>
      <c r="BA34" s="5"/>
      <c r="BB34" s="5"/>
      <c r="BC34" s="5"/>
      <c r="BD34" s="5"/>
      <c r="BE34" s="5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5"/>
      <c r="BV34" s="5"/>
      <c r="BW34" s="11"/>
      <c r="BX34" s="11"/>
      <c r="BY34" s="11">
        <v>100</v>
      </c>
      <c r="BZ34" s="11"/>
      <c r="CA34" s="11"/>
      <c r="CB34" s="11"/>
      <c r="CC34" s="5">
        <f>SUM(BV34:CB34)</f>
        <v>100</v>
      </c>
      <c r="CH34" s="5">
        <f>(CC34-BV34)/2</f>
        <v>50</v>
      </c>
      <c r="CI34" s="11"/>
      <c r="CJ34" s="11"/>
      <c r="CK34" s="11"/>
      <c r="CL34" s="11"/>
      <c r="CM34" s="5"/>
      <c r="CN34" s="5"/>
      <c r="CO34" s="5">
        <f t="shared" si="2"/>
        <v>50</v>
      </c>
      <c r="CX34" s="5"/>
      <c r="CY34" s="5"/>
      <c r="CZ34" s="5"/>
      <c r="DA34" s="11"/>
      <c r="DB34" s="11"/>
      <c r="DC34" s="11"/>
      <c r="DD34" s="11"/>
      <c r="DE34" s="11"/>
      <c r="DF34" s="11"/>
      <c r="DG34" s="11"/>
      <c r="DH34" s="5"/>
      <c r="DI34" s="5"/>
      <c r="DJ34" s="11"/>
      <c r="DK34" s="11"/>
      <c r="DL34" s="11"/>
      <c r="DM34" s="11"/>
      <c r="DN34" s="11"/>
      <c r="DO34" s="11"/>
      <c r="DP34" s="11"/>
      <c r="DQ34" s="5">
        <f t="shared" si="5"/>
        <v>0</v>
      </c>
      <c r="DR34" s="5">
        <f t="shared" si="3"/>
        <v>0</v>
      </c>
      <c r="DS34" s="5"/>
      <c r="DT34" s="11"/>
      <c r="DU34" s="11"/>
      <c r="DV34" s="5">
        <f t="shared" si="6"/>
        <v>0</v>
      </c>
    </row>
    <row r="35" spans="1:126" x14ac:dyDescent="0.25">
      <c r="A35">
        <v>25</v>
      </c>
      <c r="B35" s="5" t="s">
        <v>623</v>
      </c>
      <c r="C35" s="5"/>
      <c r="D35" s="5" t="s">
        <v>113</v>
      </c>
      <c r="E35" s="5" t="s">
        <v>529</v>
      </c>
      <c r="F35" s="5"/>
      <c r="G35" s="5"/>
      <c r="H35" s="5"/>
      <c r="I35" s="5"/>
      <c r="J35" s="5"/>
      <c r="K35" s="5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11"/>
      <c r="AX35" s="11"/>
      <c r="AY35" s="11"/>
      <c r="AZ35" s="5"/>
      <c r="BA35" s="5"/>
      <c r="BB35" s="5"/>
      <c r="BC35" s="5"/>
      <c r="BD35" s="5"/>
      <c r="BE35" s="5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5"/>
      <c r="BV35" s="5"/>
      <c r="BW35" s="11">
        <v>2.4</v>
      </c>
      <c r="BX35" s="11"/>
      <c r="BY35" s="11"/>
      <c r="BZ35" s="11"/>
      <c r="CA35" s="11"/>
      <c r="CB35" s="11"/>
      <c r="CC35" s="5">
        <f>SUM(BV35:CB35)</f>
        <v>2.4</v>
      </c>
      <c r="CH35" s="5">
        <f>(CC35-BV35)/2</f>
        <v>1.2</v>
      </c>
      <c r="CI35" s="11">
        <v>48</v>
      </c>
      <c r="CJ35" s="11"/>
      <c r="CK35" s="11"/>
      <c r="CL35" s="11"/>
      <c r="CM35" s="5"/>
      <c r="CN35" s="5"/>
      <c r="CO35" s="5">
        <f t="shared" si="2"/>
        <v>49.2</v>
      </c>
      <c r="CX35" s="5"/>
      <c r="CY35" s="5"/>
      <c r="CZ35" s="5"/>
      <c r="DA35" s="11"/>
      <c r="DB35" s="11"/>
      <c r="DC35" s="11"/>
      <c r="DD35" s="11"/>
      <c r="DE35" s="11"/>
      <c r="DF35" s="11"/>
      <c r="DG35" s="11"/>
      <c r="DH35" s="5"/>
      <c r="DI35" s="5"/>
      <c r="DJ35" s="11"/>
      <c r="DK35" s="11"/>
      <c r="DL35" s="11"/>
      <c r="DM35" s="11"/>
      <c r="DN35" s="11"/>
      <c r="DO35" s="11"/>
      <c r="DP35" s="11"/>
      <c r="DQ35" s="5">
        <f t="shared" si="5"/>
        <v>0</v>
      </c>
      <c r="DR35" s="5">
        <f t="shared" si="3"/>
        <v>0</v>
      </c>
      <c r="DS35" s="5"/>
      <c r="DT35" s="11"/>
      <c r="DU35" s="11"/>
      <c r="DV35" s="5">
        <f t="shared" si="6"/>
        <v>0</v>
      </c>
    </row>
    <row r="36" spans="1:126" x14ac:dyDescent="0.25">
      <c r="A36">
        <v>26</v>
      </c>
      <c r="B36" s="5" t="s">
        <v>127</v>
      </c>
      <c r="C36" s="5"/>
      <c r="D36" s="5" t="s">
        <v>58</v>
      </c>
      <c r="E36" s="5" t="s">
        <v>498</v>
      </c>
      <c r="F36" s="5"/>
      <c r="G36" s="5"/>
      <c r="H36" s="5"/>
      <c r="I36" s="5"/>
      <c r="J36" s="5"/>
      <c r="K36" s="5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11"/>
      <c r="AX36" s="11"/>
      <c r="AY36" s="11"/>
      <c r="AZ36" s="5"/>
      <c r="BA36" s="5"/>
      <c r="BB36" s="5"/>
      <c r="BC36" s="5"/>
      <c r="BD36" s="5"/>
      <c r="BE36" s="5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5"/>
      <c r="BV36" s="5"/>
      <c r="BW36" s="11">
        <v>3</v>
      </c>
      <c r="BX36" s="11">
        <v>40</v>
      </c>
      <c r="BY36" s="11">
        <v>39</v>
      </c>
      <c r="BZ36" s="11"/>
      <c r="CA36" s="11"/>
      <c r="CB36" s="11"/>
      <c r="CC36" s="5">
        <f>SUM(BV36:CB36)</f>
        <v>82</v>
      </c>
      <c r="CH36" s="5">
        <f>(CC36-BV36)/2</f>
        <v>41</v>
      </c>
      <c r="CI36" s="11"/>
      <c r="CJ36" s="11"/>
      <c r="CK36" s="11"/>
      <c r="CL36" s="11"/>
      <c r="CM36" s="5"/>
      <c r="CN36" s="5"/>
      <c r="CO36" s="5">
        <f t="shared" si="2"/>
        <v>41</v>
      </c>
      <c r="CX36" s="5"/>
      <c r="CY36" s="5"/>
      <c r="CZ36" s="5"/>
      <c r="DA36" s="11"/>
      <c r="DB36" s="11"/>
      <c r="DC36" s="11"/>
      <c r="DD36" s="11"/>
      <c r="DE36" s="11"/>
      <c r="DF36" s="11"/>
      <c r="DG36" s="11"/>
      <c r="DH36" s="5"/>
      <c r="DI36" s="5"/>
      <c r="DJ36" s="11">
        <v>1.75</v>
      </c>
      <c r="DK36" s="11"/>
      <c r="DL36" s="11"/>
      <c r="DM36" s="11"/>
      <c r="DN36" s="11"/>
      <c r="DO36" s="11"/>
      <c r="DP36" s="11"/>
      <c r="DQ36" s="5">
        <f t="shared" si="5"/>
        <v>1.75</v>
      </c>
      <c r="DR36" s="5">
        <f t="shared" si="3"/>
        <v>0.875</v>
      </c>
      <c r="DS36" s="5"/>
      <c r="DT36" s="11"/>
      <c r="DU36" s="11"/>
      <c r="DV36" s="5">
        <f t="shared" si="6"/>
        <v>0.875</v>
      </c>
    </row>
    <row r="37" spans="1:126" x14ac:dyDescent="0.25">
      <c r="A37">
        <v>27</v>
      </c>
      <c r="B37" s="5" t="s">
        <v>671</v>
      </c>
      <c r="C37" s="5"/>
      <c r="D37" s="5" t="s">
        <v>672</v>
      </c>
      <c r="E37" s="5" t="s">
        <v>194</v>
      </c>
      <c r="F37" s="5"/>
      <c r="G37" s="5"/>
      <c r="H37" s="5"/>
      <c r="I37" s="5"/>
      <c r="J37" s="5"/>
      <c r="K37" s="5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11"/>
      <c r="AX37" s="11"/>
      <c r="AY37" s="11"/>
      <c r="AZ37" s="5"/>
      <c r="BA37" s="5"/>
      <c r="BB37" s="5"/>
      <c r="BC37" s="5"/>
      <c r="BD37" s="5"/>
      <c r="BE37" s="5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5"/>
      <c r="BV37" s="5"/>
      <c r="BW37" s="11"/>
      <c r="BX37" s="11"/>
      <c r="BY37" s="11"/>
      <c r="BZ37" s="11"/>
      <c r="CA37" s="11"/>
      <c r="CB37" s="11"/>
      <c r="CC37" s="5"/>
      <c r="CH37" s="5"/>
      <c r="CI37" s="11">
        <v>36</v>
      </c>
      <c r="CJ37" s="11">
        <v>3.2</v>
      </c>
      <c r="CK37" s="11"/>
      <c r="CL37" s="11"/>
      <c r="CM37" s="5"/>
      <c r="CN37" s="5"/>
      <c r="CO37" s="5">
        <f t="shared" si="2"/>
        <v>39.200000000000003</v>
      </c>
      <c r="CX37" s="5"/>
      <c r="CY37" s="5"/>
      <c r="CZ37" s="5"/>
      <c r="DA37" s="11"/>
      <c r="DB37" s="11"/>
      <c r="DC37" s="11"/>
      <c r="DD37" s="11"/>
      <c r="DE37" s="11"/>
      <c r="DF37" s="11"/>
      <c r="DG37" s="11"/>
      <c r="DH37" s="5"/>
      <c r="DI37" s="5"/>
      <c r="DJ37" s="11"/>
      <c r="DK37" s="11"/>
      <c r="DL37" s="11"/>
      <c r="DM37" s="11"/>
      <c r="DN37" s="11"/>
      <c r="DO37" s="11"/>
      <c r="DP37" s="11"/>
      <c r="DQ37" s="5">
        <f t="shared" si="5"/>
        <v>0</v>
      </c>
      <c r="DR37" s="5">
        <f t="shared" si="3"/>
        <v>0</v>
      </c>
      <c r="DS37" s="5"/>
      <c r="DT37" s="11"/>
      <c r="DU37" s="11"/>
      <c r="DV37" s="5">
        <f t="shared" si="6"/>
        <v>0</v>
      </c>
    </row>
    <row r="38" spans="1:126" x14ac:dyDescent="0.25">
      <c r="A38">
        <v>28</v>
      </c>
      <c r="B38" s="5" t="s">
        <v>686</v>
      </c>
      <c r="C38" s="5"/>
      <c r="D38" s="5" t="s">
        <v>259</v>
      </c>
      <c r="E38" s="5" t="s">
        <v>725</v>
      </c>
      <c r="F38" s="5"/>
      <c r="G38" s="5"/>
      <c r="H38" s="5"/>
      <c r="I38" s="5"/>
      <c r="J38" s="5"/>
      <c r="K38" s="5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11"/>
      <c r="AX38" s="11"/>
      <c r="AY38" s="11"/>
      <c r="AZ38" s="5"/>
      <c r="BA38" s="5"/>
      <c r="BB38" s="5"/>
      <c r="BC38" s="5"/>
      <c r="BD38" s="5"/>
      <c r="BE38" s="5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5"/>
      <c r="BV38" s="5"/>
      <c r="BW38" s="11"/>
      <c r="BX38" s="11"/>
      <c r="BY38" s="11"/>
      <c r="BZ38" s="11"/>
      <c r="CA38" s="11"/>
      <c r="CB38" s="11"/>
      <c r="CC38" s="5"/>
      <c r="CH38" s="5"/>
      <c r="CI38" s="11">
        <v>2.4</v>
      </c>
      <c r="CJ38" s="11"/>
      <c r="CK38" s="11">
        <v>36</v>
      </c>
      <c r="CL38" s="11"/>
      <c r="CM38" s="5"/>
      <c r="CN38" s="5"/>
      <c r="CO38" s="5">
        <f t="shared" si="2"/>
        <v>38.4</v>
      </c>
      <c r="CX38" s="5"/>
      <c r="CY38" s="5"/>
      <c r="CZ38" s="5"/>
      <c r="DA38" s="11"/>
      <c r="DB38" s="11"/>
      <c r="DC38" s="11"/>
      <c r="DD38" s="11"/>
      <c r="DE38" s="11"/>
      <c r="DF38" s="11"/>
      <c r="DG38" s="11"/>
      <c r="DH38" s="5"/>
      <c r="DI38" s="5"/>
      <c r="DJ38" s="11"/>
      <c r="DK38" s="11"/>
      <c r="DL38" s="11"/>
      <c r="DM38" s="11"/>
      <c r="DN38" s="11"/>
      <c r="DO38" s="11"/>
      <c r="DP38" s="11"/>
      <c r="DQ38" s="5">
        <f t="shared" si="5"/>
        <v>0</v>
      </c>
      <c r="DR38" s="5">
        <f t="shared" si="3"/>
        <v>0</v>
      </c>
      <c r="DS38" s="5"/>
      <c r="DT38" s="11"/>
      <c r="DU38" s="11"/>
      <c r="DV38" s="5">
        <f>SUM(DR38:DS38)</f>
        <v>0</v>
      </c>
    </row>
    <row r="39" spans="1:126" x14ac:dyDescent="0.25">
      <c r="A39">
        <v>29</v>
      </c>
      <c r="B39" s="5" t="s">
        <v>112</v>
      </c>
      <c r="C39" s="5"/>
      <c r="D39" s="5" t="s">
        <v>113</v>
      </c>
      <c r="E39" s="5" t="s">
        <v>39</v>
      </c>
      <c r="F39" s="5"/>
      <c r="G39" s="5"/>
      <c r="H39" s="5"/>
      <c r="I39" s="5"/>
      <c r="J39" s="5"/>
      <c r="K39" s="5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11"/>
      <c r="AX39" s="11"/>
      <c r="AY39" s="11"/>
      <c r="AZ39" s="5"/>
      <c r="BA39" s="5"/>
      <c r="BB39" s="5"/>
      <c r="BC39" s="5"/>
      <c r="BD39" s="5"/>
      <c r="BE39" s="5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5"/>
      <c r="BV39" s="5"/>
      <c r="BW39" s="11"/>
      <c r="BX39" s="11"/>
      <c r="BY39" s="11">
        <v>75</v>
      </c>
      <c r="BZ39" s="11"/>
      <c r="CA39" s="11"/>
      <c r="CB39" s="11"/>
      <c r="CC39" s="5">
        <f>SUM(BV39:CB39)</f>
        <v>75</v>
      </c>
      <c r="CH39" s="5">
        <f>(CC39-BV39)/2</f>
        <v>37.5</v>
      </c>
      <c r="CI39" s="11"/>
      <c r="CJ39" s="11"/>
      <c r="CK39" s="11"/>
      <c r="CL39" s="11"/>
      <c r="CM39" s="5"/>
      <c r="CN39" s="5"/>
      <c r="CO39" s="5">
        <f t="shared" si="2"/>
        <v>37.5</v>
      </c>
      <c r="CX39" s="5"/>
      <c r="CY39" s="5"/>
      <c r="CZ39" s="5"/>
      <c r="DA39" s="11"/>
      <c r="DB39" s="11"/>
      <c r="DC39" s="11"/>
      <c r="DD39" s="11"/>
      <c r="DE39" s="11"/>
      <c r="DF39" s="11"/>
      <c r="DG39" s="11"/>
      <c r="DH39" s="5"/>
      <c r="DI39" s="5"/>
      <c r="DJ39" s="11"/>
      <c r="DK39" s="11"/>
      <c r="DL39" s="11"/>
      <c r="DM39" s="11"/>
      <c r="DN39" s="11"/>
      <c r="DO39" s="11"/>
      <c r="DP39" s="11"/>
      <c r="DQ39" s="5">
        <f t="shared" si="5"/>
        <v>0</v>
      </c>
      <c r="DR39" s="5">
        <f t="shared" si="3"/>
        <v>0</v>
      </c>
      <c r="DS39" s="5"/>
      <c r="DT39" s="11"/>
      <c r="DU39" s="11"/>
      <c r="DV39" s="5">
        <f>SUM(DR39:DU39)</f>
        <v>0</v>
      </c>
    </row>
    <row r="40" spans="1:126" x14ac:dyDescent="0.25">
      <c r="A40">
        <v>30</v>
      </c>
      <c r="B40" s="11" t="s">
        <v>83</v>
      </c>
      <c r="C40" s="11" t="s">
        <v>44</v>
      </c>
      <c r="D40" s="5" t="s">
        <v>84</v>
      </c>
      <c r="E40" s="5" t="s">
        <v>16</v>
      </c>
      <c r="F40" s="5"/>
      <c r="G40" s="5"/>
      <c r="H40" s="5"/>
      <c r="I40" s="5"/>
      <c r="J40" s="5"/>
      <c r="K40" s="5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11"/>
      <c r="AX40" s="11">
        <v>48</v>
      </c>
      <c r="AY40" s="11"/>
      <c r="AZ40" s="5"/>
      <c r="BA40" s="5"/>
      <c r="BB40" s="5"/>
      <c r="BC40" s="5"/>
      <c r="BD40" s="5"/>
      <c r="BE40" s="5">
        <v>54</v>
      </c>
      <c r="BF40" s="11">
        <v>70</v>
      </c>
      <c r="BG40" s="11">
        <v>80</v>
      </c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>
        <v>105</v>
      </c>
      <c r="BT40" s="11">
        <v>200</v>
      </c>
      <c r="BU40" s="5">
        <f>SUM(AV40:BT40)</f>
        <v>557</v>
      </c>
      <c r="BV40" s="5">
        <f>(BU40-AV40)/2</f>
        <v>278.5</v>
      </c>
      <c r="BW40" s="11"/>
      <c r="BX40" s="11"/>
      <c r="BY40" s="11">
        <v>70</v>
      </c>
      <c r="BZ40" s="11"/>
      <c r="CA40" s="11"/>
      <c r="CB40" s="11"/>
      <c r="CC40" s="5">
        <f>SUM(BV40:CB40)</f>
        <v>348.5</v>
      </c>
      <c r="CH40" s="5">
        <f>(CC40-BV40)/2</f>
        <v>35</v>
      </c>
      <c r="CI40" s="11"/>
      <c r="CJ40" s="11"/>
      <c r="CK40" s="11"/>
      <c r="CL40" s="11"/>
      <c r="CM40" s="5"/>
      <c r="CN40" s="5"/>
      <c r="CO40" s="5">
        <f t="shared" si="2"/>
        <v>35</v>
      </c>
      <c r="CX40" s="5">
        <f>SUM(CQ40:CW40)</f>
        <v>0</v>
      </c>
      <c r="CY40" s="5">
        <f>CX40/2</f>
        <v>0</v>
      </c>
      <c r="CZ40" s="5">
        <f>BU40/4</f>
        <v>139.25</v>
      </c>
      <c r="DA40" s="11"/>
      <c r="DB40" s="11"/>
      <c r="DC40" s="11"/>
      <c r="DD40" s="11">
        <v>7.5</v>
      </c>
      <c r="DE40" s="11">
        <v>50</v>
      </c>
      <c r="DF40" s="11"/>
      <c r="DG40" s="11"/>
      <c r="DH40" s="5">
        <f>SUM(CY40:DE40)</f>
        <v>196.75</v>
      </c>
      <c r="DI40" s="5">
        <f>(DH40-CY40)/2</f>
        <v>98.375</v>
      </c>
      <c r="DJ40" s="11">
        <v>26.25</v>
      </c>
      <c r="DK40" s="11"/>
      <c r="DL40" s="11">
        <v>15</v>
      </c>
      <c r="DM40" s="11"/>
      <c r="DN40" s="11"/>
      <c r="DO40" s="11"/>
      <c r="DP40" s="11"/>
      <c r="DQ40" s="5">
        <f>SUM(DI40:DL40)</f>
        <v>139.625</v>
      </c>
      <c r="DR40" s="5">
        <f t="shared" si="3"/>
        <v>20.625</v>
      </c>
      <c r="DS40" s="5"/>
      <c r="DT40" s="11"/>
      <c r="DU40" s="11"/>
      <c r="DV40" s="5">
        <f>SUM(DR40:DU40)</f>
        <v>20.625</v>
      </c>
    </row>
    <row r="41" spans="1:126" x14ac:dyDescent="0.25">
      <c r="A41">
        <v>31</v>
      </c>
      <c r="B41" s="5" t="s">
        <v>136</v>
      </c>
      <c r="C41" s="5"/>
      <c r="D41" s="5" t="s">
        <v>11</v>
      </c>
      <c r="E41" s="5" t="s">
        <v>14</v>
      </c>
      <c r="F41" s="5"/>
      <c r="G41" s="5"/>
      <c r="H41" s="5"/>
      <c r="I41" s="5"/>
      <c r="J41" s="5"/>
      <c r="K41" s="5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>
        <v>5</v>
      </c>
      <c r="AQ41" s="5"/>
      <c r="AR41" s="5"/>
      <c r="AS41" s="5">
        <v>5</v>
      </c>
      <c r="AT41" s="5">
        <v>54</v>
      </c>
      <c r="AU41" s="5">
        <f>SUM(AF41:AT41)</f>
        <v>64</v>
      </c>
      <c r="AV41" s="5">
        <f>(AU41-AF41)/2</f>
        <v>32</v>
      </c>
      <c r="AW41" s="11"/>
      <c r="AX41" s="11"/>
      <c r="AY41" s="11">
        <v>42</v>
      </c>
      <c r="AZ41" s="5"/>
      <c r="BA41" s="5"/>
      <c r="BB41" s="5"/>
      <c r="BC41" s="5"/>
      <c r="BD41" s="5"/>
      <c r="BE41" s="5">
        <v>54</v>
      </c>
      <c r="BF41" s="11">
        <v>36</v>
      </c>
      <c r="BG41" s="11"/>
      <c r="BH41" s="11">
        <v>28.8</v>
      </c>
      <c r="BI41" s="11"/>
      <c r="BJ41" s="11">
        <v>7.5</v>
      </c>
      <c r="BK41" s="11">
        <v>3</v>
      </c>
      <c r="BL41" s="11"/>
      <c r="BM41" s="11"/>
      <c r="BN41" s="11"/>
      <c r="BO41" s="11"/>
      <c r="BP41" s="11"/>
      <c r="BQ41" s="11"/>
      <c r="BR41" s="11"/>
      <c r="BS41" s="11">
        <v>7.5</v>
      </c>
      <c r="BT41" s="11"/>
      <c r="BU41" s="5">
        <f>SUM(AV41:BT41)</f>
        <v>210.8</v>
      </c>
      <c r="BV41" s="5">
        <f>(BU41-AV41)/2</f>
        <v>89.4</v>
      </c>
      <c r="BW41" s="11">
        <v>3</v>
      </c>
      <c r="BX41" s="11">
        <v>4</v>
      </c>
      <c r="BY41" s="11">
        <v>54</v>
      </c>
      <c r="BZ41" s="11">
        <v>7.5</v>
      </c>
      <c r="CA41" s="11"/>
      <c r="CB41" s="11"/>
      <c r="CC41" s="5">
        <f>SUM(BV41:CB41)</f>
        <v>157.9</v>
      </c>
      <c r="CH41" s="5">
        <f>(CC41-BV41)/2</f>
        <v>34.25</v>
      </c>
      <c r="CI41" s="11"/>
      <c r="CJ41" s="11"/>
      <c r="CK41" s="11"/>
      <c r="CL41" s="11"/>
      <c r="CM41" s="5"/>
      <c r="CN41" s="5"/>
      <c r="CO41" s="5">
        <f t="shared" si="2"/>
        <v>34.25</v>
      </c>
      <c r="CQ41">
        <f>AU41/4</f>
        <v>16</v>
      </c>
      <c r="CX41" s="5">
        <f>SUM(CQ41:CW41)</f>
        <v>16</v>
      </c>
      <c r="CY41" s="5">
        <f>CX41/2</f>
        <v>8</v>
      </c>
      <c r="CZ41" s="5">
        <f>BU41/4</f>
        <v>52.7</v>
      </c>
      <c r="DA41" s="11">
        <v>12</v>
      </c>
      <c r="DB41" s="11"/>
      <c r="DC41" s="11"/>
      <c r="DD41" s="11"/>
      <c r="DE41" s="11"/>
      <c r="DF41" s="11"/>
      <c r="DG41" s="11"/>
      <c r="DH41" s="5">
        <f>SUM(CY41:DG41)</f>
        <v>72.7</v>
      </c>
      <c r="DI41" s="5">
        <f>(DH41-CY41)/2</f>
        <v>32.35</v>
      </c>
      <c r="DJ41" s="11">
        <v>1.75</v>
      </c>
      <c r="DK41" s="11"/>
      <c r="DL41" s="11"/>
      <c r="DM41" s="11"/>
      <c r="DN41" s="11"/>
      <c r="DO41" s="11"/>
      <c r="DP41" s="11">
        <v>20</v>
      </c>
      <c r="DQ41" s="5">
        <f t="shared" ref="DQ41:DQ82" si="7">SUM(DI41:DP41)</f>
        <v>54.1</v>
      </c>
      <c r="DR41" s="5">
        <f t="shared" si="3"/>
        <v>10.875</v>
      </c>
      <c r="DS41" s="5"/>
      <c r="DT41" s="11"/>
      <c r="DU41" s="11"/>
      <c r="DV41" s="5">
        <f>SUM(DR41:DU41)</f>
        <v>10.875</v>
      </c>
    </row>
    <row r="42" spans="1:126" x14ac:dyDescent="0.25">
      <c r="A42">
        <v>32</v>
      </c>
      <c r="B42" s="5" t="s">
        <v>359</v>
      </c>
      <c r="C42" s="5"/>
      <c r="D42" s="5" t="s">
        <v>236</v>
      </c>
      <c r="E42" s="5" t="s">
        <v>24</v>
      </c>
      <c r="F42" s="5"/>
      <c r="G42" s="5"/>
      <c r="H42" s="5"/>
      <c r="I42" s="5"/>
      <c r="J42" s="5"/>
      <c r="K42" s="5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11"/>
      <c r="AX42" s="11"/>
      <c r="AY42" s="11"/>
      <c r="AZ42" s="5"/>
      <c r="BA42" s="5"/>
      <c r="BB42" s="5"/>
      <c r="BC42" s="5">
        <v>48</v>
      </c>
      <c r="BD42" s="5"/>
      <c r="BE42" s="5"/>
      <c r="BF42" s="11"/>
      <c r="BG42" s="11"/>
      <c r="BH42" s="11"/>
      <c r="BI42" s="11">
        <v>40</v>
      </c>
      <c r="BJ42" s="11">
        <v>54</v>
      </c>
      <c r="BK42" s="11"/>
      <c r="BL42" s="11">
        <v>48</v>
      </c>
      <c r="BM42" s="11"/>
      <c r="BN42" s="11"/>
      <c r="BO42" s="11"/>
      <c r="BP42" s="11"/>
      <c r="BQ42" s="11"/>
      <c r="BR42" s="11"/>
      <c r="BS42" s="11"/>
      <c r="BT42" s="11">
        <v>10</v>
      </c>
      <c r="BU42" s="5">
        <f>SUM(AV42:BT42)</f>
        <v>200</v>
      </c>
      <c r="BV42" s="5">
        <f>(BU42-AV42)/2</f>
        <v>100</v>
      </c>
      <c r="BW42" s="11">
        <v>60</v>
      </c>
      <c r="BX42" s="11"/>
      <c r="BY42" s="11"/>
      <c r="BZ42" s="11"/>
      <c r="CA42" s="11"/>
      <c r="CB42" s="11"/>
      <c r="CC42" s="5">
        <f>SUM(BV42:CB42)</f>
        <v>160</v>
      </c>
      <c r="CH42" s="5">
        <f>(CC42-BV42)/2</f>
        <v>30</v>
      </c>
      <c r="CI42" s="11"/>
      <c r="CJ42" s="11"/>
      <c r="CK42" s="11"/>
      <c r="CL42" s="11"/>
      <c r="CM42" s="5"/>
      <c r="CN42" s="5"/>
      <c r="CO42" s="5">
        <f t="shared" si="2"/>
        <v>30</v>
      </c>
      <c r="CX42" s="5">
        <f>SUM(CQ42:CW42)</f>
        <v>0</v>
      </c>
      <c r="CY42" s="5">
        <f>CX42/2</f>
        <v>0</v>
      </c>
      <c r="CZ42" s="5">
        <f>BU42/4</f>
        <v>50</v>
      </c>
      <c r="DA42" s="11"/>
      <c r="DB42" s="11"/>
      <c r="DC42" s="11"/>
      <c r="DD42" s="11"/>
      <c r="DE42" s="11">
        <v>5</v>
      </c>
      <c r="DF42" s="11"/>
      <c r="DG42" s="11"/>
      <c r="DH42" s="5">
        <f>SUM(CY42:DG42)</f>
        <v>55</v>
      </c>
      <c r="DI42" s="5">
        <f>(DH42-CY42)/2</f>
        <v>27.5</v>
      </c>
      <c r="DJ42" s="11"/>
      <c r="DK42" s="11"/>
      <c r="DL42" s="11"/>
      <c r="DM42" s="11"/>
      <c r="DN42" s="11"/>
      <c r="DO42" s="11"/>
      <c r="DP42" s="11"/>
      <c r="DQ42" s="5">
        <f t="shared" si="7"/>
        <v>27.5</v>
      </c>
      <c r="DR42" s="5">
        <f t="shared" si="3"/>
        <v>0</v>
      </c>
      <c r="DS42" s="5"/>
      <c r="DT42" s="11"/>
      <c r="DU42" s="11"/>
      <c r="DV42" s="5">
        <f>SUM(DR42:DU42)</f>
        <v>0</v>
      </c>
    </row>
    <row r="43" spans="1:126" x14ac:dyDescent="0.25">
      <c r="A43">
        <v>33</v>
      </c>
      <c r="B43" s="5" t="s">
        <v>528</v>
      </c>
      <c r="C43" s="5"/>
      <c r="D43" s="5" t="s">
        <v>259</v>
      </c>
      <c r="E43" s="5" t="s">
        <v>154</v>
      </c>
      <c r="F43" s="5"/>
      <c r="G43" s="5"/>
      <c r="H43" s="5"/>
      <c r="I43" s="5"/>
      <c r="J43" s="5"/>
      <c r="K43" s="5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11"/>
      <c r="AX43" s="11"/>
      <c r="AY43" s="11"/>
      <c r="AZ43" s="5"/>
      <c r="BA43" s="5"/>
      <c r="BB43" s="5"/>
      <c r="BC43" s="5"/>
      <c r="BD43" s="5"/>
      <c r="BE43" s="5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5"/>
      <c r="BV43" s="5"/>
      <c r="BW43" s="11"/>
      <c r="BX43" s="11"/>
      <c r="BY43" s="11"/>
      <c r="BZ43" s="11"/>
      <c r="CA43" s="11"/>
      <c r="CB43" s="11"/>
      <c r="CC43" s="5"/>
      <c r="CH43" s="5"/>
      <c r="CI43" s="11">
        <v>30</v>
      </c>
      <c r="CJ43" s="11"/>
      <c r="CK43" s="11"/>
      <c r="CL43" s="11"/>
      <c r="CM43" s="5"/>
      <c r="CN43" s="5"/>
      <c r="CO43" s="5">
        <f t="shared" ref="CO43:CO74" si="8">SUM(CH43:CN43)</f>
        <v>30</v>
      </c>
      <c r="CX43" s="5"/>
      <c r="CY43" s="5"/>
      <c r="CZ43" s="5"/>
      <c r="DA43" s="11"/>
      <c r="DB43" s="11"/>
      <c r="DC43" s="11"/>
      <c r="DD43" s="11"/>
      <c r="DE43" s="11"/>
      <c r="DF43" s="11"/>
      <c r="DG43" s="11"/>
      <c r="DH43" s="5"/>
      <c r="DI43" s="5"/>
      <c r="DJ43" s="11"/>
      <c r="DK43" s="11"/>
      <c r="DL43" s="11"/>
      <c r="DM43" s="11"/>
      <c r="DN43" s="11"/>
      <c r="DO43" s="11"/>
      <c r="DP43" s="11"/>
      <c r="DQ43" s="5">
        <f t="shared" si="7"/>
        <v>0</v>
      </c>
      <c r="DR43" s="5">
        <f t="shared" ref="DR43:DR74" si="9">(DQ43-DI43)/2</f>
        <v>0</v>
      </c>
      <c r="DS43" s="5"/>
      <c r="DT43" s="11"/>
      <c r="DU43" s="11"/>
      <c r="DV43" s="5">
        <f>SUM(DR43:DS43)</f>
        <v>0</v>
      </c>
    </row>
    <row r="44" spans="1:126" x14ac:dyDescent="0.25">
      <c r="A44">
        <v>34</v>
      </c>
      <c r="B44" s="5" t="s">
        <v>580</v>
      </c>
      <c r="C44" s="5"/>
      <c r="D44" s="5" t="s">
        <v>581</v>
      </c>
      <c r="E44" s="5" t="s">
        <v>50</v>
      </c>
      <c r="F44" s="5"/>
      <c r="G44" s="5"/>
      <c r="H44" s="5"/>
      <c r="I44" s="5"/>
      <c r="J44" s="5"/>
      <c r="K44" s="5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11"/>
      <c r="AX44" s="11"/>
      <c r="AY44" s="11"/>
      <c r="AZ44" s="5"/>
      <c r="BA44" s="5"/>
      <c r="BB44" s="5"/>
      <c r="BC44" s="5"/>
      <c r="BD44" s="5"/>
      <c r="BE44" s="5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5"/>
      <c r="BV44" s="5"/>
      <c r="BW44" s="11"/>
      <c r="BX44" s="11">
        <v>56</v>
      </c>
      <c r="BY44" s="11"/>
      <c r="BZ44" s="11"/>
      <c r="CA44" s="11"/>
      <c r="CB44" s="11"/>
      <c r="CC44" s="5">
        <f>SUM(BV44:CB44)</f>
        <v>56</v>
      </c>
      <c r="CH44" s="5">
        <f>(CC44-BV44)/2</f>
        <v>28</v>
      </c>
      <c r="CI44" s="11"/>
      <c r="CJ44" s="11"/>
      <c r="CK44" s="11"/>
      <c r="CL44" s="11"/>
      <c r="CM44" s="5"/>
      <c r="CN44" s="5"/>
      <c r="CO44" s="5">
        <f t="shared" si="8"/>
        <v>28</v>
      </c>
      <c r="CX44" s="5"/>
      <c r="CY44" s="5"/>
      <c r="CZ44" s="5"/>
      <c r="DA44" s="11"/>
      <c r="DB44" s="11"/>
      <c r="DC44" s="11"/>
      <c r="DD44" s="11"/>
      <c r="DE44" s="11"/>
      <c r="DF44" s="11"/>
      <c r="DG44" s="11"/>
      <c r="DH44" s="5"/>
      <c r="DI44" s="5"/>
      <c r="DJ44" s="11"/>
      <c r="DK44" s="11"/>
      <c r="DL44" s="11"/>
      <c r="DM44" s="11"/>
      <c r="DN44" s="11"/>
      <c r="DO44" s="11"/>
      <c r="DP44" s="11"/>
      <c r="DQ44" s="5">
        <f t="shared" si="7"/>
        <v>0</v>
      </c>
      <c r="DR44" s="5">
        <f t="shared" si="9"/>
        <v>0</v>
      </c>
      <c r="DS44" s="5"/>
      <c r="DT44" s="11"/>
      <c r="DU44" s="11"/>
      <c r="DV44" s="5">
        <f>SUM(DR44:DU44)</f>
        <v>0</v>
      </c>
    </row>
    <row r="45" spans="1:126" x14ac:dyDescent="0.25">
      <c r="A45">
        <v>35</v>
      </c>
      <c r="B45" s="5" t="s">
        <v>582</v>
      </c>
      <c r="C45" s="5"/>
      <c r="D45" s="5" t="s">
        <v>84</v>
      </c>
      <c r="E45" s="5" t="s">
        <v>131</v>
      </c>
      <c r="F45" s="5"/>
      <c r="G45" s="5"/>
      <c r="H45" s="5"/>
      <c r="I45" s="5"/>
      <c r="J45" s="5"/>
      <c r="K45" s="5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11"/>
      <c r="AX45" s="11"/>
      <c r="AY45" s="11"/>
      <c r="AZ45" s="5"/>
      <c r="BA45" s="5"/>
      <c r="BB45" s="5"/>
      <c r="BC45" s="5"/>
      <c r="BD45" s="5"/>
      <c r="BE45" s="5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5"/>
      <c r="BV45" s="5"/>
      <c r="BW45" s="11"/>
      <c r="BX45" s="11">
        <v>40</v>
      </c>
      <c r="BY45" s="11">
        <v>4</v>
      </c>
      <c r="BZ45" s="11"/>
      <c r="CA45" s="11"/>
      <c r="CB45" s="11"/>
      <c r="CC45" s="5">
        <f>SUM(BV45:CB45)</f>
        <v>44</v>
      </c>
      <c r="CH45" s="5">
        <f>(CC45-BV45)/2</f>
        <v>22</v>
      </c>
      <c r="CI45" s="11"/>
      <c r="CJ45" s="11"/>
      <c r="CK45" s="11"/>
      <c r="CL45" s="11"/>
      <c r="CM45" s="5"/>
      <c r="CN45" s="5"/>
      <c r="CO45" s="5">
        <f t="shared" si="8"/>
        <v>22</v>
      </c>
      <c r="CX45" s="5"/>
      <c r="CY45" s="5"/>
      <c r="CZ45" s="5"/>
      <c r="DA45" s="11"/>
      <c r="DB45" s="11"/>
      <c r="DC45" s="11"/>
      <c r="DD45" s="11"/>
      <c r="DE45" s="11"/>
      <c r="DF45" s="11"/>
      <c r="DG45" s="11"/>
      <c r="DH45" s="5"/>
      <c r="DI45" s="5"/>
      <c r="DJ45" s="11"/>
      <c r="DK45" s="11"/>
      <c r="DL45" s="11"/>
      <c r="DM45" s="11"/>
      <c r="DN45" s="11"/>
      <c r="DO45" s="11"/>
      <c r="DP45" s="11"/>
      <c r="DQ45" s="5">
        <f t="shared" si="7"/>
        <v>0</v>
      </c>
      <c r="DR45" s="5">
        <f t="shared" si="9"/>
        <v>0</v>
      </c>
      <c r="DS45" s="5"/>
      <c r="DT45" s="11"/>
      <c r="DU45" s="11"/>
      <c r="DV45" s="5">
        <f>SUM(DR45:DU45)</f>
        <v>0</v>
      </c>
    </row>
    <row r="46" spans="1:126" x14ac:dyDescent="0.25">
      <c r="A46">
        <v>36</v>
      </c>
      <c r="B46" s="5" t="s">
        <v>495</v>
      </c>
      <c r="C46" s="5"/>
      <c r="D46" s="5" t="s">
        <v>496</v>
      </c>
      <c r="E46" s="5" t="s">
        <v>76</v>
      </c>
      <c r="F46" s="5"/>
      <c r="G46" s="5"/>
      <c r="H46" s="5"/>
      <c r="I46" s="5"/>
      <c r="J46" s="5"/>
      <c r="K46" s="5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11"/>
      <c r="AX46" s="11"/>
      <c r="AY46" s="11"/>
      <c r="AZ46" s="5"/>
      <c r="BA46" s="5"/>
      <c r="BB46" s="5"/>
      <c r="BC46" s="5"/>
      <c r="BD46" s="5"/>
      <c r="BE46" s="5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5"/>
      <c r="BV46" s="5"/>
      <c r="BW46" s="11"/>
      <c r="BX46" s="11"/>
      <c r="BY46" s="11">
        <v>18</v>
      </c>
      <c r="BZ46" s="11">
        <v>7.5</v>
      </c>
      <c r="CA46" s="11">
        <v>10</v>
      </c>
      <c r="CB46" s="11"/>
      <c r="CC46" s="5">
        <f>SUM(BV46:CB46)</f>
        <v>35.5</v>
      </c>
      <c r="CH46" s="5">
        <f>(CC46-BV46)/2</f>
        <v>17.75</v>
      </c>
      <c r="CI46" s="11">
        <v>2.4</v>
      </c>
      <c r="CJ46" s="11"/>
      <c r="CK46" s="11"/>
      <c r="CL46" s="11"/>
      <c r="CM46" s="5"/>
      <c r="CN46" s="5"/>
      <c r="CO46" s="5">
        <f t="shared" si="8"/>
        <v>20.149999999999999</v>
      </c>
      <c r="DH46" s="5"/>
      <c r="DI46" s="5"/>
      <c r="DJ46" s="11"/>
      <c r="DK46" s="11"/>
      <c r="DL46" s="11"/>
      <c r="DM46" s="11"/>
      <c r="DN46" s="11"/>
      <c r="DO46" s="11"/>
      <c r="DP46" s="11"/>
      <c r="DQ46" s="5">
        <f t="shared" si="7"/>
        <v>0</v>
      </c>
      <c r="DR46" s="5">
        <f t="shared" si="9"/>
        <v>0</v>
      </c>
      <c r="DS46" s="5"/>
      <c r="DT46" s="11"/>
      <c r="DU46" s="11"/>
      <c r="DV46" s="5">
        <f>SUM(DR46:DU46)</f>
        <v>0</v>
      </c>
    </row>
    <row r="47" spans="1:126" x14ac:dyDescent="0.25">
      <c r="A47">
        <v>37</v>
      </c>
      <c r="B47" s="5" t="s">
        <v>612</v>
      </c>
      <c r="C47" s="5"/>
      <c r="D47" s="5" t="s">
        <v>63</v>
      </c>
      <c r="E47" s="5" t="s">
        <v>613</v>
      </c>
      <c r="F47" s="5"/>
      <c r="G47" s="5"/>
      <c r="H47" s="5"/>
      <c r="I47" s="5"/>
      <c r="J47" s="5"/>
      <c r="K47" s="5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11"/>
      <c r="AX47" s="11"/>
      <c r="AY47" s="11"/>
      <c r="AZ47" s="5"/>
      <c r="BA47" s="5"/>
      <c r="BB47" s="5"/>
      <c r="BC47" s="5"/>
      <c r="BD47" s="5"/>
      <c r="BE47" s="5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5"/>
      <c r="BV47" s="5"/>
      <c r="BW47" s="11"/>
      <c r="BX47" s="11">
        <v>28.8</v>
      </c>
      <c r="BY47" s="11">
        <v>7.5</v>
      </c>
      <c r="BZ47" s="11"/>
      <c r="CA47" s="11"/>
      <c r="CB47" s="11"/>
      <c r="CC47" s="5">
        <f>SUM(BV47:CB47)</f>
        <v>36.299999999999997</v>
      </c>
      <c r="CH47" s="5">
        <f>(CC47-BV47)/2</f>
        <v>18.149999999999999</v>
      </c>
      <c r="CI47" s="11"/>
      <c r="CJ47" s="11"/>
      <c r="CK47" s="11"/>
      <c r="CL47" s="11"/>
      <c r="CM47" s="5"/>
      <c r="CN47" s="5"/>
      <c r="CO47" s="5">
        <f t="shared" si="8"/>
        <v>18.149999999999999</v>
      </c>
      <c r="DH47" s="5"/>
      <c r="DI47" s="5"/>
      <c r="DJ47" s="11"/>
      <c r="DK47" s="11"/>
      <c r="DL47" s="11"/>
      <c r="DM47" s="11"/>
      <c r="DN47" s="11"/>
      <c r="DO47" s="11"/>
      <c r="DP47" s="11"/>
      <c r="DQ47" s="5">
        <f t="shared" si="7"/>
        <v>0</v>
      </c>
      <c r="DR47" s="5">
        <f t="shared" si="9"/>
        <v>0</v>
      </c>
      <c r="DS47" s="5"/>
      <c r="DT47" s="11"/>
      <c r="DU47" s="11"/>
      <c r="DV47" s="5">
        <f>SUM(DR47:DU47)</f>
        <v>0</v>
      </c>
    </row>
    <row r="48" spans="1:126" x14ac:dyDescent="0.25">
      <c r="A48">
        <v>38</v>
      </c>
      <c r="B48" s="5" t="s">
        <v>448</v>
      </c>
      <c r="C48" s="5"/>
      <c r="D48" s="5" t="s">
        <v>104</v>
      </c>
      <c r="E48" s="5" t="s">
        <v>333</v>
      </c>
      <c r="F48" s="5"/>
      <c r="G48" s="5"/>
      <c r="H48" s="5"/>
      <c r="I48" s="5"/>
      <c r="J48" s="5"/>
      <c r="K48" s="5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11"/>
      <c r="AX48" s="11"/>
      <c r="AY48" s="11"/>
      <c r="AZ48" s="5"/>
      <c r="BA48" s="5"/>
      <c r="BB48" s="5"/>
      <c r="BC48" s="5"/>
      <c r="BD48" s="5"/>
      <c r="BE48" s="5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5"/>
      <c r="BV48" s="5"/>
      <c r="BW48" s="11">
        <v>33.6</v>
      </c>
      <c r="BX48" s="11"/>
      <c r="BY48" s="11"/>
      <c r="BZ48" s="11"/>
      <c r="CA48" s="11"/>
      <c r="CB48" s="11"/>
      <c r="CC48" s="5">
        <f>SUM(BV48:CB48)</f>
        <v>33.6</v>
      </c>
      <c r="CH48" s="5">
        <f>(CC48-BV48)/2</f>
        <v>16.8</v>
      </c>
      <c r="CI48" s="11"/>
      <c r="CJ48" s="11"/>
      <c r="CK48" s="11"/>
      <c r="CL48" s="11"/>
      <c r="CM48" s="5"/>
      <c r="CN48" s="5"/>
      <c r="CO48" s="5">
        <f t="shared" si="8"/>
        <v>16.8</v>
      </c>
      <c r="DH48" s="5"/>
      <c r="DI48" s="5"/>
      <c r="DJ48" s="11"/>
      <c r="DK48" s="11"/>
      <c r="DL48" s="11"/>
      <c r="DM48" s="11"/>
      <c r="DN48" s="11"/>
      <c r="DO48" s="11"/>
      <c r="DP48" s="11"/>
      <c r="DQ48" s="5">
        <f t="shared" si="7"/>
        <v>0</v>
      </c>
      <c r="DR48" s="5">
        <f t="shared" si="9"/>
        <v>0</v>
      </c>
      <c r="DS48" s="5"/>
      <c r="DT48" s="11"/>
      <c r="DU48" s="11"/>
      <c r="DV48" s="5">
        <f t="shared" ref="DV48:DV82" si="10">SUM(DR48:DS48)</f>
        <v>0</v>
      </c>
    </row>
    <row r="49" spans="1:126" x14ac:dyDescent="0.25">
      <c r="A49">
        <v>39</v>
      </c>
      <c r="B49" s="5" t="s">
        <v>104</v>
      </c>
      <c r="C49" s="5"/>
      <c r="D49" s="5" t="s">
        <v>86</v>
      </c>
      <c r="E49" s="5" t="s">
        <v>501</v>
      </c>
      <c r="F49" s="5"/>
      <c r="G49" s="5"/>
      <c r="H49" s="5"/>
      <c r="I49" s="5"/>
      <c r="J49" s="5"/>
      <c r="K49" s="5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11"/>
      <c r="AX49" s="11"/>
      <c r="AY49" s="11"/>
      <c r="AZ49" s="5"/>
      <c r="BA49" s="5"/>
      <c r="BB49" s="5"/>
      <c r="BC49" s="5"/>
      <c r="BD49" s="5"/>
      <c r="BE49" s="5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5"/>
      <c r="BV49" s="5"/>
      <c r="BW49" s="11"/>
      <c r="BX49" s="11"/>
      <c r="BY49" s="11"/>
      <c r="BZ49" s="11"/>
      <c r="CA49" s="11"/>
      <c r="CB49" s="11"/>
      <c r="CC49" s="5"/>
      <c r="CH49" s="5"/>
      <c r="CI49" s="11">
        <v>3</v>
      </c>
      <c r="CJ49" s="11"/>
      <c r="CK49" s="11">
        <v>7.5</v>
      </c>
      <c r="CL49" s="11">
        <v>5</v>
      </c>
      <c r="CM49" s="5"/>
      <c r="CN49" s="5"/>
      <c r="CO49" s="5">
        <f t="shared" si="8"/>
        <v>15.5</v>
      </c>
      <c r="DH49" s="5"/>
      <c r="DI49" s="5"/>
      <c r="DJ49" s="11"/>
      <c r="DK49" s="11"/>
      <c r="DL49" s="11"/>
      <c r="DM49" s="11"/>
      <c r="DN49" s="11"/>
      <c r="DO49" s="11"/>
      <c r="DP49" s="11"/>
      <c r="DQ49" s="5">
        <f t="shared" si="7"/>
        <v>0</v>
      </c>
      <c r="DR49" s="5">
        <f t="shared" si="9"/>
        <v>0</v>
      </c>
      <c r="DS49" s="5"/>
      <c r="DT49" s="11"/>
      <c r="DU49" s="11"/>
      <c r="DV49" s="5">
        <f t="shared" si="10"/>
        <v>0</v>
      </c>
    </row>
    <row r="50" spans="1:126" x14ac:dyDescent="0.25">
      <c r="A50">
        <v>40</v>
      </c>
      <c r="B50" s="5" t="s">
        <v>564</v>
      </c>
      <c r="C50" s="5"/>
      <c r="D50" s="5" t="s">
        <v>688</v>
      </c>
      <c r="E50" s="5" t="s">
        <v>654</v>
      </c>
      <c r="F50" s="5"/>
      <c r="G50" s="5"/>
      <c r="H50" s="5"/>
      <c r="I50" s="5"/>
      <c r="J50" s="5"/>
      <c r="K50" s="5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11"/>
      <c r="AX50" s="11"/>
      <c r="AY50" s="11"/>
      <c r="AZ50" s="5"/>
      <c r="BA50" s="5"/>
      <c r="BB50" s="5"/>
      <c r="BC50" s="5"/>
      <c r="BD50" s="5"/>
      <c r="BE50" s="5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5"/>
      <c r="BV50" s="5"/>
      <c r="BW50" s="11"/>
      <c r="BX50" s="11"/>
      <c r="BY50" s="11"/>
      <c r="BZ50" s="11"/>
      <c r="CA50" s="11"/>
      <c r="CB50" s="11"/>
      <c r="CC50" s="5"/>
      <c r="CH50" s="5"/>
      <c r="CI50" s="11"/>
      <c r="CJ50" s="11">
        <v>4</v>
      </c>
      <c r="CK50" s="11">
        <v>7.5</v>
      </c>
      <c r="CL50" s="11"/>
      <c r="CM50" s="5"/>
      <c r="CN50" s="5"/>
      <c r="CO50" s="5">
        <f t="shared" si="8"/>
        <v>11.5</v>
      </c>
      <c r="DH50" s="5"/>
      <c r="DI50" s="5"/>
      <c r="DJ50" s="11"/>
      <c r="DK50" s="11"/>
      <c r="DL50" s="11"/>
      <c r="DM50" s="11"/>
      <c r="DN50" s="11"/>
      <c r="DO50" s="11"/>
      <c r="DP50" s="11"/>
      <c r="DQ50" s="5">
        <f t="shared" si="7"/>
        <v>0</v>
      </c>
      <c r="DR50" s="5">
        <f t="shared" si="9"/>
        <v>0</v>
      </c>
      <c r="DS50" s="5"/>
      <c r="DT50" s="11"/>
      <c r="DU50" s="11"/>
      <c r="DV50" s="5">
        <f t="shared" si="10"/>
        <v>0</v>
      </c>
    </row>
    <row r="51" spans="1:126" x14ac:dyDescent="0.25">
      <c r="A51">
        <v>41</v>
      </c>
      <c r="B51" s="5" t="s">
        <v>673</v>
      </c>
      <c r="C51" s="5"/>
      <c r="D51" s="5" t="s">
        <v>350</v>
      </c>
      <c r="E51" s="5" t="s">
        <v>674</v>
      </c>
      <c r="F51" s="5"/>
      <c r="G51" s="5"/>
      <c r="H51" s="5"/>
      <c r="I51" s="5"/>
      <c r="J51" s="5"/>
      <c r="K51" s="5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11"/>
      <c r="AX51" s="11"/>
      <c r="AY51" s="11"/>
      <c r="AZ51" s="5"/>
      <c r="BA51" s="5"/>
      <c r="BB51" s="5"/>
      <c r="BC51" s="5"/>
      <c r="BD51" s="5"/>
      <c r="BE51" s="5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5"/>
      <c r="BV51" s="5"/>
      <c r="BW51" s="11"/>
      <c r="BX51" s="11"/>
      <c r="BY51" s="11"/>
      <c r="BZ51" s="11"/>
      <c r="CA51" s="11"/>
      <c r="CB51" s="11"/>
      <c r="CC51" s="5"/>
      <c r="CH51" s="5"/>
      <c r="CI51" s="11">
        <v>3</v>
      </c>
      <c r="CJ51" s="11"/>
      <c r="CK51" s="11">
        <v>7.5</v>
      </c>
      <c r="CL51" s="11"/>
      <c r="CM51" s="5"/>
      <c r="CN51" s="5"/>
      <c r="CO51" s="5">
        <f t="shared" si="8"/>
        <v>10.5</v>
      </c>
      <c r="DH51" s="5"/>
      <c r="DI51" s="5"/>
      <c r="DJ51" s="11"/>
      <c r="DK51" s="11"/>
      <c r="DL51" s="11"/>
      <c r="DM51" s="11"/>
      <c r="DN51" s="11"/>
      <c r="DO51" s="11"/>
      <c r="DP51" s="11"/>
      <c r="DQ51" s="5">
        <f t="shared" si="7"/>
        <v>0</v>
      </c>
      <c r="DR51" s="5">
        <f t="shared" si="9"/>
        <v>0</v>
      </c>
      <c r="DS51" s="5"/>
      <c r="DT51" s="11"/>
      <c r="DU51" s="11"/>
      <c r="DV51" s="5">
        <f t="shared" si="10"/>
        <v>0</v>
      </c>
    </row>
    <row r="52" spans="1:126" x14ac:dyDescent="0.25">
      <c r="A52">
        <v>42</v>
      </c>
      <c r="B52" s="5" t="s">
        <v>127</v>
      </c>
      <c r="C52" s="5"/>
      <c r="D52" s="5" t="s">
        <v>338</v>
      </c>
      <c r="E52" s="5" t="s">
        <v>122</v>
      </c>
      <c r="F52" s="5"/>
      <c r="G52" s="5"/>
      <c r="H52" s="5"/>
      <c r="I52" s="5"/>
      <c r="J52" s="5"/>
      <c r="K52" s="5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11"/>
      <c r="AX52" s="11">
        <v>2.4</v>
      </c>
      <c r="AY52" s="11"/>
      <c r="AZ52" s="5"/>
      <c r="BA52" s="5"/>
      <c r="BB52" s="5"/>
      <c r="BC52" s="5"/>
      <c r="BD52" s="5"/>
      <c r="BE52" s="5"/>
      <c r="BF52" s="11"/>
      <c r="BG52" s="11">
        <v>40</v>
      </c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>
        <v>7.5</v>
      </c>
      <c r="BT52" s="11"/>
      <c r="BU52" s="5">
        <f>SUM(AV52:BT52)</f>
        <v>49.9</v>
      </c>
      <c r="BV52" s="5">
        <f>(BU52-AV52)/2</f>
        <v>24.95</v>
      </c>
      <c r="BW52" s="11"/>
      <c r="BX52" s="11">
        <v>4</v>
      </c>
      <c r="BY52" s="11">
        <v>7.5</v>
      </c>
      <c r="BZ52" s="11">
        <v>7.5</v>
      </c>
      <c r="CA52" s="11"/>
      <c r="CB52" s="11"/>
      <c r="CC52" s="5">
        <f>SUM(BV52:CB52)</f>
        <v>43.95</v>
      </c>
      <c r="CH52" s="5">
        <f>(CC52-BV52)/2</f>
        <v>9.5000000000000018</v>
      </c>
      <c r="CI52" s="11"/>
      <c r="CJ52" s="11"/>
      <c r="CK52" s="11"/>
      <c r="CL52" s="11"/>
      <c r="CM52" s="5"/>
      <c r="CN52" s="5"/>
      <c r="CO52" s="5">
        <f t="shared" si="8"/>
        <v>9.5000000000000018</v>
      </c>
      <c r="CX52">
        <f>SUM(CQ52:CW52)</f>
        <v>0</v>
      </c>
      <c r="CY52">
        <f>CX52/2</f>
        <v>0</v>
      </c>
      <c r="CZ52">
        <f>BU52/4</f>
        <v>12.475</v>
      </c>
      <c r="DH52" s="5">
        <f>SUM(CY52:DG52)</f>
        <v>12.475</v>
      </c>
      <c r="DI52" s="5">
        <f>(DH52-CY52)/2</f>
        <v>6.2374999999999998</v>
      </c>
      <c r="DJ52" s="11"/>
      <c r="DK52" s="11"/>
      <c r="DL52" s="11"/>
      <c r="DM52" s="11"/>
      <c r="DN52" s="11"/>
      <c r="DO52" s="11"/>
      <c r="DP52" s="11"/>
      <c r="DQ52" s="5">
        <f t="shared" si="7"/>
        <v>6.2374999999999998</v>
      </c>
      <c r="DR52" s="5">
        <f t="shared" si="9"/>
        <v>0</v>
      </c>
      <c r="DS52" s="5"/>
      <c r="DT52" s="11"/>
      <c r="DU52" s="11"/>
      <c r="DV52" s="5">
        <f t="shared" si="10"/>
        <v>0</v>
      </c>
    </row>
    <row r="53" spans="1:126" x14ac:dyDescent="0.25">
      <c r="A53">
        <v>43</v>
      </c>
      <c r="B53" s="5" t="s">
        <v>571</v>
      </c>
      <c r="C53" s="5"/>
      <c r="D53" s="5" t="s">
        <v>559</v>
      </c>
      <c r="E53" s="5" t="s">
        <v>8</v>
      </c>
      <c r="F53" s="5"/>
      <c r="G53" s="5"/>
      <c r="H53" s="5"/>
      <c r="I53" s="5"/>
      <c r="J53" s="5"/>
      <c r="K53" s="5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11"/>
      <c r="AX53" s="11"/>
      <c r="AY53" s="11"/>
      <c r="AZ53" s="5"/>
      <c r="BA53" s="5"/>
      <c r="BB53" s="5"/>
      <c r="BC53" s="5"/>
      <c r="BD53" s="5"/>
      <c r="BE53" s="5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5"/>
      <c r="BV53" s="5"/>
      <c r="BW53" s="11"/>
      <c r="BX53" s="11"/>
      <c r="BY53" s="11"/>
      <c r="BZ53" s="11"/>
      <c r="CA53" s="11"/>
      <c r="CB53" s="11"/>
      <c r="CC53" s="5"/>
      <c r="CH53" s="5"/>
      <c r="CI53" s="11"/>
      <c r="CJ53" s="11"/>
      <c r="CK53" s="11">
        <v>7.5</v>
      </c>
      <c r="CL53" s="11"/>
      <c r="CM53" s="5"/>
      <c r="CN53" s="5"/>
      <c r="CO53" s="5">
        <f t="shared" si="8"/>
        <v>7.5</v>
      </c>
      <c r="DH53" s="5"/>
      <c r="DI53" s="5"/>
      <c r="DJ53" s="11"/>
      <c r="DK53" s="11"/>
      <c r="DL53" s="11"/>
      <c r="DM53" s="11"/>
      <c r="DN53" s="11"/>
      <c r="DO53" s="11"/>
      <c r="DP53" s="11"/>
      <c r="DQ53" s="5">
        <f t="shared" si="7"/>
        <v>0</v>
      </c>
      <c r="DR53" s="5">
        <f t="shared" si="9"/>
        <v>0</v>
      </c>
      <c r="DS53" s="5"/>
      <c r="DT53" s="11"/>
      <c r="DU53" s="11"/>
      <c r="DV53" s="5">
        <f t="shared" si="10"/>
        <v>0</v>
      </c>
    </row>
    <row r="54" spans="1:126" x14ac:dyDescent="0.25">
      <c r="A54">
        <v>44</v>
      </c>
      <c r="B54" s="5" t="s">
        <v>566</v>
      </c>
      <c r="C54" s="5"/>
      <c r="D54" s="5" t="s">
        <v>60</v>
      </c>
      <c r="E54" s="5" t="s">
        <v>353</v>
      </c>
      <c r="F54" s="5"/>
      <c r="G54" s="5"/>
      <c r="H54" s="5"/>
      <c r="I54" s="5"/>
      <c r="J54" s="5"/>
      <c r="K54" s="5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11"/>
      <c r="AX54" s="11"/>
      <c r="AY54" s="11"/>
      <c r="AZ54" s="5"/>
      <c r="BA54" s="5"/>
      <c r="BB54" s="5"/>
      <c r="BC54" s="5"/>
      <c r="BD54" s="5"/>
      <c r="BE54" s="5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5"/>
      <c r="BV54" s="5"/>
      <c r="BW54" s="11"/>
      <c r="BX54" s="11"/>
      <c r="BY54" s="11">
        <v>7.5</v>
      </c>
      <c r="BZ54" s="11">
        <v>5</v>
      </c>
      <c r="CA54" s="11"/>
      <c r="CB54" s="11"/>
      <c r="CC54" s="5">
        <f>SUM(BV54:CB54)</f>
        <v>12.5</v>
      </c>
      <c r="CH54" s="5">
        <f>(CC54-BV54)/2</f>
        <v>6.25</v>
      </c>
      <c r="CI54" s="11"/>
      <c r="CJ54" s="11"/>
      <c r="CK54" s="11"/>
      <c r="CL54" s="11"/>
      <c r="CM54" s="5"/>
      <c r="CN54" s="5"/>
      <c r="CO54" s="5">
        <f t="shared" si="8"/>
        <v>6.25</v>
      </c>
      <c r="DH54" s="5"/>
      <c r="DI54" s="5"/>
      <c r="DJ54" s="11"/>
      <c r="DK54" s="11"/>
      <c r="DL54" s="11"/>
      <c r="DM54" s="11"/>
      <c r="DN54" s="11"/>
      <c r="DO54" s="11"/>
      <c r="DP54" s="11"/>
      <c r="DQ54" s="5">
        <f t="shared" si="7"/>
        <v>0</v>
      </c>
      <c r="DR54" s="5">
        <f t="shared" si="9"/>
        <v>0</v>
      </c>
      <c r="DS54" s="5"/>
      <c r="DT54" s="11"/>
      <c r="DU54" s="11"/>
      <c r="DV54" s="5">
        <f t="shared" si="10"/>
        <v>0</v>
      </c>
    </row>
    <row r="55" spans="1:126" x14ac:dyDescent="0.25">
      <c r="A55">
        <v>45</v>
      </c>
      <c r="B55" s="5" t="s">
        <v>716</v>
      </c>
      <c r="C55" s="5"/>
      <c r="D55" s="5" t="s">
        <v>717</v>
      </c>
      <c r="E55" s="5" t="s">
        <v>518</v>
      </c>
      <c r="F55" s="5"/>
      <c r="G55" s="5"/>
      <c r="H55" s="5"/>
      <c r="I55" s="5"/>
      <c r="J55" s="5"/>
      <c r="K55" s="5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11"/>
      <c r="AX55" s="11"/>
      <c r="AY55" s="11"/>
      <c r="AZ55" s="5"/>
      <c r="BA55" s="5"/>
      <c r="BB55" s="5"/>
      <c r="BC55" s="5"/>
      <c r="BD55" s="5"/>
      <c r="BE55" s="5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5"/>
      <c r="BV55" s="5"/>
      <c r="BW55" s="11"/>
      <c r="BX55" s="11"/>
      <c r="BY55" s="11"/>
      <c r="BZ55" s="11"/>
      <c r="CA55" s="11"/>
      <c r="CB55" s="11"/>
      <c r="CC55" s="5"/>
      <c r="CH55" s="5"/>
      <c r="CI55" s="11"/>
      <c r="CJ55" s="11">
        <v>4</v>
      </c>
      <c r="CK55" s="11"/>
      <c r="CL55" s="11"/>
      <c r="CM55" s="5"/>
      <c r="CN55" s="5"/>
      <c r="CO55" s="5">
        <f t="shared" si="8"/>
        <v>4</v>
      </c>
      <c r="DH55" s="5"/>
      <c r="DI55" s="5"/>
      <c r="DJ55" s="11"/>
      <c r="DK55" s="11"/>
      <c r="DL55" s="11"/>
      <c r="DM55" s="11"/>
      <c r="DN55" s="11"/>
      <c r="DO55" s="11"/>
      <c r="DP55" s="11"/>
      <c r="DQ55" s="5">
        <f t="shared" si="7"/>
        <v>0</v>
      </c>
      <c r="DR55" s="5">
        <f t="shared" si="9"/>
        <v>0</v>
      </c>
      <c r="DS55" s="5"/>
      <c r="DT55" s="11"/>
      <c r="DU55" s="11"/>
      <c r="DV55" s="5">
        <f t="shared" si="10"/>
        <v>0</v>
      </c>
    </row>
    <row r="56" spans="1:126" x14ac:dyDescent="0.25">
      <c r="A56">
        <v>46</v>
      </c>
      <c r="B56" s="5" t="s">
        <v>41</v>
      </c>
      <c r="C56" s="5"/>
      <c r="D56" s="5" t="s">
        <v>272</v>
      </c>
      <c r="E56" s="5" t="s">
        <v>8</v>
      </c>
      <c r="F56" s="5"/>
      <c r="G56" s="5"/>
      <c r="H56" s="5"/>
      <c r="I56" s="5"/>
      <c r="J56" s="5"/>
      <c r="K56" s="5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11"/>
      <c r="AX56" s="11"/>
      <c r="AY56" s="11"/>
      <c r="AZ56" s="5"/>
      <c r="BA56" s="5"/>
      <c r="BB56" s="5"/>
      <c r="BC56" s="5"/>
      <c r="BD56" s="5"/>
      <c r="BE56" s="5">
        <v>105</v>
      </c>
      <c r="BF56" s="11"/>
      <c r="BG56" s="11"/>
      <c r="BH56" s="11"/>
      <c r="BI56" s="11"/>
      <c r="BJ56" s="11">
        <v>7.5</v>
      </c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5">
        <f>SUM(AV56:BT56)</f>
        <v>112.5</v>
      </c>
      <c r="BV56" s="5">
        <f>(BU56-AV56)/2</f>
        <v>56.25</v>
      </c>
      <c r="BW56" s="11"/>
      <c r="BX56" s="11"/>
      <c r="BY56" s="11">
        <v>7.5</v>
      </c>
      <c r="BZ56" s="11"/>
      <c r="CA56" s="11"/>
      <c r="CB56" s="11"/>
      <c r="CC56" s="5">
        <f>SUM(BV56:CB56)</f>
        <v>63.75</v>
      </c>
      <c r="CH56" s="5">
        <f>(CC56-BV56)/2</f>
        <v>3.75</v>
      </c>
      <c r="CI56" s="11"/>
      <c r="CJ56" s="11"/>
      <c r="CK56" s="11"/>
      <c r="CL56" s="11"/>
      <c r="CM56" s="5"/>
      <c r="CN56" s="5"/>
      <c r="CO56" s="5">
        <f t="shared" si="8"/>
        <v>3.75</v>
      </c>
      <c r="CX56">
        <f>SUM(CQ56:CW56)</f>
        <v>0</v>
      </c>
      <c r="CY56">
        <f>CX56/2</f>
        <v>0</v>
      </c>
      <c r="CZ56">
        <f>BU56/4</f>
        <v>28.125</v>
      </c>
      <c r="DH56" s="5">
        <f>SUM(CY56:DG56)</f>
        <v>28.125</v>
      </c>
      <c r="DI56" s="5">
        <f>(DH56-CY56)/2</f>
        <v>14.0625</v>
      </c>
      <c r="DJ56" s="11"/>
      <c r="DK56" s="11"/>
      <c r="DL56" s="11"/>
      <c r="DM56" s="11"/>
      <c r="DN56" s="11"/>
      <c r="DO56" s="11"/>
      <c r="DP56" s="11"/>
      <c r="DQ56" s="5">
        <f t="shared" si="7"/>
        <v>14.0625</v>
      </c>
      <c r="DR56" s="5">
        <f t="shared" si="9"/>
        <v>0</v>
      </c>
      <c r="DS56" s="5"/>
      <c r="DT56" s="11"/>
      <c r="DU56" s="11"/>
      <c r="DV56" s="5">
        <f t="shared" si="10"/>
        <v>0</v>
      </c>
    </row>
    <row r="57" spans="1:126" x14ac:dyDescent="0.25">
      <c r="A57">
        <v>47</v>
      </c>
      <c r="B57" s="5" t="s">
        <v>737</v>
      </c>
      <c r="C57" s="5"/>
      <c r="D57" s="5" t="s">
        <v>60</v>
      </c>
      <c r="E57" s="5" t="s">
        <v>253</v>
      </c>
      <c r="F57" s="5"/>
      <c r="G57" s="5"/>
      <c r="H57" s="5"/>
      <c r="I57" s="5"/>
      <c r="J57" s="5"/>
      <c r="K57" s="5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11"/>
      <c r="AX57" s="11"/>
      <c r="AY57" s="11"/>
      <c r="AZ57" s="5"/>
      <c r="BA57" s="5"/>
      <c r="BB57" s="5"/>
      <c r="BC57" s="5"/>
      <c r="BD57" s="5"/>
      <c r="BE57" s="5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5"/>
      <c r="BV57" s="5"/>
      <c r="BW57" s="11"/>
      <c r="BX57" s="11"/>
      <c r="BY57" s="11"/>
      <c r="BZ57" s="11"/>
      <c r="CA57" s="11"/>
      <c r="CB57" s="11"/>
      <c r="CC57" s="5"/>
      <c r="CH57" s="5"/>
      <c r="CI57" s="11">
        <v>3</v>
      </c>
      <c r="CJ57" s="11"/>
      <c r="CK57" s="11"/>
      <c r="CL57" s="11"/>
      <c r="CM57" s="5"/>
      <c r="CN57" s="5"/>
      <c r="CO57" s="5">
        <f t="shared" si="8"/>
        <v>3</v>
      </c>
      <c r="DH57" s="5"/>
      <c r="DI57" s="5"/>
      <c r="DJ57" s="11"/>
      <c r="DK57" s="11"/>
      <c r="DL57" s="11"/>
      <c r="DM57" s="11"/>
      <c r="DN57" s="11"/>
      <c r="DO57" s="11"/>
      <c r="DP57" s="11"/>
      <c r="DQ57" s="5">
        <f t="shared" si="7"/>
        <v>0</v>
      </c>
      <c r="DR57" s="5">
        <f t="shared" si="9"/>
        <v>0</v>
      </c>
      <c r="DS57" s="5"/>
      <c r="DT57" s="11"/>
      <c r="DU57" s="11"/>
      <c r="DV57" s="5">
        <f t="shared" si="10"/>
        <v>0</v>
      </c>
    </row>
    <row r="58" spans="1:126" x14ac:dyDescent="0.25">
      <c r="A58">
        <v>48</v>
      </c>
      <c r="B58" s="5" t="s">
        <v>90</v>
      </c>
      <c r="C58" s="5"/>
      <c r="D58" s="5" t="s">
        <v>86</v>
      </c>
      <c r="E58" s="5" t="s">
        <v>69</v>
      </c>
      <c r="F58" s="5"/>
      <c r="G58" s="5"/>
      <c r="H58" s="5"/>
      <c r="I58" s="5"/>
      <c r="J58" s="5"/>
      <c r="K58" s="5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11"/>
      <c r="AX58" s="11"/>
      <c r="AY58" s="11"/>
      <c r="AZ58" s="5"/>
      <c r="BA58" s="5"/>
      <c r="BB58" s="5"/>
      <c r="BC58" s="5"/>
      <c r="BD58" s="5"/>
      <c r="BE58" s="5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5"/>
      <c r="BV58" s="5"/>
      <c r="BW58" s="11"/>
      <c r="BX58" s="11"/>
      <c r="BY58" s="11">
        <v>5</v>
      </c>
      <c r="BZ58" s="11"/>
      <c r="CA58" s="11"/>
      <c r="CB58" s="11"/>
      <c r="CC58" s="5">
        <f t="shared" ref="CC58:CC82" si="11">SUM(BV58:CB58)</f>
        <v>5</v>
      </c>
      <c r="CH58" s="5">
        <f t="shared" ref="CH58:CH82" si="12">(CC58-BV58)/2</f>
        <v>2.5</v>
      </c>
      <c r="CI58" s="11"/>
      <c r="CJ58" s="11"/>
      <c r="CK58" s="11"/>
      <c r="CL58" s="11"/>
      <c r="CM58" s="5"/>
      <c r="CN58" s="5"/>
      <c r="CO58" s="5">
        <f t="shared" si="8"/>
        <v>2.5</v>
      </c>
      <c r="DH58" s="5"/>
      <c r="DI58" s="5"/>
      <c r="DJ58" s="11"/>
      <c r="DK58" s="11"/>
      <c r="DL58" s="11"/>
      <c r="DM58" s="11"/>
      <c r="DN58" s="11"/>
      <c r="DO58" s="11"/>
      <c r="DP58" s="11"/>
      <c r="DQ58" s="5">
        <f t="shared" si="7"/>
        <v>0</v>
      </c>
      <c r="DR58" s="5">
        <f t="shared" si="9"/>
        <v>0</v>
      </c>
      <c r="DS58" s="5"/>
      <c r="DT58" s="11"/>
      <c r="DU58" s="11"/>
      <c r="DV58" s="5">
        <f t="shared" si="10"/>
        <v>0</v>
      </c>
    </row>
    <row r="59" spans="1:126" x14ac:dyDescent="0.25">
      <c r="A59">
        <v>49</v>
      </c>
      <c r="B59" s="5" t="s">
        <v>523</v>
      </c>
      <c r="C59" s="5"/>
      <c r="D59" s="5" t="s">
        <v>524</v>
      </c>
      <c r="E59" s="5" t="s">
        <v>520</v>
      </c>
      <c r="F59" s="5"/>
      <c r="G59" s="5"/>
      <c r="H59" s="5"/>
      <c r="I59" s="5"/>
      <c r="J59" s="5"/>
      <c r="K59" s="5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11"/>
      <c r="AX59" s="11"/>
      <c r="AY59" s="11"/>
      <c r="AZ59" s="5"/>
      <c r="BA59" s="5"/>
      <c r="BB59" s="5"/>
      <c r="BC59" s="5"/>
      <c r="BD59" s="5"/>
      <c r="BE59" s="5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5"/>
      <c r="BV59" s="5"/>
      <c r="BW59" s="11">
        <v>2.4</v>
      </c>
      <c r="BX59" s="11"/>
      <c r="BY59" s="11"/>
      <c r="BZ59" s="11"/>
      <c r="CA59" s="11"/>
      <c r="CB59" s="11"/>
      <c r="CC59" s="5">
        <f t="shared" si="11"/>
        <v>2.4</v>
      </c>
      <c r="CH59" s="5">
        <f t="shared" si="12"/>
        <v>1.2</v>
      </c>
      <c r="CI59" s="11"/>
      <c r="CJ59" s="11"/>
      <c r="CK59" s="11"/>
      <c r="CL59" s="11"/>
      <c r="CM59" s="5"/>
      <c r="CN59" s="5"/>
      <c r="CO59" s="5">
        <f t="shared" si="8"/>
        <v>1.2</v>
      </c>
      <c r="DH59" s="5"/>
      <c r="DI59" s="5"/>
      <c r="DJ59" s="11"/>
      <c r="DK59" s="11"/>
      <c r="DL59" s="11"/>
      <c r="DM59" s="11"/>
      <c r="DN59" s="11"/>
      <c r="DO59" s="11"/>
      <c r="DP59" s="11"/>
      <c r="DQ59" s="5">
        <f t="shared" si="7"/>
        <v>0</v>
      </c>
      <c r="DR59" s="5">
        <f t="shared" si="9"/>
        <v>0</v>
      </c>
      <c r="DS59" s="5"/>
      <c r="DT59" s="11"/>
      <c r="DU59" s="11"/>
      <c r="DV59" s="5">
        <f t="shared" si="10"/>
        <v>0</v>
      </c>
    </row>
    <row r="60" spans="1:126" x14ac:dyDescent="0.25">
      <c r="A60">
        <v>50</v>
      </c>
      <c r="B60" s="5" t="s">
        <v>245</v>
      </c>
      <c r="C60" s="5"/>
      <c r="D60" s="5" t="s">
        <v>272</v>
      </c>
      <c r="E60" s="5" t="s">
        <v>247</v>
      </c>
      <c r="F60" s="5"/>
      <c r="G60" s="5"/>
      <c r="H60" s="5"/>
      <c r="I60" s="5"/>
      <c r="J60" s="5"/>
      <c r="K60" s="5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11"/>
      <c r="AX60" s="11"/>
      <c r="AY60" s="11"/>
      <c r="AZ60" s="5"/>
      <c r="BA60" s="5"/>
      <c r="BB60" s="5"/>
      <c r="BC60" s="5"/>
      <c r="BD60" s="5"/>
      <c r="BE60" s="5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5"/>
      <c r="BV60" s="5"/>
      <c r="BW60" s="11">
        <v>2.4</v>
      </c>
      <c r="BX60" s="11"/>
      <c r="BY60" s="11"/>
      <c r="BZ60" s="11"/>
      <c r="CA60" s="11"/>
      <c r="CB60" s="11"/>
      <c r="CC60" s="5">
        <f t="shared" si="11"/>
        <v>2.4</v>
      </c>
      <c r="CH60" s="5">
        <f t="shared" si="12"/>
        <v>1.2</v>
      </c>
      <c r="CI60" s="11"/>
      <c r="CJ60" s="11"/>
      <c r="CK60" s="11"/>
      <c r="CL60" s="11"/>
      <c r="CM60" s="5"/>
      <c r="CN60" s="5"/>
      <c r="CO60" s="5">
        <f t="shared" si="8"/>
        <v>1.2</v>
      </c>
      <c r="DH60" s="5"/>
      <c r="DI60" s="5"/>
      <c r="DJ60" s="11"/>
      <c r="DK60" s="11"/>
      <c r="DL60" s="11"/>
      <c r="DM60" s="11"/>
      <c r="DN60" s="11"/>
      <c r="DO60" s="11"/>
      <c r="DP60" s="11"/>
      <c r="DQ60" s="5">
        <f t="shared" si="7"/>
        <v>0</v>
      </c>
      <c r="DR60" s="5">
        <f t="shared" si="9"/>
        <v>0</v>
      </c>
      <c r="DS60" s="5"/>
      <c r="DT60" s="11"/>
      <c r="DU60" s="11"/>
      <c r="DV60" s="5">
        <f t="shared" si="10"/>
        <v>0</v>
      </c>
    </row>
    <row r="61" spans="1:126" x14ac:dyDescent="0.25">
      <c r="A61">
        <v>51</v>
      </c>
      <c r="B61" s="5" t="s">
        <v>241</v>
      </c>
      <c r="C61" s="5"/>
      <c r="D61" s="5" t="s">
        <v>157</v>
      </c>
      <c r="E61" s="5" t="s">
        <v>611</v>
      </c>
      <c r="F61" s="5"/>
      <c r="G61" s="5"/>
      <c r="H61" s="5"/>
      <c r="I61" s="5"/>
      <c r="J61" s="5"/>
      <c r="K61" s="5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11"/>
      <c r="AX61" s="11"/>
      <c r="AY61" s="11"/>
      <c r="AZ61" s="5"/>
      <c r="BA61" s="5"/>
      <c r="BB61" s="5"/>
      <c r="BC61" s="5"/>
      <c r="BD61" s="5"/>
      <c r="BE61" s="5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5"/>
      <c r="BV61" s="5"/>
      <c r="BW61" s="11">
        <v>2.4</v>
      </c>
      <c r="BX61" s="11"/>
      <c r="BY61" s="11"/>
      <c r="BZ61" s="11"/>
      <c r="CA61" s="11"/>
      <c r="CB61" s="11"/>
      <c r="CC61" s="5">
        <f t="shared" si="11"/>
        <v>2.4</v>
      </c>
      <c r="CH61" s="5">
        <f t="shared" si="12"/>
        <v>1.2</v>
      </c>
      <c r="CI61" s="11"/>
      <c r="CJ61" s="11"/>
      <c r="CK61" s="11"/>
      <c r="CL61" s="11"/>
      <c r="CM61" s="5"/>
      <c r="CN61" s="5"/>
      <c r="CO61" s="5">
        <f t="shared" si="8"/>
        <v>1.2</v>
      </c>
      <c r="DH61" s="5"/>
      <c r="DI61" s="5"/>
      <c r="DJ61" s="11"/>
      <c r="DK61" s="11"/>
      <c r="DL61" s="11"/>
      <c r="DM61" s="11"/>
      <c r="DN61" s="11"/>
      <c r="DO61" s="11"/>
      <c r="DP61" s="11"/>
      <c r="DQ61" s="5">
        <f t="shared" si="7"/>
        <v>0</v>
      </c>
      <c r="DR61" s="5">
        <f t="shared" si="9"/>
        <v>0</v>
      </c>
      <c r="DS61" s="5"/>
      <c r="DT61" s="11"/>
      <c r="DU61" s="11"/>
      <c r="DV61" s="5">
        <f t="shared" si="10"/>
        <v>0</v>
      </c>
    </row>
    <row r="62" spans="1:126" x14ac:dyDescent="0.25">
      <c r="A62">
        <v>52</v>
      </c>
      <c r="B62" s="5" t="s">
        <v>85</v>
      </c>
      <c r="C62" s="5"/>
      <c r="D62" s="5" t="s">
        <v>86</v>
      </c>
      <c r="E62" s="5" t="s">
        <v>75</v>
      </c>
      <c r="F62" s="5"/>
      <c r="G62" s="5"/>
      <c r="H62" s="5"/>
      <c r="I62" s="5"/>
      <c r="J62" s="5"/>
      <c r="K62" s="5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42</v>
      </c>
      <c r="AR62" s="5"/>
      <c r="AS62" s="5"/>
      <c r="AT62" s="5"/>
      <c r="AU62" s="5">
        <f>SUM(AF62:AT62)</f>
        <v>42</v>
      </c>
      <c r="AV62" s="5">
        <f>(AU62-AF62)/2</f>
        <v>21</v>
      </c>
      <c r="AW62" s="11"/>
      <c r="AX62" s="11"/>
      <c r="AY62" s="11">
        <v>3</v>
      </c>
      <c r="AZ62" s="5"/>
      <c r="BA62" s="5"/>
      <c r="BB62" s="5"/>
      <c r="BC62" s="5"/>
      <c r="BD62" s="5"/>
      <c r="BE62" s="5">
        <v>75</v>
      </c>
      <c r="BF62" s="11">
        <v>50</v>
      </c>
      <c r="BG62" s="11"/>
      <c r="BH62" s="11">
        <v>40</v>
      </c>
      <c r="BI62" s="11"/>
      <c r="BJ62" s="11">
        <v>7.5</v>
      </c>
      <c r="BK62" s="11">
        <v>42</v>
      </c>
      <c r="BL62" s="11"/>
      <c r="BM62" s="11"/>
      <c r="BN62" s="11"/>
      <c r="BO62" s="11"/>
      <c r="BP62" s="11"/>
      <c r="BQ62" s="11"/>
      <c r="BR62" s="11"/>
      <c r="BS62" s="11"/>
      <c r="BT62" s="11"/>
      <c r="BU62" s="5">
        <f t="shared" ref="BU62:BU81" si="13">SUM(AV62:BT62)</f>
        <v>238.5</v>
      </c>
      <c r="BV62" s="5">
        <f t="shared" ref="BV62:BV81" si="14">(BU62-AV62)/2</f>
        <v>108.75</v>
      </c>
      <c r="BW62" s="11"/>
      <c r="BX62" s="11"/>
      <c r="BY62" s="11"/>
      <c r="BZ62" s="11"/>
      <c r="CA62" s="11"/>
      <c r="CB62" s="11"/>
      <c r="CC62" s="5">
        <f t="shared" si="11"/>
        <v>108.75</v>
      </c>
      <c r="CH62" s="5">
        <f t="shared" si="12"/>
        <v>0</v>
      </c>
      <c r="CI62" s="11"/>
      <c r="CJ62" s="11"/>
      <c r="CK62" s="11"/>
      <c r="CL62" s="11"/>
      <c r="CM62" s="5"/>
      <c r="CN62" s="5"/>
      <c r="CO62" s="5">
        <f t="shared" si="8"/>
        <v>0</v>
      </c>
      <c r="CQ62">
        <f>AU62/4</f>
        <v>10.5</v>
      </c>
      <c r="CX62">
        <f t="shared" ref="CX62:CX80" si="15">SUM(CQ62:CW62)</f>
        <v>10.5</v>
      </c>
      <c r="CY62">
        <f t="shared" ref="CY62:CY80" si="16">CX62/2</f>
        <v>5.25</v>
      </c>
      <c r="CZ62">
        <f t="shared" ref="CZ62:CZ80" si="17">BU62/4</f>
        <v>59.625</v>
      </c>
      <c r="DH62" s="5">
        <f>SUM(CY62:DG62)</f>
        <v>64.875</v>
      </c>
      <c r="DI62" s="5">
        <f t="shared" ref="DI62:DI81" si="18">(DH62-CY62)/2</f>
        <v>29.8125</v>
      </c>
      <c r="DJ62" s="11"/>
      <c r="DK62" s="11"/>
      <c r="DL62" s="11"/>
      <c r="DM62" s="11"/>
      <c r="DN62" s="11"/>
      <c r="DO62" s="11"/>
      <c r="DP62" s="11"/>
      <c r="DQ62" s="5">
        <f t="shared" si="7"/>
        <v>29.8125</v>
      </c>
      <c r="DR62" s="5">
        <f t="shared" si="9"/>
        <v>0</v>
      </c>
      <c r="DS62" s="5"/>
      <c r="DT62" s="11"/>
      <c r="DU62" s="11"/>
      <c r="DV62" s="5">
        <f t="shared" si="10"/>
        <v>0</v>
      </c>
    </row>
    <row r="63" spans="1:126" x14ac:dyDescent="0.25">
      <c r="A63">
        <v>53</v>
      </c>
      <c r="B63" s="5" t="s">
        <v>108</v>
      </c>
      <c r="C63" s="5" t="s">
        <v>116</v>
      </c>
      <c r="D63" s="5" t="s">
        <v>62</v>
      </c>
      <c r="E63" s="5" t="s">
        <v>75</v>
      </c>
      <c r="F63" s="11"/>
      <c r="G63" s="5"/>
      <c r="H63" s="5"/>
      <c r="I63" s="5"/>
      <c r="J63" s="5"/>
      <c r="K63" s="5"/>
      <c r="L63" s="11">
        <v>26</v>
      </c>
      <c r="M63" s="11"/>
      <c r="N63" s="11"/>
      <c r="O63" s="11">
        <v>40</v>
      </c>
      <c r="P63" s="11"/>
      <c r="Q63" s="11"/>
      <c r="R63" s="11">
        <v>5</v>
      </c>
      <c r="S63" s="11"/>
      <c r="T63" s="11"/>
      <c r="U63" s="11"/>
      <c r="V63" s="11"/>
      <c r="W63" s="11"/>
      <c r="X63" s="11"/>
      <c r="Y63" s="11">
        <v>3</v>
      </c>
      <c r="Z63" s="11"/>
      <c r="AA63" s="11"/>
      <c r="AB63" s="11">
        <v>2.4</v>
      </c>
      <c r="AC63" s="11"/>
      <c r="AD63" s="11">
        <v>75</v>
      </c>
      <c r="AE63" s="6">
        <f>SUM(F63:AD63)</f>
        <v>151.4</v>
      </c>
      <c r="AF63" s="5">
        <f>AE63/2</f>
        <v>75.7</v>
      </c>
      <c r="AG63" s="5"/>
      <c r="AH63" s="5"/>
      <c r="AI63" s="5"/>
      <c r="AJ63" s="5">
        <v>50</v>
      </c>
      <c r="AK63" s="5"/>
      <c r="AL63" s="5"/>
      <c r="AM63" s="5"/>
      <c r="AN63" s="5"/>
      <c r="AO63" s="5">
        <v>3.2</v>
      </c>
      <c r="AP63" s="5">
        <v>36</v>
      </c>
      <c r="AQ63" s="5">
        <v>30</v>
      </c>
      <c r="AR63" s="5"/>
      <c r="AS63" s="5">
        <v>50</v>
      </c>
      <c r="AT63" s="5">
        <v>75</v>
      </c>
      <c r="AU63" s="5">
        <f>SUM(AF63:AT63)</f>
        <v>319.89999999999998</v>
      </c>
      <c r="AV63" s="5">
        <f>(AU63-AF63)/2</f>
        <v>122.1</v>
      </c>
      <c r="AW63" s="11"/>
      <c r="AX63" s="11"/>
      <c r="AY63" s="11">
        <v>30</v>
      </c>
      <c r="AZ63" s="5"/>
      <c r="BA63" s="5"/>
      <c r="BB63" s="5"/>
      <c r="BC63" s="5"/>
      <c r="BD63" s="5"/>
      <c r="BE63" s="5">
        <v>75</v>
      </c>
      <c r="BF63" s="11"/>
      <c r="BG63" s="11"/>
      <c r="BH63" s="11">
        <v>4</v>
      </c>
      <c r="BI63" s="11"/>
      <c r="BJ63" s="11">
        <v>54</v>
      </c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5">
        <f t="shared" si="13"/>
        <v>285.10000000000002</v>
      </c>
      <c r="BV63" s="5">
        <f t="shared" si="14"/>
        <v>81.500000000000014</v>
      </c>
      <c r="BW63" s="11"/>
      <c r="BX63" s="11"/>
      <c r="BY63" s="11"/>
      <c r="BZ63" s="11"/>
      <c r="CA63" s="11"/>
      <c r="CB63" s="11"/>
      <c r="CC63" s="5">
        <f t="shared" si="11"/>
        <v>81.500000000000014</v>
      </c>
      <c r="CH63" s="5">
        <f t="shared" si="12"/>
        <v>0</v>
      </c>
      <c r="CI63" s="11"/>
      <c r="CJ63" s="11"/>
      <c r="CK63" s="11"/>
      <c r="CL63" s="11"/>
      <c r="CM63" s="5"/>
      <c r="CN63" s="5"/>
      <c r="CO63" s="5">
        <f t="shared" si="8"/>
        <v>0</v>
      </c>
      <c r="CQ63">
        <f>AU63/4</f>
        <v>79.974999999999994</v>
      </c>
      <c r="CR63">
        <v>5</v>
      </c>
      <c r="CW63" s="7">
        <v>36</v>
      </c>
      <c r="CX63">
        <f t="shared" si="15"/>
        <v>120.97499999999999</v>
      </c>
      <c r="CY63">
        <f t="shared" si="16"/>
        <v>60.487499999999997</v>
      </c>
      <c r="CZ63">
        <f t="shared" si="17"/>
        <v>71.275000000000006</v>
      </c>
      <c r="DA63" s="7">
        <v>18</v>
      </c>
      <c r="DH63" s="5">
        <f>SUM(CY63:DA63)</f>
        <v>149.76249999999999</v>
      </c>
      <c r="DI63" s="5">
        <f t="shared" si="18"/>
        <v>44.637499999999996</v>
      </c>
      <c r="DJ63" s="11"/>
      <c r="DK63" s="11"/>
      <c r="DL63" s="11"/>
      <c r="DM63" s="11"/>
      <c r="DN63" s="11"/>
      <c r="DO63" s="11"/>
      <c r="DP63" s="11"/>
      <c r="DQ63" s="5">
        <f t="shared" si="7"/>
        <v>44.637499999999996</v>
      </c>
      <c r="DR63" s="5">
        <f t="shared" si="9"/>
        <v>0</v>
      </c>
      <c r="DS63" s="5"/>
      <c r="DT63" s="11"/>
      <c r="DU63" s="11"/>
      <c r="DV63" s="5">
        <f t="shared" si="10"/>
        <v>0</v>
      </c>
    </row>
    <row r="64" spans="1:126" x14ac:dyDescent="0.25">
      <c r="A64">
        <v>54</v>
      </c>
      <c r="B64" s="5" t="s">
        <v>42</v>
      </c>
      <c r="C64" s="5" t="s">
        <v>43</v>
      </c>
      <c r="D64" s="5" t="s">
        <v>11</v>
      </c>
      <c r="E64" s="5" t="s">
        <v>24</v>
      </c>
      <c r="F64" s="11">
        <v>12</v>
      </c>
      <c r="G64" s="11"/>
      <c r="H64" s="11">
        <v>36</v>
      </c>
      <c r="I64" s="5"/>
      <c r="J64" s="5"/>
      <c r="K64" s="5"/>
      <c r="L64" s="11">
        <v>50</v>
      </c>
      <c r="M64" s="11"/>
      <c r="N64" s="11"/>
      <c r="O64" s="11"/>
      <c r="P64" s="11"/>
      <c r="Q64" s="11">
        <v>56</v>
      </c>
      <c r="R64" s="11">
        <v>36</v>
      </c>
      <c r="S64" s="11"/>
      <c r="T64" s="11"/>
      <c r="U64" s="11">
        <v>36</v>
      </c>
      <c r="V64" s="11"/>
      <c r="W64" s="11"/>
      <c r="X64" s="11"/>
      <c r="Y64" s="11"/>
      <c r="Z64" s="11">
        <v>50</v>
      </c>
      <c r="AA64" s="11"/>
      <c r="AB64" s="11"/>
      <c r="AC64" s="11"/>
      <c r="AD64" s="11">
        <v>54</v>
      </c>
      <c r="AE64" s="6">
        <f>SUM(F64:AD64)</f>
        <v>330</v>
      </c>
      <c r="AF64" s="5">
        <f>AE64/2</f>
        <v>165</v>
      </c>
      <c r="AG64" s="5"/>
      <c r="AH64" s="5"/>
      <c r="AI64" s="5">
        <v>36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f>SUM(AF64:AT64)</f>
        <v>201</v>
      </c>
      <c r="AV64" s="5">
        <f>(AU64-AF64)/2</f>
        <v>18</v>
      </c>
      <c r="AW64" s="11"/>
      <c r="AX64" s="11"/>
      <c r="AY64" s="11"/>
      <c r="AZ64" s="5"/>
      <c r="BA64" s="5"/>
      <c r="BB64" s="5"/>
      <c r="BC64" s="5"/>
      <c r="BD64" s="5"/>
      <c r="BE64" s="5"/>
      <c r="BF64" s="11"/>
      <c r="BG64" s="11"/>
      <c r="BH64" s="11"/>
      <c r="BI64" s="11">
        <v>80</v>
      </c>
      <c r="BJ64" s="11">
        <v>75</v>
      </c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5">
        <f t="shared" si="13"/>
        <v>173</v>
      </c>
      <c r="BV64" s="5">
        <f t="shared" si="14"/>
        <v>77.5</v>
      </c>
      <c r="BW64" s="11"/>
      <c r="BX64" s="11"/>
      <c r="BY64" s="11"/>
      <c r="BZ64" s="11"/>
      <c r="CA64" s="11"/>
      <c r="CB64" s="11"/>
      <c r="CC64" s="5">
        <f t="shared" si="11"/>
        <v>77.5</v>
      </c>
      <c r="CH64" s="5">
        <f t="shared" si="12"/>
        <v>0</v>
      </c>
      <c r="CI64" s="11"/>
      <c r="CJ64" s="11"/>
      <c r="CK64" s="11"/>
      <c r="CL64" s="11"/>
      <c r="CM64" s="5"/>
      <c r="CN64" s="5"/>
      <c r="CO64" s="5">
        <f t="shared" si="8"/>
        <v>0</v>
      </c>
      <c r="CQ64">
        <f>AU64/4</f>
        <v>50.25</v>
      </c>
      <c r="CX64">
        <f t="shared" si="15"/>
        <v>50.25</v>
      </c>
      <c r="CY64">
        <f t="shared" si="16"/>
        <v>25.125</v>
      </c>
      <c r="CZ64">
        <f t="shared" si="17"/>
        <v>43.25</v>
      </c>
      <c r="DH64" s="5">
        <f t="shared" ref="DH64:DH81" si="19">SUM(CY64:DG64)</f>
        <v>68.375</v>
      </c>
      <c r="DI64" s="5">
        <f t="shared" si="18"/>
        <v>21.625</v>
      </c>
      <c r="DJ64" s="11"/>
      <c r="DK64" s="11"/>
      <c r="DL64" s="11"/>
      <c r="DM64" s="11"/>
      <c r="DN64" s="11"/>
      <c r="DO64" s="11"/>
      <c r="DP64" s="11"/>
      <c r="DQ64" s="5">
        <f t="shared" si="7"/>
        <v>21.625</v>
      </c>
      <c r="DR64" s="5">
        <f t="shared" si="9"/>
        <v>0</v>
      </c>
      <c r="DS64" s="5"/>
      <c r="DT64" s="11"/>
      <c r="DU64" s="11"/>
      <c r="DV64" s="5">
        <f t="shared" si="10"/>
        <v>0</v>
      </c>
    </row>
    <row r="65" spans="1:126" x14ac:dyDescent="0.25">
      <c r="A65">
        <v>55</v>
      </c>
      <c r="B65" s="5" t="s">
        <v>47</v>
      </c>
      <c r="C65" s="5"/>
      <c r="D65" s="5" t="s">
        <v>205</v>
      </c>
      <c r="E65" s="5" t="s">
        <v>206</v>
      </c>
      <c r="F65" s="5"/>
      <c r="G65" s="5"/>
      <c r="H65" s="5"/>
      <c r="I65" s="5"/>
      <c r="J65" s="5"/>
      <c r="K65" s="5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5"/>
      <c r="AF65" s="5"/>
      <c r="AG65" s="5"/>
      <c r="AH65" s="5"/>
      <c r="AI65" s="5"/>
      <c r="AJ65" s="5">
        <v>5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f>SUM(AF65:AT65)</f>
        <v>5</v>
      </c>
      <c r="AV65" s="5">
        <f>(AU65-AF65)/2</f>
        <v>2.5</v>
      </c>
      <c r="AW65" s="11"/>
      <c r="AX65" s="11"/>
      <c r="AY65" s="11">
        <v>30</v>
      </c>
      <c r="AZ65" s="5"/>
      <c r="BA65" s="5"/>
      <c r="BB65" s="5"/>
      <c r="BC65" s="5"/>
      <c r="BD65" s="5"/>
      <c r="BE65" s="5">
        <v>7.5</v>
      </c>
      <c r="BF65" s="11">
        <v>26</v>
      </c>
      <c r="BG65" s="11"/>
      <c r="BH65" s="11">
        <v>28.8</v>
      </c>
      <c r="BI65" s="11"/>
      <c r="BJ65" s="11">
        <v>39</v>
      </c>
      <c r="BK65" s="11">
        <v>3</v>
      </c>
      <c r="BL65" s="11"/>
      <c r="BM65" s="11"/>
      <c r="BN65" s="11"/>
      <c r="BO65" s="11"/>
      <c r="BP65" s="11"/>
      <c r="BQ65" s="11"/>
      <c r="BR65" s="11"/>
      <c r="BS65" s="11"/>
      <c r="BT65" s="11">
        <v>10</v>
      </c>
      <c r="BU65" s="5">
        <f t="shared" si="13"/>
        <v>146.80000000000001</v>
      </c>
      <c r="BV65" s="5">
        <f t="shared" si="14"/>
        <v>72.150000000000006</v>
      </c>
      <c r="BW65" s="11"/>
      <c r="BX65" s="11"/>
      <c r="BY65" s="11"/>
      <c r="BZ65" s="11"/>
      <c r="CA65" s="11"/>
      <c r="CB65" s="11"/>
      <c r="CC65" s="5">
        <f t="shared" si="11"/>
        <v>72.150000000000006</v>
      </c>
      <c r="CH65" s="5">
        <f t="shared" si="12"/>
        <v>0</v>
      </c>
      <c r="CI65" s="11"/>
      <c r="CJ65" s="11"/>
      <c r="CK65" s="11"/>
      <c r="CL65" s="11"/>
      <c r="CM65" s="5"/>
      <c r="CN65" s="5"/>
      <c r="CO65" s="5">
        <f t="shared" si="8"/>
        <v>0</v>
      </c>
      <c r="CQ65">
        <f>AU65/4</f>
        <v>1.25</v>
      </c>
      <c r="CX65">
        <f t="shared" si="15"/>
        <v>1.25</v>
      </c>
      <c r="CY65">
        <f t="shared" si="16"/>
        <v>0.625</v>
      </c>
      <c r="CZ65">
        <f t="shared" si="17"/>
        <v>36.700000000000003</v>
      </c>
      <c r="DH65" s="5">
        <f t="shared" si="19"/>
        <v>37.325000000000003</v>
      </c>
      <c r="DI65" s="5">
        <f t="shared" si="18"/>
        <v>18.350000000000001</v>
      </c>
      <c r="DJ65" s="11"/>
      <c r="DK65" s="11"/>
      <c r="DL65" s="11"/>
      <c r="DM65" s="11"/>
      <c r="DN65" s="11"/>
      <c r="DO65" s="11"/>
      <c r="DP65" s="11"/>
      <c r="DQ65" s="5">
        <f t="shared" si="7"/>
        <v>18.350000000000001</v>
      </c>
      <c r="DR65" s="5">
        <f t="shared" si="9"/>
        <v>0</v>
      </c>
      <c r="DS65" s="5"/>
      <c r="DT65" s="11"/>
      <c r="DU65" s="11"/>
      <c r="DV65" s="5">
        <f t="shared" si="10"/>
        <v>0</v>
      </c>
    </row>
    <row r="66" spans="1:126" x14ac:dyDescent="0.25">
      <c r="A66">
        <v>56</v>
      </c>
      <c r="B66" s="5" t="s">
        <v>285</v>
      </c>
      <c r="C66" s="5" t="s">
        <v>367</v>
      </c>
      <c r="D66" s="5" t="s">
        <v>287</v>
      </c>
      <c r="E66" s="5" t="s">
        <v>166</v>
      </c>
      <c r="F66" s="5"/>
      <c r="G66" s="5"/>
      <c r="H66" s="5"/>
      <c r="I66" s="5"/>
      <c r="J66" s="5"/>
      <c r="K66" s="5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7.5</v>
      </c>
      <c r="AU66" s="5">
        <f>SUM(AF66:AT66)</f>
        <v>7.5</v>
      </c>
      <c r="AV66" s="5">
        <f>(AU66-AF66)/2</f>
        <v>3.75</v>
      </c>
      <c r="AW66" s="11"/>
      <c r="AX66" s="11"/>
      <c r="AY66" s="11"/>
      <c r="AZ66" s="5"/>
      <c r="BA66" s="5">
        <v>48</v>
      </c>
      <c r="BB66" s="5"/>
      <c r="BC66" s="5"/>
      <c r="BD66" s="5"/>
      <c r="BE66" s="5">
        <v>7.5</v>
      </c>
      <c r="BF66" s="11">
        <v>5</v>
      </c>
      <c r="BG66" s="11"/>
      <c r="BH66" s="11"/>
      <c r="BI66" s="11">
        <v>4</v>
      </c>
      <c r="BJ66" s="11"/>
      <c r="BK66" s="11"/>
      <c r="BL66" s="11"/>
      <c r="BM66" s="11"/>
      <c r="BN66" s="11"/>
      <c r="BO66" s="11"/>
      <c r="BP66" s="11"/>
      <c r="BQ66" s="11">
        <v>36</v>
      </c>
      <c r="BR66" s="11"/>
      <c r="BS66" s="11"/>
      <c r="BT66" s="11"/>
      <c r="BU66" s="5">
        <f t="shared" si="13"/>
        <v>104.25</v>
      </c>
      <c r="BV66" s="5">
        <f t="shared" si="14"/>
        <v>50.25</v>
      </c>
      <c r="BW66" s="11"/>
      <c r="BX66" s="11"/>
      <c r="BY66" s="11"/>
      <c r="BZ66" s="11"/>
      <c r="CA66" s="11"/>
      <c r="CB66" s="11"/>
      <c r="CC66" s="5">
        <f t="shared" si="11"/>
        <v>50.25</v>
      </c>
      <c r="CH66" s="5">
        <f t="shared" si="12"/>
        <v>0</v>
      </c>
      <c r="CI66" s="11"/>
      <c r="CJ66" s="11"/>
      <c r="CK66" s="11"/>
      <c r="CL66" s="11"/>
      <c r="CM66" s="5"/>
      <c r="CN66" s="5"/>
      <c r="CO66" s="5">
        <f t="shared" si="8"/>
        <v>0</v>
      </c>
      <c r="CQ66">
        <f>AU66/4</f>
        <v>1.875</v>
      </c>
      <c r="CW66" s="7">
        <v>5</v>
      </c>
      <c r="CX66">
        <f t="shared" si="15"/>
        <v>6.875</v>
      </c>
      <c r="CY66">
        <f t="shared" si="16"/>
        <v>3.4375</v>
      </c>
      <c r="CZ66">
        <f t="shared" si="17"/>
        <v>26.0625</v>
      </c>
      <c r="DH66" s="5">
        <f t="shared" si="19"/>
        <v>29.5</v>
      </c>
      <c r="DI66" s="5">
        <f t="shared" si="18"/>
        <v>13.03125</v>
      </c>
      <c r="DJ66" s="11"/>
      <c r="DK66" s="11"/>
      <c r="DL66" s="11"/>
      <c r="DM66" s="11"/>
      <c r="DN66" s="11"/>
      <c r="DO66" s="11"/>
      <c r="DP66" s="11"/>
      <c r="DQ66" s="5">
        <f t="shared" si="7"/>
        <v>13.03125</v>
      </c>
      <c r="DR66" s="5">
        <f t="shared" si="9"/>
        <v>0</v>
      </c>
      <c r="DS66" s="5"/>
      <c r="DT66" s="11"/>
      <c r="DU66" s="11"/>
      <c r="DV66" s="5">
        <f t="shared" si="10"/>
        <v>0</v>
      </c>
    </row>
    <row r="67" spans="1:126" x14ac:dyDescent="0.25">
      <c r="A67">
        <v>57</v>
      </c>
      <c r="B67" s="5" t="s">
        <v>83</v>
      </c>
      <c r="C67" s="5"/>
      <c r="D67" s="5" t="s">
        <v>126</v>
      </c>
      <c r="E67" s="5" t="s">
        <v>76</v>
      </c>
      <c r="F67" s="5"/>
      <c r="G67" s="5"/>
      <c r="H67" s="5"/>
      <c r="I67" s="5"/>
      <c r="J67" s="5"/>
      <c r="K67" s="5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11"/>
      <c r="AX67" s="11"/>
      <c r="AY67" s="11"/>
      <c r="AZ67" s="5"/>
      <c r="BA67" s="5"/>
      <c r="BB67" s="5"/>
      <c r="BC67" s="5"/>
      <c r="BD67" s="5"/>
      <c r="BE67" s="5"/>
      <c r="BF67" s="11"/>
      <c r="BG67" s="11">
        <v>56</v>
      </c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>
        <v>33.6</v>
      </c>
      <c r="BS67" s="11"/>
      <c r="BT67" s="11"/>
      <c r="BU67" s="5">
        <f t="shared" si="13"/>
        <v>89.6</v>
      </c>
      <c r="BV67" s="5">
        <f t="shared" si="14"/>
        <v>44.8</v>
      </c>
      <c r="BW67" s="11"/>
      <c r="BX67" s="11"/>
      <c r="BY67" s="11"/>
      <c r="BZ67" s="11"/>
      <c r="CA67" s="11"/>
      <c r="CB67" s="11"/>
      <c r="CC67" s="5">
        <f t="shared" si="11"/>
        <v>44.8</v>
      </c>
      <c r="CH67" s="5">
        <f t="shared" si="12"/>
        <v>0</v>
      </c>
      <c r="CI67" s="11"/>
      <c r="CJ67" s="11"/>
      <c r="CK67" s="11"/>
      <c r="CL67" s="11"/>
      <c r="CM67" s="5"/>
      <c r="CN67" s="5"/>
      <c r="CO67" s="5">
        <f t="shared" si="8"/>
        <v>0</v>
      </c>
      <c r="CX67">
        <f t="shared" si="15"/>
        <v>0</v>
      </c>
      <c r="CY67">
        <f t="shared" si="16"/>
        <v>0</v>
      </c>
      <c r="CZ67">
        <f t="shared" si="17"/>
        <v>22.4</v>
      </c>
      <c r="DH67" s="5">
        <f t="shared" si="19"/>
        <v>22.4</v>
      </c>
      <c r="DI67" s="5">
        <f t="shared" si="18"/>
        <v>11.2</v>
      </c>
      <c r="DJ67" s="11"/>
      <c r="DK67" s="11"/>
      <c r="DL67" s="11"/>
      <c r="DM67" s="11"/>
      <c r="DN67" s="11"/>
      <c r="DO67" s="11"/>
      <c r="DP67" s="11"/>
      <c r="DQ67" s="5">
        <f t="shared" si="7"/>
        <v>11.2</v>
      </c>
      <c r="DR67" s="5">
        <f t="shared" si="9"/>
        <v>0</v>
      </c>
      <c r="DS67" s="5"/>
      <c r="DT67" s="11"/>
      <c r="DU67" s="11"/>
      <c r="DV67" s="5">
        <f t="shared" si="10"/>
        <v>0</v>
      </c>
    </row>
    <row r="68" spans="1:126" x14ac:dyDescent="0.25">
      <c r="A68">
        <v>58</v>
      </c>
      <c r="B68" s="29" t="s">
        <v>70</v>
      </c>
      <c r="C68" s="29"/>
      <c r="D68" s="29" t="s">
        <v>286</v>
      </c>
      <c r="E68" s="29" t="s">
        <v>460</v>
      </c>
      <c r="F68" s="29"/>
      <c r="G68" s="29"/>
      <c r="H68" s="29"/>
      <c r="I68" s="29"/>
      <c r="J68" s="29"/>
      <c r="K68" s="29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>
        <f>SUM(AF68:AT68)</f>
        <v>0</v>
      </c>
      <c r="AV68" s="29">
        <f>(AU68-AF68)/2</f>
        <v>0</v>
      </c>
      <c r="AW68" s="28"/>
      <c r="AX68" s="28"/>
      <c r="AY68" s="28"/>
      <c r="AZ68" s="29"/>
      <c r="BA68" s="29"/>
      <c r="BB68" s="29"/>
      <c r="BC68" s="29"/>
      <c r="BD68" s="29"/>
      <c r="BE68" s="29"/>
      <c r="BF68" s="28"/>
      <c r="BG68" s="28">
        <v>40</v>
      </c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>
        <v>48</v>
      </c>
      <c r="BS68" s="28"/>
      <c r="BT68" s="28"/>
      <c r="BU68" s="29">
        <f t="shared" si="13"/>
        <v>88</v>
      </c>
      <c r="BV68" s="29">
        <f t="shared" si="14"/>
        <v>44</v>
      </c>
      <c r="BW68" s="28"/>
      <c r="BX68" s="28"/>
      <c r="BY68" s="28"/>
      <c r="BZ68" s="28"/>
      <c r="CA68" s="28"/>
      <c r="CB68" s="28"/>
      <c r="CC68" s="29">
        <f t="shared" si="11"/>
        <v>44</v>
      </c>
      <c r="CH68" s="29">
        <f t="shared" si="12"/>
        <v>0</v>
      </c>
      <c r="CI68" s="28"/>
      <c r="CJ68" s="28"/>
      <c r="CK68" s="28"/>
      <c r="CL68" s="28"/>
      <c r="CM68" s="29"/>
      <c r="CN68" s="29"/>
      <c r="CO68" s="29">
        <f t="shared" si="8"/>
        <v>0</v>
      </c>
      <c r="CQ68">
        <f>AU68/4</f>
        <v>0</v>
      </c>
      <c r="CW68" s="7">
        <v>5</v>
      </c>
      <c r="CX68">
        <f t="shared" si="15"/>
        <v>5</v>
      </c>
      <c r="CY68">
        <f t="shared" si="16"/>
        <v>2.5</v>
      </c>
      <c r="CZ68">
        <f t="shared" si="17"/>
        <v>22</v>
      </c>
      <c r="DH68" s="5">
        <f t="shared" si="19"/>
        <v>24.5</v>
      </c>
      <c r="DI68" s="5">
        <f t="shared" si="18"/>
        <v>11</v>
      </c>
      <c r="DJ68" s="11"/>
      <c r="DK68" s="11"/>
      <c r="DL68" s="11"/>
      <c r="DM68" s="11"/>
      <c r="DN68" s="11"/>
      <c r="DO68" s="11"/>
      <c r="DP68" s="11"/>
      <c r="DQ68" s="5">
        <f t="shared" si="7"/>
        <v>11</v>
      </c>
      <c r="DR68" s="5">
        <f t="shared" si="9"/>
        <v>0</v>
      </c>
      <c r="DS68" s="5"/>
      <c r="DT68" s="11"/>
      <c r="DU68" s="11"/>
      <c r="DV68" s="5">
        <f t="shared" si="10"/>
        <v>0</v>
      </c>
    </row>
    <row r="69" spans="1:126" x14ac:dyDescent="0.25">
      <c r="A69">
        <v>59</v>
      </c>
      <c r="B69" s="5" t="s">
        <v>33</v>
      </c>
      <c r="C69" s="5"/>
      <c r="D69" s="5" t="s">
        <v>11</v>
      </c>
      <c r="E69" s="5" t="s">
        <v>8</v>
      </c>
      <c r="F69" s="5"/>
      <c r="G69" s="5"/>
      <c r="H69" s="5"/>
      <c r="I69" s="5"/>
      <c r="J69" s="5"/>
      <c r="K69" s="5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11"/>
      <c r="AX69" s="11"/>
      <c r="AY69" s="11"/>
      <c r="AZ69" s="5"/>
      <c r="BA69" s="5"/>
      <c r="BB69" s="5"/>
      <c r="BC69" s="5"/>
      <c r="BD69" s="5"/>
      <c r="BE69" s="5">
        <v>39</v>
      </c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>
        <v>36</v>
      </c>
      <c r="BQ69" s="11"/>
      <c r="BR69" s="11"/>
      <c r="BS69" s="11"/>
      <c r="BT69" s="11"/>
      <c r="BU69" s="5">
        <f t="shared" si="13"/>
        <v>75</v>
      </c>
      <c r="BV69" s="5">
        <f t="shared" si="14"/>
        <v>37.5</v>
      </c>
      <c r="BW69" s="11"/>
      <c r="BX69" s="11"/>
      <c r="BY69" s="11"/>
      <c r="BZ69" s="11"/>
      <c r="CA69" s="11"/>
      <c r="CB69" s="11"/>
      <c r="CC69" s="5">
        <f t="shared" si="11"/>
        <v>37.5</v>
      </c>
      <c r="CD69" s="5"/>
      <c r="CE69" s="5"/>
      <c r="CF69" s="5"/>
      <c r="CG69" s="5"/>
      <c r="CH69" s="5">
        <f t="shared" si="12"/>
        <v>0</v>
      </c>
      <c r="CI69" s="11"/>
      <c r="CJ69" s="11"/>
      <c r="CK69" s="11"/>
      <c r="CL69" s="11"/>
      <c r="CM69" s="5"/>
      <c r="CN69" s="5"/>
      <c r="CO69" s="5">
        <f t="shared" si="8"/>
        <v>0</v>
      </c>
      <c r="CX69">
        <f t="shared" si="15"/>
        <v>0</v>
      </c>
      <c r="CY69">
        <f t="shared" si="16"/>
        <v>0</v>
      </c>
      <c r="CZ69">
        <f t="shared" si="17"/>
        <v>18.75</v>
      </c>
      <c r="DH69">
        <f t="shared" si="19"/>
        <v>18.75</v>
      </c>
      <c r="DI69">
        <f t="shared" si="18"/>
        <v>9.375</v>
      </c>
      <c r="DQ69" s="5">
        <f t="shared" si="7"/>
        <v>9.375</v>
      </c>
      <c r="DR69" s="5">
        <f t="shared" si="9"/>
        <v>0</v>
      </c>
      <c r="DS69" s="5"/>
      <c r="DT69" s="11"/>
      <c r="DU69" s="11"/>
      <c r="DV69" s="5">
        <f t="shared" si="10"/>
        <v>0</v>
      </c>
    </row>
    <row r="70" spans="1:126" x14ac:dyDescent="0.25">
      <c r="A70">
        <v>60</v>
      </c>
      <c r="B70" s="5" t="s">
        <v>464</v>
      </c>
      <c r="C70" s="5"/>
      <c r="D70" s="5" t="s">
        <v>121</v>
      </c>
      <c r="E70" s="5" t="s">
        <v>39</v>
      </c>
      <c r="F70" s="5"/>
      <c r="G70" s="5"/>
      <c r="H70" s="5"/>
      <c r="I70" s="5"/>
      <c r="J70" s="5"/>
      <c r="K70" s="5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11"/>
      <c r="AX70" s="11"/>
      <c r="AY70" s="11"/>
      <c r="AZ70" s="5"/>
      <c r="BA70" s="5"/>
      <c r="BB70" s="5">
        <v>36</v>
      </c>
      <c r="BC70" s="5"/>
      <c r="BD70" s="5"/>
      <c r="BE70" s="5"/>
      <c r="BF70" s="11"/>
      <c r="BG70" s="11"/>
      <c r="BH70" s="11"/>
      <c r="BI70" s="11"/>
      <c r="BJ70" s="11"/>
      <c r="BK70" s="11"/>
      <c r="BL70" s="11"/>
      <c r="BM70" s="11"/>
      <c r="BN70" s="11"/>
      <c r="BO70" s="11">
        <v>36</v>
      </c>
      <c r="BP70" s="11"/>
      <c r="BQ70" s="11"/>
      <c r="BR70" s="11"/>
      <c r="BS70" s="11"/>
      <c r="BT70" s="11"/>
      <c r="BU70" s="5">
        <f t="shared" si="13"/>
        <v>72</v>
      </c>
      <c r="BV70" s="5">
        <f t="shared" si="14"/>
        <v>36</v>
      </c>
      <c r="BW70" s="11"/>
      <c r="BX70" s="11"/>
      <c r="BY70" s="11"/>
      <c r="BZ70" s="11"/>
      <c r="CA70" s="11"/>
      <c r="CB70" s="11"/>
      <c r="CC70" s="5">
        <f t="shared" si="11"/>
        <v>36</v>
      </c>
      <c r="CD70" s="5"/>
      <c r="CE70" s="5"/>
      <c r="CF70" s="5"/>
      <c r="CG70" s="5"/>
      <c r="CH70" s="5">
        <f t="shared" si="12"/>
        <v>0</v>
      </c>
      <c r="CI70" s="11"/>
      <c r="CJ70" s="11"/>
      <c r="CK70" s="11"/>
      <c r="CL70" s="11"/>
      <c r="CM70" s="5"/>
      <c r="CN70" s="5"/>
      <c r="CO70" s="5">
        <f t="shared" si="8"/>
        <v>0</v>
      </c>
      <c r="CX70">
        <f t="shared" si="15"/>
        <v>0</v>
      </c>
      <c r="CY70">
        <f t="shared" si="16"/>
        <v>0</v>
      </c>
      <c r="CZ70">
        <f t="shared" si="17"/>
        <v>18</v>
      </c>
      <c r="DH70">
        <f t="shared" si="19"/>
        <v>18</v>
      </c>
      <c r="DI70">
        <f t="shared" si="18"/>
        <v>9</v>
      </c>
      <c r="DQ70" s="5">
        <f t="shared" si="7"/>
        <v>9</v>
      </c>
      <c r="DR70" s="5">
        <f t="shared" si="9"/>
        <v>0</v>
      </c>
      <c r="DS70" s="5"/>
      <c r="DT70" s="11"/>
      <c r="DU70" s="11"/>
      <c r="DV70" s="5">
        <f t="shared" si="10"/>
        <v>0</v>
      </c>
    </row>
    <row r="71" spans="1:126" x14ac:dyDescent="0.25">
      <c r="A71">
        <v>61</v>
      </c>
      <c r="B71" s="5" t="s">
        <v>292</v>
      </c>
      <c r="C71" s="5"/>
      <c r="D71" s="5" t="s">
        <v>60</v>
      </c>
      <c r="E71" s="5" t="s">
        <v>24</v>
      </c>
      <c r="F71" s="5"/>
      <c r="G71" s="5"/>
      <c r="H71" s="5"/>
      <c r="I71" s="5"/>
      <c r="J71" s="5"/>
      <c r="K71" s="5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11"/>
      <c r="AX71" s="11"/>
      <c r="AY71" s="11"/>
      <c r="AZ71" s="5"/>
      <c r="BA71" s="5"/>
      <c r="BB71" s="5"/>
      <c r="BC71" s="5"/>
      <c r="BD71" s="5"/>
      <c r="BE71" s="5"/>
      <c r="BF71" s="11"/>
      <c r="BG71" s="11"/>
      <c r="BH71" s="11"/>
      <c r="BI71" s="11"/>
      <c r="BJ71" s="11"/>
      <c r="BK71" s="11"/>
      <c r="BL71" s="11">
        <v>2.4</v>
      </c>
      <c r="BM71" s="11"/>
      <c r="BN71" s="11"/>
      <c r="BO71" s="11"/>
      <c r="BP71" s="11"/>
      <c r="BQ71" s="11"/>
      <c r="BR71" s="11"/>
      <c r="BS71" s="11">
        <v>39</v>
      </c>
      <c r="BT71" s="11"/>
      <c r="BU71" s="5">
        <f t="shared" si="13"/>
        <v>41.4</v>
      </c>
      <c r="BV71" s="5">
        <f t="shared" si="14"/>
        <v>20.7</v>
      </c>
      <c r="BW71" s="11"/>
      <c r="BX71" s="11"/>
      <c r="BY71" s="11"/>
      <c r="BZ71" s="11"/>
      <c r="CA71" s="11"/>
      <c r="CB71" s="11"/>
      <c r="CC71" s="5">
        <f t="shared" si="11"/>
        <v>20.7</v>
      </c>
      <c r="CD71" s="5"/>
      <c r="CE71" s="5"/>
      <c r="CF71" s="5"/>
      <c r="CG71" s="5"/>
      <c r="CH71" s="5">
        <f t="shared" si="12"/>
        <v>0</v>
      </c>
      <c r="CI71" s="11"/>
      <c r="CJ71" s="11"/>
      <c r="CK71" s="11"/>
      <c r="CL71" s="11"/>
      <c r="CM71" s="5"/>
      <c r="CN71" s="5"/>
      <c r="CO71" s="5">
        <f t="shared" si="8"/>
        <v>0</v>
      </c>
      <c r="CX71">
        <f t="shared" si="15"/>
        <v>0</v>
      </c>
      <c r="CY71">
        <f t="shared" si="16"/>
        <v>0</v>
      </c>
      <c r="CZ71">
        <f t="shared" si="17"/>
        <v>10.35</v>
      </c>
      <c r="DH71">
        <f t="shared" si="19"/>
        <v>10.35</v>
      </c>
      <c r="DI71">
        <f t="shared" si="18"/>
        <v>5.1749999999999998</v>
      </c>
      <c r="DQ71" s="5">
        <f t="shared" si="7"/>
        <v>5.1749999999999998</v>
      </c>
      <c r="DR71" s="5">
        <f t="shared" si="9"/>
        <v>0</v>
      </c>
      <c r="DS71" s="5"/>
      <c r="DT71" s="11"/>
      <c r="DU71" s="11"/>
      <c r="DV71" s="5">
        <f t="shared" si="10"/>
        <v>0</v>
      </c>
    </row>
    <row r="72" spans="1:126" x14ac:dyDescent="0.25">
      <c r="A72">
        <v>62</v>
      </c>
      <c r="B72" s="5" t="s">
        <v>79</v>
      </c>
      <c r="C72" s="5"/>
      <c r="D72" s="5" t="s">
        <v>237</v>
      </c>
      <c r="E72" s="5" t="s">
        <v>14</v>
      </c>
      <c r="F72" s="5"/>
      <c r="G72" s="5"/>
      <c r="H72" s="5"/>
      <c r="I72" s="5"/>
      <c r="J72" s="5"/>
      <c r="K72" s="5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11"/>
      <c r="AX72" s="11"/>
      <c r="AY72" s="11"/>
      <c r="AZ72" s="5"/>
      <c r="BA72" s="5"/>
      <c r="BB72" s="5"/>
      <c r="BC72" s="5"/>
      <c r="BD72" s="5"/>
      <c r="BE72" s="5">
        <v>7.5</v>
      </c>
      <c r="BF72" s="11">
        <v>26</v>
      </c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5">
        <f t="shared" si="13"/>
        <v>33.5</v>
      </c>
      <c r="BV72" s="5">
        <f t="shared" si="14"/>
        <v>16.75</v>
      </c>
      <c r="BW72" s="11"/>
      <c r="BX72" s="11"/>
      <c r="BY72" s="11"/>
      <c r="BZ72" s="11"/>
      <c r="CA72" s="11"/>
      <c r="CB72" s="11"/>
      <c r="CC72" s="5">
        <f t="shared" si="11"/>
        <v>16.75</v>
      </c>
      <c r="CD72" s="5"/>
      <c r="CE72" s="5"/>
      <c r="CF72" s="5"/>
      <c r="CG72" s="5"/>
      <c r="CH72" s="5">
        <f t="shared" si="12"/>
        <v>0</v>
      </c>
      <c r="CI72" s="11"/>
      <c r="CJ72" s="11"/>
      <c r="CK72" s="11"/>
      <c r="CL72" s="11"/>
      <c r="CM72" s="5"/>
      <c r="CN72" s="5"/>
      <c r="CO72" s="5">
        <f t="shared" si="8"/>
        <v>0</v>
      </c>
      <c r="CX72">
        <f t="shared" si="15"/>
        <v>0</v>
      </c>
      <c r="CY72">
        <f t="shared" si="16"/>
        <v>0</v>
      </c>
      <c r="CZ72">
        <f t="shared" si="17"/>
        <v>8.375</v>
      </c>
      <c r="DH72">
        <f t="shared" si="19"/>
        <v>8.375</v>
      </c>
      <c r="DI72">
        <f t="shared" si="18"/>
        <v>4.1875</v>
      </c>
      <c r="DQ72" s="5">
        <f t="shared" si="7"/>
        <v>4.1875</v>
      </c>
      <c r="DR72" s="5">
        <f t="shared" si="9"/>
        <v>0</v>
      </c>
      <c r="DS72" s="5"/>
      <c r="DT72" s="11"/>
      <c r="DU72" s="11"/>
      <c r="DV72" s="5">
        <f t="shared" si="10"/>
        <v>0</v>
      </c>
    </row>
    <row r="73" spans="1:126" x14ac:dyDescent="0.25">
      <c r="A73">
        <v>63</v>
      </c>
      <c r="B73" s="5" t="s">
        <v>347</v>
      </c>
      <c r="C73" s="5"/>
      <c r="D73" s="5" t="s">
        <v>348</v>
      </c>
      <c r="E73" s="5" t="s">
        <v>200</v>
      </c>
      <c r="F73" s="5"/>
      <c r="G73" s="5"/>
      <c r="H73" s="5"/>
      <c r="I73" s="5"/>
      <c r="J73" s="5"/>
      <c r="K73" s="5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11"/>
      <c r="AX73" s="11"/>
      <c r="AY73" s="11">
        <v>3</v>
      </c>
      <c r="AZ73" s="5"/>
      <c r="BA73" s="5"/>
      <c r="BB73" s="5"/>
      <c r="BC73" s="5"/>
      <c r="BD73" s="5"/>
      <c r="BE73" s="5">
        <v>7.5</v>
      </c>
      <c r="BF73" s="11">
        <v>5</v>
      </c>
      <c r="BG73" s="11"/>
      <c r="BH73" s="11">
        <v>4</v>
      </c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5">
        <f t="shared" si="13"/>
        <v>19.5</v>
      </c>
      <c r="BV73" s="5">
        <f t="shared" si="14"/>
        <v>9.75</v>
      </c>
      <c r="BW73" s="11"/>
      <c r="BX73" s="11"/>
      <c r="BY73" s="11"/>
      <c r="BZ73" s="11"/>
      <c r="CA73" s="11"/>
      <c r="CB73" s="11"/>
      <c r="CC73" s="5">
        <f t="shared" si="11"/>
        <v>9.75</v>
      </c>
      <c r="CD73" s="5"/>
      <c r="CE73" s="5"/>
      <c r="CF73" s="5"/>
      <c r="CG73" s="5"/>
      <c r="CH73" s="5">
        <f t="shared" si="12"/>
        <v>0</v>
      </c>
      <c r="CI73" s="11"/>
      <c r="CJ73" s="11"/>
      <c r="CK73" s="11"/>
      <c r="CL73" s="11"/>
      <c r="CM73" s="5"/>
      <c r="CN73" s="5"/>
      <c r="CO73" s="5">
        <f t="shared" si="8"/>
        <v>0</v>
      </c>
      <c r="CX73">
        <f t="shared" si="15"/>
        <v>0</v>
      </c>
      <c r="CY73">
        <f t="shared" si="16"/>
        <v>0</v>
      </c>
      <c r="CZ73">
        <f t="shared" si="17"/>
        <v>4.875</v>
      </c>
      <c r="DH73">
        <f t="shared" si="19"/>
        <v>4.875</v>
      </c>
      <c r="DI73">
        <f t="shared" si="18"/>
        <v>2.4375</v>
      </c>
      <c r="DQ73" s="5">
        <f t="shared" si="7"/>
        <v>2.4375</v>
      </c>
      <c r="DR73" s="5">
        <f t="shared" si="9"/>
        <v>0</v>
      </c>
      <c r="DS73" s="5"/>
      <c r="DT73" s="11"/>
      <c r="DU73" s="11"/>
      <c r="DV73" s="5">
        <f t="shared" si="10"/>
        <v>0</v>
      </c>
    </row>
    <row r="74" spans="1:126" x14ac:dyDescent="0.25">
      <c r="A74">
        <v>64</v>
      </c>
      <c r="B74" s="5" t="s">
        <v>83</v>
      </c>
      <c r="C74" s="5"/>
      <c r="D74" s="5" t="s">
        <v>126</v>
      </c>
      <c r="E74" s="5" t="s">
        <v>76</v>
      </c>
      <c r="F74" s="5"/>
      <c r="G74" s="5"/>
      <c r="H74" s="5"/>
      <c r="I74" s="5"/>
      <c r="J74" s="5"/>
      <c r="K74" s="5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11"/>
      <c r="AX74" s="11"/>
      <c r="AY74" s="11"/>
      <c r="AZ74" s="5"/>
      <c r="BA74" s="5"/>
      <c r="BB74" s="5"/>
      <c r="BC74" s="5"/>
      <c r="BD74" s="5"/>
      <c r="BE74" s="5"/>
      <c r="BF74" s="11"/>
      <c r="BG74" s="11"/>
      <c r="BH74" s="11"/>
      <c r="BI74" s="11"/>
      <c r="BJ74" s="11">
        <v>7.5</v>
      </c>
      <c r="BK74" s="11"/>
      <c r="BL74" s="11"/>
      <c r="BM74" s="11"/>
      <c r="BN74" s="11"/>
      <c r="BO74" s="11"/>
      <c r="BP74" s="11"/>
      <c r="BQ74" s="11"/>
      <c r="BR74" s="11"/>
      <c r="BS74" s="11">
        <v>7.5</v>
      </c>
      <c r="BT74" s="11"/>
      <c r="BU74" s="5">
        <f t="shared" si="13"/>
        <v>15</v>
      </c>
      <c r="BV74" s="5">
        <f t="shared" si="14"/>
        <v>7.5</v>
      </c>
      <c r="BW74" s="11"/>
      <c r="BX74" s="11"/>
      <c r="BY74" s="11"/>
      <c r="BZ74" s="11"/>
      <c r="CA74" s="11"/>
      <c r="CB74" s="11"/>
      <c r="CC74" s="5">
        <f t="shared" si="11"/>
        <v>7.5</v>
      </c>
      <c r="CD74" s="5"/>
      <c r="CE74" s="5"/>
      <c r="CF74" s="5"/>
      <c r="CG74" s="5"/>
      <c r="CH74" s="5">
        <f t="shared" si="12"/>
        <v>0</v>
      </c>
      <c r="CI74" s="11"/>
      <c r="CJ74" s="11"/>
      <c r="CK74" s="11"/>
      <c r="CL74" s="11"/>
      <c r="CM74" s="5"/>
      <c r="CN74" s="5"/>
      <c r="CO74" s="5">
        <f t="shared" si="8"/>
        <v>0</v>
      </c>
      <c r="CX74">
        <f t="shared" si="15"/>
        <v>0</v>
      </c>
      <c r="CY74">
        <f t="shared" si="16"/>
        <v>0</v>
      </c>
      <c r="CZ74">
        <f t="shared" si="17"/>
        <v>3.75</v>
      </c>
      <c r="DH74">
        <f t="shared" si="19"/>
        <v>3.75</v>
      </c>
      <c r="DI74">
        <f t="shared" si="18"/>
        <v>1.875</v>
      </c>
      <c r="DQ74" s="5">
        <f t="shared" si="7"/>
        <v>1.875</v>
      </c>
      <c r="DR74" s="5">
        <f t="shared" si="9"/>
        <v>0</v>
      </c>
      <c r="DS74" s="5"/>
      <c r="DT74" s="11"/>
      <c r="DU74" s="11"/>
      <c r="DV74" s="5">
        <f t="shared" si="10"/>
        <v>0</v>
      </c>
    </row>
    <row r="75" spans="1:126" x14ac:dyDescent="0.25">
      <c r="A75">
        <v>65</v>
      </c>
      <c r="B75" s="5" t="s">
        <v>390</v>
      </c>
      <c r="C75" s="5"/>
      <c r="D75" s="5" t="s">
        <v>63</v>
      </c>
      <c r="E75" s="5" t="s">
        <v>75</v>
      </c>
      <c r="F75" s="5"/>
      <c r="G75" s="5"/>
      <c r="H75" s="5"/>
      <c r="I75" s="5"/>
      <c r="J75" s="5"/>
      <c r="K75" s="5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11"/>
      <c r="AX75" s="11"/>
      <c r="AY75" s="11"/>
      <c r="AZ75" s="5"/>
      <c r="BA75" s="5"/>
      <c r="BB75" s="5"/>
      <c r="BC75" s="5"/>
      <c r="BD75" s="5"/>
      <c r="BE75" s="5">
        <v>7.5</v>
      </c>
      <c r="BF75" s="11">
        <v>5</v>
      </c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5">
        <f t="shared" si="13"/>
        <v>12.5</v>
      </c>
      <c r="BV75" s="5">
        <f t="shared" si="14"/>
        <v>6.25</v>
      </c>
      <c r="BW75" s="11"/>
      <c r="BX75" s="11"/>
      <c r="BY75" s="11"/>
      <c r="BZ75" s="11"/>
      <c r="CA75" s="11"/>
      <c r="CB75" s="11"/>
      <c r="CC75" s="5">
        <f t="shared" si="11"/>
        <v>6.25</v>
      </c>
      <c r="CD75" s="5"/>
      <c r="CE75" s="5"/>
      <c r="CF75" s="5"/>
      <c r="CG75" s="5"/>
      <c r="CH75" s="5">
        <f t="shared" si="12"/>
        <v>0</v>
      </c>
      <c r="CI75" s="11"/>
      <c r="CJ75" s="11"/>
      <c r="CK75" s="11"/>
      <c r="CL75" s="11"/>
      <c r="CM75" s="5"/>
      <c r="CN75" s="5"/>
      <c r="CO75" s="5">
        <f t="shared" ref="CO75:CO106" si="20">SUM(CH75:CN75)</f>
        <v>0</v>
      </c>
      <c r="CX75">
        <f t="shared" si="15"/>
        <v>0</v>
      </c>
      <c r="CY75">
        <f t="shared" si="16"/>
        <v>0</v>
      </c>
      <c r="CZ75">
        <f t="shared" si="17"/>
        <v>3.125</v>
      </c>
      <c r="DH75">
        <f t="shared" si="19"/>
        <v>3.125</v>
      </c>
      <c r="DI75">
        <f t="shared" si="18"/>
        <v>1.5625</v>
      </c>
      <c r="DQ75" s="5">
        <f t="shared" si="7"/>
        <v>1.5625</v>
      </c>
      <c r="DR75" s="5">
        <f t="shared" ref="DR75:DR106" si="21">(DQ75-DI75)/2</f>
        <v>0</v>
      </c>
      <c r="DS75" s="5"/>
      <c r="DT75" s="11"/>
      <c r="DU75" s="11"/>
      <c r="DV75" s="5">
        <f t="shared" si="10"/>
        <v>0</v>
      </c>
    </row>
    <row r="76" spans="1:126" x14ac:dyDescent="0.25">
      <c r="A76">
        <v>66</v>
      </c>
      <c r="B76" s="5" t="s">
        <v>330</v>
      </c>
      <c r="C76" s="5"/>
      <c r="D76" s="5" t="s">
        <v>12</v>
      </c>
      <c r="E76" s="5" t="s">
        <v>194</v>
      </c>
      <c r="F76" s="5"/>
      <c r="G76" s="5"/>
      <c r="H76" s="5"/>
      <c r="I76" s="5"/>
      <c r="J76" s="5"/>
      <c r="K76" s="5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11">
        <v>2.4</v>
      </c>
      <c r="AX76" s="11"/>
      <c r="AY76" s="11"/>
      <c r="AZ76" s="5"/>
      <c r="BA76" s="5"/>
      <c r="BB76" s="5"/>
      <c r="BC76" s="5"/>
      <c r="BD76" s="5"/>
      <c r="BE76" s="5"/>
      <c r="BF76" s="11"/>
      <c r="BG76" s="11">
        <v>4</v>
      </c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5">
        <f t="shared" si="13"/>
        <v>6.4</v>
      </c>
      <c r="BV76" s="5">
        <f t="shared" si="14"/>
        <v>3.2</v>
      </c>
      <c r="BW76" s="11"/>
      <c r="BX76" s="11"/>
      <c r="BY76" s="11"/>
      <c r="BZ76" s="11"/>
      <c r="CA76" s="11"/>
      <c r="CB76" s="11"/>
      <c r="CC76" s="5">
        <f t="shared" si="11"/>
        <v>3.2</v>
      </c>
      <c r="CD76" s="5"/>
      <c r="CE76" s="5"/>
      <c r="CF76" s="5"/>
      <c r="CG76" s="5"/>
      <c r="CH76" s="5">
        <f t="shared" si="12"/>
        <v>0</v>
      </c>
      <c r="CI76" s="11"/>
      <c r="CJ76" s="11"/>
      <c r="CK76" s="11"/>
      <c r="CL76" s="11"/>
      <c r="CM76" s="5"/>
      <c r="CN76" s="5"/>
      <c r="CO76" s="5">
        <f t="shared" si="20"/>
        <v>0</v>
      </c>
      <c r="CX76">
        <f t="shared" si="15"/>
        <v>0</v>
      </c>
      <c r="CY76">
        <f t="shared" si="16"/>
        <v>0</v>
      </c>
      <c r="CZ76">
        <f t="shared" si="17"/>
        <v>1.6</v>
      </c>
      <c r="DH76">
        <f t="shared" si="19"/>
        <v>1.6</v>
      </c>
      <c r="DI76">
        <f t="shared" si="18"/>
        <v>0.8</v>
      </c>
      <c r="DQ76" s="5">
        <f t="shared" si="7"/>
        <v>0.8</v>
      </c>
      <c r="DR76" s="5">
        <f t="shared" si="21"/>
        <v>0</v>
      </c>
      <c r="DS76" s="5"/>
      <c r="DT76" s="11"/>
      <c r="DU76" s="11"/>
      <c r="DV76" s="5">
        <f t="shared" si="10"/>
        <v>0</v>
      </c>
    </row>
    <row r="77" spans="1:126" x14ac:dyDescent="0.25">
      <c r="A77">
        <v>67</v>
      </c>
      <c r="B77" s="5" t="s">
        <v>285</v>
      </c>
      <c r="C77" s="5"/>
      <c r="D77" s="5" t="s">
        <v>399</v>
      </c>
      <c r="E77" s="5" t="s">
        <v>400</v>
      </c>
      <c r="F77" s="5"/>
      <c r="G77" s="5"/>
      <c r="H77" s="5"/>
      <c r="I77" s="5"/>
      <c r="J77" s="5"/>
      <c r="K77" s="5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11"/>
      <c r="AX77" s="11"/>
      <c r="AY77" s="11"/>
      <c r="AZ77" s="5"/>
      <c r="BA77" s="5"/>
      <c r="BB77" s="5"/>
      <c r="BC77" s="5"/>
      <c r="BD77" s="5"/>
      <c r="BE77" s="5"/>
      <c r="BF77" s="11">
        <v>5</v>
      </c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5">
        <f t="shared" si="13"/>
        <v>5</v>
      </c>
      <c r="BV77" s="5">
        <f t="shared" si="14"/>
        <v>2.5</v>
      </c>
      <c r="BW77" s="11"/>
      <c r="BX77" s="11"/>
      <c r="BY77" s="11"/>
      <c r="BZ77" s="11"/>
      <c r="CA77" s="11"/>
      <c r="CB77" s="11"/>
      <c r="CC77" s="5">
        <f t="shared" si="11"/>
        <v>2.5</v>
      </c>
      <c r="CD77" s="5"/>
      <c r="CE77" s="5"/>
      <c r="CF77" s="5"/>
      <c r="CG77" s="5"/>
      <c r="CH77" s="5">
        <f t="shared" si="12"/>
        <v>0</v>
      </c>
      <c r="CI77" s="11"/>
      <c r="CJ77" s="11"/>
      <c r="CK77" s="11"/>
      <c r="CL77" s="11"/>
      <c r="CM77" s="5"/>
      <c r="CN77" s="5"/>
      <c r="CO77" s="5">
        <f t="shared" si="20"/>
        <v>0</v>
      </c>
      <c r="CX77">
        <f t="shared" si="15"/>
        <v>0</v>
      </c>
      <c r="CY77">
        <f t="shared" si="16"/>
        <v>0</v>
      </c>
      <c r="CZ77">
        <f t="shared" si="17"/>
        <v>1.25</v>
      </c>
      <c r="DH77">
        <f t="shared" si="19"/>
        <v>1.25</v>
      </c>
      <c r="DI77">
        <f t="shared" si="18"/>
        <v>0.625</v>
      </c>
      <c r="DQ77" s="5">
        <f t="shared" si="7"/>
        <v>0.625</v>
      </c>
      <c r="DR77" s="5">
        <f t="shared" si="21"/>
        <v>0</v>
      </c>
      <c r="DS77" s="5"/>
      <c r="DT77" s="11"/>
      <c r="DU77" s="11"/>
      <c r="DV77" s="5">
        <f t="shared" si="10"/>
        <v>0</v>
      </c>
    </row>
    <row r="78" spans="1:126" x14ac:dyDescent="0.25">
      <c r="A78">
        <v>68</v>
      </c>
      <c r="B78" s="5" t="s">
        <v>415</v>
      </c>
      <c r="C78" s="5"/>
      <c r="D78" s="5" t="s">
        <v>88</v>
      </c>
      <c r="E78" s="5" t="s">
        <v>197</v>
      </c>
      <c r="F78" s="5"/>
      <c r="G78" s="5"/>
      <c r="H78" s="5"/>
      <c r="I78" s="5"/>
      <c r="J78" s="5"/>
      <c r="K78" s="5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11"/>
      <c r="AX78" s="11"/>
      <c r="AY78" s="11"/>
      <c r="AZ78" s="5"/>
      <c r="BA78" s="5"/>
      <c r="BB78" s="5"/>
      <c r="BC78" s="5"/>
      <c r="BD78" s="5"/>
      <c r="BE78" s="5"/>
      <c r="BF78" s="11"/>
      <c r="BG78" s="11"/>
      <c r="BH78" s="11">
        <v>4</v>
      </c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5">
        <f t="shared" si="13"/>
        <v>4</v>
      </c>
      <c r="BV78" s="5">
        <f t="shared" si="14"/>
        <v>2</v>
      </c>
      <c r="BW78" s="11"/>
      <c r="BX78" s="11"/>
      <c r="BY78" s="11"/>
      <c r="BZ78" s="11"/>
      <c r="CA78" s="11"/>
      <c r="CB78" s="11"/>
      <c r="CC78" s="5">
        <f t="shared" si="11"/>
        <v>2</v>
      </c>
      <c r="CD78" s="5"/>
      <c r="CE78" s="5"/>
      <c r="CF78" s="5"/>
      <c r="CG78" s="5"/>
      <c r="CH78" s="5">
        <f t="shared" si="12"/>
        <v>0</v>
      </c>
      <c r="CI78" s="11"/>
      <c r="CJ78" s="11"/>
      <c r="CK78" s="11"/>
      <c r="CL78" s="11"/>
      <c r="CM78" s="5"/>
      <c r="CN78" s="5"/>
      <c r="CO78" s="5">
        <f t="shared" si="20"/>
        <v>0</v>
      </c>
      <c r="CX78">
        <f t="shared" si="15"/>
        <v>0</v>
      </c>
      <c r="CY78">
        <f t="shared" si="16"/>
        <v>0</v>
      </c>
      <c r="CZ78">
        <f t="shared" si="17"/>
        <v>1</v>
      </c>
      <c r="DH78">
        <f t="shared" si="19"/>
        <v>1</v>
      </c>
      <c r="DI78">
        <f t="shared" si="18"/>
        <v>0.5</v>
      </c>
      <c r="DQ78" s="5">
        <f t="shared" si="7"/>
        <v>0.5</v>
      </c>
      <c r="DR78" s="5">
        <f t="shared" si="21"/>
        <v>0</v>
      </c>
      <c r="DS78" s="5"/>
      <c r="DT78" s="11"/>
      <c r="DU78" s="11"/>
      <c r="DV78" s="5">
        <f t="shared" si="10"/>
        <v>0</v>
      </c>
    </row>
    <row r="79" spans="1:126" x14ac:dyDescent="0.25">
      <c r="A79">
        <v>69</v>
      </c>
      <c r="B79" s="5" t="s">
        <v>360</v>
      </c>
      <c r="C79" s="5"/>
      <c r="D79" s="5" t="s">
        <v>272</v>
      </c>
      <c r="E79" s="5" t="s">
        <v>361</v>
      </c>
      <c r="F79" s="5"/>
      <c r="G79" s="5"/>
      <c r="H79" s="5"/>
      <c r="I79" s="5"/>
      <c r="J79" s="5"/>
      <c r="K79" s="5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11"/>
      <c r="AX79" s="11"/>
      <c r="AY79" s="11"/>
      <c r="AZ79" s="5"/>
      <c r="BA79" s="5"/>
      <c r="BB79" s="5"/>
      <c r="BC79" s="5">
        <v>2.4</v>
      </c>
      <c r="BD79" s="5"/>
      <c r="BE79" s="5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5">
        <f t="shared" si="13"/>
        <v>2.4</v>
      </c>
      <c r="BV79" s="5">
        <f t="shared" si="14"/>
        <v>1.2</v>
      </c>
      <c r="BW79" s="11"/>
      <c r="BX79" s="11"/>
      <c r="BY79" s="11"/>
      <c r="BZ79" s="11"/>
      <c r="CA79" s="11"/>
      <c r="CB79" s="11"/>
      <c r="CC79" s="5">
        <f t="shared" si="11"/>
        <v>1.2</v>
      </c>
      <c r="CD79" s="5"/>
      <c r="CE79" s="5"/>
      <c r="CF79" s="5"/>
      <c r="CG79" s="5"/>
      <c r="CH79" s="5">
        <f t="shared" si="12"/>
        <v>0</v>
      </c>
      <c r="CI79" s="11"/>
      <c r="CJ79" s="11"/>
      <c r="CK79" s="11"/>
      <c r="CL79" s="11"/>
      <c r="CM79" s="5"/>
      <c r="CN79" s="5"/>
      <c r="CO79" s="5">
        <f t="shared" si="20"/>
        <v>0</v>
      </c>
      <c r="CX79">
        <f t="shared" si="15"/>
        <v>0</v>
      </c>
      <c r="CY79">
        <f t="shared" si="16"/>
        <v>0</v>
      </c>
      <c r="CZ79">
        <f t="shared" si="17"/>
        <v>0.6</v>
      </c>
      <c r="DH79">
        <f t="shared" si="19"/>
        <v>0.6</v>
      </c>
      <c r="DI79">
        <f t="shared" si="18"/>
        <v>0.3</v>
      </c>
      <c r="DQ79" s="5">
        <f t="shared" si="7"/>
        <v>0.3</v>
      </c>
      <c r="DR79" s="5">
        <f t="shared" si="21"/>
        <v>0</v>
      </c>
      <c r="DS79" s="5"/>
      <c r="DT79" s="11"/>
      <c r="DU79" s="11"/>
      <c r="DV79" s="5">
        <f t="shared" si="10"/>
        <v>0</v>
      </c>
    </row>
    <row r="80" spans="1:126" x14ac:dyDescent="0.25">
      <c r="A80">
        <v>70</v>
      </c>
      <c r="B80" s="5" t="s">
        <v>366</v>
      </c>
      <c r="C80" s="5" t="s">
        <v>368</v>
      </c>
      <c r="D80" s="5" t="s">
        <v>106</v>
      </c>
      <c r="E80" s="5" t="s">
        <v>364</v>
      </c>
      <c r="F80" s="5"/>
      <c r="G80" s="5"/>
      <c r="H80" s="5"/>
      <c r="I80" s="5"/>
      <c r="J80" s="5"/>
      <c r="K80" s="5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11"/>
      <c r="AX80" s="11"/>
      <c r="AY80" s="11"/>
      <c r="AZ80" s="5"/>
      <c r="BA80" s="5">
        <v>2.4</v>
      </c>
      <c r="BB80" s="5"/>
      <c r="BC80" s="5"/>
      <c r="BD80" s="5"/>
      <c r="BE80" s="5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5">
        <f t="shared" si="13"/>
        <v>2.4</v>
      </c>
      <c r="BV80" s="5">
        <f t="shared" si="14"/>
        <v>1.2</v>
      </c>
      <c r="BW80" s="11"/>
      <c r="BX80" s="11"/>
      <c r="BY80" s="11"/>
      <c r="BZ80" s="11"/>
      <c r="CA80" s="11"/>
      <c r="CB80" s="11"/>
      <c r="CC80" s="5">
        <f t="shared" si="11"/>
        <v>1.2</v>
      </c>
      <c r="CD80" s="5"/>
      <c r="CE80" s="5"/>
      <c r="CF80" s="5"/>
      <c r="CG80" s="5"/>
      <c r="CH80" s="5">
        <f t="shared" si="12"/>
        <v>0</v>
      </c>
      <c r="CI80" s="11"/>
      <c r="CJ80" s="11"/>
      <c r="CK80" s="11"/>
      <c r="CL80" s="11"/>
      <c r="CM80" s="5"/>
      <c r="CN80" s="5"/>
      <c r="CO80" s="5">
        <f t="shared" si="20"/>
        <v>0</v>
      </c>
      <c r="CX80">
        <f t="shared" si="15"/>
        <v>0</v>
      </c>
      <c r="CY80">
        <f t="shared" si="16"/>
        <v>0</v>
      </c>
      <c r="CZ80">
        <f t="shared" si="17"/>
        <v>0.6</v>
      </c>
      <c r="DH80">
        <f t="shared" si="19"/>
        <v>0.6</v>
      </c>
      <c r="DI80">
        <f t="shared" si="18"/>
        <v>0.3</v>
      </c>
      <c r="DQ80" s="5">
        <f t="shared" si="7"/>
        <v>0.3</v>
      </c>
      <c r="DR80" s="5">
        <f t="shared" si="21"/>
        <v>0</v>
      </c>
      <c r="DS80" s="5"/>
      <c r="DT80" s="11"/>
      <c r="DU80" s="11"/>
      <c r="DV80" s="5">
        <f t="shared" si="10"/>
        <v>0</v>
      </c>
    </row>
    <row r="81" spans="1:126" x14ac:dyDescent="0.25">
      <c r="A81">
        <v>71</v>
      </c>
      <c r="B81" s="5" t="s">
        <v>382</v>
      </c>
      <c r="C81" s="5"/>
      <c r="D81" s="5" t="s">
        <v>383</v>
      </c>
      <c r="E81" s="5" t="s">
        <v>14</v>
      </c>
      <c r="F81" s="5"/>
      <c r="G81" s="5"/>
      <c r="H81" s="5"/>
      <c r="I81" s="5"/>
      <c r="J81" s="5"/>
      <c r="K81" s="5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11"/>
      <c r="AX81" s="11"/>
      <c r="AY81" s="11"/>
      <c r="AZ81" s="5"/>
      <c r="BA81" s="5"/>
      <c r="BB81" s="5"/>
      <c r="BC81" s="5"/>
      <c r="BD81" s="5"/>
      <c r="BE81" s="5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5">
        <f t="shared" si="13"/>
        <v>0</v>
      </c>
      <c r="BV81" s="5">
        <f t="shared" si="14"/>
        <v>0</v>
      </c>
      <c r="BW81" s="11"/>
      <c r="BX81" s="11"/>
      <c r="BY81" s="11"/>
      <c r="BZ81" s="11"/>
      <c r="CA81" s="11"/>
      <c r="CB81" s="11"/>
      <c r="CC81" s="5">
        <f t="shared" si="11"/>
        <v>0</v>
      </c>
      <c r="CD81" s="5"/>
      <c r="CE81" s="5"/>
      <c r="CF81" s="5"/>
      <c r="CG81" s="5"/>
      <c r="CH81" s="5">
        <f t="shared" si="12"/>
        <v>0</v>
      </c>
      <c r="CI81" s="11"/>
      <c r="CJ81" s="11"/>
      <c r="CK81" s="11"/>
      <c r="CL81" s="11"/>
      <c r="CM81" s="5"/>
      <c r="CN81" s="5"/>
      <c r="CO81" s="5">
        <f t="shared" si="20"/>
        <v>0</v>
      </c>
      <c r="DG81" s="7">
        <v>2.5</v>
      </c>
      <c r="DH81">
        <f t="shared" si="19"/>
        <v>2.5</v>
      </c>
      <c r="DI81">
        <f t="shared" si="18"/>
        <v>1.25</v>
      </c>
      <c r="DQ81" s="5">
        <f t="shared" si="7"/>
        <v>1.25</v>
      </c>
      <c r="DR81" s="5">
        <f t="shared" si="21"/>
        <v>0</v>
      </c>
      <c r="DS81" s="5"/>
      <c r="DT81" s="11"/>
      <c r="DU81" s="11"/>
      <c r="DV81" s="5">
        <f t="shared" si="10"/>
        <v>0</v>
      </c>
    </row>
    <row r="82" spans="1:126" x14ac:dyDescent="0.25">
      <c r="A82">
        <v>72</v>
      </c>
      <c r="B82" s="5" t="s">
        <v>274</v>
      </c>
      <c r="C82" s="5"/>
      <c r="D82" s="5" t="s">
        <v>352</v>
      </c>
      <c r="E82" s="5" t="s">
        <v>357</v>
      </c>
      <c r="F82" s="5"/>
      <c r="G82" s="5"/>
      <c r="H82" s="5"/>
      <c r="I82" s="5"/>
      <c r="J82" s="5"/>
      <c r="K82" s="5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11"/>
      <c r="AX82" s="11"/>
      <c r="AY82" s="11"/>
      <c r="AZ82" s="5"/>
      <c r="BA82" s="5"/>
      <c r="BB82" s="5"/>
      <c r="BC82" s="5"/>
      <c r="BD82" s="5"/>
      <c r="BE82" s="5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5"/>
      <c r="BV82" s="5"/>
      <c r="BW82" s="11"/>
      <c r="BX82" s="11"/>
      <c r="BY82" s="11"/>
      <c r="BZ82" s="11"/>
      <c r="CA82" s="11"/>
      <c r="CB82" s="11"/>
      <c r="CC82" s="5">
        <f t="shared" si="11"/>
        <v>0</v>
      </c>
      <c r="CD82" s="5"/>
      <c r="CE82" s="5"/>
      <c r="CF82" s="5"/>
      <c r="CG82" s="5"/>
      <c r="CH82" s="5">
        <f t="shared" si="12"/>
        <v>0</v>
      </c>
      <c r="CI82" s="11"/>
      <c r="CJ82" s="11"/>
      <c r="CK82" s="11"/>
      <c r="CL82" s="11"/>
      <c r="CM82" s="5"/>
      <c r="CN82" s="5"/>
      <c r="CO82" s="5">
        <f t="shared" si="20"/>
        <v>0</v>
      </c>
      <c r="DJ82" s="7">
        <v>1.75</v>
      </c>
      <c r="DQ82" s="5">
        <f t="shared" si="7"/>
        <v>1.75</v>
      </c>
      <c r="DR82" s="5">
        <f t="shared" si="21"/>
        <v>0.875</v>
      </c>
      <c r="DS82" s="5"/>
      <c r="DT82" s="11"/>
      <c r="DU82" s="11"/>
      <c r="DV82" s="5">
        <f t="shared" si="10"/>
        <v>0.875</v>
      </c>
    </row>
  </sheetData>
  <sortState xmlns:xlrd2="http://schemas.microsoft.com/office/spreadsheetml/2017/richdata2" ref="B11:DV82">
    <sortCondition descending="1" ref="CO11:CO82"/>
  </sortState>
  <mergeCells count="6">
    <mergeCell ref="B1:DV1"/>
    <mergeCell ref="B8:C10"/>
    <mergeCell ref="BY9:CB9"/>
    <mergeCell ref="CK9:CN9"/>
    <mergeCell ref="CQ4:DV5"/>
    <mergeCell ref="D4:CO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M66"/>
  <sheetViews>
    <sheetView zoomScale="80" zoomScaleNormal="80" workbookViewId="0">
      <selection activeCell="DQ16" sqref="DQ16"/>
    </sheetView>
  </sheetViews>
  <sheetFormatPr baseColWidth="10" defaultRowHeight="15" x14ac:dyDescent="0.25"/>
  <cols>
    <col min="1" max="1" width="3.140625" bestFit="1" customWidth="1"/>
    <col min="2" max="2" width="12.7109375" bestFit="1" customWidth="1"/>
    <col min="3" max="3" width="13.5703125" bestFit="1" customWidth="1"/>
    <col min="4" max="4" width="13.28515625" bestFit="1" customWidth="1"/>
    <col min="5" max="5" width="18.7109375" bestFit="1" customWidth="1"/>
    <col min="6" max="6" width="6.7109375" hidden="1" customWidth="1"/>
    <col min="7" max="8" width="6.42578125" hidden="1" customWidth="1"/>
    <col min="9" max="10" width="7.28515625" hidden="1" customWidth="1"/>
    <col min="11" max="11" width="7.28515625" style="7" hidden="1" customWidth="1"/>
    <col min="12" max="15" width="6.28515625" style="7" hidden="1" customWidth="1"/>
    <col min="16" max="24" width="6.7109375" style="7" hidden="1" customWidth="1"/>
    <col min="25" max="26" width="0" hidden="1" customWidth="1"/>
    <col min="27" max="45" width="6" style="7" hidden="1" customWidth="1"/>
    <col min="46" max="46" width="6.28515625" hidden="1" customWidth="1"/>
    <col min="47" max="50" width="6.85546875" hidden="1" customWidth="1"/>
    <col min="51" max="57" width="6.28515625" hidden="1" customWidth="1"/>
    <col min="58" max="66" width="6.28515625" style="7" hidden="1" customWidth="1"/>
    <col min="67" max="67" width="10.85546875" style="7" hidden="1" customWidth="1"/>
    <col min="68" max="73" width="6.140625" style="7" hidden="1" customWidth="1"/>
    <col min="74" max="75" width="7.7109375" hidden="1" customWidth="1"/>
    <col min="76" max="76" width="5.5703125" style="7" hidden="1" customWidth="1"/>
    <col min="77" max="77" width="6.140625" style="7" hidden="1" customWidth="1"/>
    <col min="78" max="78" width="7.28515625" style="7" hidden="1" customWidth="1"/>
    <col min="79" max="79" width="8.5703125" style="7" hidden="1" customWidth="1"/>
    <col min="80" max="80" width="8.28515625" style="7" hidden="1" customWidth="1"/>
    <col min="81" max="81" width="7.7109375" style="7" hidden="1" customWidth="1"/>
    <col min="84" max="84" width="8" style="7" customWidth="1"/>
    <col min="85" max="85" width="8.7109375" style="7" customWidth="1"/>
    <col min="86" max="86" width="8" style="7" customWidth="1"/>
    <col min="87" max="87" width="8.7109375" style="7" customWidth="1"/>
    <col min="88" max="89" width="11.42578125" style="7"/>
    <col min="92" max="92" width="0" hidden="1" customWidth="1"/>
    <col min="93" max="93" width="6.7109375" hidden="1" customWidth="1"/>
    <col min="94" max="95" width="7.140625" hidden="1" customWidth="1"/>
    <col min="96" max="98" width="0" hidden="1" customWidth="1"/>
    <col min="99" max="105" width="6.7109375" style="7" hidden="1" customWidth="1"/>
    <col min="106" max="106" width="0" hidden="1" customWidth="1"/>
    <col min="107" max="107" width="10" hidden="1" customWidth="1"/>
    <col min="108" max="108" width="6.7109375" style="7" hidden="1" customWidth="1"/>
    <col min="109" max="111" width="6" style="7" hidden="1" customWidth="1"/>
    <col min="114" max="114" width="6.85546875" customWidth="1"/>
    <col min="115" max="116" width="6.85546875" style="7" customWidth="1"/>
  </cols>
  <sheetData>
    <row r="1" spans="1:117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</row>
    <row r="2" spans="1:117" ht="15.75" thickBot="1" x14ac:dyDescent="0.3">
      <c r="C2" s="7"/>
      <c r="D2" s="7"/>
      <c r="E2" s="7"/>
      <c r="F2" s="7"/>
    </row>
    <row r="3" spans="1:117" ht="15.75" thickTop="1" x14ac:dyDescent="0.25">
      <c r="B3" s="1" t="s">
        <v>0</v>
      </c>
      <c r="C3" s="4" t="s">
        <v>29</v>
      </c>
    </row>
    <row r="4" spans="1:117" ht="14.65" customHeight="1" x14ac:dyDescent="0.25">
      <c r="B4" s="2" t="s">
        <v>1</v>
      </c>
      <c r="C4" s="10" t="s">
        <v>30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N4" s="56" t="s">
        <v>641</v>
      </c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</row>
    <row r="5" spans="1:117" ht="15" customHeight="1" thickBot="1" x14ac:dyDescent="0.3">
      <c r="B5" s="3" t="s">
        <v>2</v>
      </c>
      <c r="C5" s="34">
        <v>-81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</row>
    <row r="6" spans="1:117" ht="15.75" thickTop="1" x14ac:dyDescent="0.25"/>
    <row r="7" spans="1:117" ht="15.75" thickBot="1" x14ac:dyDescent="0.3"/>
    <row r="8" spans="1:117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27</v>
      </c>
      <c r="H8" s="4" t="s">
        <v>72</v>
      </c>
      <c r="I8" s="4" t="s">
        <v>99</v>
      </c>
      <c r="J8" s="4" t="s">
        <v>27</v>
      </c>
      <c r="K8" s="4" t="s">
        <v>27</v>
      </c>
      <c r="L8" s="4" t="s">
        <v>134</v>
      </c>
      <c r="M8" s="4" t="s">
        <v>132</v>
      </c>
      <c r="N8" s="4" t="s">
        <v>141</v>
      </c>
      <c r="O8" s="4" t="s">
        <v>146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164</v>
      </c>
      <c r="U8" s="4" t="s">
        <v>164</v>
      </c>
      <c r="V8" s="4" t="s">
        <v>168</v>
      </c>
      <c r="W8" s="4" t="s">
        <v>171</v>
      </c>
      <c r="X8" s="4" t="s">
        <v>173</v>
      </c>
      <c r="Y8" s="1"/>
      <c r="Z8" s="12">
        <v>44927</v>
      </c>
      <c r="AA8" s="4" t="s">
        <v>27</v>
      </c>
      <c r="AB8" s="4" t="s">
        <v>27</v>
      </c>
      <c r="AC8" s="17" t="s">
        <v>27</v>
      </c>
      <c r="AD8" s="17" t="s">
        <v>173</v>
      </c>
      <c r="AE8" s="17" t="s">
        <v>27</v>
      </c>
      <c r="AF8" s="17" t="s">
        <v>217</v>
      </c>
      <c r="AG8" s="17" t="s">
        <v>217</v>
      </c>
      <c r="AH8" s="17" t="s">
        <v>27</v>
      </c>
      <c r="AI8" s="17" t="s">
        <v>173</v>
      </c>
      <c r="AJ8" s="17" t="s">
        <v>27</v>
      </c>
      <c r="AK8" s="17" t="s">
        <v>27</v>
      </c>
      <c r="AL8" s="17" t="s">
        <v>27</v>
      </c>
      <c r="AM8" s="17" t="s">
        <v>27</v>
      </c>
      <c r="AN8" s="17" t="s">
        <v>173</v>
      </c>
      <c r="AO8" s="17" t="s">
        <v>27</v>
      </c>
      <c r="AP8" s="17" t="s">
        <v>27</v>
      </c>
      <c r="AQ8" s="16" t="s">
        <v>27</v>
      </c>
      <c r="AR8" s="16" t="s">
        <v>27</v>
      </c>
      <c r="AS8" s="17" t="s">
        <v>174</v>
      </c>
      <c r="AT8" s="4" t="s">
        <v>6</v>
      </c>
      <c r="AU8" s="16">
        <v>45292</v>
      </c>
      <c r="AV8" s="16" t="s">
        <v>27</v>
      </c>
      <c r="AW8" s="16" t="s">
        <v>27</v>
      </c>
      <c r="AX8" s="16" t="s">
        <v>27</v>
      </c>
      <c r="AY8" s="16" t="s">
        <v>27</v>
      </c>
      <c r="AZ8" s="16" t="s">
        <v>27</v>
      </c>
      <c r="BA8" s="16" t="s">
        <v>27</v>
      </c>
      <c r="BB8" s="16" t="s">
        <v>27</v>
      </c>
      <c r="BC8" s="16" t="s">
        <v>27</v>
      </c>
      <c r="BD8" s="16" t="s">
        <v>173</v>
      </c>
      <c r="BE8" s="16" t="s">
        <v>27</v>
      </c>
      <c r="BF8" s="16" t="s">
        <v>173</v>
      </c>
      <c r="BG8" s="16" t="s">
        <v>217</v>
      </c>
      <c r="BH8" s="16" t="s">
        <v>217</v>
      </c>
      <c r="BI8" s="16" t="s">
        <v>217</v>
      </c>
      <c r="BJ8" s="16" t="s">
        <v>173</v>
      </c>
      <c r="BK8" s="16" t="s">
        <v>27</v>
      </c>
      <c r="BL8" s="16" t="s">
        <v>27</v>
      </c>
      <c r="BM8" s="16" t="s">
        <v>27</v>
      </c>
      <c r="BN8" s="16" t="s">
        <v>27</v>
      </c>
      <c r="BO8" s="16" t="s">
        <v>27</v>
      </c>
      <c r="BP8" s="16" t="s">
        <v>27</v>
      </c>
      <c r="BQ8" s="16" t="s">
        <v>27</v>
      </c>
      <c r="BR8" s="16" t="s">
        <v>27</v>
      </c>
      <c r="BS8" s="16" t="s">
        <v>27</v>
      </c>
      <c r="BT8" s="16" t="s">
        <v>173</v>
      </c>
      <c r="BU8" s="16" t="s">
        <v>174</v>
      </c>
      <c r="BV8" s="16" t="s">
        <v>6</v>
      </c>
      <c r="BW8" s="16">
        <v>45658</v>
      </c>
      <c r="BX8" s="16"/>
      <c r="BY8" s="16"/>
      <c r="BZ8" s="38"/>
      <c r="CA8" s="39"/>
      <c r="CB8" s="39"/>
      <c r="CC8" s="40"/>
      <c r="CD8" s="16" t="s">
        <v>6</v>
      </c>
      <c r="CE8" s="16">
        <v>46023</v>
      </c>
      <c r="CF8" s="16"/>
      <c r="CG8" s="16"/>
      <c r="CH8" s="38"/>
      <c r="CI8" s="39"/>
      <c r="CJ8" s="39"/>
      <c r="CK8" s="40"/>
      <c r="CL8" s="16" t="s">
        <v>178</v>
      </c>
      <c r="CN8" s="1" t="s">
        <v>175</v>
      </c>
      <c r="CO8" s="1" t="s">
        <v>214</v>
      </c>
      <c r="CP8" s="4" t="s">
        <v>171</v>
      </c>
      <c r="CQ8" s="4" t="s">
        <v>283</v>
      </c>
      <c r="CR8" s="1" t="s">
        <v>6</v>
      </c>
      <c r="CS8" s="16">
        <v>45292</v>
      </c>
      <c r="CT8" s="4" t="s">
        <v>175</v>
      </c>
      <c r="CU8" s="4" t="s">
        <v>296</v>
      </c>
      <c r="CV8" s="4" t="s">
        <v>340</v>
      </c>
      <c r="CW8" s="4" t="s">
        <v>31</v>
      </c>
      <c r="CX8" s="4" t="s">
        <v>164</v>
      </c>
      <c r="CY8" s="4" t="s">
        <v>164</v>
      </c>
      <c r="CZ8" s="4" t="s">
        <v>171</v>
      </c>
      <c r="DA8" s="4" t="s">
        <v>283</v>
      </c>
      <c r="DB8" s="4" t="s">
        <v>6</v>
      </c>
      <c r="DC8" s="16">
        <v>45658</v>
      </c>
      <c r="DD8" s="4" t="s">
        <v>296</v>
      </c>
      <c r="DE8" s="4" t="s">
        <v>164</v>
      </c>
      <c r="DF8" s="4" t="s">
        <v>275</v>
      </c>
      <c r="DG8" s="4" t="s">
        <v>283</v>
      </c>
      <c r="DH8" s="4" t="s">
        <v>178</v>
      </c>
      <c r="DI8" s="16">
        <v>46023</v>
      </c>
      <c r="DJ8" s="4" t="s">
        <v>721</v>
      </c>
      <c r="DK8" s="4" t="s">
        <v>171</v>
      </c>
      <c r="DL8" s="4" t="s">
        <v>721</v>
      </c>
      <c r="DM8" s="1" t="s">
        <v>6</v>
      </c>
    </row>
    <row r="9" spans="1:117" x14ac:dyDescent="0.25">
      <c r="B9" s="50"/>
      <c r="C9" s="51"/>
      <c r="D9" s="2"/>
      <c r="E9" s="2"/>
      <c r="F9" s="10" t="s">
        <v>73</v>
      </c>
      <c r="G9" s="10" t="s">
        <v>61</v>
      </c>
      <c r="H9" s="10" t="s">
        <v>73</v>
      </c>
      <c r="I9" s="10" t="s">
        <v>100</v>
      </c>
      <c r="J9" s="10" t="s">
        <v>125</v>
      </c>
      <c r="K9" s="10" t="s">
        <v>128</v>
      </c>
      <c r="L9" s="10" t="s">
        <v>135</v>
      </c>
      <c r="M9" s="10" t="s">
        <v>133</v>
      </c>
      <c r="N9" s="10" t="s">
        <v>140</v>
      </c>
      <c r="O9" s="10" t="s">
        <v>73</v>
      </c>
      <c r="P9" s="10" t="s">
        <v>56</v>
      </c>
      <c r="Q9" s="10" t="s">
        <v>54</v>
      </c>
      <c r="R9" s="10" t="s">
        <v>159</v>
      </c>
      <c r="S9" s="10" t="s">
        <v>162</v>
      </c>
      <c r="T9" s="10" t="s">
        <v>32</v>
      </c>
      <c r="U9" s="10" t="s">
        <v>167</v>
      </c>
      <c r="V9" s="10" t="s">
        <v>169</v>
      </c>
      <c r="W9" s="10" t="s">
        <v>172</v>
      </c>
      <c r="X9" s="10" t="s">
        <v>174</v>
      </c>
      <c r="Y9" s="2" t="s">
        <v>6</v>
      </c>
      <c r="Z9" s="2"/>
      <c r="AA9" s="10" t="s">
        <v>28</v>
      </c>
      <c r="AB9" s="10" t="s">
        <v>149</v>
      </c>
      <c r="AC9" s="18" t="s">
        <v>54</v>
      </c>
      <c r="AD9" s="18" t="s">
        <v>134</v>
      </c>
      <c r="AE9" s="18" t="s">
        <v>162</v>
      </c>
      <c r="AF9" s="18" t="s">
        <v>132</v>
      </c>
      <c r="AG9" s="18" t="s">
        <v>141</v>
      </c>
      <c r="AH9" s="18" t="s">
        <v>128</v>
      </c>
      <c r="AI9" s="18" t="s">
        <v>132</v>
      </c>
      <c r="AJ9" s="18" t="s">
        <v>251</v>
      </c>
      <c r="AK9" s="18" t="s">
        <v>56</v>
      </c>
      <c r="AL9" s="18" t="s">
        <v>130</v>
      </c>
      <c r="AM9" s="18" t="s">
        <v>54</v>
      </c>
      <c r="AN9" s="18" t="s">
        <v>141</v>
      </c>
      <c r="AO9" s="18" t="s">
        <v>128</v>
      </c>
      <c r="AP9" s="18" t="s">
        <v>278</v>
      </c>
      <c r="AQ9" s="10" t="s">
        <v>28</v>
      </c>
      <c r="AR9" s="10" t="s">
        <v>159</v>
      </c>
      <c r="AS9" s="18"/>
      <c r="AT9" s="2"/>
      <c r="AU9" s="10"/>
      <c r="AV9" s="10" t="s">
        <v>130</v>
      </c>
      <c r="AW9" s="10" t="s">
        <v>149</v>
      </c>
      <c r="AX9" s="10" t="s">
        <v>346</v>
      </c>
      <c r="AY9" s="10" t="s">
        <v>251</v>
      </c>
      <c r="AZ9" s="10" t="s">
        <v>128</v>
      </c>
      <c r="BA9" s="10" t="s">
        <v>159</v>
      </c>
      <c r="BB9" s="10" t="s">
        <v>54</v>
      </c>
      <c r="BC9" s="10" t="s">
        <v>56</v>
      </c>
      <c r="BD9" s="10" t="s">
        <v>132</v>
      </c>
      <c r="BE9" s="10" t="s">
        <v>278</v>
      </c>
      <c r="BF9" s="10" t="s">
        <v>396</v>
      </c>
      <c r="BG9" s="10" t="s">
        <v>132</v>
      </c>
      <c r="BH9" s="10" t="s">
        <v>134</v>
      </c>
      <c r="BI9" s="10" t="s">
        <v>141</v>
      </c>
      <c r="BJ9" s="10" t="s">
        <v>134</v>
      </c>
      <c r="BK9" s="10" t="s">
        <v>130</v>
      </c>
      <c r="BL9" s="10" t="s">
        <v>346</v>
      </c>
      <c r="BM9" s="10" t="s">
        <v>54</v>
      </c>
      <c r="BN9" s="10" t="s">
        <v>251</v>
      </c>
      <c r="BO9" s="10" t="s">
        <v>328</v>
      </c>
      <c r="BP9" s="10" t="s">
        <v>56</v>
      </c>
      <c r="BQ9" s="10" t="s">
        <v>159</v>
      </c>
      <c r="BR9" s="10" t="s">
        <v>128</v>
      </c>
      <c r="BS9" s="10" t="s">
        <v>458</v>
      </c>
      <c r="BT9" s="10" t="s">
        <v>141</v>
      </c>
      <c r="BU9" s="10" t="s">
        <v>475</v>
      </c>
      <c r="BV9" s="10"/>
      <c r="BW9" s="10"/>
      <c r="BX9" s="8" t="s">
        <v>27</v>
      </c>
      <c r="BY9" s="8" t="s">
        <v>217</v>
      </c>
      <c r="BZ9" s="52" t="s">
        <v>477</v>
      </c>
      <c r="CA9" s="53"/>
      <c r="CB9" s="53"/>
      <c r="CC9" s="54"/>
      <c r="CD9" s="10"/>
      <c r="CE9" s="10"/>
      <c r="CF9" s="8" t="s">
        <v>27</v>
      </c>
      <c r="CG9" s="8" t="s">
        <v>217</v>
      </c>
      <c r="CH9" s="52" t="s">
        <v>477</v>
      </c>
      <c r="CI9" s="53"/>
      <c r="CJ9" s="53"/>
      <c r="CK9" s="54"/>
      <c r="CL9" s="8"/>
      <c r="CN9" s="2" t="s">
        <v>176</v>
      </c>
      <c r="CO9" s="2"/>
      <c r="CP9" s="10" t="s">
        <v>255</v>
      </c>
      <c r="CQ9" s="10" t="s">
        <v>284</v>
      </c>
      <c r="CR9" s="2"/>
      <c r="CS9" s="7"/>
      <c r="CT9" s="10" t="s">
        <v>176</v>
      </c>
      <c r="CU9" s="10"/>
      <c r="CV9" s="10" t="s">
        <v>341</v>
      </c>
      <c r="CW9" s="10" t="s">
        <v>354</v>
      </c>
      <c r="CX9" s="10" t="s">
        <v>419</v>
      </c>
      <c r="CY9" s="10" t="s">
        <v>255</v>
      </c>
      <c r="CZ9" s="10" t="s">
        <v>255</v>
      </c>
      <c r="DA9" s="10" t="s">
        <v>73</v>
      </c>
      <c r="DB9" s="10"/>
      <c r="DC9" s="10"/>
      <c r="DD9" s="10"/>
      <c r="DE9" s="10" t="s">
        <v>437</v>
      </c>
      <c r="DF9" s="10" t="s">
        <v>419</v>
      </c>
      <c r="DG9" s="10" t="s">
        <v>73</v>
      </c>
      <c r="DH9" s="10"/>
      <c r="DI9" s="10"/>
      <c r="DJ9" s="10" t="s">
        <v>32</v>
      </c>
      <c r="DK9" s="10" t="s">
        <v>419</v>
      </c>
      <c r="DL9" s="10" t="s">
        <v>172</v>
      </c>
      <c r="DM9" s="2"/>
    </row>
    <row r="10" spans="1:117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44654</v>
      </c>
      <c r="H10" s="9">
        <v>44681</v>
      </c>
      <c r="I10" s="9">
        <v>44695</v>
      </c>
      <c r="J10" s="9">
        <v>44709</v>
      </c>
      <c r="K10" s="9">
        <v>44709</v>
      </c>
      <c r="L10" s="9">
        <v>44730</v>
      </c>
      <c r="M10" s="9">
        <v>44730</v>
      </c>
      <c r="N10" s="9">
        <v>44737</v>
      </c>
      <c r="O10" s="9">
        <v>44758</v>
      </c>
      <c r="P10" s="9">
        <v>44779</v>
      </c>
      <c r="Q10" s="9">
        <v>44793</v>
      </c>
      <c r="R10" s="9">
        <v>44800</v>
      </c>
      <c r="S10" s="9">
        <v>44814</v>
      </c>
      <c r="T10" s="9">
        <v>44819</v>
      </c>
      <c r="U10" s="9">
        <v>44826</v>
      </c>
      <c r="V10" s="9">
        <v>44829</v>
      </c>
      <c r="W10" s="9">
        <v>44867</v>
      </c>
      <c r="X10" s="9">
        <v>44906</v>
      </c>
      <c r="Y10" s="2">
        <v>2022</v>
      </c>
      <c r="Z10" s="2"/>
      <c r="AA10" s="10" t="s">
        <v>179</v>
      </c>
      <c r="AB10" s="2" t="s">
        <v>185</v>
      </c>
      <c r="AC10" s="18" t="s">
        <v>189</v>
      </c>
      <c r="AD10" s="18" t="s">
        <v>193</v>
      </c>
      <c r="AE10" s="18" t="s">
        <v>213</v>
      </c>
      <c r="AF10" s="18" t="s">
        <v>218</v>
      </c>
      <c r="AG10" s="18" t="s">
        <v>228</v>
      </c>
      <c r="AH10" s="18" t="s">
        <v>240</v>
      </c>
      <c r="AI10" s="18" t="s">
        <v>242</v>
      </c>
      <c r="AJ10" s="18" t="s">
        <v>252</v>
      </c>
      <c r="AK10" s="18" t="s">
        <v>254</v>
      </c>
      <c r="AL10" s="18" t="s">
        <v>256</v>
      </c>
      <c r="AM10" s="18" t="s">
        <v>258</v>
      </c>
      <c r="AN10" s="18" t="s">
        <v>268</v>
      </c>
      <c r="AO10" s="18" t="s">
        <v>277</v>
      </c>
      <c r="AP10" s="18" t="s">
        <v>279</v>
      </c>
      <c r="AQ10" s="10" t="s">
        <v>280</v>
      </c>
      <c r="AR10" s="10" t="s">
        <v>280</v>
      </c>
      <c r="AS10" s="18" t="s">
        <v>289</v>
      </c>
      <c r="AT10" s="2">
        <v>2023</v>
      </c>
      <c r="AU10" s="31"/>
      <c r="AV10" s="31" t="s">
        <v>317</v>
      </c>
      <c r="AW10" s="31" t="s">
        <v>317</v>
      </c>
      <c r="AX10" s="31" t="s">
        <v>317</v>
      </c>
      <c r="AY10" s="31" t="s">
        <v>317</v>
      </c>
      <c r="AZ10" s="31" t="s">
        <v>317</v>
      </c>
      <c r="BA10" s="31" t="s">
        <v>317</v>
      </c>
      <c r="BB10" s="31" t="s">
        <v>356</v>
      </c>
      <c r="BC10" s="31" t="s">
        <v>373</v>
      </c>
      <c r="BD10" s="31" t="s">
        <v>384</v>
      </c>
      <c r="BE10" s="31" t="s">
        <v>397</v>
      </c>
      <c r="BF10" s="31" t="s">
        <v>397</v>
      </c>
      <c r="BG10" s="31" t="s">
        <v>405</v>
      </c>
      <c r="BH10" s="31" t="s">
        <v>405</v>
      </c>
      <c r="BI10" s="31" t="s">
        <v>416</v>
      </c>
      <c r="BJ10" s="31" t="s">
        <v>421</v>
      </c>
      <c r="BK10" s="31" t="s">
        <v>439</v>
      </c>
      <c r="BL10" s="31" t="s">
        <v>441</v>
      </c>
      <c r="BM10" s="31" t="s">
        <v>441</v>
      </c>
      <c r="BN10" s="31" t="s">
        <v>440</v>
      </c>
      <c r="BO10" s="31" t="s">
        <v>445</v>
      </c>
      <c r="BP10" s="31" t="s">
        <v>445</v>
      </c>
      <c r="BQ10" s="31" t="s">
        <v>445</v>
      </c>
      <c r="BR10" s="31" t="s">
        <v>456</v>
      </c>
      <c r="BS10" s="31" t="s">
        <v>459</v>
      </c>
      <c r="BT10" s="31" t="s">
        <v>465</v>
      </c>
      <c r="BU10" s="31" t="s">
        <v>476</v>
      </c>
      <c r="BV10" s="31">
        <v>2024</v>
      </c>
      <c r="BW10" s="10"/>
      <c r="BX10" s="10"/>
      <c r="BY10" s="10"/>
      <c r="BZ10" s="10">
        <v>1</v>
      </c>
      <c r="CA10" s="10">
        <v>2</v>
      </c>
      <c r="CB10" s="10">
        <v>3</v>
      </c>
      <c r="CC10" s="10">
        <v>4</v>
      </c>
      <c r="CD10" s="10">
        <v>2025</v>
      </c>
      <c r="CE10" s="10"/>
      <c r="CF10" s="10"/>
      <c r="CG10" s="10"/>
      <c r="CH10" s="10">
        <v>1</v>
      </c>
      <c r="CI10" s="10">
        <v>2</v>
      </c>
      <c r="CJ10" s="10">
        <v>3</v>
      </c>
      <c r="CK10" s="10">
        <v>4</v>
      </c>
      <c r="CL10" s="10">
        <v>2026</v>
      </c>
      <c r="CN10" s="2"/>
      <c r="CO10" s="14">
        <v>45078</v>
      </c>
      <c r="CP10" s="8">
        <v>45154</v>
      </c>
      <c r="CQ10" s="8">
        <v>45255</v>
      </c>
      <c r="CR10" s="2">
        <v>2023</v>
      </c>
      <c r="CS10" s="7"/>
      <c r="CT10" s="10"/>
      <c r="CU10" s="9">
        <v>45347</v>
      </c>
      <c r="CV10" s="9" t="s">
        <v>345</v>
      </c>
      <c r="CW10" s="9" t="s">
        <v>355</v>
      </c>
      <c r="CX10" s="9" t="s">
        <v>228</v>
      </c>
      <c r="CY10" s="9" t="s">
        <v>456</v>
      </c>
      <c r="CZ10" s="9" t="s">
        <v>457</v>
      </c>
      <c r="DA10" s="9" t="s">
        <v>474</v>
      </c>
      <c r="DB10" s="10">
        <v>2024</v>
      </c>
      <c r="DC10" s="10"/>
      <c r="DD10" s="10" t="s">
        <v>480</v>
      </c>
      <c r="DE10" s="10" t="s">
        <v>586</v>
      </c>
      <c r="DF10" s="10" t="s">
        <v>616</v>
      </c>
      <c r="DG10" s="10" t="s">
        <v>474</v>
      </c>
      <c r="DH10" s="10">
        <v>2025</v>
      </c>
      <c r="DI10" s="10"/>
      <c r="DJ10" s="10" t="s">
        <v>722</v>
      </c>
      <c r="DK10" s="10" t="s">
        <v>723</v>
      </c>
      <c r="DL10" s="10" t="s">
        <v>724</v>
      </c>
      <c r="DM10" s="2">
        <v>2026</v>
      </c>
    </row>
    <row r="11" spans="1:117" x14ac:dyDescent="0.25">
      <c r="A11">
        <v>1</v>
      </c>
      <c r="B11" s="5" t="s">
        <v>49</v>
      </c>
      <c r="C11" s="5" t="s">
        <v>325</v>
      </c>
      <c r="D11" s="5" t="s">
        <v>89</v>
      </c>
      <c r="E11" s="5" t="s">
        <v>253</v>
      </c>
      <c r="F11" s="5"/>
      <c r="G11" s="5"/>
      <c r="H11" s="5"/>
      <c r="I11" s="5"/>
      <c r="J11" s="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5"/>
      <c r="Z11" s="5"/>
      <c r="AA11" s="11"/>
      <c r="AB11" s="11"/>
      <c r="AC11" s="11"/>
      <c r="AD11" s="11"/>
      <c r="AE11" s="11"/>
      <c r="AF11" s="11"/>
      <c r="AG11" s="11"/>
      <c r="AH11" s="11"/>
      <c r="AI11" s="11"/>
      <c r="AJ11" s="11">
        <v>36</v>
      </c>
      <c r="AK11" s="11"/>
      <c r="AL11" s="11"/>
      <c r="AM11" s="11"/>
      <c r="AN11" s="11">
        <v>50</v>
      </c>
      <c r="AO11" s="11"/>
      <c r="AP11" s="11"/>
      <c r="AQ11" s="11"/>
      <c r="AR11" s="11"/>
      <c r="AS11" s="11">
        <v>150</v>
      </c>
      <c r="AT11" s="5">
        <f>SUM(Z11:AS11)</f>
        <v>236</v>
      </c>
      <c r="AU11" s="5">
        <f>(AT11-Z11)/2</f>
        <v>118</v>
      </c>
      <c r="AV11" s="5"/>
      <c r="AW11" s="5"/>
      <c r="AX11" s="5"/>
      <c r="AY11" s="5">
        <v>36</v>
      </c>
      <c r="AZ11" s="5"/>
      <c r="BA11" s="5"/>
      <c r="BB11" s="5"/>
      <c r="BC11" s="5"/>
      <c r="BD11" s="5">
        <v>54</v>
      </c>
      <c r="BE11" s="5"/>
      <c r="BF11" s="11">
        <v>70</v>
      </c>
      <c r="BG11" s="11"/>
      <c r="BH11" s="11">
        <v>80</v>
      </c>
      <c r="BI11" s="11"/>
      <c r="BJ11" s="11">
        <v>105</v>
      </c>
      <c r="BK11" s="11"/>
      <c r="BL11" s="11"/>
      <c r="BM11" s="11"/>
      <c r="BN11" s="11">
        <v>36</v>
      </c>
      <c r="BO11" s="11"/>
      <c r="BP11" s="11"/>
      <c r="BQ11" s="11"/>
      <c r="BR11" s="11"/>
      <c r="BS11" s="11"/>
      <c r="BT11" s="11">
        <v>105</v>
      </c>
      <c r="BU11" s="11">
        <v>140</v>
      </c>
      <c r="BV11" s="5">
        <f>SUM(AU11:BU11)</f>
        <v>744</v>
      </c>
      <c r="BW11" s="5">
        <f>(BV11-AU11)/2</f>
        <v>313</v>
      </c>
      <c r="BX11" s="11"/>
      <c r="BY11" s="11"/>
      <c r="BZ11" s="11">
        <v>150</v>
      </c>
      <c r="CA11" s="11">
        <v>54</v>
      </c>
      <c r="CB11" s="11">
        <v>150</v>
      </c>
      <c r="CC11" s="11">
        <v>200</v>
      </c>
      <c r="CD11" s="5">
        <f>SUM(BW11:CC11)</f>
        <v>867</v>
      </c>
      <c r="CE11" s="5">
        <f>(CD11-BW11)/2</f>
        <v>277</v>
      </c>
      <c r="CF11" s="11"/>
      <c r="CG11" s="11">
        <v>80</v>
      </c>
      <c r="CH11" s="11">
        <v>54</v>
      </c>
      <c r="CI11" s="11"/>
      <c r="CJ11" s="11"/>
      <c r="CK11" s="11"/>
      <c r="CL11" s="5">
        <f>SUM(CE11:CK11)</f>
        <v>411</v>
      </c>
      <c r="CN11" s="5">
        <f>AT11/4</f>
        <v>59</v>
      </c>
      <c r="CO11" s="5"/>
      <c r="CP11" s="11"/>
      <c r="CQ11" s="11">
        <v>70</v>
      </c>
      <c r="CR11" s="5">
        <f>SUM(CN11:CQ11)</f>
        <v>129</v>
      </c>
      <c r="CS11" s="5">
        <f>CR11/2</f>
        <v>64.5</v>
      </c>
      <c r="CT11" s="5">
        <f>BV11/4</f>
        <v>186</v>
      </c>
      <c r="CU11" s="11">
        <v>12</v>
      </c>
      <c r="CV11" s="11"/>
      <c r="CW11" s="11"/>
      <c r="CX11" s="11"/>
      <c r="CY11" s="11">
        <v>54</v>
      </c>
      <c r="CZ11" s="11">
        <v>26</v>
      </c>
      <c r="DA11" s="11"/>
      <c r="DB11" s="5">
        <f>SUM(CS11:CZ11)</f>
        <v>342.5</v>
      </c>
      <c r="DC11" s="5">
        <f>(DB11-CS11)/2</f>
        <v>139</v>
      </c>
      <c r="DD11" s="11">
        <v>21</v>
      </c>
      <c r="DE11" s="11"/>
      <c r="DF11" s="11"/>
      <c r="DG11" s="11"/>
      <c r="DH11" s="5">
        <f>SUM(DC11:DE11)</f>
        <v>160</v>
      </c>
      <c r="DI11" s="5">
        <f>(DH11-DC11)/2</f>
        <v>10.5</v>
      </c>
      <c r="DJ11" s="5"/>
      <c r="DK11" s="11"/>
      <c r="DL11" s="11"/>
      <c r="DM11" s="5">
        <f>SUM(DI11:DJ11)</f>
        <v>10.5</v>
      </c>
    </row>
    <row r="12" spans="1:117" x14ac:dyDescent="0.25">
      <c r="A12">
        <v>2</v>
      </c>
      <c r="B12" s="5" t="s">
        <v>288</v>
      </c>
      <c r="C12" s="5"/>
      <c r="D12" s="5" t="s">
        <v>349</v>
      </c>
      <c r="E12" s="5" t="s">
        <v>75</v>
      </c>
      <c r="F12" s="5"/>
      <c r="G12" s="5"/>
      <c r="H12" s="5"/>
      <c r="I12" s="5"/>
      <c r="J12" s="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5"/>
      <c r="Z12" s="5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5"/>
      <c r="AU12" s="5"/>
      <c r="AV12" s="5"/>
      <c r="AW12" s="5"/>
      <c r="AX12" s="5">
        <v>48</v>
      </c>
      <c r="AY12" s="5"/>
      <c r="AZ12" s="5"/>
      <c r="BA12" s="5"/>
      <c r="BB12" s="5"/>
      <c r="BC12" s="5"/>
      <c r="BD12" s="5">
        <v>54</v>
      </c>
      <c r="BE12" s="5"/>
      <c r="BF12" s="11">
        <v>50</v>
      </c>
      <c r="BG12" s="11"/>
      <c r="BH12" s="11">
        <v>56</v>
      </c>
      <c r="BI12" s="11"/>
      <c r="BJ12" s="11">
        <v>7.5</v>
      </c>
      <c r="BK12" s="11"/>
      <c r="BL12" s="11">
        <v>33.6</v>
      </c>
      <c r="BM12" s="11"/>
      <c r="BN12" s="11"/>
      <c r="BO12" s="11"/>
      <c r="BP12" s="11"/>
      <c r="BQ12" s="11"/>
      <c r="BR12" s="11"/>
      <c r="BS12" s="11"/>
      <c r="BT12" s="11">
        <v>54</v>
      </c>
      <c r="BU12" s="11">
        <v>100</v>
      </c>
      <c r="BV12" s="5">
        <f>SUM(AU12:BU12)</f>
        <v>403.1</v>
      </c>
      <c r="BW12" s="5">
        <f>(BV12-AU12)/2</f>
        <v>201.55</v>
      </c>
      <c r="BX12" s="11">
        <v>48</v>
      </c>
      <c r="BY12" s="11">
        <v>64</v>
      </c>
      <c r="BZ12" s="11">
        <v>140</v>
      </c>
      <c r="CA12" s="11">
        <v>105</v>
      </c>
      <c r="CB12" s="11">
        <v>75</v>
      </c>
      <c r="CC12" s="11">
        <v>80</v>
      </c>
      <c r="CD12" s="5">
        <f>SUM(BW12:CC12)</f>
        <v>713.55</v>
      </c>
      <c r="CE12" s="5">
        <f>(CD12-BW12)/2</f>
        <v>255.99999999999997</v>
      </c>
      <c r="CF12" s="11">
        <v>42</v>
      </c>
      <c r="CG12" s="11"/>
      <c r="CH12" s="11">
        <v>105</v>
      </c>
      <c r="CI12" s="11"/>
      <c r="CJ12" s="11"/>
      <c r="CK12" s="11"/>
      <c r="CL12" s="5">
        <f>SUM(CE12:CK12)</f>
        <v>403</v>
      </c>
      <c r="CN12" s="5"/>
      <c r="CO12" s="5"/>
      <c r="CP12" s="5"/>
      <c r="CQ12" s="5"/>
      <c r="CR12" s="5">
        <f>SUM(CN12:CQ12)</f>
        <v>0</v>
      </c>
      <c r="CS12" s="5">
        <f>CR12/2</f>
        <v>0</v>
      </c>
      <c r="CT12" s="5">
        <f>BV12/4</f>
        <v>100.77500000000001</v>
      </c>
      <c r="CU12" s="11"/>
      <c r="CV12" s="11"/>
      <c r="CW12" s="11"/>
      <c r="CX12" s="11"/>
      <c r="CY12" s="11"/>
      <c r="CZ12" s="11"/>
      <c r="DA12" s="11">
        <v>40</v>
      </c>
      <c r="DB12" s="5">
        <f>SUM(CS12:DA12)</f>
        <v>140.77500000000001</v>
      </c>
      <c r="DC12" s="5">
        <f>(DB12-CS12)/2</f>
        <v>70.387500000000003</v>
      </c>
      <c r="DD12" s="11">
        <v>35</v>
      </c>
      <c r="DE12" s="11"/>
      <c r="DF12" s="11"/>
      <c r="DG12" s="11"/>
      <c r="DH12" s="5">
        <f>SUM(DC12:DE12)</f>
        <v>105.3875</v>
      </c>
      <c r="DI12" s="5">
        <f>(DH12-DC12)/2</f>
        <v>17.5</v>
      </c>
      <c r="DJ12" s="5"/>
      <c r="DK12" s="11"/>
      <c r="DL12" s="11"/>
      <c r="DM12" s="5">
        <f>SUM(DI12:DJ12)</f>
        <v>17.5</v>
      </c>
    </row>
    <row r="13" spans="1:117" x14ac:dyDescent="0.25">
      <c r="A13">
        <v>3</v>
      </c>
      <c r="B13" s="5" t="s">
        <v>380</v>
      </c>
      <c r="C13" s="5"/>
      <c r="D13" s="5" t="s">
        <v>412</v>
      </c>
      <c r="E13" s="5" t="s">
        <v>304</v>
      </c>
      <c r="F13" s="5"/>
      <c r="G13" s="5"/>
      <c r="H13" s="5"/>
      <c r="I13" s="5"/>
      <c r="J13" s="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5"/>
      <c r="Z13" s="5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5"/>
      <c r="BW13" s="5"/>
      <c r="BX13" s="11">
        <v>48</v>
      </c>
      <c r="BY13" s="11"/>
      <c r="BZ13" s="11"/>
      <c r="CA13" s="11"/>
      <c r="CB13" s="11"/>
      <c r="CC13" s="11"/>
      <c r="CD13" s="5">
        <f>SUM(BW13:CC13)</f>
        <v>48</v>
      </c>
      <c r="CE13" s="5">
        <f>(CD13-BW13)/2</f>
        <v>24</v>
      </c>
      <c r="CF13" s="11">
        <v>48</v>
      </c>
      <c r="CG13" s="11">
        <v>80</v>
      </c>
      <c r="CH13" s="11">
        <v>150</v>
      </c>
      <c r="CI13" s="11"/>
      <c r="CJ13" s="11"/>
      <c r="CK13" s="11"/>
      <c r="CL13" s="5">
        <f>SUM(CE13:CK13)</f>
        <v>302</v>
      </c>
      <c r="CN13" s="5"/>
      <c r="CO13" s="5"/>
      <c r="CP13" s="5"/>
      <c r="CQ13" s="5"/>
      <c r="CR13" s="5"/>
      <c r="CS13" s="5"/>
      <c r="CT13" s="5"/>
      <c r="CU13" s="11"/>
      <c r="CV13" s="11"/>
      <c r="CW13" s="11"/>
      <c r="CX13" s="11"/>
      <c r="CY13" s="11"/>
      <c r="CZ13" s="11"/>
      <c r="DA13" s="11"/>
      <c r="DB13" s="5"/>
      <c r="DC13" s="5"/>
      <c r="DD13" s="11"/>
      <c r="DE13" s="11"/>
      <c r="DF13" s="11"/>
      <c r="DG13" s="11"/>
      <c r="DH13" s="5">
        <f>SUM(DC13:DG13)</f>
        <v>0</v>
      </c>
      <c r="DI13" s="5">
        <f>(DH13-DC13)/2</f>
        <v>0</v>
      </c>
      <c r="DJ13" s="5"/>
      <c r="DK13" s="11"/>
      <c r="DL13" s="11"/>
      <c r="DM13" s="5">
        <f>SUM(DI13:DJ13)</f>
        <v>0</v>
      </c>
    </row>
    <row r="14" spans="1:117" x14ac:dyDescent="0.25">
      <c r="A14">
        <v>4</v>
      </c>
      <c r="B14" s="5" t="s">
        <v>136</v>
      </c>
      <c r="C14" s="5"/>
      <c r="D14" s="5" t="s">
        <v>533</v>
      </c>
      <c r="E14" s="5" t="s">
        <v>532</v>
      </c>
      <c r="F14" s="5"/>
      <c r="G14" s="5"/>
      <c r="H14" s="5"/>
      <c r="I14" s="5"/>
      <c r="J14" s="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5"/>
      <c r="Z14" s="5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5"/>
      <c r="BW14" s="5"/>
      <c r="BX14" s="11">
        <v>60</v>
      </c>
      <c r="BY14" s="11">
        <v>56</v>
      </c>
      <c r="BZ14" s="11">
        <v>75</v>
      </c>
      <c r="CA14" s="11">
        <v>54</v>
      </c>
      <c r="CB14" s="11">
        <v>54</v>
      </c>
      <c r="CC14" s="11">
        <v>72</v>
      </c>
      <c r="CD14" s="5">
        <f>SUM(BW14:CC14)</f>
        <v>371</v>
      </c>
      <c r="CE14" s="5">
        <f>(CD14-BW14)/2</f>
        <v>185.5</v>
      </c>
      <c r="CF14" s="11">
        <v>48</v>
      </c>
      <c r="CG14" s="11">
        <v>28.8</v>
      </c>
      <c r="CH14" s="11"/>
      <c r="CI14" s="11"/>
      <c r="CJ14" s="11"/>
      <c r="CK14" s="11"/>
      <c r="CL14" s="5">
        <f>SUM(CE14:CK14)</f>
        <v>262.3</v>
      </c>
      <c r="CN14" s="5"/>
      <c r="CO14" s="5"/>
      <c r="CP14" s="5"/>
      <c r="CQ14" s="5"/>
      <c r="CR14" s="5"/>
      <c r="CS14" s="5"/>
      <c r="CT14" s="5"/>
      <c r="CU14" s="11"/>
      <c r="CV14" s="11"/>
      <c r="CW14" s="11"/>
      <c r="CX14" s="11"/>
      <c r="CY14" s="11"/>
      <c r="CZ14" s="11"/>
      <c r="DA14" s="11"/>
      <c r="DB14" s="5"/>
      <c r="DC14" s="5"/>
      <c r="DD14" s="11"/>
      <c r="DE14" s="11"/>
      <c r="DF14" s="11"/>
      <c r="DG14" s="11"/>
      <c r="DH14" s="5">
        <f>SUM(DC14:DE14)</f>
        <v>0</v>
      </c>
      <c r="DI14" s="5">
        <f>(DH14-DC14)/2</f>
        <v>0</v>
      </c>
      <c r="DJ14" s="5"/>
      <c r="DK14" s="11"/>
      <c r="DL14" s="11"/>
      <c r="DM14" s="5">
        <f>SUM(DI14:DJ14)</f>
        <v>0</v>
      </c>
    </row>
    <row r="15" spans="1:117" x14ac:dyDescent="0.25">
      <c r="A15">
        <v>5</v>
      </c>
      <c r="B15" s="20" t="s">
        <v>79</v>
      </c>
      <c r="C15" s="20"/>
      <c r="D15" s="20" t="s">
        <v>142</v>
      </c>
      <c r="E15" s="20" t="s">
        <v>50</v>
      </c>
      <c r="F15" s="5"/>
      <c r="G15" s="5"/>
      <c r="H15" s="5"/>
      <c r="I15" s="5"/>
      <c r="J15" s="5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5"/>
      <c r="Z15" s="5"/>
      <c r="AA15" s="11"/>
      <c r="AB15" s="11"/>
      <c r="AC15" s="11"/>
      <c r="AD15" s="11">
        <v>5</v>
      </c>
      <c r="AE15" s="11"/>
      <c r="AF15" s="11"/>
      <c r="AG15" s="11">
        <v>3.2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>
        <v>75</v>
      </c>
      <c r="AT15" s="5">
        <f>SUM(Z15:AS15)</f>
        <v>83.2</v>
      </c>
      <c r="AU15" s="5">
        <f>(AT15-Z15)/2</f>
        <v>41.6</v>
      </c>
      <c r="AV15" s="5"/>
      <c r="AW15" s="5"/>
      <c r="AX15" s="5"/>
      <c r="AY15" s="5"/>
      <c r="AZ15" s="5"/>
      <c r="BA15" s="5"/>
      <c r="BB15" s="5"/>
      <c r="BC15" s="5">
        <v>36</v>
      </c>
      <c r="BD15" s="5">
        <v>7.5</v>
      </c>
      <c r="BE15" s="5"/>
      <c r="BF15" s="11">
        <v>5</v>
      </c>
      <c r="BG15" s="11"/>
      <c r="BH15" s="11"/>
      <c r="BI15" s="11"/>
      <c r="BJ15" s="11">
        <v>7.5</v>
      </c>
      <c r="BK15" s="11"/>
      <c r="BL15" s="11"/>
      <c r="BM15" s="11"/>
      <c r="BN15" s="11"/>
      <c r="BO15" s="11"/>
      <c r="BP15" s="11">
        <v>33.6</v>
      </c>
      <c r="BQ15" s="11"/>
      <c r="BR15" s="11"/>
      <c r="BS15" s="11"/>
      <c r="BT15" s="11"/>
      <c r="BU15" s="11"/>
      <c r="BV15" s="5">
        <f>SUM(AU15:BU15)</f>
        <v>131.19999999999999</v>
      </c>
      <c r="BW15" s="5">
        <f>(BV15-AU15)/2</f>
        <v>44.8</v>
      </c>
      <c r="BX15" s="11"/>
      <c r="BY15" s="11"/>
      <c r="BZ15" s="11">
        <v>100</v>
      </c>
      <c r="CA15" s="11">
        <v>50</v>
      </c>
      <c r="CB15" s="11">
        <v>75</v>
      </c>
      <c r="CC15" s="11">
        <v>54</v>
      </c>
      <c r="CD15" s="5">
        <f>SUM(BW15:CC15)</f>
        <v>323.8</v>
      </c>
      <c r="CE15" s="5">
        <f>(CD15-BW15)/2</f>
        <v>139.5</v>
      </c>
      <c r="CF15" s="11">
        <v>36</v>
      </c>
      <c r="CG15" s="11"/>
      <c r="CH15" s="11">
        <v>75</v>
      </c>
      <c r="CI15" s="11"/>
      <c r="CJ15" s="11"/>
      <c r="CK15" s="11"/>
      <c r="CL15" s="5">
        <f>SUM(CE15:CK15)</f>
        <v>250.5</v>
      </c>
      <c r="CN15" s="5">
        <f>AT15/4</f>
        <v>20.8</v>
      </c>
      <c r="CO15" s="5"/>
      <c r="CP15" s="11"/>
      <c r="CQ15" s="11"/>
      <c r="CR15" s="5">
        <f>SUM(CN15:CQ15)</f>
        <v>20.8</v>
      </c>
      <c r="CS15" s="5">
        <f>CR15/2</f>
        <v>10.4</v>
      </c>
      <c r="CT15" s="5">
        <f>BV15/4</f>
        <v>32.799999999999997</v>
      </c>
      <c r="CU15" s="11"/>
      <c r="CV15" s="11"/>
      <c r="CW15" s="11"/>
      <c r="CX15" s="11"/>
      <c r="CY15" s="11"/>
      <c r="CZ15" s="11"/>
      <c r="DA15" s="11"/>
      <c r="DB15" s="5">
        <f>SUM(CS15:DA15)</f>
        <v>43.199999999999996</v>
      </c>
      <c r="DC15" s="5">
        <f>(DB15-CS15)/2</f>
        <v>16.399999999999999</v>
      </c>
      <c r="DD15" s="11">
        <v>26.25</v>
      </c>
      <c r="DE15" s="11">
        <v>75</v>
      </c>
      <c r="DF15" s="11">
        <v>25</v>
      </c>
      <c r="DG15" s="11">
        <v>50</v>
      </c>
      <c r="DH15" s="5">
        <f>SUM(DC15:DG15)</f>
        <v>192.65</v>
      </c>
      <c r="DI15" s="5">
        <f>(DH15-DC15)/2</f>
        <v>88.125</v>
      </c>
      <c r="DJ15" s="5">
        <v>54</v>
      </c>
      <c r="DK15" s="11"/>
      <c r="DL15" s="11">
        <v>75</v>
      </c>
      <c r="DM15" s="20">
        <f>SUM(DI15:DL15)</f>
        <v>217.125</v>
      </c>
    </row>
    <row r="16" spans="1:117" x14ac:dyDescent="0.25">
      <c r="A16">
        <v>6</v>
      </c>
      <c r="B16" s="5" t="s">
        <v>612</v>
      </c>
      <c r="C16" s="5"/>
      <c r="D16" s="5" t="s">
        <v>63</v>
      </c>
      <c r="E16" s="5" t="s">
        <v>654</v>
      </c>
      <c r="F16" s="5"/>
      <c r="G16" s="5"/>
      <c r="H16" s="5"/>
      <c r="I16" s="5"/>
      <c r="J16" s="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5"/>
      <c r="Z16" s="5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5"/>
      <c r="BW16" s="5"/>
      <c r="BX16" s="11"/>
      <c r="BY16" s="11"/>
      <c r="BZ16" s="11"/>
      <c r="CA16" s="11"/>
      <c r="CB16" s="11"/>
      <c r="CC16" s="11"/>
      <c r="CD16" s="5"/>
      <c r="CE16" s="5"/>
      <c r="CF16" s="11">
        <v>60</v>
      </c>
      <c r="CG16" s="11">
        <v>56</v>
      </c>
      <c r="CH16" s="11"/>
      <c r="CI16" s="11">
        <v>100</v>
      </c>
      <c r="CJ16" s="11"/>
      <c r="CK16" s="11"/>
      <c r="CL16" s="5">
        <f>SUM(CE16:CK16)</f>
        <v>216</v>
      </c>
      <c r="CN16" s="5"/>
      <c r="CO16" s="5"/>
      <c r="CP16" s="5"/>
      <c r="CQ16" s="5"/>
      <c r="CR16" s="5"/>
      <c r="CS16" s="5"/>
      <c r="CT16" s="5"/>
      <c r="CU16" s="11"/>
      <c r="CV16" s="11"/>
      <c r="CW16" s="11"/>
      <c r="CX16" s="11"/>
      <c r="CY16" s="11"/>
      <c r="CZ16" s="11"/>
      <c r="DA16" s="11"/>
      <c r="DB16" s="5"/>
      <c r="DC16" s="5"/>
      <c r="DD16" s="11"/>
      <c r="DE16" s="11"/>
      <c r="DF16" s="11"/>
      <c r="DG16" s="11"/>
      <c r="DH16" s="5">
        <f>SUM(DC16:DG16)</f>
        <v>0</v>
      </c>
      <c r="DI16" s="5">
        <f>(DH16-DC16)/2</f>
        <v>0</v>
      </c>
      <c r="DJ16" s="5"/>
      <c r="DK16" s="11"/>
      <c r="DL16" s="11"/>
      <c r="DM16" s="5">
        <f>SUM(DI16:DJ16)</f>
        <v>0</v>
      </c>
    </row>
    <row r="17" spans="1:117" x14ac:dyDescent="0.25">
      <c r="A17">
        <v>7</v>
      </c>
      <c r="B17" s="5" t="s">
        <v>499</v>
      </c>
      <c r="C17" s="5"/>
      <c r="D17" s="5" t="s">
        <v>120</v>
      </c>
      <c r="E17" s="5" t="s">
        <v>404</v>
      </c>
      <c r="F17" s="5"/>
      <c r="G17" s="5"/>
      <c r="H17" s="5"/>
      <c r="I17" s="5"/>
      <c r="J17" s="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5"/>
      <c r="Z17" s="5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5"/>
      <c r="BW17" s="5"/>
      <c r="BX17" s="11">
        <v>48</v>
      </c>
      <c r="BY17" s="11">
        <v>56</v>
      </c>
      <c r="BZ17" s="11">
        <v>39</v>
      </c>
      <c r="CA17" s="11">
        <v>7.5</v>
      </c>
      <c r="CB17" s="11"/>
      <c r="CC17" s="11"/>
      <c r="CD17" s="5">
        <f>SUM(BW17:CC17)</f>
        <v>150.5</v>
      </c>
      <c r="CE17" s="5">
        <f>(CD17-BW17)/2</f>
        <v>75.25</v>
      </c>
      <c r="CF17" s="11">
        <v>36</v>
      </c>
      <c r="CG17" s="11">
        <v>56</v>
      </c>
      <c r="CH17" s="11">
        <v>36</v>
      </c>
      <c r="CI17" s="11"/>
      <c r="CJ17" s="11"/>
      <c r="CK17" s="11"/>
      <c r="CL17" s="5">
        <f>SUM(CE17:CK17)</f>
        <v>203.25</v>
      </c>
      <c r="CN17" s="5"/>
      <c r="CO17" s="5"/>
      <c r="CP17" s="5"/>
      <c r="CQ17" s="5"/>
      <c r="CR17" s="5"/>
      <c r="CS17" s="5"/>
      <c r="CT17" s="5"/>
      <c r="CU17" s="11"/>
      <c r="CV17" s="11"/>
      <c r="CW17" s="11"/>
      <c r="CX17" s="11"/>
      <c r="CY17" s="11"/>
      <c r="CZ17" s="11"/>
      <c r="DA17" s="11"/>
      <c r="DB17" s="5"/>
      <c r="DC17" s="5"/>
      <c r="DD17" s="11">
        <v>14</v>
      </c>
      <c r="DE17" s="11"/>
      <c r="DF17" s="11"/>
      <c r="DG17" s="11"/>
      <c r="DH17" s="5">
        <f>SUM(DC17:DG17)</f>
        <v>14</v>
      </c>
      <c r="DI17" s="5">
        <f>(DH17-DC17)/2</f>
        <v>7</v>
      </c>
      <c r="DJ17" s="5"/>
      <c r="DK17" s="11"/>
      <c r="DL17" s="11"/>
      <c r="DM17" s="5">
        <f>SUM(DI17:DJ17)</f>
        <v>7</v>
      </c>
    </row>
    <row r="18" spans="1:117" x14ac:dyDescent="0.25">
      <c r="A18" s="46">
        <v>8</v>
      </c>
      <c r="B18" s="5" t="s">
        <v>257</v>
      </c>
      <c r="C18" s="5"/>
      <c r="D18" s="5" t="s">
        <v>63</v>
      </c>
      <c r="E18" s="5" t="s">
        <v>10</v>
      </c>
      <c r="F18" s="5"/>
      <c r="G18" s="5"/>
      <c r="H18" s="5"/>
      <c r="I18" s="5"/>
      <c r="J18" s="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5"/>
      <c r="Z18" s="5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5"/>
      <c r="BW18" s="5"/>
      <c r="BX18" s="11"/>
      <c r="BY18" s="11"/>
      <c r="BZ18" s="11"/>
      <c r="CA18" s="11"/>
      <c r="CB18" s="11"/>
      <c r="CC18" s="11"/>
      <c r="CD18" s="5"/>
      <c r="CE18" s="5"/>
      <c r="CF18" s="11">
        <v>48</v>
      </c>
      <c r="CG18" s="11">
        <v>80</v>
      </c>
      <c r="CH18" s="11"/>
      <c r="CI18" s="11">
        <v>70</v>
      </c>
      <c r="CJ18" s="11"/>
      <c r="CK18" s="11"/>
      <c r="CL18" s="5">
        <f>SUM(CE18:CK18)</f>
        <v>198</v>
      </c>
      <c r="CN18" s="5"/>
      <c r="CO18" s="5"/>
      <c r="CP18" s="5"/>
      <c r="CQ18" s="5"/>
      <c r="CR18" s="5"/>
      <c r="CS18" s="5"/>
      <c r="CT18" s="5"/>
      <c r="CU18" s="11"/>
      <c r="CV18" s="11"/>
      <c r="CW18" s="11"/>
      <c r="CX18" s="11"/>
      <c r="CY18" s="11"/>
      <c r="CZ18" s="11"/>
      <c r="DA18" s="11"/>
      <c r="DB18" s="5"/>
      <c r="DC18" s="5"/>
      <c r="DD18" s="11"/>
      <c r="DE18" s="11"/>
      <c r="DF18" s="11"/>
      <c r="DG18" s="11"/>
      <c r="DH18" s="5">
        <f>SUM(DC18:DG18)</f>
        <v>0</v>
      </c>
      <c r="DI18" s="5">
        <f>(DH18-DC18)/2</f>
        <v>0</v>
      </c>
      <c r="DJ18" s="5"/>
      <c r="DK18" s="11"/>
      <c r="DL18" s="11"/>
      <c r="DM18" s="5">
        <f>SUM(DI18:DJ18)</f>
        <v>0</v>
      </c>
    </row>
    <row r="19" spans="1:117" x14ac:dyDescent="0.25">
      <c r="A19">
        <v>9</v>
      </c>
      <c r="B19" s="5" t="s">
        <v>85</v>
      </c>
      <c r="C19" s="5"/>
      <c r="D19" s="5" t="s">
        <v>86</v>
      </c>
      <c r="E19" s="5" t="s">
        <v>75</v>
      </c>
      <c r="F19" s="5"/>
      <c r="G19" s="5"/>
      <c r="H19" s="5"/>
      <c r="I19" s="5"/>
      <c r="J19" s="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5"/>
      <c r="Z19" s="5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5"/>
      <c r="BW19" s="5"/>
      <c r="BX19" s="11">
        <v>48</v>
      </c>
      <c r="BY19" s="11"/>
      <c r="BZ19" s="11">
        <v>39</v>
      </c>
      <c r="CA19" s="11">
        <v>100</v>
      </c>
      <c r="CB19" s="11">
        <v>105</v>
      </c>
      <c r="CC19" s="11">
        <v>100</v>
      </c>
      <c r="CD19" s="5">
        <f>SUM(BW19:CC19)</f>
        <v>392</v>
      </c>
      <c r="CE19" s="5">
        <f>(CD19-BW19)/2</f>
        <v>196</v>
      </c>
      <c r="CF19" s="11"/>
      <c r="CG19" s="11"/>
      <c r="CH19" s="11"/>
      <c r="CI19" s="11"/>
      <c r="CJ19" s="11"/>
      <c r="CK19" s="11"/>
      <c r="CL19" s="5">
        <f>SUM(CE19:CK19)</f>
        <v>196</v>
      </c>
      <c r="CN19" s="5"/>
      <c r="CO19" s="5"/>
      <c r="CP19" s="5"/>
      <c r="CQ19" s="5"/>
      <c r="CR19" s="5"/>
      <c r="CS19" s="5"/>
      <c r="CT19" s="5"/>
      <c r="CU19" s="11"/>
      <c r="CV19" s="11"/>
      <c r="CW19" s="11"/>
      <c r="CX19" s="11"/>
      <c r="CY19" s="11"/>
      <c r="CZ19" s="11"/>
      <c r="DA19" s="11"/>
      <c r="DB19" s="5"/>
      <c r="DC19" s="5"/>
      <c r="DD19" s="11">
        <v>21</v>
      </c>
      <c r="DE19" s="11"/>
      <c r="DF19" s="11"/>
      <c r="DG19" s="11"/>
      <c r="DH19" s="5">
        <f>SUM(DC19:DE19)</f>
        <v>21</v>
      </c>
      <c r="DI19" s="5">
        <f>(DH19-DC19)/2</f>
        <v>10.5</v>
      </c>
      <c r="DJ19" s="5"/>
      <c r="DK19" s="11"/>
      <c r="DL19" s="11"/>
      <c r="DM19" s="5">
        <f>SUM(DI19:DJ19)</f>
        <v>10.5</v>
      </c>
    </row>
    <row r="20" spans="1:117" x14ac:dyDescent="0.25">
      <c r="A20">
        <v>10</v>
      </c>
      <c r="B20" s="5" t="s">
        <v>535</v>
      </c>
      <c r="C20" s="5"/>
      <c r="D20" s="5" t="s">
        <v>60</v>
      </c>
      <c r="E20" s="5" t="s">
        <v>48</v>
      </c>
      <c r="F20" s="5"/>
      <c r="G20" s="5"/>
      <c r="H20" s="5"/>
      <c r="I20" s="5"/>
      <c r="J20" s="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5"/>
      <c r="Z20" s="5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5"/>
      <c r="BW20" s="5"/>
      <c r="BX20" s="11">
        <v>36</v>
      </c>
      <c r="BY20" s="11">
        <v>80</v>
      </c>
      <c r="BZ20" s="11">
        <v>7.5</v>
      </c>
      <c r="CA20" s="11">
        <v>39</v>
      </c>
      <c r="CB20" s="11">
        <v>36</v>
      </c>
      <c r="CC20" s="11">
        <v>64</v>
      </c>
      <c r="CD20" s="5">
        <f>SUM(BW20:CC20)</f>
        <v>262.5</v>
      </c>
      <c r="CE20" s="5">
        <f>(CD20-BW20)/2</f>
        <v>131.25</v>
      </c>
      <c r="CF20" s="11">
        <v>36</v>
      </c>
      <c r="CG20" s="11">
        <v>4</v>
      </c>
      <c r="CH20" s="11"/>
      <c r="CI20" s="11"/>
      <c r="CJ20" s="11"/>
      <c r="CK20" s="11"/>
      <c r="CL20" s="5">
        <f>SUM(CE20:CK20)</f>
        <v>171.25</v>
      </c>
      <c r="CN20" s="5"/>
      <c r="CO20" s="5"/>
      <c r="CP20" s="5"/>
      <c r="CQ20" s="5"/>
      <c r="CR20" s="5"/>
      <c r="CS20" s="5"/>
      <c r="CT20" s="5"/>
      <c r="CU20" s="11"/>
      <c r="CV20" s="11"/>
      <c r="CW20" s="11"/>
      <c r="CX20" s="11"/>
      <c r="CY20" s="11"/>
      <c r="CZ20" s="11"/>
      <c r="DA20" s="11"/>
      <c r="DB20" s="5"/>
      <c r="DC20" s="5"/>
      <c r="DD20" s="11"/>
      <c r="DE20" s="11"/>
      <c r="DF20" s="11"/>
      <c r="DG20" s="11"/>
      <c r="DH20" s="5">
        <f>SUM(DC20:DE20)</f>
        <v>0</v>
      </c>
      <c r="DI20" s="5">
        <f>(DH20-DC20)/2</f>
        <v>0</v>
      </c>
      <c r="DJ20" s="5"/>
      <c r="DK20" s="11"/>
      <c r="DL20" s="11"/>
      <c r="DM20" s="5">
        <f>SUM(DI20:DJ20)</f>
        <v>0</v>
      </c>
    </row>
    <row r="21" spans="1:117" x14ac:dyDescent="0.25">
      <c r="A21">
        <v>11</v>
      </c>
      <c r="B21" s="5" t="s">
        <v>432</v>
      </c>
      <c r="C21" s="5"/>
      <c r="D21" s="5" t="s">
        <v>259</v>
      </c>
      <c r="E21" s="5" t="s">
        <v>24</v>
      </c>
      <c r="F21" s="5"/>
      <c r="G21" s="5"/>
      <c r="H21" s="5"/>
      <c r="I21" s="5"/>
      <c r="J21" s="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5"/>
      <c r="Z21" s="5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11"/>
      <c r="BG21" s="11"/>
      <c r="BH21" s="11"/>
      <c r="BI21" s="11"/>
      <c r="BJ21" s="11">
        <v>7.5</v>
      </c>
      <c r="BK21" s="11"/>
      <c r="BL21" s="11"/>
      <c r="BM21" s="11"/>
      <c r="BN21" s="11"/>
      <c r="BO21" s="11"/>
      <c r="BP21" s="11"/>
      <c r="BQ21" s="11"/>
      <c r="BR21" s="11"/>
      <c r="BS21" s="11"/>
      <c r="BT21" s="11">
        <v>7.5</v>
      </c>
      <c r="BU21" s="11"/>
      <c r="BV21" s="5">
        <f>SUM(AU21:BU21)</f>
        <v>15</v>
      </c>
      <c r="BW21" s="5">
        <f>(BV21-AU21)/2</f>
        <v>7.5</v>
      </c>
      <c r="BX21" s="11">
        <v>48</v>
      </c>
      <c r="BY21" s="11">
        <v>40</v>
      </c>
      <c r="BZ21" s="11">
        <v>7.5</v>
      </c>
      <c r="CA21" s="11">
        <v>36</v>
      </c>
      <c r="CB21" s="11">
        <v>7.5</v>
      </c>
      <c r="CC21" s="11">
        <v>7.5</v>
      </c>
      <c r="CD21" s="5">
        <f>SUM(BW21:CC21)</f>
        <v>154</v>
      </c>
      <c r="CE21" s="5">
        <f>(CD21-BW21)/2</f>
        <v>73.25</v>
      </c>
      <c r="CF21" s="11">
        <v>2.4</v>
      </c>
      <c r="CG21" s="11"/>
      <c r="CH21" s="11">
        <v>75</v>
      </c>
      <c r="CI21" s="11">
        <v>2.4</v>
      </c>
      <c r="CJ21" s="11"/>
      <c r="CK21" s="11"/>
      <c r="CL21" s="5">
        <f>SUM(CE21:CK21)</f>
        <v>153.05000000000001</v>
      </c>
      <c r="CN21" s="5"/>
      <c r="CO21" s="5"/>
      <c r="CP21" s="5"/>
      <c r="CQ21" s="5"/>
      <c r="CR21" s="5">
        <f>SUM(CN21:CQ21)</f>
        <v>0</v>
      </c>
      <c r="CS21" s="5">
        <f>CR21/2</f>
        <v>0</v>
      </c>
      <c r="CT21" s="5">
        <f>BV21/4</f>
        <v>3.75</v>
      </c>
      <c r="CU21" s="11"/>
      <c r="CV21" s="11"/>
      <c r="CW21" s="11"/>
      <c r="CX21" s="11"/>
      <c r="CY21" s="11"/>
      <c r="CZ21" s="11"/>
      <c r="DA21" s="11"/>
      <c r="DB21" s="5">
        <f>SUM(CS21:DA21)</f>
        <v>3.75</v>
      </c>
      <c r="DC21" s="5">
        <f>(DB21-CS21)/2</f>
        <v>1.875</v>
      </c>
      <c r="DD21" s="11"/>
      <c r="DE21" s="11"/>
      <c r="DF21" s="11"/>
      <c r="DG21" s="11"/>
      <c r="DH21" s="5">
        <f>SUM(DC21:DG21)</f>
        <v>1.875</v>
      </c>
      <c r="DI21" s="5">
        <f>(DH21-DC21)/2</f>
        <v>0</v>
      </c>
      <c r="DJ21" s="5"/>
      <c r="DK21" s="11">
        <v>5</v>
      </c>
      <c r="DL21" s="11"/>
      <c r="DM21" s="5">
        <f>SUM(DI21:DK21)</f>
        <v>5</v>
      </c>
    </row>
    <row r="22" spans="1:117" x14ac:dyDescent="0.25">
      <c r="A22">
        <v>12</v>
      </c>
      <c r="B22" s="21" t="s">
        <v>241</v>
      </c>
      <c r="C22" s="21"/>
      <c r="D22" s="21" t="s">
        <v>11</v>
      </c>
      <c r="E22" s="21" t="s">
        <v>488</v>
      </c>
      <c r="F22" s="5"/>
      <c r="G22" s="5"/>
      <c r="H22" s="5"/>
      <c r="I22" s="5"/>
      <c r="J22" s="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5"/>
      <c r="Z22" s="5"/>
      <c r="AA22" s="11"/>
      <c r="AB22" s="11"/>
      <c r="AC22" s="11"/>
      <c r="AD22" s="11"/>
      <c r="AE22" s="11"/>
      <c r="AF22" s="11"/>
      <c r="AG22" s="11"/>
      <c r="AH22" s="11"/>
      <c r="AI22" s="11">
        <v>5</v>
      </c>
      <c r="AJ22" s="11"/>
      <c r="AK22" s="11"/>
      <c r="AL22" s="11">
        <v>36</v>
      </c>
      <c r="AM22" s="11"/>
      <c r="AN22" s="11">
        <v>5</v>
      </c>
      <c r="AO22" s="11"/>
      <c r="AP22" s="11"/>
      <c r="AQ22" s="11"/>
      <c r="AR22" s="11"/>
      <c r="AS22" s="11"/>
      <c r="AT22" s="5">
        <f>SUM(Z22:AS22)</f>
        <v>46</v>
      </c>
      <c r="AU22" s="5">
        <f>(AT22-Z22)/2</f>
        <v>23</v>
      </c>
      <c r="AV22" s="5"/>
      <c r="AW22" s="5"/>
      <c r="AX22" s="5"/>
      <c r="AY22" s="5"/>
      <c r="AZ22" s="5"/>
      <c r="BA22" s="5"/>
      <c r="BB22" s="5"/>
      <c r="BC22" s="5"/>
      <c r="BD22" s="5">
        <v>7.5</v>
      </c>
      <c r="BE22" s="5"/>
      <c r="BF22" s="11">
        <v>5</v>
      </c>
      <c r="BG22" s="11"/>
      <c r="BH22" s="11"/>
      <c r="BI22" s="11"/>
      <c r="BJ22" s="11">
        <v>39</v>
      </c>
      <c r="BK22" s="11">
        <v>48</v>
      </c>
      <c r="BL22" s="11"/>
      <c r="BM22" s="11"/>
      <c r="BN22" s="11"/>
      <c r="BO22" s="11"/>
      <c r="BP22" s="11"/>
      <c r="BQ22" s="11"/>
      <c r="BR22" s="11"/>
      <c r="BS22" s="11"/>
      <c r="BT22" s="11">
        <v>39</v>
      </c>
      <c r="BU22" s="11"/>
      <c r="BV22" s="5">
        <f>SUM(AU22:BU22)</f>
        <v>161.5</v>
      </c>
      <c r="BW22" s="5">
        <f>(BV22-AU22)/2</f>
        <v>69.25</v>
      </c>
      <c r="BX22" s="11">
        <v>42</v>
      </c>
      <c r="BY22" s="11"/>
      <c r="BZ22" s="11"/>
      <c r="CA22" s="11"/>
      <c r="CB22" s="11"/>
      <c r="CC22" s="11"/>
      <c r="CD22" s="5">
        <f>SUM(BW22:CC22)</f>
        <v>111.25</v>
      </c>
      <c r="CE22" s="5">
        <f>(CD22-BW22)/2</f>
        <v>21</v>
      </c>
      <c r="CF22" s="11">
        <v>2.4</v>
      </c>
      <c r="CG22" s="11">
        <v>56</v>
      </c>
      <c r="CH22" s="11">
        <v>54</v>
      </c>
      <c r="CI22" s="11"/>
      <c r="CJ22" s="11"/>
      <c r="CK22" s="11"/>
      <c r="CL22" s="5">
        <f>SUM(CE22:CK22)</f>
        <v>133.4</v>
      </c>
      <c r="CN22">
        <f>AT22/4</f>
        <v>11.5</v>
      </c>
      <c r="CP22" s="7"/>
      <c r="CQ22" s="7"/>
      <c r="CR22" s="5">
        <f>SUM(CN22:CQ22)</f>
        <v>11.5</v>
      </c>
      <c r="CS22" s="5">
        <f>CR22/2</f>
        <v>5.75</v>
      </c>
      <c r="CT22" s="5">
        <f>BV22/4</f>
        <v>40.375</v>
      </c>
      <c r="CU22" s="11">
        <v>18</v>
      </c>
      <c r="CV22" s="11">
        <v>140</v>
      </c>
      <c r="CW22" s="11"/>
      <c r="CX22" s="11">
        <v>7.5</v>
      </c>
      <c r="CY22" s="11"/>
      <c r="CZ22" s="11"/>
      <c r="DA22" s="11"/>
      <c r="DB22" s="5">
        <f>SUM(CS22:DA22)</f>
        <v>211.625</v>
      </c>
      <c r="DC22" s="5">
        <f>(DB22-CS22)/2</f>
        <v>102.9375</v>
      </c>
      <c r="DD22" s="11">
        <v>1.75</v>
      </c>
      <c r="DE22" s="11"/>
      <c r="DF22" s="11"/>
      <c r="DG22" s="11"/>
      <c r="DH22" s="5">
        <f>SUM(DC22:DG22)</f>
        <v>104.6875</v>
      </c>
      <c r="DI22" s="5">
        <f>(DH22-DC22)/2</f>
        <v>0.875</v>
      </c>
      <c r="DJ22" s="5">
        <v>39</v>
      </c>
      <c r="DK22" s="11"/>
      <c r="DL22" s="11">
        <v>39</v>
      </c>
      <c r="DM22" s="21">
        <f>SUM(DI22:DL22)</f>
        <v>78.875</v>
      </c>
    </row>
    <row r="23" spans="1:117" x14ac:dyDescent="0.25">
      <c r="A23">
        <v>13</v>
      </c>
      <c r="B23" s="5" t="s">
        <v>359</v>
      </c>
      <c r="C23" s="5"/>
      <c r="D23" s="5" t="s">
        <v>236</v>
      </c>
      <c r="E23" s="5" t="s">
        <v>24</v>
      </c>
      <c r="F23" s="5"/>
      <c r="G23" s="5"/>
      <c r="H23" s="5"/>
      <c r="I23" s="5"/>
      <c r="J23" s="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5"/>
      <c r="Z23" s="5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5"/>
      <c r="BW23" s="5"/>
      <c r="BX23" s="11">
        <v>48</v>
      </c>
      <c r="BY23" s="11">
        <v>80</v>
      </c>
      <c r="BZ23" s="11">
        <v>75</v>
      </c>
      <c r="CA23" s="11">
        <v>52</v>
      </c>
      <c r="CB23" s="11"/>
      <c r="CC23" s="11"/>
      <c r="CD23" s="5">
        <f>SUM(BW23:CC23)</f>
        <v>255</v>
      </c>
      <c r="CE23" s="5">
        <f>(CD23-BW23)/2</f>
        <v>127.5</v>
      </c>
      <c r="CF23" s="11"/>
      <c r="CG23" s="11"/>
      <c r="CH23" s="11"/>
      <c r="CI23" s="11"/>
      <c r="CJ23" s="11"/>
      <c r="CK23" s="11"/>
      <c r="CL23" s="5">
        <f>SUM(CE23:CK23)</f>
        <v>127.5</v>
      </c>
      <c r="CR23" s="5"/>
      <c r="CS23" s="5"/>
      <c r="CT23" s="5"/>
      <c r="CU23" s="11"/>
      <c r="CV23" s="11"/>
      <c r="CW23" s="11"/>
      <c r="CX23" s="11"/>
      <c r="CY23" s="11"/>
      <c r="CZ23" s="11"/>
      <c r="DA23" s="11"/>
      <c r="DB23" s="5"/>
      <c r="DC23" s="5"/>
      <c r="DD23" s="11"/>
      <c r="DE23" s="11"/>
      <c r="DF23" s="11"/>
      <c r="DG23" s="11">
        <v>35</v>
      </c>
      <c r="DH23" s="5">
        <f>SUM(DC23:DG23)</f>
        <v>35</v>
      </c>
      <c r="DI23" s="5">
        <f>(DH23-DC23)/2</f>
        <v>17.5</v>
      </c>
      <c r="DJ23" s="5"/>
      <c r="DK23" s="11"/>
      <c r="DL23" s="11"/>
      <c r="DM23" s="5">
        <f>SUM(DI23:DJ23)</f>
        <v>17.5</v>
      </c>
    </row>
    <row r="24" spans="1:117" x14ac:dyDescent="0.25">
      <c r="A24">
        <v>14</v>
      </c>
      <c r="B24" s="5" t="s">
        <v>442</v>
      </c>
      <c r="C24" s="5"/>
      <c r="D24" s="5" t="s">
        <v>443</v>
      </c>
      <c r="E24" s="5" t="s">
        <v>444</v>
      </c>
      <c r="F24" s="5"/>
      <c r="G24" s="5"/>
      <c r="H24" s="5"/>
      <c r="I24" s="5"/>
      <c r="J24" s="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5"/>
      <c r="Z24" s="5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11"/>
      <c r="BG24" s="11"/>
      <c r="BH24" s="11"/>
      <c r="BI24" s="11"/>
      <c r="BJ24" s="11"/>
      <c r="BK24" s="11"/>
      <c r="BL24" s="11"/>
      <c r="BM24" s="11">
        <v>48</v>
      </c>
      <c r="BN24" s="11"/>
      <c r="BO24" s="11"/>
      <c r="BP24" s="11"/>
      <c r="BQ24" s="11"/>
      <c r="BR24" s="11"/>
      <c r="BS24" s="11"/>
      <c r="BT24" s="11"/>
      <c r="BU24" s="11"/>
      <c r="BV24" s="5">
        <f>SUM(AU24:BU24)</f>
        <v>48</v>
      </c>
      <c r="BW24" s="5">
        <f>(BV24-AU24)/2</f>
        <v>24</v>
      </c>
      <c r="BX24" s="11"/>
      <c r="BY24" s="11"/>
      <c r="BZ24" s="11"/>
      <c r="CA24" s="11"/>
      <c r="CB24" s="11"/>
      <c r="CC24" s="11"/>
      <c r="CD24" s="5">
        <f>SUM(BW24:CC24)</f>
        <v>24</v>
      </c>
      <c r="CE24" s="5">
        <f>(CD24-BW24)/2</f>
        <v>0</v>
      </c>
      <c r="CF24" s="11">
        <v>48</v>
      </c>
      <c r="CG24" s="11">
        <v>40</v>
      </c>
      <c r="CH24" s="11">
        <v>36</v>
      </c>
      <c r="CI24" s="11"/>
      <c r="CJ24" s="11"/>
      <c r="CK24" s="11"/>
      <c r="CL24" s="5">
        <f>SUM(CE24:CK24)</f>
        <v>124</v>
      </c>
      <c r="CR24" s="5">
        <f>SUM(CN24:CQ24)</f>
        <v>0</v>
      </c>
      <c r="CS24" s="5">
        <f>CR24/2</f>
        <v>0</v>
      </c>
      <c r="CT24" s="5">
        <f>BV24/4</f>
        <v>12</v>
      </c>
      <c r="CU24" s="11"/>
      <c r="CV24" s="11"/>
      <c r="CW24" s="11"/>
      <c r="CX24" s="11"/>
      <c r="CY24" s="11"/>
      <c r="CZ24" s="11"/>
      <c r="DA24" s="11"/>
      <c r="DB24" s="5">
        <f>SUM(CS24:DA24)</f>
        <v>12</v>
      </c>
      <c r="DC24" s="5">
        <f>(DB24-CS24)/2</f>
        <v>6</v>
      </c>
      <c r="DD24" s="11"/>
      <c r="DE24" s="11"/>
      <c r="DF24" s="11"/>
      <c r="DG24" s="11"/>
      <c r="DH24" s="5">
        <f>SUM(DC24:DG24)</f>
        <v>6</v>
      </c>
      <c r="DI24" s="5">
        <f>(DH24-DC24)/2</f>
        <v>0</v>
      </c>
      <c r="DJ24" s="5"/>
      <c r="DK24" s="11"/>
      <c r="DL24" s="11"/>
      <c r="DM24" s="5">
        <f>SUM(DI24:DJ24)</f>
        <v>0</v>
      </c>
    </row>
    <row r="25" spans="1:117" x14ac:dyDescent="0.25">
      <c r="A25">
        <v>15</v>
      </c>
      <c r="B25" s="5" t="s">
        <v>436</v>
      </c>
      <c r="C25" s="5"/>
      <c r="D25" s="5" t="s">
        <v>121</v>
      </c>
      <c r="E25" s="5" t="s">
        <v>9</v>
      </c>
      <c r="F25" s="5"/>
      <c r="G25" s="5"/>
      <c r="H25" s="5"/>
      <c r="I25" s="5"/>
      <c r="J25" s="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5"/>
      <c r="Z25" s="5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11"/>
      <c r="BG25" s="11">
        <v>48</v>
      </c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5">
        <f>SUM(AU25:BU25)</f>
        <v>48</v>
      </c>
      <c r="BW25" s="5">
        <f>(BV25-AU25)/2</f>
        <v>24</v>
      </c>
      <c r="BX25" s="11">
        <v>36</v>
      </c>
      <c r="BY25" s="11"/>
      <c r="BZ25" s="11">
        <v>75</v>
      </c>
      <c r="CA25" s="11">
        <v>39</v>
      </c>
      <c r="CB25" s="11">
        <v>52</v>
      </c>
      <c r="CC25" s="11">
        <v>36</v>
      </c>
      <c r="CD25" s="5">
        <f>SUM(BW25:CC25)</f>
        <v>262</v>
      </c>
      <c r="CE25" s="5">
        <f>(CD25-BW25)/2</f>
        <v>119</v>
      </c>
      <c r="CF25" s="11"/>
      <c r="CG25" s="11"/>
      <c r="CH25" s="11"/>
      <c r="CI25" s="11"/>
      <c r="CJ25" s="11"/>
      <c r="CK25" s="11"/>
      <c r="CL25" s="5">
        <f>SUM(CE25:CK25)</f>
        <v>119</v>
      </c>
      <c r="CR25" s="5">
        <f>SUM(CN25:CQ25)</f>
        <v>0</v>
      </c>
      <c r="CS25" s="5">
        <f>CR25/2</f>
        <v>0</v>
      </c>
      <c r="CT25" s="5">
        <f>BV25/4</f>
        <v>12</v>
      </c>
      <c r="CU25" s="11"/>
      <c r="CV25" s="11"/>
      <c r="CW25" s="11"/>
      <c r="CX25" s="11"/>
      <c r="CY25" s="11"/>
      <c r="CZ25" s="11"/>
      <c r="DA25" s="11"/>
      <c r="DB25" s="5">
        <f>SUM(CS25:DA25)</f>
        <v>12</v>
      </c>
      <c r="DC25" s="5">
        <f>(DB25-CS25)/2</f>
        <v>6</v>
      </c>
      <c r="DD25" s="11"/>
      <c r="DE25" s="11"/>
      <c r="DF25" s="11"/>
      <c r="DG25" s="11"/>
      <c r="DH25" s="5">
        <f>SUM(DC25:DE25)</f>
        <v>6</v>
      </c>
      <c r="DI25" s="5">
        <f>(DH25-DC25)/2</f>
        <v>0</v>
      </c>
      <c r="DJ25" s="5"/>
      <c r="DK25" s="11"/>
      <c r="DL25" s="11"/>
      <c r="DM25" s="5">
        <f>SUM(DI25:DJ25)</f>
        <v>0</v>
      </c>
    </row>
    <row r="26" spans="1:117" x14ac:dyDescent="0.25">
      <c r="A26">
        <v>16</v>
      </c>
      <c r="B26" s="5" t="s">
        <v>292</v>
      </c>
      <c r="C26" s="5"/>
      <c r="D26" s="5" t="s">
        <v>60</v>
      </c>
      <c r="E26" s="5" t="s">
        <v>24</v>
      </c>
      <c r="F26" s="5"/>
      <c r="G26" s="5"/>
      <c r="H26" s="5"/>
      <c r="I26" s="5"/>
      <c r="J26" s="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5"/>
      <c r="Z26" s="5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5"/>
      <c r="BW26" s="5"/>
      <c r="BX26" s="11">
        <v>33.6</v>
      </c>
      <c r="BY26" s="11">
        <v>4</v>
      </c>
      <c r="BZ26" s="11">
        <v>7.5</v>
      </c>
      <c r="CA26" s="11">
        <v>7.5</v>
      </c>
      <c r="CB26" s="11"/>
      <c r="CC26" s="11"/>
      <c r="CD26" s="5">
        <f>SUM(BW26:CC26)</f>
        <v>52.6</v>
      </c>
      <c r="CE26" s="5">
        <f>(CD26-BW26)/2</f>
        <v>26.3</v>
      </c>
      <c r="CF26" s="11">
        <v>48</v>
      </c>
      <c r="CG26" s="11">
        <v>28.8</v>
      </c>
      <c r="CH26" s="11"/>
      <c r="CI26" s="11">
        <v>5</v>
      </c>
      <c r="CJ26" s="11"/>
      <c r="CK26" s="11"/>
      <c r="CL26" s="5">
        <f>SUM(CE26:CK26)</f>
        <v>108.1</v>
      </c>
      <c r="CR26" s="5"/>
      <c r="CS26" s="5"/>
      <c r="CT26" s="5"/>
      <c r="CU26" s="11"/>
      <c r="CV26" s="11"/>
      <c r="CW26" s="11"/>
      <c r="CX26" s="11"/>
      <c r="CY26" s="11"/>
      <c r="CZ26" s="11"/>
      <c r="DA26" s="11"/>
      <c r="DB26" s="5"/>
      <c r="DC26" s="5"/>
      <c r="DD26" s="11">
        <v>10.5</v>
      </c>
      <c r="DE26" s="11"/>
      <c r="DF26" s="11"/>
      <c r="DG26" s="11"/>
      <c r="DH26" s="5">
        <f>SUM(DC26:DG26)</f>
        <v>10.5</v>
      </c>
      <c r="DI26" s="5">
        <f>(DH26-DC26)/2</f>
        <v>5.25</v>
      </c>
      <c r="DJ26" s="5"/>
      <c r="DK26" s="11"/>
      <c r="DL26" s="11"/>
      <c r="DM26" s="5">
        <f>SUM(DI26:DJ26)</f>
        <v>5.25</v>
      </c>
    </row>
    <row r="27" spans="1:117" x14ac:dyDescent="0.25">
      <c r="A27">
        <v>17</v>
      </c>
      <c r="B27" s="5" t="s">
        <v>64</v>
      </c>
      <c r="C27" s="5"/>
      <c r="D27" s="5" t="s">
        <v>522</v>
      </c>
      <c r="E27" s="5" t="s">
        <v>333</v>
      </c>
      <c r="F27" s="5"/>
      <c r="G27" s="5"/>
      <c r="H27" s="5"/>
      <c r="I27" s="5"/>
      <c r="J27" s="5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5"/>
      <c r="Z27" s="5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5"/>
      <c r="BW27" s="5"/>
      <c r="BX27" s="11">
        <v>48</v>
      </c>
      <c r="BY27" s="11">
        <v>4</v>
      </c>
      <c r="BZ27" s="11">
        <v>150</v>
      </c>
      <c r="CA27" s="11"/>
      <c r="CB27" s="11"/>
      <c r="CC27" s="11"/>
      <c r="CD27" s="5">
        <f>SUM(BW27:CC27)</f>
        <v>202</v>
      </c>
      <c r="CE27" s="5">
        <f>(CD27-BW27)/2</f>
        <v>101</v>
      </c>
      <c r="CF27" s="11"/>
      <c r="CG27" s="11"/>
      <c r="CH27" s="11"/>
      <c r="CI27" s="11"/>
      <c r="CJ27" s="11"/>
      <c r="CK27" s="11"/>
      <c r="CL27" s="5">
        <f>SUM(CE27:CK27)</f>
        <v>101</v>
      </c>
      <c r="CR27" s="5"/>
      <c r="CS27" s="5"/>
      <c r="CT27" s="5"/>
      <c r="CU27" s="11"/>
      <c r="CV27" s="11"/>
      <c r="CW27" s="11"/>
      <c r="CX27" s="11"/>
      <c r="CY27" s="11"/>
      <c r="CZ27" s="11"/>
      <c r="DA27" s="11"/>
      <c r="DB27" s="5"/>
      <c r="DC27" s="5"/>
      <c r="DD27" s="11"/>
      <c r="DE27" s="11"/>
      <c r="DF27" s="11"/>
      <c r="DG27" s="11"/>
      <c r="DH27" s="5">
        <f>SUM(DC27:DG27)</f>
        <v>0</v>
      </c>
      <c r="DI27" s="5">
        <f>(DH27-DC27)/2</f>
        <v>0</v>
      </c>
      <c r="DJ27" s="5"/>
      <c r="DK27" s="11"/>
      <c r="DL27" s="11"/>
      <c r="DM27" s="5">
        <f>SUM(DI27:DJ27)</f>
        <v>0</v>
      </c>
    </row>
    <row r="28" spans="1:117" x14ac:dyDescent="0.25">
      <c r="A28">
        <v>18</v>
      </c>
      <c r="B28" s="5" t="s">
        <v>693</v>
      </c>
      <c r="C28" s="5"/>
      <c r="D28" s="5" t="s">
        <v>672</v>
      </c>
      <c r="E28" s="5" t="s">
        <v>638</v>
      </c>
      <c r="F28" s="5"/>
      <c r="G28" s="5"/>
      <c r="H28" s="5"/>
      <c r="I28" s="5"/>
      <c r="J28" s="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5"/>
      <c r="Z28" s="5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5"/>
      <c r="BW28" s="5"/>
      <c r="BX28" s="11"/>
      <c r="BY28" s="11"/>
      <c r="BZ28" s="11"/>
      <c r="CA28" s="11"/>
      <c r="CB28" s="11"/>
      <c r="CC28" s="11"/>
      <c r="CD28" s="5"/>
      <c r="CE28" s="5"/>
      <c r="CF28" s="11">
        <v>2.4</v>
      </c>
      <c r="CG28" s="11">
        <v>40</v>
      </c>
      <c r="CH28" s="11"/>
      <c r="CI28" s="11">
        <v>50</v>
      </c>
      <c r="CJ28" s="11"/>
      <c r="CK28" s="11"/>
      <c r="CL28" s="5">
        <f>SUM(CE28:CK28)</f>
        <v>92.4</v>
      </c>
      <c r="CR28" s="5"/>
      <c r="CS28" s="5"/>
      <c r="CT28" s="5"/>
      <c r="CU28" s="11"/>
      <c r="CV28" s="11"/>
      <c r="CW28" s="11"/>
      <c r="CX28" s="11"/>
      <c r="CY28" s="11"/>
      <c r="CZ28" s="11"/>
      <c r="DA28" s="11"/>
      <c r="DB28" s="5"/>
      <c r="DC28" s="5"/>
      <c r="DD28" s="11"/>
      <c r="DE28" s="11"/>
      <c r="DF28" s="11"/>
      <c r="DG28" s="11"/>
      <c r="DH28" s="5">
        <f>SUM(DC28:DG28)</f>
        <v>0</v>
      </c>
      <c r="DI28" s="5">
        <f>(DH28-DC28)/2</f>
        <v>0</v>
      </c>
      <c r="DJ28" s="5"/>
      <c r="DK28" s="11"/>
      <c r="DL28" s="11"/>
      <c r="DM28" s="5">
        <f>SUM(DI28:DJ28)</f>
        <v>0</v>
      </c>
    </row>
    <row r="29" spans="1:117" x14ac:dyDescent="0.25">
      <c r="A29">
        <v>19</v>
      </c>
      <c r="B29" s="22" t="s">
        <v>678</v>
      </c>
      <c r="C29" s="22"/>
      <c r="D29" s="22" t="s">
        <v>689</v>
      </c>
      <c r="E29" s="22" t="s">
        <v>611</v>
      </c>
      <c r="F29" s="5"/>
      <c r="G29" s="5"/>
      <c r="H29" s="5"/>
      <c r="I29" s="5"/>
      <c r="J29" s="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5"/>
      <c r="Z29" s="5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5"/>
      <c r="BW29" s="5"/>
      <c r="BX29" s="11"/>
      <c r="BY29" s="11"/>
      <c r="BZ29" s="11"/>
      <c r="CA29" s="11"/>
      <c r="CB29" s="11"/>
      <c r="CC29" s="11"/>
      <c r="CD29" s="5"/>
      <c r="CE29" s="5"/>
      <c r="CF29" s="11"/>
      <c r="CG29" s="11">
        <v>40</v>
      </c>
      <c r="CH29" s="11">
        <v>39</v>
      </c>
      <c r="CI29" s="11"/>
      <c r="CJ29" s="11"/>
      <c r="CK29" s="11"/>
      <c r="CL29" s="5">
        <f>SUM(CE29:CK29)</f>
        <v>79</v>
      </c>
      <c r="CR29" s="5"/>
      <c r="CS29" s="5"/>
      <c r="CT29" s="5"/>
      <c r="CU29" s="11"/>
      <c r="CV29" s="11"/>
      <c r="CW29" s="11"/>
      <c r="CX29" s="11"/>
      <c r="CY29" s="11"/>
      <c r="CZ29" s="11"/>
      <c r="DA29" s="11"/>
      <c r="DB29" s="5"/>
      <c r="DC29" s="5"/>
      <c r="DD29" s="11"/>
      <c r="DE29" s="11"/>
      <c r="DF29" s="11"/>
      <c r="DG29" s="11"/>
      <c r="DH29" s="5">
        <f>SUM(DC29:DG29)</f>
        <v>0</v>
      </c>
      <c r="DI29" s="5">
        <f>(DH29-DC29)/2</f>
        <v>0</v>
      </c>
      <c r="DJ29" s="5">
        <v>39</v>
      </c>
      <c r="DK29" s="11">
        <v>5</v>
      </c>
      <c r="DL29" s="11"/>
      <c r="DM29" s="22">
        <f>SUM(DI29:DK29)</f>
        <v>44</v>
      </c>
    </row>
    <row r="30" spans="1:117" x14ac:dyDescent="0.25">
      <c r="A30">
        <v>20</v>
      </c>
      <c r="B30" s="5" t="s">
        <v>112</v>
      </c>
      <c r="C30" s="5"/>
      <c r="D30" s="5" t="s">
        <v>113</v>
      </c>
      <c r="E30" s="5" t="s">
        <v>39</v>
      </c>
      <c r="F30" s="5"/>
      <c r="G30" s="5"/>
      <c r="H30" s="5"/>
      <c r="I30" s="5"/>
      <c r="J30" s="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5"/>
      <c r="Z30" s="5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5"/>
      <c r="BW30" s="5"/>
      <c r="BX30" s="11"/>
      <c r="BY30" s="11"/>
      <c r="BZ30" s="11"/>
      <c r="CA30" s="11"/>
      <c r="CB30" s="11"/>
      <c r="CC30" s="11"/>
      <c r="CD30" s="5"/>
      <c r="CE30" s="5"/>
      <c r="CF30" s="11">
        <v>36</v>
      </c>
      <c r="CG30" s="11">
        <v>40</v>
      </c>
      <c r="CH30" s="11"/>
      <c r="CI30" s="11"/>
      <c r="CJ30" s="11"/>
      <c r="CK30" s="11"/>
      <c r="CL30" s="5">
        <f>SUM(CE30:CK30)</f>
        <v>76</v>
      </c>
      <c r="CR30" s="5"/>
      <c r="CS30" s="5"/>
      <c r="CT30" s="5"/>
      <c r="CU30" s="11"/>
      <c r="CV30" s="11"/>
      <c r="CW30" s="11"/>
      <c r="CX30" s="11"/>
      <c r="CY30" s="11"/>
      <c r="CZ30" s="11"/>
      <c r="DA30" s="11"/>
      <c r="DB30" s="5"/>
      <c r="DC30" s="5"/>
      <c r="DD30" s="11"/>
      <c r="DE30" s="11"/>
      <c r="DF30" s="11"/>
      <c r="DG30" s="11"/>
      <c r="DH30" s="5">
        <f>SUM(DC30:DG30)</f>
        <v>0</v>
      </c>
      <c r="DI30" s="5">
        <f>(DH30-DC30)/2</f>
        <v>0</v>
      </c>
      <c r="DJ30" s="5"/>
      <c r="DK30" s="11"/>
      <c r="DL30" s="11"/>
      <c r="DM30" s="5">
        <f>SUM(DI30:DJ30)</f>
        <v>0</v>
      </c>
    </row>
    <row r="31" spans="1:117" x14ac:dyDescent="0.25">
      <c r="A31">
        <v>21</v>
      </c>
      <c r="B31" s="5" t="s">
        <v>659</v>
      </c>
      <c r="C31" s="5"/>
      <c r="D31" s="5" t="s">
        <v>660</v>
      </c>
      <c r="E31" s="5" t="s">
        <v>420</v>
      </c>
      <c r="F31" s="5"/>
      <c r="G31" s="5"/>
      <c r="H31" s="5"/>
      <c r="I31" s="5"/>
      <c r="J31" s="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5"/>
      <c r="Z31" s="5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5"/>
      <c r="BW31" s="5"/>
      <c r="BX31" s="11"/>
      <c r="BY31" s="11"/>
      <c r="BZ31" s="11"/>
      <c r="CA31" s="11"/>
      <c r="CB31" s="11"/>
      <c r="CC31" s="11"/>
      <c r="CD31" s="5"/>
      <c r="CE31" s="5"/>
      <c r="CF31" s="11">
        <v>36</v>
      </c>
      <c r="CG31" s="11">
        <v>4</v>
      </c>
      <c r="CH31" s="11">
        <v>36</v>
      </c>
      <c r="CI31" s="11"/>
      <c r="CJ31" s="11"/>
      <c r="CK31" s="11"/>
      <c r="CL31" s="5">
        <f>SUM(CE31:CK31)</f>
        <v>76</v>
      </c>
      <c r="CR31" s="5"/>
      <c r="CS31" s="5"/>
      <c r="CT31" s="5"/>
      <c r="CU31" s="11"/>
      <c r="CV31" s="11"/>
      <c r="CW31" s="11"/>
      <c r="CX31" s="11"/>
      <c r="CY31" s="11"/>
      <c r="CZ31" s="11"/>
      <c r="DA31" s="11"/>
      <c r="DB31" s="5"/>
      <c r="DC31" s="5"/>
      <c r="DD31" s="11"/>
      <c r="DE31" s="11"/>
      <c r="DF31" s="11"/>
      <c r="DG31" s="11"/>
      <c r="DH31" s="5"/>
      <c r="DI31" s="5"/>
      <c r="DJ31" s="5"/>
      <c r="DK31" s="11"/>
      <c r="DL31" s="11"/>
      <c r="DM31" s="5">
        <f>SUM(DI31:DJ31)</f>
        <v>0</v>
      </c>
    </row>
    <row r="32" spans="1:117" x14ac:dyDescent="0.25">
      <c r="A32">
        <v>22</v>
      </c>
      <c r="B32" s="5" t="s">
        <v>74</v>
      </c>
      <c r="C32" s="5"/>
      <c r="D32" s="5" t="s">
        <v>546</v>
      </c>
      <c r="E32" s="5" t="s">
        <v>19</v>
      </c>
      <c r="F32" s="5"/>
      <c r="G32" s="5"/>
      <c r="H32" s="5"/>
      <c r="I32" s="5"/>
      <c r="J32" s="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5"/>
      <c r="Z32" s="5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5"/>
      <c r="BW32" s="5"/>
      <c r="BX32" s="11"/>
      <c r="BY32" s="11">
        <v>3.2</v>
      </c>
      <c r="BZ32" s="11">
        <v>7.5</v>
      </c>
      <c r="CA32" s="11"/>
      <c r="CB32" s="11"/>
      <c r="CC32" s="11"/>
      <c r="CD32" s="5">
        <f>SUM(BW32:CC32)</f>
        <v>10.7</v>
      </c>
      <c r="CE32" s="5">
        <f>(CD32-BW32)/2</f>
        <v>5.35</v>
      </c>
      <c r="CF32" s="11">
        <v>30</v>
      </c>
      <c r="CG32" s="11">
        <v>32</v>
      </c>
      <c r="CH32" s="11">
        <v>7.5</v>
      </c>
      <c r="CI32" s="11"/>
      <c r="CJ32" s="11"/>
      <c r="CK32" s="11"/>
      <c r="CL32" s="5">
        <f>SUM(CE32:CK32)</f>
        <v>74.849999999999994</v>
      </c>
      <c r="CR32" s="5"/>
      <c r="CS32" s="5"/>
      <c r="CT32" s="5"/>
      <c r="CU32" s="11"/>
      <c r="CV32" s="11"/>
      <c r="CW32" s="11"/>
      <c r="CX32" s="11"/>
      <c r="CY32" s="11"/>
      <c r="CZ32" s="11"/>
      <c r="DA32" s="11"/>
      <c r="DB32" s="5"/>
      <c r="DC32" s="5"/>
      <c r="DD32" s="11"/>
      <c r="DE32" s="11"/>
      <c r="DF32" s="11"/>
      <c r="DG32" s="11">
        <v>18</v>
      </c>
      <c r="DH32" s="5">
        <f>SUM(DC32:DG32)</f>
        <v>18</v>
      </c>
      <c r="DI32" s="5">
        <f>(DH32-DC32)/2</f>
        <v>9</v>
      </c>
      <c r="DJ32" s="5"/>
      <c r="DK32" s="11"/>
      <c r="DL32" s="11"/>
      <c r="DM32" s="5">
        <f>SUM(DI32:DJ32)</f>
        <v>9</v>
      </c>
    </row>
    <row r="33" spans="1:117" x14ac:dyDescent="0.25">
      <c r="A33">
        <v>23</v>
      </c>
      <c r="B33" s="5" t="s">
        <v>229</v>
      </c>
      <c r="C33" s="5"/>
      <c r="D33" s="5" t="s">
        <v>736</v>
      </c>
      <c r="E33" s="5" t="s">
        <v>53</v>
      </c>
      <c r="F33" s="5"/>
      <c r="G33" s="5"/>
      <c r="H33" s="5"/>
      <c r="I33" s="5"/>
      <c r="J33" s="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5"/>
      <c r="Z33" s="5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5"/>
      <c r="BW33" s="5"/>
      <c r="BX33" s="11"/>
      <c r="BY33" s="11"/>
      <c r="BZ33" s="11"/>
      <c r="CA33" s="11"/>
      <c r="CB33" s="11"/>
      <c r="CC33" s="11"/>
      <c r="CD33" s="5"/>
      <c r="CE33" s="5"/>
      <c r="CF33" s="11">
        <v>33.6</v>
      </c>
      <c r="CG33" s="11"/>
      <c r="CH33" s="11">
        <v>36</v>
      </c>
      <c r="CI33" s="11"/>
      <c r="CJ33" s="11"/>
      <c r="CK33" s="11"/>
      <c r="CL33" s="5">
        <f>SUM(CE33:CK33)</f>
        <v>69.599999999999994</v>
      </c>
      <c r="DB33" s="5"/>
      <c r="DC33" s="5"/>
      <c r="DD33" s="11"/>
      <c r="DE33" s="11"/>
      <c r="DF33" s="11"/>
      <c r="DG33" s="11"/>
      <c r="DH33" s="5">
        <f>SUM(DC33:DG33)</f>
        <v>0</v>
      </c>
      <c r="DI33" s="5">
        <f>(DH33-DC33)/2</f>
        <v>0</v>
      </c>
      <c r="DJ33" s="5"/>
      <c r="DK33" s="11"/>
      <c r="DL33" s="11"/>
      <c r="DM33" s="5">
        <f>SUM(DI33:DJ33)</f>
        <v>0</v>
      </c>
    </row>
    <row r="34" spans="1:117" x14ac:dyDescent="0.25">
      <c r="A34">
        <v>24</v>
      </c>
      <c r="B34" s="5" t="s">
        <v>308</v>
      </c>
      <c r="C34" s="5"/>
      <c r="D34" s="5" t="s">
        <v>309</v>
      </c>
      <c r="E34" s="5" t="s">
        <v>131</v>
      </c>
      <c r="F34" s="5"/>
      <c r="G34" s="5"/>
      <c r="H34" s="5"/>
      <c r="I34" s="5"/>
      <c r="J34" s="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5"/>
      <c r="Z34" s="5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5">
        <f>SUM(Z34:AS34)</f>
        <v>0</v>
      </c>
      <c r="AU34" s="5">
        <f>(AT34-Z34)/2</f>
        <v>0</v>
      </c>
      <c r="AV34" s="5">
        <v>36</v>
      </c>
      <c r="AW34" s="5"/>
      <c r="AX34" s="5"/>
      <c r="AY34" s="5"/>
      <c r="AZ34" s="5"/>
      <c r="BA34" s="5"/>
      <c r="BB34" s="5"/>
      <c r="BC34" s="5"/>
      <c r="BD34" s="5"/>
      <c r="BE34" s="5"/>
      <c r="BF34" s="11"/>
      <c r="BG34" s="11"/>
      <c r="BH34" s="11"/>
      <c r="BI34" s="11">
        <v>64</v>
      </c>
      <c r="BJ34" s="11">
        <v>54</v>
      </c>
      <c r="BK34" s="11">
        <v>2.4</v>
      </c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5">
        <f>SUM(AU34:BU34)</f>
        <v>156.4</v>
      </c>
      <c r="BW34" s="5">
        <f>(BV34-AU34)/2</f>
        <v>78.2</v>
      </c>
      <c r="BX34" s="11">
        <v>30</v>
      </c>
      <c r="BY34" s="11">
        <v>80</v>
      </c>
      <c r="BZ34" s="11">
        <v>5</v>
      </c>
      <c r="CA34" s="11"/>
      <c r="CB34" s="11"/>
      <c r="CC34" s="11"/>
      <c r="CD34" s="5">
        <f>SUM(BW34:CC34)</f>
        <v>193.2</v>
      </c>
      <c r="CE34" s="5">
        <f>(CD34-BW34)/2</f>
        <v>57.499999999999993</v>
      </c>
      <c r="CF34" s="11"/>
      <c r="CG34" s="11"/>
      <c r="CH34" s="11"/>
      <c r="CI34" s="11"/>
      <c r="CJ34" s="11"/>
      <c r="CK34" s="11"/>
      <c r="CL34" s="5">
        <f>SUM(CE34:CK34)</f>
        <v>57.499999999999993</v>
      </c>
      <c r="CR34">
        <f>SUM(CN34:CQ34)</f>
        <v>0</v>
      </c>
      <c r="CS34">
        <f>CR34/2</f>
        <v>0</v>
      </c>
      <c r="CT34">
        <f>BV34/4</f>
        <v>39.1</v>
      </c>
      <c r="CU34" s="7">
        <v>18</v>
      </c>
      <c r="DB34" s="5">
        <f>SUM(CS34:DA34)</f>
        <v>57.1</v>
      </c>
      <c r="DC34" s="5">
        <f>(DB34-CS34)/2</f>
        <v>28.55</v>
      </c>
      <c r="DD34" s="11">
        <v>1.75</v>
      </c>
      <c r="DE34" s="11"/>
      <c r="DF34" s="11"/>
      <c r="DG34" s="11"/>
      <c r="DH34" s="5">
        <f>SUM(DC34:DG34)</f>
        <v>30.3</v>
      </c>
      <c r="DI34" s="5">
        <f>(DH34-DC34)/2</f>
        <v>0.875</v>
      </c>
      <c r="DJ34" s="5"/>
      <c r="DK34" s="11"/>
      <c r="DL34" s="11"/>
      <c r="DM34" s="5">
        <f>SUM(DI34:DJ34)</f>
        <v>0.875</v>
      </c>
    </row>
    <row r="35" spans="1:117" x14ac:dyDescent="0.25">
      <c r="A35">
        <v>25</v>
      </c>
      <c r="B35" s="5" t="s">
        <v>156</v>
      </c>
      <c r="C35" s="5"/>
      <c r="D35" s="5" t="s">
        <v>120</v>
      </c>
      <c r="E35" s="5" t="s">
        <v>515</v>
      </c>
      <c r="F35" s="5"/>
      <c r="G35" s="5"/>
      <c r="H35" s="5"/>
      <c r="I35" s="5"/>
      <c r="J35" s="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5"/>
      <c r="Z35" s="5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5"/>
      <c r="BW35" s="5"/>
      <c r="BX35" s="11">
        <v>48</v>
      </c>
      <c r="BY35" s="11"/>
      <c r="BZ35" s="11">
        <v>54</v>
      </c>
      <c r="CA35" s="11"/>
      <c r="CB35" s="11"/>
      <c r="CC35" s="11"/>
      <c r="CD35" s="5">
        <f>SUM(BW35:CC35)</f>
        <v>102</v>
      </c>
      <c r="CE35" s="5">
        <f>(CD35-BW35)/2</f>
        <v>51</v>
      </c>
      <c r="CF35" s="11"/>
      <c r="CG35" s="11"/>
      <c r="CH35" s="11"/>
      <c r="CI35" s="11"/>
      <c r="CJ35" s="11"/>
      <c r="CK35" s="11"/>
      <c r="CL35" s="5">
        <f>SUM(CE35:CK35)</f>
        <v>51</v>
      </c>
      <c r="DB35" s="5"/>
      <c r="DC35" s="5"/>
      <c r="DD35" s="11"/>
      <c r="DE35" s="11"/>
      <c r="DF35" s="11"/>
      <c r="DG35" s="11"/>
      <c r="DH35" s="5">
        <f>SUM(DC35:DG35)</f>
        <v>0</v>
      </c>
      <c r="DI35" s="5">
        <f>(DH35-DC35)/2</f>
        <v>0</v>
      </c>
      <c r="DJ35" s="5"/>
      <c r="DK35" s="11"/>
      <c r="DL35" s="11"/>
      <c r="DM35" s="5">
        <f>SUM(DI35:DJ35)</f>
        <v>0</v>
      </c>
    </row>
    <row r="36" spans="1:117" x14ac:dyDescent="0.25">
      <c r="A36">
        <v>26</v>
      </c>
      <c r="B36" s="5" t="s">
        <v>329</v>
      </c>
      <c r="C36" s="5"/>
      <c r="D36" s="5" t="s">
        <v>271</v>
      </c>
      <c r="E36" s="5" t="s">
        <v>194</v>
      </c>
      <c r="F36" s="5"/>
      <c r="G36" s="5"/>
      <c r="H36" s="5"/>
      <c r="I36" s="5"/>
      <c r="J36" s="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5"/>
      <c r="Z36" s="5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11"/>
      <c r="BG36" s="11"/>
      <c r="BH36" s="11"/>
      <c r="BI36" s="11"/>
      <c r="BJ36" s="11">
        <v>7.5</v>
      </c>
      <c r="BK36" s="11"/>
      <c r="BL36" s="11"/>
      <c r="BM36" s="11"/>
      <c r="BN36" s="11"/>
      <c r="BO36" s="11">
        <v>33.6</v>
      </c>
      <c r="BP36" s="11"/>
      <c r="BQ36" s="11"/>
      <c r="BR36" s="11"/>
      <c r="BS36" s="11"/>
      <c r="BT36" s="11"/>
      <c r="BU36" s="11"/>
      <c r="BV36" s="5">
        <f>SUM(AU36:BU36)</f>
        <v>41.1</v>
      </c>
      <c r="BW36" s="5">
        <f>(BV36-AU36)/2</f>
        <v>20.55</v>
      </c>
      <c r="BX36" s="11">
        <v>2.4</v>
      </c>
      <c r="BY36" s="11">
        <v>40</v>
      </c>
      <c r="BZ36" s="11">
        <v>7.5</v>
      </c>
      <c r="CA36" s="11">
        <v>2.4</v>
      </c>
      <c r="CB36" s="11"/>
      <c r="CC36" s="11"/>
      <c r="CD36" s="5">
        <f>SUM(BW36:CC36)</f>
        <v>72.850000000000009</v>
      </c>
      <c r="CE36" s="5">
        <f>(CD36-BW36)/2</f>
        <v>26.150000000000006</v>
      </c>
      <c r="CF36" s="11">
        <v>2.4</v>
      </c>
      <c r="CG36" s="11"/>
      <c r="CH36" s="11">
        <v>7.5</v>
      </c>
      <c r="CI36" s="11"/>
      <c r="CJ36" s="11"/>
      <c r="CK36" s="11"/>
      <c r="CL36" s="5">
        <f>SUM(CE36:CK36)</f>
        <v>36.050000000000004</v>
      </c>
      <c r="CR36">
        <f>SUM(CN36:CQ36)</f>
        <v>0</v>
      </c>
      <c r="CS36">
        <f>CR36/2</f>
        <v>0</v>
      </c>
      <c r="CT36">
        <f>BV36/4</f>
        <v>10.275</v>
      </c>
      <c r="DB36" s="5">
        <f>SUM(CS36:DA36)</f>
        <v>10.275</v>
      </c>
      <c r="DC36" s="5">
        <f>(DB36-CS36)/2</f>
        <v>5.1375000000000002</v>
      </c>
      <c r="DD36" s="11"/>
      <c r="DE36" s="11"/>
      <c r="DF36" s="11"/>
      <c r="DG36" s="11"/>
      <c r="DH36" s="5">
        <f>SUM(DC36:DG36)</f>
        <v>5.1375000000000002</v>
      </c>
      <c r="DI36" s="5">
        <f>(DH36-DC36)/2</f>
        <v>0</v>
      </c>
      <c r="DJ36" s="5"/>
      <c r="DK36" s="11"/>
      <c r="DL36" s="11"/>
      <c r="DM36" s="5">
        <f>SUM(DI36:DJ36)</f>
        <v>0</v>
      </c>
    </row>
    <row r="37" spans="1:117" x14ac:dyDescent="0.25">
      <c r="A37">
        <v>27</v>
      </c>
      <c r="B37" s="5" t="s">
        <v>35</v>
      </c>
      <c r="C37" s="5"/>
      <c r="D37" s="5" t="s">
        <v>89</v>
      </c>
      <c r="E37" s="5" t="s">
        <v>501</v>
      </c>
      <c r="F37" s="5"/>
      <c r="G37" s="5"/>
      <c r="H37" s="5"/>
      <c r="I37" s="5"/>
      <c r="J37" s="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5"/>
      <c r="Z37" s="5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5"/>
      <c r="BW37" s="5"/>
      <c r="BX37" s="11"/>
      <c r="BY37" s="11"/>
      <c r="BZ37" s="11">
        <v>70</v>
      </c>
      <c r="CA37" s="11"/>
      <c r="CB37" s="11"/>
      <c r="CC37" s="11"/>
      <c r="CD37" s="5">
        <f>SUM(BW37:CC37)</f>
        <v>70</v>
      </c>
      <c r="CE37" s="5">
        <f>(CD37-BW37)/2</f>
        <v>35</v>
      </c>
      <c r="CF37" s="11"/>
      <c r="CG37" s="11"/>
      <c r="CH37" s="11"/>
      <c r="CI37" s="11"/>
      <c r="CJ37" s="11"/>
      <c r="CK37" s="11"/>
      <c r="CL37" s="5">
        <f>SUM(CE37:CK37)</f>
        <v>35</v>
      </c>
      <c r="DB37" s="5"/>
      <c r="DC37" s="5"/>
      <c r="DD37" s="11"/>
      <c r="DE37" s="11"/>
      <c r="DF37" s="11"/>
      <c r="DG37" s="11"/>
      <c r="DH37" s="5">
        <f>SUM(DC37:DG37)</f>
        <v>0</v>
      </c>
      <c r="DI37" s="5">
        <f>(DH37-DC37)/2</f>
        <v>0</v>
      </c>
      <c r="DJ37" s="5"/>
      <c r="DK37" s="11"/>
      <c r="DL37" s="11"/>
      <c r="DM37" s="5">
        <f>SUM(DI37:DJ37)</f>
        <v>0</v>
      </c>
    </row>
    <row r="38" spans="1:117" x14ac:dyDescent="0.25">
      <c r="A38">
        <v>28</v>
      </c>
      <c r="B38" s="5" t="s">
        <v>245</v>
      </c>
      <c r="C38" s="5"/>
      <c r="D38" s="5" t="s">
        <v>272</v>
      </c>
      <c r="E38" s="5" t="s">
        <v>247</v>
      </c>
      <c r="F38" s="5"/>
      <c r="G38" s="5"/>
      <c r="H38" s="5"/>
      <c r="I38" s="5"/>
      <c r="J38" s="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5"/>
      <c r="Z38" s="5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5"/>
      <c r="BW38" s="5"/>
      <c r="BX38" s="11"/>
      <c r="BY38" s="11">
        <v>56</v>
      </c>
      <c r="BZ38" s="11"/>
      <c r="CA38" s="11"/>
      <c r="CB38" s="11"/>
      <c r="CC38" s="11"/>
      <c r="CD38" s="5">
        <f>SUM(BW38:CC38)</f>
        <v>56</v>
      </c>
      <c r="CE38" s="5">
        <f>(CD38-BW38)/2</f>
        <v>28</v>
      </c>
      <c r="CF38" s="11"/>
      <c r="CG38" s="11"/>
      <c r="CH38" s="11"/>
      <c r="CI38" s="11"/>
      <c r="CJ38" s="11"/>
      <c r="CK38" s="11"/>
      <c r="CL38" s="5">
        <f>SUM(CE38:CK38)</f>
        <v>28</v>
      </c>
      <c r="DB38" s="5"/>
      <c r="DC38" s="5"/>
      <c r="DD38" s="11"/>
      <c r="DE38" s="11"/>
      <c r="DF38" s="11"/>
      <c r="DG38" s="11"/>
      <c r="DH38" s="5">
        <f>SUM(DC38:DG38)</f>
        <v>0</v>
      </c>
      <c r="DI38" s="5">
        <f>(DH38-DC38)/2</f>
        <v>0</v>
      </c>
      <c r="DJ38" s="5"/>
      <c r="DK38" s="11"/>
      <c r="DL38" s="11"/>
      <c r="DM38" s="5">
        <f>SUM(DI38:DJ38)</f>
        <v>0</v>
      </c>
    </row>
    <row r="39" spans="1:117" x14ac:dyDescent="0.25">
      <c r="A39">
        <v>29</v>
      </c>
      <c r="B39" s="5" t="s">
        <v>516</v>
      </c>
      <c r="C39" s="5"/>
      <c r="D39" s="5" t="s">
        <v>63</v>
      </c>
      <c r="E39" s="5" t="s">
        <v>408</v>
      </c>
      <c r="F39" s="5"/>
      <c r="G39" s="5"/>
      <c r="H39" s="5"/>
      <c r="I39" s="5"/>
      <c r="J39" s="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5"/>
      <c r="Z39" s="5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5"/>
      <c r="BW39" s="5"/>
      <c r="BX39" s="11">
        <v>2.4</v>
      </c>
      <c r="BY39" s="11">
        <v>32</v>
      </c>
      <c r="BZ39" s="11">
        <v>7.5</v>
      </c>
      <c r="CA39" s="11">
        <v>3.2</v>
      </c>
      <c r="CB39" s="11">
        <v>7.5</v>
      </c>
      <c r="CC39" s="11"/>
      <c r="CD39" s="5">
        <f>SUM(BW39:CC39)</f>
        <v>52.6</v>
      </c>
      <c r="CE39" s="5">
        <f>(CD39-BW39)/2</f>
        <v>26.3</v>
      </c>
      <c r="CF39" s="11"/>
      <c r="CG39" s="11"/>
      <c r="CH39" s="11"/>
      <c r="CI39" s="11"/>
      <c r="CJ39" s="11"/>
      <c r="CK39" s="11"/>
      <c r="CL39" s="5">
        <f>SUM(CE39:CK39)</f>
        <v>26.3</v>
      </c>
      <c r="DB39" s="5"/>
      <c r="DC39" s="5"/>
      <c r="DD39" s="11"/>
      <c r="DE39" s="11"/>
      <c r="DF39" s="11"/>
      <c r="DG39" s="11"/>
      <c r="DH39" s="5">
        <f>SUM(DC39:DG39)</f>
        <v>0</v>
      </c>
      <c r="DI39" s="5">
        <f>(DH39-DC39)/2</f>
        <v>0</v>
      </c>
      <c r="DJ39" s="5"/>
      <c r="DK39" s="11"/>
      <c r="DL39" s="11"/>
      <c r="DM39" s="5">
        <f>SUM(DI39:DJ39)</f>
        <v>0</v>
      </c>
    </row>
    <row r="40" spans="1:117" x14ac:dyDescent="0.25">
      <c r="A40">
        <v>30</v>
      </c>
      <c r="B40" s="5" t="s">
        <v>64</v>
      </c>
      <c r="C40" s="5" t="s">
        <v>370</v>
      </c>
      <c r="D40" s="5" t="s">
        <v>369</v>
      </c>
      <c r="E40" s="5" t="s">
        <v>129</v>
      </c>
      <c r="F40" s="5"/>
      <c r="G40" s="5"/>
      <c r="H40" s="5"/>
      <c r="I40" s="5"/>
      <c r="J40" s="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5"/>
      <c r="Z40" s="5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5"/>
      <c r="AU40" s="5"/>
      <c r="AV40" s="5"/>
      <c r="AW40" s="5"/>
      <c r="AX40" s="5"/>
      <c r="AY40" s="5"/>
      <c r="AZ40" s="5">
        <v>36</v>
      </c>
      <c r="BA40" s="5"/>
      <c r="BB40" s="5"/>
      <c r="BC40" s="5"/>
      <c r="BD40" s="5"/>
      <c r="BE40" s="5"/>
      <c r="BF40" s="11"/>
      <c r="BG40" s="11"/>
      <c r="BH40" s="11">
        <v>4</v>
      </c>
      <c r="BI40" s="11"/>
      <c r="BJ40" s="11">
        <v>7.5</v>
      </c>
      <c r="BK40" s="11"/>
      <c r="BL40" s="11"/>
      <c r="BM40" s="11"/>
      <c r="BN40" s="11"/>
      <c r="BO40" s="11"/>
      <c r="BP40" s="11"/>
      <c r="BQ40" s="11"/>
      <c r="BR40" s="11">
        <v>36</v>
      </c>
      <c r="BS40" s="11"/>
      <c r="BT40" s="11"/>
      <c r="BU40" s="11"/>
      <c r="BV40" s="5">
        <f>SUM(AU40:BU40)</f>
        <v>83.5</v>
      </c>
      <c r="BW40" s="5">
        <f>(BV40-AU40)/2</f>
        <v>41.75</v>
      </c>
      <c r="BX40" s="11">
        <v>48</v>
      </c>
      <c r="BY40" s="11"/>
      <c r="BZ40" s="11"/>
      <c r="CA40" s="11"/>
      <c r="CB40" s="11"/>
      <c r="CC40" s="11"/>
      <c r="CD40" s="5">
        <f>SUM(BW40:CC40)</f>
        <v>89.75</v>
      </c>
      <c r="CE40" s="5">
        <f>(CD40-BW40)/2</f>
        <v>24</v>
      </c>
      <c r="CF40" s="11"/>
      <c r="CG40" s="11"/>
      <c r="CH40" s="11"/>
      <c r="CI40" s="11"/>
      <c r="CJ40" s="11"/>
      <c r="CK40" s="11"/>
      <c r="CL40" s="5">
        <f>SUM(CE40:CK40)</f>
        <v>24</v>
      </c>
      <c r="CT40">
        <f>BV40/4</f>
        <v>20.875</v>
      </c>
      <c r="DB40" s="5">
        <f>SUM(CS40:DA40)</f>
        <v>20.875</v>
      </c>
      <c r="DC40" s="5">
        <f>(DB40-CS40)/2</f>
        <v>10.4375</v>
      </c>
      <c r="DD40" s="11"/>
      <c r="DE40" s="11"/>
      <c r="DF40" s="11"/>
      <c r="DG40" s="11"/>
      <c r="DH40" s="5">
        <f>SUM(DC40:DG40)</f>
        <v>10.4375</v>
      </c>
      <c r="DI40" s="5">
        <f>(DH40-DC40)/2</f>
        <v>0</v>
      </c>
      <c r="DJ40" s="5"/>
      <c r="DK40" s="11"/>
      <c r="DL40" s="11"/>
      <c r="DM40" s="5">
        <f>SUM(DI40:DJ40)</f>
        <v>0</v>
      </c>
    </row>
    <row r="41" spans="1:117" x14ac:dyDescent="0.25">
      <c r="A41">
        <v>31</v>
      </c>
      <c r="B41" s="5" t="s">
        <v>500</v>
      </c>
      <c r="C41" s="5"/>
      <c r="D41" s="5" t="s">
        <v>121</v>
      </c>
      <c r="E41" s="5" t="s">
        <v>488</v>
      </c>
      <c r="F41" s="5"/>
      <c r="G41" s="5"/>
      <c r="H41" s="5"/>
      <c r="I41" s="5"/>
      <c r="J41" s="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5"/>
      <c r="Z41" s="5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5"/>
      <c r="BW41" s="5"/>
      <c r="BX41" s="11"/>
      <c r="BY41" s="11">
        <v>40</v>
      </c>
      <c r="BZ41" s="11">
        <v>7.5</v>
      </c>
      <c r="CA41" s="11"/>
      <c r="CB41" s="11"/>
      <c r="CC41" s="11"/>
      <c r="CD41" s="5">
        <f>SUM(BW41:CC41)</f>
        <v>47.5</v>
      </c>
      <c r="CE41" s="5">
        <f>(CD41-BW41)/2</f>
        <v>23.75</v>
      </c>
      <c r="CF41" s="11"/>
      <c r="CG41" s="11"/>
      <c r="CH41" s="11"/>
      <c r="CI41" s="11"/>
      <c r="CJ41" s="11"/>
      <c r="CK41" s="11"/>
      <c r="CL41" s="5">
        <f>SUM(CE41:CK41)</f>
        <v>23.75</v>
      </c>
      <c r="DB41" s="5"/>
      <c r="DC41" s="5"/>
      <c r="DD41" s="11">
        <v>1.75</v>
      </c>
      <c r="DE41" s="11"/>
      <c r="DF41" s="11"/>
      <c r="DG41" s="11"/>
      <c r="DH41" s="5">
        <f>SUM(DC41:DG41)</f>
        <v>1.75</v>
      </c>
      <c r="DI41" s="5">
        <f>(DH41-DC41)/2</f>
        <v>0.875</v>
      </c>
      <c r="DJ41" s="5"/>
      <c r="DK41" s="11"/>
      <c r="DL41" s="11"/>
      <c r="DM41" s="5">
        <f>SUM(DI41:DJ41)</f>
        <v>0.875</v>
      </c>
    </row>
    <row r="42" spans="1:117" x14ac:dyDescent="0.25">
      <c r="A42">
        <v>32</v>
      </c>
      <c r="B42" s="5" t="s">
        <v>210</v>
      </c>
      <c r="C42" s="5"/>
      <c r="D42" s="5" t="s">
        <v>428</v>
      </c>
      <c r="E42" s="5" t="s">
        <v>166</v>
      </c>
      <c r="F42" s="5"/>
      <c r="G42" s="5"/>
      <c r="H42" s="5"/>
      <c r="I42" s="5"/>
      <c r="J42" s="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5"/>
      <c r="Z42" s="5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5"/>
      <c r="BW42" s="5"/>
      <c r="BX42" s="11"/>
      <c r="BY42" s="11"/>
      <c r="BZ42" s="11">
        <v>24</v>
      </c>
      <c r="CA42" s="11"/>
      <c r="CB42" s="11"/>
      <c r="CC42" s="11"/>
      <c r="CD42" s="5">
        <f>SUM(BW42:CC42)</f>
        <v>24</v>
      </c>
      <c r="CE42" s="5">
        <f>(CD42-BW42)/2</f>
        <v>12</v>
      </c>
      <c r="CF42" s="11"/>
      <c r="CG42" s="11">
        <v>4</v>
      </c>
      <c r="CH42" s="11"/>
      <c r="CI42" s="11"/>
      <c r="CJ42" s="11"/>
      <c r="CK42" s="11"/>
      <c r="CL42" s="5">
        <f>SUM(CE42:CK42)</f>
        <v>16</v>
      </c>
      <c r="DB42" s="5"/>
      <c r="DC42" s="5"/>
      <c r="DD42" s="11"/>
      <c r="DE42" s="11"/>
      <c r="DF42" s="11"/>
      <c r="DG42" s="11"/>
      <c r="DH42" s="5">
        <f>SUM(DC42:DG42)</f>
        <v>0</v>
      </c>
      <c r="DI42" s="5">
        <f>(DH42-DC42)/2</f>
        <v>0</v>
      </c>
      <c r="DJ42" s="5"/>
      <c r="DK42" s="11"/>
      <c r="DL42" s="11"/>
      <c r="DM42" s="5">
        <f>SUM(DI42:DJ42)</f>
        <v>0</v>
      </c>
    </row>
    <row r="43" spans="1:117" x14ac:dyDescent="0.25">
      <c r="A43">
        <v>33</v>
      </c>
      <c r="B43" s="5" t="s">
        <v>104</v>
      </c>
      <c r="C43" s="5"/>
      <c r="D43" s="5" t="s">
        <v>86</v>
      </c>
      <c r="E43" s="5" t="s">
        <v>501</v>
      </c>
      <c r="F43" s="5"/>
      <c r="G43" s="5"/>
      <c r="H43" s="5"/>
      <c r="I43" s="5"/>
      <c r="J43" s="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5"/>
      <c r="Z43" s="5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5"/>
      <c r="BW43" s="5"/>
      <c r="BX43" s="11">
        <v>2.4</v>
      </c>
      <c r="BY43" s="11"/>
      <c r="BZ43" s="11">
        <v>7.5</v>
      </c>
      <c r="CA43" s="11">
        <v>5</v>
      </c>
      <c r="CB43" s="11">
        <v>10</v>
      </c>
      <c r="CC43" s="11"/>
      <c r="CD43" s="5">
        <f>SUM(BW43:CC43)</f>
        <v>24.9</v>
      </c>
      <c r="CE43" s="5">
        <f>(CD43-BW43)/2</f>
        <v>12.45</v>
      </c>
      <c r="CF43" s="11"/>
      <c r="CG43" s="11"/>
      <c r="CH43" s="11"/>
      <c r="CI43" s="11"/>
      <c r="CJ43" s="11"/>
      <c r="CK43" s="11"/>
      <c r="CL43" s="5">
        <f>SUM(CE43:CK43)</f>
        <v>12.45</v>
      </c>
      <c r="DB43" s="5"/>
      <c r="DC43" s="5"/>
      <c r="DD43" s="11">
        <v>1.75</v>
      </c>
      <c r="DE43" s="11"/>
      <c r="DF43" s="11"/>
      <c r="DG43" s="11">
        <v>2.5</v>
      </c>
      <c r="DH43" s="5">
        <f>SUM(DC43:DG43)</f>
        <v>4.25</v>
      </c>
      <c r="DI43" s="5">
        <f>(DH43-DC43)/2</f>
        <v>2.125</v>
      </c>
      <c r="DJ43" s="5"/>
      <c r="DK43" s="11"/>
      <c r="DL43" s="11"/>
      <c r="DM43" s="5">
        <f>SUM(DI43:DJ43)</f>
        <v>2.125</v>
      </c>
    </row>
    <row r="44" spans="1:117" x14ac:dyDescent="0.25">
      <c r="A44">
        <v>34</v>
      </c>
      <c r="B44" s="5" t="s">
        <v>655</v>
      </c>
      <c r="C44" s="5"/>
      <c r="D44" s="5" t="s">
        <v>12</v>
      </c>
      <c r="E44" s="5" t="s">
        <v>570</v>
      </c>
      <c r="F44" s="5"/>
      <c r="G44" s="5"/>
      <c r="H44" s="5"/>
      <c r="I44" s="5"/>
      <c r="J44" s="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5"/>
      <c r="Z44" s="5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5"/>
      <c r="BW44" s="5"/>
      <c r="BX44" s="11"/>
      <c r="BY44" s="11"/>
      <c r="BZ44" s="11"/>
      <c r="CA44" s="11"/>
      <c r="CB44" s="11"/>
      <c r="CC44" s="11"/>
      <c r="CD44" s="5"/>
      <c r="CE44" s="5"/>
      <c r="CF44" s="11">
        <v>3</v>
      </c>
      <c r="CG44" s="11"/>
      <c r="CH44" s="11">
        <v>7.5</v>
      </c>
      <c r="CI44" s="11"/>
      <c r="CJ44" s="11"/>
      <c r="CK44" s="11"/>
      <c r="CL44" s="5">
        <f>SUM(CE44:CK44)</f>
        <v>10.5</v>
      </c>
      <c r="DB44" s="5"/>
      <c r="DC44" s="5"/>
      <c r="DD44" s="11"/>
      <c r="DE44" s="11"/>
      <c r="DF44" s="11"/>
      <c r="DG44" s="11"/>
      <c r="DH44" s="5">
        <f>SUM(DC44:DG44)</f>
        <v>0</v>
      </c>
      <c r="DI44" s="5">
        <f>(DH44-DC44)/2</f>
        <v>0</v>
      </c>
      <c r="DJ44" s="5"/>
      <c r="DK44" s="11"/>
      <c r="DL44" s="11"/>
      <c r="DM44" s="5">
        <f>SUM(DI44:DJ44)</f>
        <v>0</v>
      </c>
    </row>
    <row r="45" spans="1:117" x14ac:dyDescent="0.25">
      <c r="A45">
        <v>35</v>
      </c>
      <c r="B45" s="5" t="s">
        <v>285</v>
      </c>
      <c r="C45" s="5"/>
      <c r="D45" s="5" t="s">
        <v>708</v>
      </c>
      <c r="E45" s="5" t="s">
        <v>48</v>
      </c>
      <c r="F45" s="5"/>
      <c r="G45" s="5"/>
      <c r="H45" s="5"/>
      <c r="I45" s="5"/>
      <c r="J45" s="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5"/>
      <c r="Z45" s="5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5"/>
      <c r="BW45" s="5"/>
      <c r="BX45" s="11"/>
      <c r="BY45" s="11"/>
      <c r="BZ45" s="11"/>
      <c r="CA45" s="11"/>
      <c r="CB45" s="11"/>
      <c r="CC45" s="11"/>
      <c r="CD45" s="5"/>
      <c r="CE45" s="5"/>
      <c r="CF45" s="11"/>
      <c r="CG45" s="11">
        <v>4</v>
      </c>
      <c r="CH45" s="11"/>
      <c r="CI45" s="11"/>
      <c r="CJ45" s="11"/>
      <c r="CK45" s="11"/>
      <c r="CL45" s="5">
        <f>SUM(CE45:CK45)</f>
        <v>4</v>
      </c>
      <c r="DB45" s="5"/>
      <c r="DC45" s="5"/>
      <c r="DD45" s="11"/>
      <c r="DE45" s="11"/>
      <c r="DF45" s="11"/>
      <c r="DG45" s="11"/>
      <c r="DH45" s="5">
        <f>SUM(DC45:DG45)</f>
        <v>0</v>
      </c>
      <c r="DI45" s="5">
        <f>(DH45-DC45)/2</f>
        <v>0</v>
      </c>
      <c r="DJ45" s="5"/>
      <c r="DK45" s="11"/>
      <c r="DL45" s="11"/>
      <c r="DM45" s="5">
        <f>SUM(DI45:DJ45)</f>
        <v>0</v>
      </c>
    </row>
    <row r="46" spans="1:117" x14ac:dyDescent="0.25">
      <c r="A46">
        <v>36</v>
      </c>
      <c r="B46" s="5" t="s">
        <v>41</v>
      </c>
      <c r="C46" s="5"/>
      <c r="D46" s="5" t="s">
        <v>352</v>
      </c>
      <c r="E46" s="5" t="s">
        <v>353</v>
      </c>
      <c r="F46" s="5"/>
      <c r="G46" s="5"/>
      <c r="H46" s="5"/>
      <c r="I46" s="5"/>
      <c r="J46" s="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5"/>
      <c r="Z46" s="5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11"/>
      <c r="BG46" s="11"/>
      <c r="BH46" s="11">
        <v>40</v>
      </c>
      <c r="BI46" s="11"/>
      <c r="BJ46" s="11">
        <v>39</v>
      </c>
      <c r="BK46" s="11"/>
      <c r="BL46" s="11"/>
      <c r="BM46" s="11"/>
      <c r="BN46" s="11"/>
      <c r="BO46" s="11"/>
      <c r="BP46" s="11"/>
      <c r="BQ46" s="11"/>
      <c r="BR46" s="11"/>
      <c r="BS46" s="11"/>
      <c r="BT46" s="11">
        <v>39</v>
      </c>
      <c r="BU46" s="11"/>
      <c r="BV46" s="5">
        <f>SUM(AU46:BU46)</f>
        <v>118</v>
      </c>
      <c r="BW46" s="5">
        <f>(BV46-AU46)/2</f>
        <v>59</v>
      </c>
      <c r="BX46" s="11"/>
      <c r="BY46" s="11"/>
      <c r="BZ46" s="11">
        <v>7.5</v>
      </c>
      <c r="CA46" s="11"/>
      <c r="CB46" s="11"/>
      <c r="CC46" s="11"/>
      <c r="CD46" s="5">
        <f>SUM(BW46:CC46)</f>
        <v>66.5</v>
      </c>
      <c r="CE46" s="5">
        <f>(CD46-BW46)/2</f>
        <v>3.75</v>
      </c>
      <c r="CF46" s="11"/>
      <c r="CG46" s="11"/>
      <c r="CH46" s="11"/>
      <c r="CI46" s="11"/>
      <c r="CJ46" s="11"/>
      <c r="CK46" s="11"/>
      <c r="CL46" s="5">
        <f>SUM(CE46:CK46)</f>
        <v>3.75</v>
      </c>
      <c r="CR46">
        <f>SUM(CN46:CQ46)</f>
        <v>0</v>
      </c>
      <c r="CS46">
        <f>CR46/2</f>
        <v>0</v>
      </c>
      <c r="CT46">
        <f>BV46/4</f>
        <v>29.5</v>
      </c>
      <c r="DA46" s="7">
        <v>2</v>
      </c>
      <c r="DB46" s="5">
        <f>SUM(CS46:DA46)</f>
        <v>31.5</v>
      </c>
      <c r="DC46" s="5">
        <f>(DB46-CS46)/2</f>
        <v>15.75</v>
      </c>
      <c r="DD46" s="11"/>
      <c r="DE46" s="11"/>
      <c r="DF46" s="11"/>
      <c r="DG46" s="11"/>
      <c r="DH46" s="5">
        <f>SUM(DC46:DG46)</f>
        <v>15.75</v>
      </c>
      <c r="DI46" s="5">
        <f>(DH46-DC46)/2</f>
        <v>0</v>
      </c>
      <c r="DJ46" s="5"/>
      <c r="DK46" s="11"/>
      <c r="DL46" s="11"/>
      <c r="DM46" s="5">
        <f>SUM(DI46:DJ46)</f>
        <v>0</v>
      </c>
    </row>
    <row r="47" spans="1:117" x14ac:dyDescent="0.25">
      <c r="A47">
        <v>37</v>
      </c>
      <c r="B47" s="5" t="s">
        <v>49</v>
      </c>
      <c r="C47" s="5"/>
      <c r="D47" s="5" t="s">
        <v>494</v>
      </c>
      <c r="E47" s="5" t="s">
        <v>19</v>
      </c>
      <c r="F47" s="5"/>
      <c r="G47" s="5"/>
      <c r="H47" s="5"/>
      <c r="I47" s="5"/>
      <c r="J47" s="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5"/>
      <c r="Z47" s="5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5"/>
      <c r="BW47" s="5"/>
      <c r="BX47" s="11"/>
      <c r="BY47" s="11"/>
      <c r="BZ47" s="11"/>
      <c r="CA47" s="11"/>
      <c r="CB47" s="11"/>
      <c r="CC47" s="11"/>
      <c r="CD47" s="5"/>
      <c r="CE47" s="5"/>
      <c r="CF47" s="11">
        <v>3</v>
      </c>
      <c r="CG47" s="11"/>
      <c r="CH47" s="11"/>
      <c r="CI47" s="11"/>
      <c r="CJ47" s="11"/>
      <c r="CK47" s="11"/>
      <c r="CL47" s="5">
        <f t="shared" ref="CL43:CL74" si="0">SUM(CE47:CK47)</f>
        <v>3</v>
      </c>
      <c r="DB47" s="5"/>
      <c r="DC47" s="5"/>
      <c r="DD47" s="11"/>
      <c r="DE47" s="11"/>
      <c r="DF47" s="11"/>
      <c r="DG47" s="11"/>
      <c r="DH47" s="5">
        <f t="shared" ref="DH32:DH66" si="1">SUM(DC47:DG47)</f>
        <v>0</v>
      </c>
      <c r="DI47" s="5">
        <f t="shared" ref="DI32:DI66" si="2">(DH47-DC47)/2</f>
        <v>0</v>
      </c>
      <c r="DJ47" s="5"/>
      <c r="DK47" s="11"/>
      <c r="DL47" s="11"/>
      <c r="DM47" s="5">
        <f t="shared" ref="DM30:DM66" si="3">SUM(DI47:DJ47)</f>
        <v>0</v>
      </c>
    </row>
    <row r="48" spans="1:117" x14ac:dyDescent="0.25">
      <c r="A48">
        <v>38</v>
      </c>
      <c r="B48" s="5" t="s">
        <v>79</v>
      </c>
      <c r="C48" s="5"/>
      <c r="D48" s="5" t="s">
        <v>567</v>
      </c>
      <c r="E48" s="5" t="s">
        <v>531</v>
      </c>
      <c r="F48" s="5"/>
      <c r="G48" s="5"/>
      <c r="H48" s="5"/>
      <c r="I48" s="5"/>
      <c r="J48" s="5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5"/>
      <c r="Z48" s="5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5"/>
      <c r="BW48" s="5"/>
      <c r="BX48" s="11"/>
      <c r="BY48" s="11"/>
      <c r="BZ48" s="11">
        <v>5</v>
      </c>
      <c r="CA48" s="11"/>
      <c r="CB48" s="11"/>
      <c r="CC48" s="11"/>
      <c r="CD48" s="5">
        <f t="shared" ref="CD48:CD66" si="4">SUM(BW48:CC48)</f>
        <v>5</v>
      </c>
      <c r="CE48" s="5">
        <f t="shared" ref="CE48:CE66" si="5">(CD48-BW48)/2</f>
        <v>2.5</v>
      </c>
      <c r="CF48" s="11"/>
      <c r="CG48" s="11"/>
      <c r="CH48" s="11"/>
      <c r="CI48" s="11"/>
      <c r="CJ48" s="11"/>
      <c r="CK48" s="11"/>
      <c r="CL48" s="5">
        <f t="shared" si="0"/>
        <v>2.5</v>
      </c>
      <c r="DB48" s="5"/>
      <c r="DC48" s="5"/>
      <c r="DD48" s="11"/>
      <c r="DE48" s="11"/>
      <c r="DF48" s="11"/>
      <c r="DG48" s="11"/>
      <c r="DH48" s="5">
        <f t="shared" si="1"/>
        <v>0</v>
      </c>
      <c r="DI48" s="5">
        <f t="shared" si="2"/>
        <v>0</v>
      </c>
      <c r="DJ48" s="5"/>
      <c r="DK48" s="11"/>
      <c r="DL48" s="11"/>
      <c r="DM48" s="5">
        <f t="shared" si="3"/>
        <v>0</v>
      </c>
    </row>
    <row r="49" spans="1:117" x14ac:dyDescent="0.25">
      <c r="A49">
        <v>39</v>
      </c>
      <c r="B49" s="5" t="s">
        <v>568</v>
      </c>
      <c r="C49" s="5"/>
      <c r="D49" s="5" t="s">
        <v>569</v>
      </c>
      <c r="E49" s="5" t="s">
        <v>570</v>
      </c>
      <c r="F49" s="5"/>
      <c r="G49" s="5"/>
      <c r="H49" s="5"/>
      <c r="I49" s="5"/>
      <c r="J49" s="5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5"/>
      <c r="Z49" s="5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5"/>
      <c r="BW49" s="5"/>
      <c r="BX49" s="11"/>
      <c r="BY49" s="11"/>
      <c r="BZ49" s="11">
        <v>5</v>
      </c>
      <c r="CA49" s="11"/>
      <c r="CB49" s="11"/>
      <c r="CC49" s="11"/>
      <c r="CD49" s="5">
        <f t="shared" si="4"/>
        <v>5</v>
      </c>
      <c r="CE49" s="5">
        <f t="shared" si="5"/>
        <v>2.5</v>
      </c>
      <c r="CF49" s="11"/>
      <c r="CG49" s="11"/>
      <c r="CH49" s="11"/>
      <c r="CI49" s="11"/>
      <c r="CJ49" s="11"/>
      <c r="CK49" s="11"/>
      <c r="CL49" s="5">
        <f t="shared" si="0"/>
        <v>2.5</v>
      </c>
      <c r="DB49" s="5"/>
      <c r="DC49" s="5"/>
      <c r="DD49" s="11"/>
      <c r="DE49" s="11"/>
      <c r="DF49" s="11"/>
      <c r="DG49" s="11"/>
      <c r="DH49" s="5">
        <f t="shared" si="1"/>
        <v>0</v>
      </c>
      <c r="DI49" s="5">
        <f t="shared" si="2"/>
        <v>0</v>
      </c>
      <c r="DJ49" s="5"/>
      <c r="DK49" s="11"/>
      <c r="DL49" s="11"/>
      <c r="DM49" s="5">
        <f t="shared" si="3"/>
        <v>0</v>
      </c>
    </row>
    <row r="50" spans="1:117" x14ac:dyDescent="0.25">
      <c r="A50">
        <v>40</v>
      </c>
      <c r="B50" s="5" t="s">
        <v>210</v>
      </c>
      <c r="C50" s="5"/>
      <c r="D50" s="5" t="s">
        <v>534</v>
      </c>
      <c r="E50" s="5" t="s">
        <v>467</v>
      </c>
      <c r="F50" s="5"/>
      <c r="G50" s="5"/>
      <c r="H50" s="5"/>
      <c r="I50" s="5"/>
      <c r="J50" s="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5"/>
      <c r="Z50" s="5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5"/>
      <c r="BW50" s="5"/>
      <c r="BX50" s="11">
        <v>3</v>
      </c>
      <c r="BY50" s="11"/>
      <c r="BZ50" s="11"/>
      <c r="CA50" s="11"/>
      <c r="CB50" s="11"/>
      <c r="CC50" s="11"/>
      <c r="CD50" s="5">
        <f t="shared" si="4"/>
        <v>3</v>
      </c>
      <c r="CE50" s="5">
        <f t="shared" si="5"/>
        <v>1.5</v>
      </c>
      <c r="CF50" s="11"/>
      <c r="CG50" s="11"/>
      <c r="CH50" s="11"/>
      <c r="CI50" s="11"/>
      <c r="CJ50" s="11"/>
      <c r="CK50" s="11"/>
      <c r="CL50" s="5">
        <f t="shared" si="0"/>
        <v>1.5</v>
      </c>
      <c r="DB50" s="5"/>
      <c r="DC50" s="5"/>
      <c r="DD50" s="11"/>
      <c r="DE50" s="11"/>
      <c r="DF50" s="11"/>
      <c r="DG50" s="11"/>
      <c r="DH50" s="5">
        <f t="shared" si="1"/>
        <v>0</v>
      </c>
      <c r="DI50" s="5">
        <f t="shared" si="2"/>
        <v>0</v>
      </c>
      <c r="DJ50" s="5"/>
      <c r="DK50" s="11"/>
      <c r="DL50" s="11"/>
      <c r="DM50" s="5">
        <f t="shared" si="3"/>
        <v>0</v>
      </c>
    </row>
    <row r="51" spans="1:117" x14ac:dyDescent="0.25">
      <c r="A51">
        <v>41</v>
      </c>
      <c r="B51" s="5" t="s">
        <v>562</v>
      </c>
      <c r="C51" s="5"/>
      <c r="D51" s="5" t="s">
        <v>60</v>
      </c>
      <c r="E51" s="5" t="s">
        <v>591</v>
      </c>
      <c r="F51" s="5"/>
      <c r="G51" s="5"/>
      <c r="H51" s="5"/>
      <c r="I51" s="5"/>
      <c r="J51" s="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5"/>
      <c r="Z51" s="5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5"/>
      <c r="BW51" s="5"/>
      <c r="BX51" s="11">
        <v>2.4</v>
      </c>
      <c r="BY51" s="11"/>
      <c r="BZ51" s="11"/>
      <c r="CA51" s="11"/>
      <c r="CB51" s="11"/>
      <c r="CC51" s="11"/>
      <c r="CD51" s="5">
        <f t="shared" si="4"/>
        <v>2.4</v>
      </c>
      <c r="CE51" s="5">
        <f t="shared" si="5"/>
        <v>1.2</v>
      </c>
      <c r="CF51" s="11"/>
      <c r="CG51" s="11"/>
      <c r="CH51" s="11"/>
      <c r="CI51" s="11"/>
      <c r="CJ51" s="11"/>
      <c r="CK51" s="11"/>
      <c r="CL51" s="5">
        <f t="shared" si="0"/>
        <v>1.2</v>
      </c>
      <c r="DB51" s="5"/>
      <c r="DC51" s="5"/>
      <c r="DD51" s="11"/>
      <c r="DE51" s="11"/>
      <c r="DF51" s="11"/>
      <c r="DG51" s="11"/>
      <c r="DH51" s="5">
        <f t="shared" si="1"/>
        <v>0</v>
      </c>
      <c r="DI51" s="5">
        <f t="shared" si="2"/>
        <v>0</v>
      </c>
      <c r="DJ51" s="5"/>
      <c r="DK51" s="11"/>
      <c r="DL51" s="11"/>
      <c r="DM51" s="5">
        <f t="shared" si="3"/>
        <v>0</v>
      </c>
    </row>
    <row r="52" spans="1:117" x14ac:dyDescent="0.25">
      <c r="A52">
        <v>42</v>
      </c>
      <c r="B52" s="5" t="s">
        <v>630</v>
      </c>
      <c r="C52" s="5"/>
      <c r="D52" s="5" t="s">
        <v>631</v>
      </c>
      <c r="E52" s="5" t="s">
        <v>529</v>
      </c>
      <c r="F52" s="5"/>
      <c r="G52" s="5"/>
      <c r="H52" s="5"/>
      <c r="I52" s="5"/>
      <c r="J52" s="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5"/>
      <c r="Z52" s="5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5"/>
      <c r="BW52" s="5"/>
      <c r="BX52" s="11">
        <v>2.4</v>
      </c>
      <c r="BY52" s="11"/>
      <c r="BZ52" s="11"/>
      <c r="CA52" s="11"/>
      <c r="CB52" s="11"/>
      <c r="CC52" s="11"/>
      <c r="CD52" s="5">
        <f t="shared" si="4"/>
        <v>2.4</v>
      </c>
      <c r="CE52" s="5">
        <f t="shared" si="5"/>
        <v>1.2</v>
      </c>
      <c r="CF52" s="11"/>
      <c r="CG52" s="11"/>
      <c r="CH52" s="11"/>
      <c r="CI52" s="11"/>
      <c r="CJ52" s="11"/>
      <c r="CK52" s="11"/>
      <c r="CL52" s="5">
        <f t="shared" si="0"/>
        <v>1.2</v>
      </c>
      <c r="DB52" s="5"/>
      <c r="DC52" s="5"/>
      <c r="DD52" s="11"/>
      <c r="DE52" s="11"/>
      <c r="DF52" s="11"/>
      <c r="DG52" s="11"/>
      <c r="DH52" s="5">
        <f t="shared" si="1"/>
        <v>0</v>
      </c>
      <c r="DI52" s="5">
        <f t="shared" si="2"/>
        <v>0</v>
      </c>
      <c r="DJ52" s="5"/>
      <c r="DK52" s="11"/>
      <c r="DL52" s="11"/>
      <c r="DM52" s="5">
        <f t="shared" si="3"/>
        <v>0</v>
      </c>
    </row>
    <row r="53" spans="1:117" x14ac:dyDescent="0.25">
      <c r="A53">
        <v>43</v>
      </c>
      <c r="B53" s="5" t="s">
        <v>144</v>
      </c>
      <c r="C53" s="5"/>
      <c r="D53" s="5" t="s">
        <v>192</v>
      </c>
      <c r="E53" s="5" t="s">
        <v>111</v>
      </c>
      <c r="F53" s="5"/>
      <c r="G53" s="5"/>
      <c r="H53" s="5"/>
      <c r="I53" s="5"/>
      <c r="J53" s="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5"/>
      <c r="Z53" s="5"/>
      <c r="AA53" s="11"/>
      <c r="AB53" s="11"/>
      <c r="AC53" s="11">
        <v>36</v>
      </c>
      <c r="AD53" s="11">
        <v>5</v>
      </c>
      <c r="AE53" s="11"/>
      <c r="AF53" s="11"/>
      <c r="AG53" s="11">
        <v>44.8</v>
      </c>
      <c r="AH53" s="11"/>
      <c r="AI53" s="11">
        <v>50</v>
      </c>
      <c r="AJ53" s="11"/>
      <c r="AK53" s="11"/>
      <c r="AL53" s="11"/>
      <c r="AM53" s="11">
        <v>36</v>
      </c>
      <c r="AN53" s="11">
        <v>70</v>
      </c>
      <c r="AO53" s="11"/>
      <c r="AP53" s="11"/>
      <c r="AQ53" s="11"/>
      <c r="AR53" s="11"/>
      <c r="AS53" s="11">
        <v>7.5</v>
      </c>
      <c r="AT53" s="5">
        <f>SUM(Z53:AS53)</f>
        <v>249.3</v>
      </c>
      <c r="AU53" s="5">
        <f>(AT53-Z53)/2</f>
        <v>124.65</v>
      </c>
      <c r="AV53" s="5"/>
      <c r="AW53" s="5"/>
      <c r="AX53" s="5"/>
      <c r="AY53" s="5"/>
      <c r="AZ53" s="5"/>
      <c r="BA53" s="5"/>
      <c r="BB53" s="5">
        <v>36</v>
      </c>
      <c r="BC53" s="5"/>
      <c r="BD53" s="5"/>
      <c r="BE53" s="5"/>
      <c r="BF53" s="11"/>
      <c r="BG53" s="11"/>
      <c r="BH53" s="11"/>
      <c r="BI53" s="11">
        <v>3.2</v>
      </c>
      <c r="BJ53" s="11">
        <v>54</v>
      </c>
      <c r="BK53" s="11"/>
      <c r="BL53" s="11"/>
      <c r="BM53" s="11">
        <v>33.6</v>
      </c>
      <c r="BN53" s="11"/>
      <c r="BO53" s="11"/>
      <c r="BP53" s="11"/>
      <c r="BQ53" s="11"/>
      <c r="BR53" s="11"/>
      <c r="BS53" s="11"/>
      <c r="BT53" s="11">
        <v>54</v>
      </c>
      <c r="BU53" s="11">
        <v>72</v>
      </c>
      <c r="BV53" s="5">
        <f t="shared" ref="BV53:BV64" si="6">SUM(AU53:BU53)</f>
        <v>377.45</v>
      </c>
      <c r="BW53" s="5">
        <f t="shared" ref="BW53:BW64" si="7">(BV53-AU53)/2</f>
        <v>126.39999999999999</v>
      </c>
      <c r="BX53" s="11"/>
      <c r="BY53" s="11"/>
      <c r="BZ53" s="11"/>
      <c r="CA53" s="11"/>
      <c r="CB53" s="11"/>
      <c r="CC53" s="11"/>
      <c r="CD53" s="5">
        <f t="shared" si="4"/>
        <v>126.39999999999999</v>
      </c>
      <c r="CE53" s="5">
        <f t="shared" si="5"/>
        <v>0</v>
      </c>
      <c r="CF53" s="11"/>
      <c r="CG53" s="11"/>
      <c r="CH53" s="11"/>
      <c r="CI53" s="11"/>
      <c r="CJ53" s="11"/>
      <c r="CK53" s="11"/>
      <c r="CL53" s="5">
        <f t="shared" si="0"/>
        <v>0</v>
      </c>
      <c r="CN53">
        <f>AT53/4</f>
        <v>62.325000000000003</v>
      </c>
      <c r="CP53" s="7"/>
      <c r="CQ53" s="7"/>
      <c r="CR53">
        <f>SUM(CN53:CO53)</f>
        <v>62.325000000000003</v>
      </c>
      <c r="CS53">
        <f t="shared" ref="CS53:CS64" si="8">CR53/2</f>
        <v>31.162500000000001</v>
      </c>
      <c r="CT53">
        <f t="shared" ref="CT53:CT64" si="9">BV53/4</f>
        <v>94.362499999999997</v>
      </c>
      <c r="DB53" s="5">
        <f>SUM(CS53:CU53)</f>
        <v>125.52500000000001</v>
      </c>
      <c r="DC53" s="5">
        <f t="shared" ref="DC53:DC64" si="10">(DB53-CS53)/2</f>
        <v>47.181250000000006</v>
      </c>
      <c r="DD53" s="11"/>
      <c r="DE53" s="11"/>
      <c r="DF53" s="11"/>
      <c r="DG53" s="11"/>
      <c r="DH53" s="5">
        <f t="shared" si="1"/>
        <v>47.181250000000006</v>
      </c>
      <c r="DI53" s="5">
        <f t="shared" si="2"/>
        <v>0</v>
      </c>
      <c r="DJ53" s="5"/>
      <c r="DK53" s="11"/>
      <c r="DL53" s="11"/>
      <c r="DM53" s="5">
        <f t="shared" si="3"/>
        <v>0</v>
      </c>
    </row>
    <row r="54" spans="1:117" x14ac:dyDescent="0.25">
      <c r="A54">
        <v>44</v>
      </c>
      <c r="B54" s="5" t="s">
        <v>51</v>
      </c>
      <c r="C54" s="5"/>
      <c r="D54" s="5" t="s">
        <v>60</v>
      </c>
      <c r="E54" s="5" t="s">
        <v>452</v>
      </c>
      <c r="F54" s="5"/>
      <c r="G54" s="5"/>
      <c r="H54" s="5"/>
      <c r="I54" s="5"/>
      <c r="J54" s="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5"/>
      <c r="Z54" s="5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11"/>
      <c r="BG54" s="11"/>
      <c r="BH54" s="11">
        <v>40</v>
      </c>
      <c r="BI54" s="11"/>
      <c r="BJ54" s="11">
        <v>75</v>
      </c>
      <c r="BK54" s="11"/>
      <c r="BL54" s="11">
        <v>48</v>
      </c>
      <c r="BM54" s="11"/>
      <c r="BN54" s="11"/>
      <c r="BO54" s="11"/>
      <c r="BP54" s="11"/>
      <c r="BQ54" s="11"/>
      <c r="BR54" s="11"/>
      <c r="BS54" s="11"/>
      <c r="BT54" s="11"/>
      <c r="BU54" s="11">
        <v>10</v>
      </c>
      <c r="BV54" s="5">
        <f t="shared" si="6"/>
        <v>173</v>
      </c>
      <c r="BW54" s="5">
        <f t="shared" si="7"/>
        <v>86.5</v>
      </c>
      <c r="BX54" s="11"/>
      <c r="BY54" s="11"/>
      <c r="BZ54" s="11"/>
      <c r="CA54" s="11"/>
      <c r="CB54" s="11"/>
      <c r="CC54" s="11"/>
      <c r="CD54" s="5">
        <f t="shared" si="4"/>
        <v>86.5</v>
      </c>
      <c r="CE54" s="5">
        <f t="shared" si="5"/>
        <v>0</v>
      </c>
      <c r="CF54" s="11"/>
      <c r="CG54" s="11"/>
      <c r="CH54" s="11"/>
      <c r="CI54" s="11"/>
      <c r="CJ54" s="11"/>
      <c r="CK54" s="11"/>
      <c r="CL54" s="5">
        <f t="shared" si="0"/>
        <v>0</v>
      </c>
      <c r="CR54">
        <f>SUM(CN54:CQ54)</f>
        <v>0</v>
      </c>
      <c r="CS54">
        <f t="shared" si="8"/>
        <v>0</v>
      </c>
      <c r="CT54">
        <f t="shared" si="9"/>
        <v>43.25</v>
      </c>
      <c r="DB54" s="5">
        <f t="shared" ref="DB54:DB64" si="11">SUM(CS54:DA54)</f>
        <v>43.25</v>
      </c>
      <c r="DC54" s="5">
        <f t="shared" si="10"/>
        <v>21.625</v>
      </c>
      <c r="DD54" s="11"/>
      <c r="DE54" s="11"/>
      <c r="DF54" s="11"/>
      <c r="DG54" s="11"/>
      <c r="DH54" s="5">
        <f t="shared" si="1"/>
        <v>21.625</v>
      </c>
      <c r="DI54" s="5">
        <f t="shared" si="2"/>
        <v>0</v>
      </c>
      <c r="DJ54" s="5"/>
      <c r="DK54" s="11"/>
      <c r="DL54" s="11"/>
      <c r="DM54" s="5">
        <f t="shared" si="3"/>
        <v>0</v>
      </c>
    </row>
    <row r="55" spans="1:117" x14ac:dyDescent="0.25">
      <c r="A55">
        <v>45</v>
      </c>
      <c r="B55" s="5" t="s">
        <v>186</v>
      </c>
      <c r="C55" s="5"/>
      <c r="D55" s="5" t="s">
        <v>63</v>
      </c>
      <c r="E55" s="5" t="s">
        <v>187</v>
      </c>
      <c r="F55" s="5"/>
      <c r="G55" s="5"/>
      <c r="H55" s="5"/>
      <c r="I55" s="5"/>
      <c r="J55" s="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5"/>
      <c r="Z55" s="5"/>
      <c r="AA55" s="11"/>
      <c r="AB55" s="11">
        <v>48</v>
      </c>
      <c r="AC55" s="11"/>
      <c r="AD55" s="11">
        <v>50</v>
      </c>
      <c r="AE55" s="11"/>
      <c r="AF55" s="11">
        <v>4</v>
      </c>
      <c r="AG55" s="11"/>
      <c r="AH55" s="11"/>
      <c r="AI55" s="11">
        <v>5</v>
      </c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5">
        <f>SUM(Z55:AS55)</f>
        <v>107</v>
      </c>
      <c r="AU55" s="5">
        <f>(AT55-Z55)/2</f>
        <v>53.5</v>
      </c>
      <c r="AV55" s="5"/>
      <c r="AW55" s="5">
        <v>2.4</v>
      </c>
      <c r="AX55" s="5"/>
      <c r="AY55" s="5"/>
      <c r="AZ55" s="5"/>
      <c r="BA55" s="5"/>
      <c r="BB55" s="5"/>
      <c r="BC55" s="5"/>
      <c r="BD55" s="5">
        <v>75</v>
      </c>
      <c r="BE55" s="5"/>
      <c r="BF55" s="11"/>
      <c r="BG55" s="11">
        <v>3.2</v>
      </c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>
        <v>36</v>
      </c>
      <c r="BT55" s="11">
        <v>7.5</v>
      </c>
      <c r="BU55" s="11">
        <v>10</v>
      </c>
      <c r="BV55" s="5">
        <f t="shared" si="6"/>
        <v>187.6</v>
      </c>
      <c r="BW55" s="5">
        <f t="shared" si="7"/>
        <v>67.05</v>
      </c>
      <c r="BX55" s="11"/>
      <c r="BY55" s="11"/>
      <c r="BZ55" s="11"/>
      <c r="CA55" s="11"/>
      <c r="CB55" s="11"/>
      <c r="CC55" s="11"/>
      <c r="CD55" s="5">
        <f t="shared" si="4"/>
        <v>67.05</v>
      </c>
      <c r="CE55" s="5">
        <f t="shared" si="5"/>
        <v>0</v>
      </c>
      <c r="CF55" s="11"/>
      <c r="CG55" s="11"/>
      <c r="CH55" s="11"/>
      <c r="CI55" s="11"/>
      <c r="CJ55" s="11"/>
      <c r="CK55" s="11"/>
      <c r="CL55" s="5">
        <f t="shared" si="0"/>
        <v>0</v>
      </c>
      <c r="CN55">
        <f>AT55/4</f>
        <v>26.75</v>
      </c>
      <c r="CO55">
        <v>5</v>
      </c>
      <c r="CP55" s="7"/>
      <c r="CQ55" s="7"/>
      <c r="CR55">
        <f>SUM(CN55:CO55)</f>
        <v>31.75</v>
      </c>
      <c r="CS55">
        <f t="shared" si="8"/>
        <v>15.875</v>
      </c>
      <c r="CT55">
        <f t="shared" si="9"/>
        <v>46.9</v>
      </c>
      <c r="CU55" s="7">
        <v>12</v>
      </c>
      <c r="DB55" s="5">
        <f t="shared" si="11"/>
        <v>74.775000000000006</v>
      </c>
      <c r="DC55" s="5">
        <f t="shared" si="10"/>
        <v>29.450000000000003</v>
      </c>
      <c r="DD55" s="11"/>
      <c r="DE55" s="11"/>
      <c r="DF55" s="11"/>
      <c r="DG55" s="11"/>
      <c r="DH55" s="5">
        <f t="shared" si="1"/>
        <v>29.450000000000003</v>
      </c>
      <c r="DI55" s="5">
        <f t="shared" si="2"/>
        <v>0</v>
      </c>
      <c r="DJ55" s="5"/>
      <c r="DK55" s="11"/>
      <c r="DL55" s="11"/>
      <c r="DM55" s="5">
        <f t="shared" si="3"/>
        <v>0</v>
      </c>
    </row>
    <row r="56" spans="1:117" x14ac:dyDescent="0.25">
      <c r="A56">
        <v>46</v>
      </c>
      <c r="B56" s="5" t="s">
        <v>150</v>
      </c>
      <c r="C56" s="5"/>
      <c r="D56" s="5" t="s">
        <v>60</v>
      </c>
      <c r="E56" s="5" t="s">
        <v>119</v>
      </c>
      <c r="F56" s="5"/>
      <c r="G56" s="5"/>
      <c r="H56" s="5"/>
      <c r="I56" s="5"/>
      <c r="J56" s="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5"/>
      <c r="Z56" s="5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>
        <v>75</v>
      </c>
      <c r="BU56" s="11"/>
      <c r="BV56" s="5">
        <f t="shared" si="6"/>
        <v>75</v>
      </c>
      <c r="BW56" s="5">
        <f t="shared" si="7"/>
        <v>37.5</v>
      </c>
      <c r="BX56" s="11"/>
      <c r="BY56" s="11"/>
      <c r="BZ56" s="11"/>
      <c r="CA56" s="11"/>
      <c r="CB56" s="11"/>
      <c r="CC56" s="11"/>
      <c r="CD56" s="5">
        <f t="shared" si="4"/>
        <v>37.5</v>
      </c>
      <c r="CE56" s="5">
        <f t="shared" si="5"/>
        <v>0</v>
      </c>
      <c r="CF56" s="11"/>
      <c r="CG56" s="11"/>
      <c r="CH56" s="11"/>
      <c r="CI56" s="11"/>
      <c r="CJ56" s="11"/>
      <c r="CK56" s="11"/>
      <c r="CL56" s="5">
        <f t="shared" si="0"/>
        <v>0</v>
      </c>
      <c r="CR56">
        <f t="shared" ref="CR56:CR64" si="12">SUM(CN56:CQ56)</f>
        <v>0</v>
      </c>
      <c r="CS56">
        <f t="shared" si="8"/>
        <v>0</v>
      </c>
      <c r="CT56">
        <f t="shared" si="9"/>
        <v>18.75</v>
      </c>
      <c r="DB56" s="5">
        <f t="shared" si="11"/>
        <v>18.75</v>
      </c>
      <c r="DC56" s="5">
        <f t="shared" si="10"/>
        <v>9.375</v>
      </c>
      <c r="DD56" s="11"/>
      <c r="DE56" s="11"/>
      <c r="DF56" s="11"/>
      <c r="DG56" s="11"/>
      <c r="DH56" s="5">
        <f t="shared" si="1"/>
        <v>9.375</v>
      </c>
      <c r="DI56" s="5">
        <f t="shared" si="2"/>
        <v>0</v>
      </c>
      <c r="DJ56" s="5"/>
      <c r="DK56" s="11"/>
      <c r="DL56" s="11"/>
      <c r="DM56" s="5">
        <f t="shared" si="3"/>
        <v>0</v>
      </c>
    </row>
    <row r="57" spans="1:117" x14ac:dyDescent="0.25">
      <c r="A57">
        <v>47</v>
      </c>
      <c r="B57" s="5" t="s">
        <v>98</v>
      </c>
      <c r="C57" s="5"/>
      <c r="D57" s="5" t="s">
        <v>121</v>
      </c>
      <c r="E57" s="5" t="s">
        <v>39</v>
      </c>
      <c r="F57" s="5"/>
      <c r="G57" s="5"/>
      <c r="H57" s="5"/>
      <c r="I57" s="5"/>
      <c r="J57" s="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5"/>
      <c r="Z57" s="5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5"/>
      <c r="AU57" s="5"/>
      <c r="AV57" s="5"/>
      <c r="AW57" s="5"/>
      <c r="AX57" s="5"/>
      <c r="AY57" s="5"/>
      <c r="AZ57" s="5"/>
      <c r="BA57" s="5">
        <v>36</v>
      </c>
      <c r="BB57" s="5"/>
      <c r="BC57" s="5"/>
      <c r="BD57" s="5"/>
      <c r="BE57" s="5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>
        <v>36</v>
      </c>
      <c r="BR57" s="11"/>
      <c r="BS57" s="11"/>
      <c r="BT57" s="11"/>
      <c r="BU57" s="11"/>
      <c r="BV57" s="5">
        <f t="shared" si="6"/>
        <v>72</v>
      </c>
      <c r="BW57" s="5">
        <f t="shared" si="7"/>
        <v>36</v>
      </c>
      <c r="BX57" s="11"/>
      <c r="BY57" s="11"/>
      <c r="BZ57" s="11"/>
      <c r="CA57" s="11"/>
      <c r="CB57" s="11"/>
      <c r="CC57" s="11"/>
      <c r="CD57" s="5">
        <f t="shared" si="4"/>
        <v>36</v>
      </c>
      <c r="CE57" s="5">
        <f t="shared" si="5"/>
        <v>0</v>
      </c>
      <c r="CF57" s="11"/>
      <c r="CG57" s="11"/>
      <c r="CH57" s="11"/>
      <c r="CI57" s="11"/>
      <c r="CJ57" s="11"/>
      <c r="CK57" s="11"/>
      <c r="CL57" s="5">
        <f t="shared" si="0"/>
        <v>0</v>
      </c>
      <c r="CR57">
        <f t="shared" si="12"/>
        <v>0</v>
      </c>
      <c r="CS57">
        <f t="shared" si="8"/>
        <v>0</v>
      </c>
      <c r="CT57">
        <f t="shared" si="9"/>
        <v>18</v>
      </c>
      <c r="DB57">
        <f t="shared" si="11"/>
        <v>18</v>
      </c>
      <c r="DC57">
        <f t="shared" si="10"/>
        <v>9</v>
      </c>
      <c r="DH57" s="5">
        <f t="shared" si="1"/>
        <v>9</v>
      </c>
      <c r="DI57" s="5">
        <f t="shared" si="2"/>
        <v>0</v>
      </c>
      <c r="DJ57" s="5"/>
      <c r="DK57" s="11"/>
      <c r="DL57" s="11"/>
      <c r="DM57" s="5">
        <f t="shared" si="3"/>
        <v>0</v>
      </c>
    </row>
    <row r="58" spans="1:117" x14ac:dyDescent="0.25">
      <c r="A58">
        <v>48</v>
      </c>
      <c r="B58" s="5" t="s">
        <v>448</v>
      </c>
      <c r="C58" s="5"/>
      <c r="D58" s="5" t="s">
        <v>104</v>
      </c>
      <c r="E58" s="5" t="s">
        <v>333</v>
      </c>
      <c r="F58" s="5"/>
      <c r="G58" s="5"/>
      <c r="H58" s="5"/>
      <c r="I58" s="5"/>
      <c r="J58" s="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5"/>
      <c r="Z58" s="5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11"/>
      <c r="BG58" s="11"/>
      <c r="BH58" s="11"/>
      <c r="BI58" s="11"/>
      <c r="BJ58" s="11"/>
      <c r="BK58" s="11"/>
      <c r="BL58" s="11"/>
      <c r="BM58" s="11"/>
      <c r="BN58" s="11"/>
      <c r="BO58" s="11">
        <v>48</v>
      </c>
      <c r="BP58" s="11"/>
      <c r="BQ58" s="11"/>
      <c r="BR58" s="11"/>
      <c r="BS58" s="11"/>
      <c r="BT58" s="11"/>
      <c r="BU58" s="11"/>
      <c r="BV58" s="5">
        <f t="shared" si="6"/>
        <v>48</v>
      </c>
      <c r="BW58" s="5">
        <f t="shared" si="7"/>
        <v>24</v>
      </c>
      <c r="BX58" s="11"/>
      <c r="BY58" s="11"/>
      <c r="BZ58" s="11"/>
      <c r="CA58" s="11"/>
      <c r="CB58" s="11"/>
      <c r="CC58" s="11"/>
      <c r="CD58" s="5">
        <f t="shared" si="4"/>
        <v>24</v>
      </c>
      <c r="CE58" s="5">
        <f t="shared" si="5"/>
        <v>0</v>
      </c>
      <c r="CF58" s="11"/>
      <c r="CG58" s="11"/>
      <c r="CH58" s="11"/>
      <c r="CI58" s="11"/>
      <c r="CJ58" s="11"/>
      <c r="CK58" s="11"/>
      <c r="CL58" s="5">
        <f t="shared" si="0"/>
        <v>0</v>
      </c>
      <c r="CR58">
        <f t="shared" si="12"/>
        <v>0</v>
      </c>
      <c r="CS58">
        <f t="shared" si="8"/>
        <v>0</v>
      </c>
      <c r="CT58">
        <f t="shared" si="9"/>
        <v>12</v>
      </c>
      <c r="DB58">
        <f t="shared" si="11"/>
        <v>12</v>
      </c>
      <c r="DC58">
        <f t="shared" si="10"/>
        <v>6</v>
      </c>
      <c r="DH58" s="5">
        <f t="shared" si="1"/>
        <v>6</v>
      </c>
      <c r="DI58" s="5">
        <f t="shared" si="2"/>
        <v>0</v>
      </c>
      <c r="DJ58" s="5"/>
      <c r="DK58" s="11"/>
      <c r="DL58" s="11"/>
      <c r="DM58" s="5">
        <f t="shared" si="3"/>
        <v>0</v>
      </c>
    </row>
    <row r="59" spans="1:117" x14ac:dyDescent="0.25">
      <c r="A59">
        <v>49</v>
      </c>
      <c r="B59" s="5" t="s">
        <v>81</v>
      </c>
      <c r="C59" s="5"/>
      <c r="D59" s="5" t="s">
        <v>350</v>
      </c>
      <c r="E59" s="5" t="s">
        <v>351</v>
      </c>
      <c r="F59" s="5"/>
      <c r="G59" s="5"/>
      <c r="H59" s="5"/>
      <c r="I59" s="5"/>
      <c r="J59" s="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5"/>
      <c r="Z59" s="5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5"/>
      <c r="AU59" s="5"/>
      <c r="AV59" s="5"/>
      <c r="AW59" s="5"/>
      <c r="AX59" s="5">
        <v>33.6</v>
      </c>
      <c r="AY59" s="5"/>
      <c r="AZ59" s="5"/>
      <c r="BA59" s="5"/>
      <c r="BB59" s="5"/>
      <c r="BC59" s="5"/>
      <c r="BD59" s="5"/>
      <c r="BE59" s="5"/>
      <c r="BF59" s="11">
        <v>5</v>
      </c>
      <c r="BG59" s="11"/>
      <c r="BH59" s="11">
        <v>4</v>
      </c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5">
        <f t="shared" si="6"/>
        <v>42.6</v>
      </c>
      <c r="BW59" s="5">
        <f t="shared" si="7"/>
        <v>21.3</v>
      </c>
      <c r="BX59" s="11"/>
      <c r="BY59" s="11"/>
      <c r="BZ59" s="11"/>
      <c r="CA59" s="11"/>
      <c r="CB59" s="11"/>
      <c r="CC59" s="11"/>
      <c r="CD59" s="5">
        <f t="shared" si="4"/>
        <v>21.3</v>
      </c>
      <c r="CE59" s="5">
        <f t="shared" si="5"/>
        <v>0</v>
      </c>
      <c r="CF59" s="11"/>
      <c r="CG59" s="11"/>
      <c r="CH59" s="11"/>
      <c r="CI59" s="11"/>
      <c r="CJ59" s="11"/>
      <c r="CK59" s="11"/>
      <c r="CL59" s="5">
        <f t="shared" si="0"/>
        <v>0</v>
      </c>
      <c r="CR59">
        <f t="shared" si="12"/>
        <v>0</v>
      </c>
      <c r="CS59">
        <f t="shared" si="8"/>
        <v>0</v>
      </c>
      <c r="CT59">
        <f t="shared" si="9"/>
        <v>10.65</v>
      </c>
      <c r="DB59">
        <f t="shared" si="11"/>
        <v>10.65</v>
      </c>
      <c r="DC59">
        <f t="shared" si="10"/>
        <v>5.3250000000000002</v>
      </c>
      <c r="DH59" s="5">
        <f t="shared" si="1"/>
        <v>5.3250000000000002</v>
      </c>
      <c r="DI59" s="5">
        <f t="shared" si="2"/>
        <v>0</v>
      </c>
      <c r="DJ59" s="5"/>
      <c r="DK59" s="11"/>
      <c r="DL59" s="11"/>
      <c r="DM59" s="5">
        <f t="shared" si="3"/>
        <v>0</v>
      </c>
    </row>
    <row r="60" spans="1:117" x14ac:dyDescent="0.25">
      <c r="A60">
        <v>50</v>
      </c>
      <c r="B60" s="5" t="s">
        <v>83</v>
      </c>
      <c r="C60" s="5"/>
      <c r="D60" s="5" t="s">
        <v>126</v>
      </c>
      <c r="E60" s="5" t="s">
        <v>76</v>
      </c>
      <c r="F60" s="5"/>
      <c r="G60" s="5"/>
      <c r="H60" s="5"/>
      <c r="I60" s="5"/>
      <c r="J60" s="5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5"/>
      <c r="Z60" s="5"/>
      <c r="AA60" s="11"/>
      <c r="AB60" s="11">
        <v>2.4</v>
      </c>
      <c r="AC60" s="11"/>
      <c r="AD60" s="11">
        <v>5</v>
      </c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5">
        <f>SUM(Z60:AS60)</f>
        <v>7.4</v>
      </c>
      <c r="AU60" s="5">
        <f>(AT60-Z60)/2</f>
        <v>3.7</v>
      </c>
      <c r="AV60" s="5"/>
      <c r="AW60" s="5">
        <v>33.6</v>
      </c>
      <c r="AX60" s="5"/>
      <c r="AY60" s="5"/>
      <c r="AZ60" s="5"/>
      <c r="BA60" s="5"/>
      <c r="BB60" s="5"/>
      <c r="BC60" s="5"/>
      <c r="BD60" s="5"/>
      <c r="BE60" s="5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5">
        <f t="shared" si="6"/>
        <v>37.300000000000004</v>
      </c>
      <c r="BW60" s="5">
        <f t="shared" si="7"/>
        <v>16.8</v>
      </c>
      <c r="BX60" s="11"/>
      <c r="BY60" s="11"/>
      <c r="BZ60" s="11"/>
      <c r="CA60" s="11"/>
      <c r="CB60" s="11"/>
      <c r="CC60" s="11"/>
      <c r="CD60" s="5">
        <f t="shared" si="4"/>
        <v>16.8</v>
      </c>
      <c r="CE60" s="5">
        <f t="shared" si="5"/>
        <v>0</v>
      </c>
      <c r="CF60" s="11"/>
      <c r="CG60" s="11"/>
      <c r="CH60" s="11"/>
      <c r="CI60" s="11"/>
      <c r="CJ60" s="11"/>
      <c r="CK60" s="11"/>
      <c r="CL60" s="5">
        <f t="shared" si="0"/>
        <v>0</v>
      </c>
      <c r="CN60">
        <f>AT60/4</f>
        <v>1.85</v>
      </c>
      <c r="CP60" s="7"/>
      <c r="CQ60" s="7"/>
      <c r="CR60">
        <f t="shared" si="12"/>
        <v>1.85</v>
      </c>
      <c r="CS60">
        <f t="shared" si="8"/>
        <v>0.92500000000000004</v>
      </c>
      <c r="CT60">
        <f t="shared" si="9"/>
        <v>9.3250000000000011</v>
      </c>
      <c r="CU60" s="7">
        <v>1.5</v>
      </c>
      <c r="DB60">
        <f t="shared" si="11"/>
        <v>11.750000000000002</v>
      </c>
      <c r="DC60">
        <f t="shared" si="10"/>
        <v>5.4125000000000005</v>
      </c>
      <c r="DH60" s="5">
        <f t="shared" si="1"/>
        <v>5.4125000000000005</v>
      </c>
      <c r="DI60" s="5">
        <f t="shared" si="2"/>
        <v>0</v>
      </c>
      <c r="DJ60" s="5"/>
      <c r="DK60" s="11"/>
      <c r="DL60" s="11"/>
      <c r="DM60" s="5">
        <f t="shared" si="3"/>
        <v>0</v>
      </c>
    </row>
    <row r="61" spans="1:117" x14ac:dyDescent="0.25">
      <c r="A61">
        <v>51</v>
      </c>
      <c r="B61" s="5" t="s">
        <v>330</v>
      </c>
      <c r="C61" s="5"/>
      <c r="D61" s="5" t="s">
        <v>12</v>
      </c>
      <c r="E61" s="5" t="s">
        <v>194</v>
      </c>
      <c r="F61" s="5"/>
      <c r="G61" s="5"/>
      <c r="H61" s="5"/>
      <c r="I61" s="5"/>
      <c r="J61" s="5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5"/>
      <c r="Z61" s="5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11"/>
      <c r="BG61" s="11"/>
      <c r="BH61" s="11"/>
      <c r="BI61" s="11"/>
      <c r="BJ61" s="11">
        <v>7.5</v>
      </c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5">
        <f t="shared" si="6"/>
        <v>7.5</v>
      </c>
      <c r="BW61" s="5">
        <f t="shared" si="7"/>
        <v>3.75</v>
      </c>
      <c r="BX61" s="11"/>
      <c r="BY61" s="11"/>
      <c r="BZ61" s="11"/>
      <c r="CA61" s="11"/>
      <c r="CB61" s="11"/>
      <c r="CC61" s="11"/>
      <c r="CD61" s="5">
        <f t="shared" si="4"/>
        <v>3.75</v>
      </c>
      <c r="CE61" s="5">
        <f t="shared" si="5"/>
        <v>0</v>
      </c>
      <c r="CF61" s="11"/>
      <c r="CG61" s="11"/>
      <c r="CH61" s="11"/>
      <c r="CI61" s="11"/>
      <c r="CJ61" s="11"/>
      <c r="CK61" s="11"/>
      <c r="CL61" s="5">
        <f t="shared" si="0"/>
        <v>0</v>
      </c>
      <c r="CR61">
        <f t="shared" si="12"/>
        <v>0</v>
      </c>
      <c r="CS61">
        <f t="shared" si="8"/>
        <v>0</v>
      </c>
      <c r="CT61">
        <f t="shared" si="9"/>
        <v>1.875</v>
      </c>
      <c r="DB61">
        <f t="shared" si="11"/>
        <v>1.875</v>
      </c>
      <c r="DC61">
        <f t="shared" si="10"/>
        <v>0.9375</v>
      </c>
      <c r="DH61" s="5">
        <f t="shared" si="1"/>
        <v>0.9375</v>
      </c>
      <c r="DI61" s="5">
        <f t="shared" si="2"/>
        <v>0</v>
      </c>
      <c r="DJ61" s="5"/>
      <c r="DK61" s="11"/>
      <c r="DL61" s="11"/>
      <c r="DM61" s="5">
        <f t="shared" si="3"/>
        <v>0</v>
      </c>
    </row>
    <row r="62" spans="1:117" x14ac:dyDescent="0.25">
      <c r="A62">
        <v>52</v>
      </c>
      <c r="B62" s="5" t="s">
        <v>41</v>
      </c>
      <c r="C62" s="5"/>
      <c r="D62" s="5" t="s">
        <v>352</v>
      </c>
      <c r="E62" s="5" t="s">
        <v>353</v>
      </c>
      <c r="F62" s="5"/>
      <c r="G62" s="5"/>
      <c r="H62" s="5"/>
      <c r="I62" s="5"/>
      <c r="J62" s="5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5"/>
      <c r="Z62" s="5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5"/>
      <c r="AU62" s="5"/>
      <c r="AV62" s="5"/>
      <c r="AW62" s="5"/>
      <c r="AX62" s="5">
        <v>2.4</v>
      </c>
      <c r="AY62" s="5"/>
      <c r="AZ62" s="5"/>
      <c r="BA62" s="5"/>
      <c r="BB62" s="5"/>
      <c r="BC62" s="5"/>
      <c r="BD62" s="5"/>
      <c r="BE62" s="5"/>
      <c r="BF62" s="11">
        <v>5</v>
      </c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5">
        <f t="shared" si="6"/>
        <v>7.4</v>
      </c>
      <c r="BW62" s="5">
        <f t="shared" si="7"/>
        <v>3.7</v>
      </c>
      <c r="BX62" s="11"/>
      <c r="BY62" s="11"/>
      <c r="BZ62" s="11"/>
      <c r="CA62" s="11"/>
      <c r="CB62" s="11"/>
      <c r="CC62" s="11"/>
      <c r="CD62" s="5">
        <f t="shared" si="4"/>
        <v>3.7</v>
      </c>
      <c r="CE62" s="5">
        <f t="shared" si="5"/>
        <v>0</v>
      </c>
      <c r="CF62" s="11"/>
      <c r="CG62" s="11"/>
      <c r="CH62" s="11"/>
      <c r="CI62" s="11"/>
      <c r="CJ62" s="11"/>
      <c r="CK62" s="11"/>
      <c r="CL62" s="5">
        <f t="shared" si="0"/>
        <v>0</v>
      </c>
      <c r="CR62">
        <f t="shared" si="12"/>
        <v>0</v>
      </c>
      <c r="CS62">
        <f t="shared" si="8"/>
        <v>0</v>
      </c>
      <c r="CT62">
        <f t="shared" si="9"/>
        <v>1.85</v>
      </c>
      <c r="DB62">
        <f t="shared" si="11"/>
        <v>1.85</v>
      </c>
      <c r="DC62">
        <f t="shared" si="10"/>
        <v>0.92500000000000004</v>
      </c>
      <c r="DD62" s="7">
        <v>10.5</v>
      </c>
      <c r="DH62" s="5">
        <f t="shared" si="1"/>
        <v>11.425000000000001</v>
      </c>
      <c r="DI62" s="5">
        <f t="shared" si="2"/>
        <v>5.25</v>
      </c>
      <c r="DJ62" s="5"/>
      <c r="DK62" s="11"/>
      <c r="DL62" s="11"/>
      <c r="DM62" s="5">
        <f t="shared" si="3"/>
        <v>5.25</v>
      </c>
    </row>
    <row r="63" spans="1:117" x14ac:dyDescent="0.25">
      <c r="A63">
        <v>53</v>
      </c>
      <c r="B63" s="29" t="s">
        <v>449</v>
      </c>
      <c r="C63" s="29"/>
      <c r="D63" s="29" t="s">
        <v>450</v>
      </c>
      <c r="E63" s="29" t="s">
        <v>447</v>
      </c>
      <c r="BO63" s="7">
        <v>2.4</v>
      </c>
      <c r="BV63">
        <f t="shared" si="6"/>
        <v>2.4</v>
      </c>
      <c r="BW63">
        <f t="shared" si="7"/>
        <v>1.2</v>
      </c>
      <c r="CD63" s="29">
        <f t="shared" si="4"/>
        <v>1.2</v>
      </c>
      <c r="CE63" s="29">
        <f t="shared" si="5"/>
        <v>0</v>
      </c>
      <c r="CF63" s="28"/>
      <c r="CG63" s="28"/>
      <c r="CH63" s="28"/>
      <c r="CI63" s="28"/>
      <c r="CJ63" s="28"/>
      <c r="CK63" s="28"/>
      <c r="CL63" s="5">
        <f t="shared" si="0"/>
        <v>0</v>
      </c>
      <c r="CR63">
        <f t="shared" si="12"/>
        <v>0</v>
      </c>
      <c r="CS63">
        <f t="shared" si="8"/>
        <v>0</v>
      </c>
      <c r="CT63">
        <f t="shared" si="9"/>
        <v>0.6</v>
      </c>
      <c r="DB63">
        <f t="shared" si="11"/>
        <v>0.6</v>
      </c>
      <c r="DC63">
        <f t="shared" si="10"/>
        <v>0.3</v>
      </c>
      <c r="DH63" s="5">
        <f t="shared" si="1"/>
        <v>0.3</v>
      </c>
      <c r="DI63" s="5">
        <f t="shared" si="2"/>
        <v>0</v>
      </c>
      <c r="DJ63" s="5"/>
      <c r="DK63" s="11"/>
      <c r="DL63" s="11"/>
      <c r="DM63" s="5">
        <f t="shared" si="3"/>
        <v>0</v>
      </c>
    </row>
    <row r="64" spans="1:117" x14ac:dyDescent="0.25">
      <c r="A64">
        <v>54</v>
      </c>
      <c r="B64" s="5" t="s">
        <v>453</v>
      </c>
      <c r="C64" s="5"/>
      <c r="D64" s="5" t="s">
        <v>205</v>
      </c>
      <c r="E64" s="5" t="s">
        <v>46</v>
      </c>
      <c r="F64" s="5"/>
      <c r="G64" s="5"/>
      <c r="H64" s="5"/>
      <c r="I64" s="5"/>
      <c r="J64" s="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5"/>
      <c r="Z64" s="5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11"/>
      <c r="BG64" s="11"/>
      <c r="BH64" s="11"/>
      <c r="BI64" s="11"/>
      <c r="BJ64" s="11"/>
      <c r="BK64" s="11"/>
      <c r="BL64" s="11">
        <v>2.4</v>
      </c>
      <c r="BM64" s="11"/>
      <c r="BN64" s="11"/>
      <c r="BO64" s="11"/>
      <c r="BP64" s="11"/>
      <c r="BQ64" s="11"/>
      <c r="BR64" s="11"/>
      <c r="BS64" s="11"/>
      <c r="BT64" s="11"/>
      <c r="BU64" s="11"/>
      <c r="BV64" s="5">
        <f t="shared" si="6"/>
        <v>2.4</v>
      </c>
      <c r="BW64" s="5">
        <f t="shared" si="7"/>
        <v>1.2</v>
      </c>
      <c r="BX64" s="11"/>
      <c r="BY64" s="11"/>
      <c r="BZ64" s="11"/>
      <c r="CA64" s="11"/>
      <c r="CB64" s="11"/>
      <c r="CC64" s="11"/>
      <c r="CD64" s="5">
        <f t="shared" si="4"/>
        <v>1.2</v>
      </c>
      <c r="CE64" s="5">
        <f t="shared" si="5"/>
        <v>0</v>
      </c>
      <c r="CF64" s="11"/>
      <c r="CG64" s="11"/>
      <c r="CH64" s="11"/>
      <c r="CI64" s="11"/>
      <c r="CJ64" s="11"/>
      <c r="CK64" s="11"/>
      <c r="CL64" s="5">
        <f t="shared" si="0"/>
        <v>0</v>
      </c>
      <c r="CR64">
        <f t="shared" si="12"/>
        <v>0</v>
      </c>
      <c r="CS64">
        <f t="shared" si="8"/>
        <v>0</v>
      </c>
      <c r="CT64">
        <f t="shared" si="9"/>
        <v>0.6</v>
      </c>
      <c r="DB64">
        <f t="shared" si="11"/>
        <v>0.6</v>
      </c>
      <c r="DC64">
        <f t="shared" si="10"/>
        <v>0.3</v>
      </c>
      <c r="DH64" s="5">
        <f t="shared" si="1"/>
        <v>0.3</v>
      </c>
      <c r="DI64" s="5">
        <f t="shared" si="2"/>
        <v>0</v>
      </c>
      <c r="DJ64" s="5"/>
      <c r="DK64" s="11"/>
      <c r="DL64" s="11"/>
      <c r="DM64" s="5">
        <f t="shared" si="3"/>
        <v>0</v>
      </c>
    </row>
    <row r="65" spans="1:117" x14ac:dyDescent="0.25">
      <c r="A65">
        <v>55</v>
      </c>
      <c r="B65" s="5" t="s">
        <v>502</v>
      </c>
      <c r="C65" s="5"/>
      <c r="D65" s="5" t="s">
        <v>503</v>
      </c>
      <c r="E65" s="5" t="s">
        <v>488</v>
      </c>
      <c r="F65" s="5"/>
      <c r="G65" s="5"/>
      <c r="H65" s="5"/>
      <c r="I65" s="5"/>
      <c r="J65" s="5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5"/>
      <c r="Z65" s="5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5"/>
      <c r="BW65" s="5"/>
      <c r="BX65" s="11"/>
      <c r="BY65" s="11"/>
      <c r="BZ65" s="11"/>
      <c r="CA65" s="11"/>
      <c r="CB65" s="11"/>
      <c r="CC65" s="11"/>
      <c r="CD65" s="5">
        <f t="shared" si="4"/>
        <v>0</v>
      </c>
      <c r="CE65" s="5">
        <f t="shared" si="5"/>
        <v>0</v>
      </c>
      <c r="CF65" s="11"/>
      <c r="CG65" s="11"/>
      <c r="CH65" s="11"/>
      <c r="CI65" s="11"/>
      <c r="CJ65" s="11"/>
      <c r="CK65" s="11"/>
      <c r="CL65" s="5">
        <f t="shared" si="0"/>
        <v>0</v>
      </c>
      <c r="DD65" s="7">
        <v>1.75</v>
      </c>
      <c r="DH65" s="5">
        <f t="shared" si="1"/>
        <v>1.75</v>
      </c>
      <c r="DI65" s="5">
        <f t="shared" si="2"/>
        <v>0.875</v>
      </c>
      <c r="DJ65" s="5"/>
      <c r="DK65" s="11"/>
      <c r="DL65" s="11"/>
      <c r="DM65" s="5">
        <f t="shared" si="3"/>
        <v>0.875</v>
      </c>
    </row>
    <row r="66" spans="1:117" x14ac:dyDescent="0.25">
      <c r="A66">
        <v>56</v>
      </c>
      <c r="B66" s="5" t="s">
        <v>401</v>
      </c>
      <c r="C66" s="5"/>
      <c r="D66" s="5" t="s">
        <v>195</v>
      </c>
      <c r="E66" s="5" t="s">
        <v>379</v>
      </c>
      <c r="F66" s="5"/>
      <c r="G66" s="5"/>
      <c r="H66" s="5"/>
      <c r="I66" s="5"/>
      <c r="J66" s="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5"/>
      <c r="Z66" s="5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5"/>
      <c r="BW66" s="5"/>
      <c r="BX66" s="11"/>
      <c r="BY66" s="11"/>
      <c r="BZ66" s="11"/>
      <c r="CA66" s="11"/>
      <c r="CB66" s="11"/>
      <c r="CC66" s="11"/>
      <c r="CD66" s="5">
        <f t="shared" si="4"/>
        <v>0</v>
      </c>
      <c r="CE66" s="5">
        <f t="shared" si="5"/>
        <v>0</v>
      </c>
      <c r="CF66" s="11"/>
      <c r="CG66" s="11"/>
      <c r="CH66" s="11"/>
      <c r="CI66" s="11"/>
      <c r="CJ66" s="11"/>
      <c r="CK66" s="11"/>
      <c r="CL66" s="5">
        <f t="shared" si="0"/>
        <v>0</v>
      </c>
      <c r="DG66" s="7">
        <v>25</v>
      </c>
      <c r="DH66" s="5">
        <f t="shared" si="1"/>
        <v>25</v>
      </c>
      <c r="DI66" s="5">
        <f t="shared" si="2"/>
        <v>12.5</v>
      </c>
      <c r="DJ66" s="5"/>
      <c r="DK66" s="11"/>
      <c r="DL66" s="11"/>
      <c r="DM66" s="5">
        <f t="shared" si="3"/>
        <v>12.5</v>
      </c>
    </row>
  </sheetData>
  <sortState xmlns:xlrd2="http://schemas.microsoft.com/office/spreadsheetml/2017/richdata2" ref="B11:DM46">
    <sortCondition descending="1" ref="CL11:CL46"/>
  </sortState>
  <mergeCells count="6">
    <mergeCell ref="B1:DM1"/>
    <mergeCell ref="B8:C10"/>
    <mergeCell ref="BZ9:CC9"/>
    <mergeCell ref="CH9:CK9"/>
    <mergeCell ref="D4:CL5"/>
    <mergeCell ref="CN4:DM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V31"/>
  <sheetViews>
    <sheetView zoomScale="80" zoomScaleNormal="80" workbookViewId="0">
      <selection activeCell="BZ39" sqref="BZ39"/>
    </sheetView>
  </sheetViews>
  <sheetFormatPr baseColWidth="10" defaultRowHeight="15" x14ac:dyDescent="0.25"/>
  <cols>
    <col min="1" max="1" width="3.140625" bestFit="1" customWidth="1"/>
    <col min="2" max="2" width="14.7109375" bestFit="1" customWidth="1"/>
    <col min="3" max="3" width="11.7109375" bestFit="1" customWidth="1"/>
    <col min="4" max="4" width="13" bestFit="1" customWidth="1"/>
    <col min="5" max="5" width="18.7109375" bestFit="1" customWidth="1"/>
    <col min="6" max="6" width="6.7109375" hidden="1" customWidth="1"/>
    <col min="7" max="10" width="6.42578125" hidden="1" customWidth="1"/>
    <col min="11" max="11" width="7.28515625" hidden="1" customWidth="1"/>
    <col min="12" max="12" width="7.28515625" style="7" hidden="1" customWidth="1"/>
    <col min="13" max="14" width="6.28515625" style="7" hidden="1" customWidth="1"/>
    <col min="15" max="16" width="6" style="7" hidden="1" customWidth="1"/>
    <col min="17" max="25" width="6.7109375" style="7" hidden="1" customWidth="1"/>
    <col min="26" max="27" width="0" hidden="1" customWidth="1"/>
    <col min="28" max="41" width="6" style="7" hidden="1" customWidth="1"/>
    <col min="42" max="42" width="6.42578125" hidden="1" customWidth="1"/>
    <col min="43" max="45" width="6.85546875" hidden="1" customWidth="1"/>
    <col min="46" max="46" width="10.5703125" hidden="1" customWidth="1"/>
    <col min="47" max="55" width="6" hidden="1" customWidth="1"/>
    <col min="56" max="56" width="10.85546875" hidden="1" customWidth="1"/>
    <col min="57" max="57" width="6.140625" hidden="1" customWidth="1"/>
    <col min="58" max="60" width="6" hidden="1" customWidth="1"/>
    <col min="61" max="61" width="6.42578125" hidden="1" customWidth="1"/>
    <col min="62" max="62" width="7.85546875" hidden="1" customWidth="1"/>
    <col min="63" max="68" width="6.42578125" style="7" hidden="1" customWidth="1"/>
    <col min="69" max="69" width="6.42578125" customWidth="1"/>
    <col min="70" max="70" width="7.85546875" bestFit="1" customWidth="1"/>
    <col min="71" max="76" width="6.42578125" style="7" customWidth="1"/>
    <col min="77" max="77" width="6.42578125" customWidth="1"/>
    <col min="79" max="79" width="0" hidden="1" customWidth="1"/>
    <col min="80" max="80" width="6.7109375" hidden="1" customWidth="1"/>
    <col min="81" max="81" width="7.140625" hidden="1" customWidth="1"/>
    <col min="82" max="82" width="7.5703125" hidden="1" customWidth="1"/>
    <col min="83" max="83" width="7.5703125" style="7" hidden="1" customWidth="1"/>
    <col min="84" max="86" width="0" hidden="1" customWidth="1"/>
    <col min="87" max="88" width="6.7109375" style="7" hidden="1" customWidth="1"/>
    <col min="89" max="90" width="0" hidden="1" customWidth="1"/>
    <col min="91" max="91" width="5.5703125" style="7" hidden="1" customWidth="1"/>
    <col min="92" max="94" width="6" style="7" hidden="1" customWidth="1"/>
    <col min="97" max="97" width="6" style="7" bestFit="1" customWidth="1"/>
    <col min="98" max="99" width="6" style="7" customWidth="1"/>
  </cols>
  <sheetData>
    <row r="1" spans="1:100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</row>
    <row r="2" spans="1:100" ht="15.75" thickBot="1" x14ac:dyDescent="0.3">
      <c r="C2" s="7"/>
      <c r="D2" s="7"/>
      <c r="E2" s="7"/>
      <c r="F2" s="7"/>
      <c r="G2" s="7"/>
    </row>
    <row r="3" spans="1:100" ht="15.75" thickTop="1" x14ac:dyDescent="0.25">
      <c r="B3" s="1" t="s">
        <v>0</v>
      </c>
      <c r="C3" s="4" t="s">
        <v>29</v>
      </c>
    </row>
    <row r="4" spans="1:100" ht="14.65" customHeight="1" x14ac:dyDescent="0.25">
      <c r="B4" s="2" t="s">
        <v>1</v>
      </c>
      <c r="C4" s="10" t="s">
        <v>30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CA4" s="56" t="s">
        <v>641</v>
      </c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</row>
    <row r="5" spans="1:100" ht="15" customHeight="1" thickBot="1" x14ac:dyDescent="0.3">
      <c r="B5" s="3" t="s">
        <v>2</v>
      </c>
      <c r="C5" s="34">
        <v>-90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</row>
    <row r="6" spans="1:100" ht="15.75" thickTop="1" x14ac:dyDescent="0.25"/>
    <row r="7" spans="1:100" ht="15.75" thickBot="1" x14ac:dyDescent="0.3"/>
    <row r="8" spans="1:100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27</v>
      </c>
      <c r="H8" s="4" t="s">
        <v>31</v>
      </c>
      <c r="I8" s="4" t="s">
        <v>27</v>
      </c>
      <c r="J8" s="4" t="s">
        <v>72</v>
      </c>
      <c r="K8" s="4" t="s">
        <v>99</v>
      </c>
      <c r="L8" s="4" t="s">
        <v>134</v>
      </c>
      <c r="M8" s="4" t="s">
        <v>132</v>
      </c>
      <c r="N8" s="4" t="s">
        <v>141</v>
      </c>
      <c r="O8" s="4" t="s">
        <v>146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  <c r="U8" s="4" t="s">
        <v>27</v>
      </c>
      <c r="V8" s="4" t="s">
        <v>168</v>
      </c>
      <c r="W8" s="4" t="s">
        <v>27</v>
      </c>
      <c r="X8" s="4" t="s">
        <v>27</v>
      </c>
      <c r="Y8" s="4" t="s">
        <v>173</v>
      </c>
      <c r="Z8" s="1"/>
      <c r="AA8" s="12">
        <v>44927</v>
      </c>
      <c r="AB8" s="4" t="s">
        <v>27</v>
      </c>
      <c r="AC8" s="17" t="s">
        <v>173</v>
      </c>
      <c r="AD8" s="17" t="s">
        <v>27</v>
      </c>
      <c r="AE8" s="17" t="s">
        <v>217</v>
      </c>
      <c r="AF8" s="17" t="s">
        <v>217</v>
      </c>
      <c r="AG8" s="17" t="s">
        <v>217</v>
      </c>
      <c r="AH8" s="17" t="s">
        <v>173</v>
      </c>
      <c r="AI8" s="17" t="s">
        <v>27</v>
      </c>
      <c r="AJ8" s="17" t="s">
        <v>173</v>
      </c>
      <c r="AK8" s="17" t="s">
        <v>27</v>
      </c>
      <c r="AL8" s="16" t="s">
        <v>27</v>
      </c>
      <c r="AM8" s="16" t="s">
        <v>27</v>
      </c>
      <c r="AN8" s="16" t="s">
        <v>27</v>
      </c>
      <c r="AO8" s="17" t="s">
        <v>174</v>
      </c>
      <c r="AP8" s="4" t="s">
        <v>6</v>
      </c>
      <c r="AQ8" s="16">
        <v>45292</v>
      </c>
      <c r="AR8" s="16" t="s">
        <v>27</v>
      </c>
      <c r="AS8" s="16" t="s">
        <v>27</v>
      </c>
      <c r="AT8" s="16" t="s">
        <v>27</v>
      </c>
      <c r="AU8" s="16" t="s">
        <v>27</v>
      </c>
      <c r="AV8" s="16" t="s">
        <v>173</v>
      </c>
      <c r="AW8" s="16" t="s">
        <v>27</v>
      </c>
      <c r="AX8" s="16" t="s">
        <v>173</v>
      </c>
      <c r="AY8" s="16" t="s">
        <v>217</v>
      </c>
      <c r="AZ8" s="16" t="s">
        <v>217</v>
      </c>
      <c r="BA8" s="16" t="s">
        <v>217</v>
      </c>
      <c r="BB8" s="16" t="s">
        <v>173</v>
      </c>
      <c r="BC8" s="16" t="s">
        <v>27</v>
      </c>
      <c r="BD8" s="16" t="s">
        <v>27</v>
      </c>
      <c r="BE8" s="16" t="s">
        <v>27</v>
      </c>
      <c r="BF8" s="16" t="s">
        <v>27</v>
      </c>
      <c r="BG8" s="16" t="s">
        <v>173</v>
      </c>
      <c r="BH8" s="16" t="s">
        <v>174</v>
      </c>
      <c r="BI8" s="16" t="s">
        <v>6</v>
      </c>
      <c r="BJ8" s="16">
        <v>45658</v>
      </c>
      <c r="BK8" s="16"/>
      <c r="BL8" s="16"/>
      <c r="BM8" s="38"/>
      <c r="BN8" s="39"/>
      <c r="BO8" s="39"/>
      <c r="BP8" s="40"/>
      <c r="BQ8" s="16" t="s">
        <v>6</v>
      </c>
      <c r="BR8" s="16">
        <v>46023</v>
      </c>
      <c r="BS8" s="16"/>
      <c r="BT8" s="16"/>
      <c r="BU8" s="38"/>
      <c r="BV8" s="39"/>
      <c r="BW8" s="39"/>
      <c r="BX8" s="40"/>
      <c r="BY8" s="16" t="s">
        <v>178</v>
      </c>
      <c r="CA8" s="1" t="s">
        <v>175</v>
      </c>
      <c r="CB8" s="1" t="s">
        <v>214</v>
      </c>
      <c r="CC8" s="1" t="s">
        <v>171</v>
      </c>
      <c r="CD8" s="17" t="s">
        <v>262</v>
      </c>
      <c r="CE8" s="4" t="s">
        <v>283</v>
      </c>
      <c r="CF8" s="1" t="s">
        <v>6</v>
      </c>
      <c r="CG8" s="16">
        <v>45292</v>
      </c>
      <c r="CH8" s="4" t="s">
        <v>175</v>
      </c>
      <c r="CI8" s="4" t="s">
        <v>296</v>
      </c>
      <c r="CJ8" s="4" t="s">
        <v>283</v>
      </c>
      <c r="CK8" s="4" t="s">
        <v>6</v>
      </c>
      <c r="CL8" s="16">
        <v>45658</v>
      </c>
      <c r="CM8" s="4" t="s">
        <v>296</v>
      </c>
      <c r="CN8" s="4" t="s">
        <v>171</v>
      </c>
      <c r="CO8" s="4" t="s">
        <v>164</v>
      </c>
      <c r="CP8" s="4" t="s">
        <v>283</v>
      </c>
      <c r="CQ8" s="4" t="s">
        <v>178</v>
      </c>
      <c r="CR8" s="16">
        <v>46023</v>
      </c>
      <c r="CS8" s="4" t="s">
        <v>31</v>
      </c>
      <c r="CT8" s="4" t="s">
        <v>721</v>
      </c>
      <c r="CU8" s="4" t="s">
        <v>171</v>
      </c>
      <c r="CV8" s="1" t="s">
        <v>6</v>
      </c>
    </row>
    <row r="9" spans="1:100" x14ac:dyDescent="0.25">
      <c r="B9" s="50"/>
      <c r="C9" s="51"/>
      <c r="D9" s="2"/>
      <c r="E9" s="2"/>
      <c r="F9" s="10" t="s">
        <v>73</v>
      </c>
      <c r="G9" s="10" t="s">
        <v>56</v>
      </c>
      <c r="H9" s="8" t="s">
        <v>32</v>
      </c>
      <c r="I9" s="10" t="s">
        <v>66</v>
      </c>
      <c r="J9" s="10" t="s">
        <v>73</v>
      </c>
      <c r="K9" s="10" t="s">
        <v>100</v>
      </c>
      <c r="L9" s="10" t="s">
        <v>135</v>
      </c>
      <c r="M9" s="10" t="s">
        <v>133</v>
      </c>
      <c r="N9" s="10" t="s">
        <v>140</v>
      </c>
      <c r="O9" s="10" t="s">
        <v>73</v>
      </c>
      <c r="P9" s="8" t="s">
        <v>149</v>
      </c>
      <c r="Q9" s="10" t="s">
        <v>56</v>
      </c>
      <c r="R9" s="10" t="s">
        <v>159</v>
      </c>
      <c r="S9" s="10" t="s">
        <v>61</v>
      </c>
      <c r="T9" s="10" t="s">
        <v>28</v>
      </c>
      <c r="U9" s="10" t="s">
        <v>162</v>
      </c>
      <c r="V9" s="10" t="s">
        <v>169</v>
      </c>
      <c r="W9" s="10" t="s">
        <v>162</v>
      </c>
      <c r="X9" s="10" t="s">
        <v>66</v>
      </c>
      <c r="Y9" s="10" t="s">
        <v>174</v>
      </c>
      <c r="Z9" s="2" t="s">
        <v>6</v>
      </c>
      <c r="AA9" s="2"/>
      <c r="AB9" s="10" t="s">
        <v>28</v>
      </c>
      <c r="AC9" s="18" t="s">
        <v>134</v>
      </c>
      <c r="AD9" s="18" t="s">
        <v>66</v>
      </c>
      <c r="AE9" s="18" t="s">
        <v>132</v>
      </c>
      <c r="AF9" s="18" t="s">
        <v>141</v>
      </c>
      <c r="AG9" s="18" t="s">
        <v>134</v>
      </c>
      <c r="AH9" s="18" t="s">
        <v>132</v>
      </c>
      <c r="AI9" s="18" t="s">
        <v>162</v>
      </c>
      <c r="AJ9" s="18" t="s">
        <v>141</v>
      </c>
      <c r="AK9" s="18" t="s">
        <v>128</v>
      </c>
      <c r="AL9" s="10" t="s">
        <v>66</v>
      </c>
      <c r="AM9" s="10" t="s">
        <v>28</v>
      </c>
      <c r="AN9" s="10" t="s">
        <v>159</v>
      </c>
      <c r="AO9" s="18"/>
      <c r="AP9" s="2"/>
      <c r="AQ9" s="10"/>
      <c r="AR9" s="10" t="s">
        <v>28</v>
      </c>
      <c r="AS9" s="10" t="s">
        <v>346</v>
      </c>
      <c r="AT9" s="10" t="s">
        <v>328</v>
      </c>
      <c r="AU9" s="10" t="s">
        <v>159</v>
      </c>
      <c r="AV9" s="10" t="s">
        <v>132</v>
      </c>
      <c r="AW9" s="10" t="s">
        <v>278</v>
      </c>
      <c r="AX9" s="10" t="s">
        <v>396</v>
      </c>
      <c r="AY9" s="10" t="s">
        <v>132</v>
      </c>
      <c r="AZ9" s="10" t="s">
        <v>134</v>
      </c>
      <c r="BA9" s="10" t="s">
        <v>141</v>
      </c>
      <c r="BB9" s="10" t="s">
        <v>134</v>
      </c>
      <c r="BC9" s="10" t="s">
        <v>346</v>
      </c>
      <c r="BD9" s="10" t="s">
        <v>328</v>
      </c>
      <c r="BE9" s="10" t="s">
        <v>159</v>
      </c>
      <c r="BF9" s="10" t="s">
        <v>458</v>
      </c>
      <c r="BG9" s="10" t="s">
        <v>141</v>
      </c>
      <c r="BH9" s="10" t="s">
        <v>475</v>
      </c>
      <c r="BI9" s="10"/>
      <c r="BJ9" s="10"/>
      <c r="BK9" s="8" t="s">
        <v>27</v>
      </c>
      <c r="BL9" s="8" t="s">
        <v>217</v>
      </c>
      <c r="BM9" s="52" t="s">
        <v>477</v>
      </c>
      <c r="BN9" s="53"/>
      <c r="BO9" s="53"/>
      <c r="BP9" s="54"/>
      <c r="BQ9" s="10"/>
      <c r="BR9" s="10"/>
      <c r="BS9" s="8" t="s">
        <v>27</v>
      </c>
      <c r="BT9" s="8" t="s">
        <v>217</v>
      </c>
      <c r="BU9" s="52" t="s">
        <v>477</v>
      </c>
      <c r="BV9" s="53"/>
      <c r="BW9" s="53"/>
      <c r="BX9" s="54"/>
      <c r="BY9" s="8"/>
      <c r="CA9" s="2" t="s">
        <v>176</v>
      </c>
      <c r="CB9" s="2"/>
      <c r="CC9" s="2" t="s">
        <v>255</v>
      </c>
      <c r="CD9" s="18" t="s">
        <v>263</v>
      </c>
      <c r="CE9" s="10" t="s">
        <v>284</v>
      </c>
      <c r="CF9" s="2"/>
      <c r="CG9" s="7"/>
      <c r="CH9" s="10" t="s">
        <v>176</v>
      </c>
      <c r="CI9" s="10"/>
      <c r="CJ9" s="10" t="s">
        <v>73</v>
      </c>
      <c r="CK9" s="10"/>
      <c r="CL9" s="10"/>
      <c r="CM9" s="10"/>
      <c r="CN9" s="10" t="s">
        <v>255</v>
      </c>
      <c r="CO9" s="10" t="s">
        <v>263</v>
      </c>
      <c r="CP9" s="10" t="s">
        <v>73</v>
      </c>
      <c r="CQ9" s="10"/>
      <c r="CR9" s="10"/>
      <c r="CS9" s="10" t="s">
        <v>152</v>
      </c>
      <c r="CT9" s="10" t="s">
        <v>32</v>
      </c>
      <c r="CU9" s="10" t="s">
        <v>419</v>
      </c>
      <c r="CV9" s="2"/>
    </row>
    <row r="10" spans="1:100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44660</v>
      </c>
      <c r="H10" s="9">
        <v>44661</v>
      </c>
      <c r="I10" s="9">
        <v>44674</v>
      </c>
      <c r="J10" s="9">
        <v>44681</v>
      </c>
      <c r="K10" s="9">
        <v>44695</v>
      </c>
      <c r="L10" s="9">
        <v>44730</v>
      </c>
      <c r="M10" s="9">
        <v>44730</v>
      </c>
      <c r="N10" s="9">
        <v>44737</v>
      </c>
      <c r="O10" s="9">
        <v>44758</v>
      </c>
      <c r="P10" s="9">
        <v>44765</v>
      </c>
      <c r="Q10" s="9">
        <v>44779</v>
      </c>
      <c r="R10" s="9">
        <v>44800</v>
      </c>
      <c r="S10" s="9">
        <v>44807</v>
      </c>
      <c r="T10" s="9">
        <v>44814</v>
      </c>
      <c r="U10" s="9">
        <v>44814</v>
      </c>
      <c r="V10" s="9">
        <v>44829</v>
      </c>
      <c r="W10" s="9">
        <v>44856</v>
      </c>
      <c r="X10" s="9">
        <v>44863</v>
      </c>
      <c r="Y10" s="9">
        <v>44906</v>
      </c>
      <c r="Z10" s="2">
        <v>2022</v>
      </c>
      <c r="AA10" s="2"/>
      <c r="AB10" s="10" t="s">
        <v>179</v>
      </c>
      <c r="AC10" s="18" t="s">
        <v>193</v>
      </c>
      <c r="AD10" s="18" t="s">
        <v>216</v>
      </c>
      <c r="AE10" s="18" t="s">
        <v>218</v>
      </c>
      <c r="AF10" s="18" t="s">
        <v>228</v>
      </c>
      <c r="AG10" s="18" t="s">
        <v>234</v>
      </c>
      <c r="AH10" s="18" t="s">
        <v>242</v>
      </c>
      <c r="AI10" s="18" t="s">
        <v>256</v>
      </c>
      <c r="AJ10" s="18" t="s">
        <v>268</v>
      </c>
      <c r="AK10" s="18" t="s">
        <v>277</v>
      </c>
      <c r="AL10" s="10" t="s">
        <v>280</v>
      </c>
      <c r="AM10" s="10" t="s">
        <v>280</v>
      </c>
      <c r="AN10" s="10" t="s">
        <v>280</v>
      </c>
      <c r="AO10" s="18" t="s">
        <v>289</v>
      </c>
      <c r="AP10" s="2">
        <v>2023</v>
      </c>
      <c r="AQ10" s="31"/>
      <c r="AR10" s="31" t="s">
        <v>317</v>
      </c>
      <c r="AS10" s="31" t="s">
        <v>317</v>
      </c>
      <c r="AT10" s="31" t="s">
        <v>317</v>
      </c>
      <c r="AU10" s="31" t="s">
        <v>317</v>
      </c>
      <c r="AV10" s="31" t="s">
        <v>384</v>
      </c>
      <c r="AW10" s="31" t="s">
        <v>397</v>
      </c>
      <c r="AX10" s="31" t="s">
        <v>397</v>
      </c>
      <c r="AY10" s="31" t="s">
        <v>405</v>
      </c>
      <c r="AZ10" s="31" t="s">
        <v>405</v>
      </c>
      <c r="BA10" s="31" t="s">
        <v>416</v>
      </c>
      <c r="BB10" s="31" t="s">
        <v>421</v>
      </c>
      <c r="BC10" s="31" t="s">
        <v>441</v>
      </c>
      <c r="BD10" s="31" t="s">
        <v>445</v>
      </c>
      <c r="BE10" s="31" t="s">
        <v>445</v>
      </c>
      <c r="BF10" s="31" t="s">
        <v>459</v>
      </c>
      <c r="BG10" s="31" t="s">
        <v>465</v>
      </c>
      <c r="BH10" s="31" t="s">
        <v>476</v>
      </c>
      <c r="BI10" s="31">
        <v>2024</v>
      </c>
      <c r="BJ10" s="10"/>
      <c r="BK10" s="10"/>
      <c r="BL10" s="10"/>
      <c r="BM10" s="10">
        <v>1</v>
      </c>
      <c r="BN10" s="10">
        <v>2</v>
      </c>
      <c r="BO10" s="10">
        <v>3</v>
      </c>
      <c r="BP10" s="10">
        <v>4</v>
      </c>
      <c r="BQ10" s="10">
        <v>2025</v>
      </c>
      <c r="BR10" s="10"/>
      <c r="BS10" s="10"/>
      <c r="BT10" s="10"/>
      <c r="BU10" s="10">
        <v>1</v>
      </c>
      <c r="BV10" s="10">
        <v>2</v>
      </c>
      <c r="BW10" s="10">
        <v>3</v>
      </c>
      <c r="BX10" s="10">
        <v>4</v>
      </c>
      <c r="BY10" s="10">
        <v>2026</v>
      </c>
      <c r="CA10" s="2"/>
      <c r="CB10" s="14">
        <v>45078</v>
      </c>
      <c r="CC10" s="14">
        <v>45154</v>
      </c>
      <c r="CD10" s="26">
        <v>45178</v>
      </c>
      <c r="CE10" s="8">
        <v>45255</v>
      </c>
      <c r="CF10" s="2">
        <v>2023</v>
      </c>
      <c r="CG10" s="7"/>
      <c r="CH10" s="10"/>
      <c r="CI10" s="9">
        <v>45347</v>
      </c>
      <c r="CJ10" s="9" t="s">
        <v>474</v>
      </c>
      <c r="CK10" s="10">
        <v>2024</v>
      </c>
      <c r="CL10" s="10"/>
      <c r="CM10" s="10" t="s">
        <v>480</v>
      </c>
      <c r="CN10" s="10" t="s">
        <v>632</v>
      </c>
      <c r="CO10" s="10" t="s">
        <v>635</v>
      </c>
      <c r="CP10" s="10" t="s">
        <v>474</v>
      </c>
      <c r="CQ10" s="10">
        <v>2025</v>
      </c>
      <c r="CR10" s="10"/>
      <c r="CS10" s="10" t="s">
        <v>193</v>
      </c>
      <c r="CT10" s="10" t="s">
        <v>722</v>
      </c>
      <c r="CU10" s="10" t="s">
        <v>723</v>
      </c>
      <c r="CV10" s="2">
        <v>2026</v>
      </c>
    </row>
    <row r="11" spans="1:100" x14ac:dyDescent="0.25">
      <c r="A11">
        <v>1</v>
      </c>
      <c r="B11" s="21" t="s">
        <v>306</v>
      </c>
      <c r="C11" s="21"/>
      <c r="D11" s="21" t="s">
        <v>307</v>
      </c>
      <c r="E11" s="21" t="s">
        <v>102</v>
      </c>
      <c r="F11" s="5"/>
      <c r="G11" s="5"/>
      <c r="H11" s="5"/>
      <c r="I11" s="5"/>
      <c r="J11" s="5"/>
      <c r="K11" s="5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5"/>
      <c r="AA11" s="5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5">
        <f>SUM(AA11:AO11)</f>
        <v>0</v>
      </c>
      <c r="AQ11" s="5">
        <f>(AP11-AA11)/2</f>
        <v>0</v>
      </c>
      <c r="AR11" s="5"/>
      <c r="AS11" s="5"/>
      <c r="AT11" s="5"/>
      <c r="AU11" s="5"/>
      <c r="AV11" s="5">
        <v>75</v>
      </c>
      <c r="AW11" s="5"/>
      <c r="AX11" s="5"/>
      <c r="AY11" s="5"/>
      <c r="AZ11" s="5"/>
      <c r="BA11" s="5">
        <v>48</v>
      </c>
      <c r="BB11" s="5">
        <v>7.5</v>
      </c>
      <c r="BC11" s="5"/>
      <c r="BD11" s="5"/>
      <c r="BE11" s="5"/>
      <c r="BF11" s="5"/>
      <c r="BG11" s="5">
        <v>150</v>
      </c>
      <c r="BH11" s="5"/>
      <c r="BI11" s="5">
        <f>SUM(AQ11:BH11)</f>
        <v>280.5</v>
      </c>
      <c r="BJ11" s="5">
        <f>(BI11-AQ11)/2</f>
        <v>140.25</v>
      </c>
      <c r="BK11" s="11">
        <v>48</v>
      </c>
      <c r="BL11" s="11">
        <v>3.2</v>
      </c>
      <c r="BM11" s="11">
        <v>150</v>
      </c>
      <c r="BN11" s="11">
        <v>100</v>
      </c>
      <c r="BO11" s="11">
        <v>75</v>
      </c>
      <c r="BP11" s="11">
        <v>70</v>
      </c>
      <c r="BQ11" s="5">
        <f t="shared" ref="BQ11:BQ24" si="0">SUM(BJ11:BP11)</f>
        <v>586.45000000000005</v>
      </c>
      <c r="BR11" s="5">
        <f t="shared" ref="BR11:BR24" si="1">(BQ11-BJ11)/2</f>
        <v>223.10000000000002</v>
      </c>
      <c r="BS11" s="11">
        <v>36</v>
      </c>
      <c r="BT11" s="11">
        <v>64</v>
      </c>
      <c r="BU11" s="11">
        <v>150</v>
      </c>
      <c r="BV11" s="11">
        <v>36</v>
      </c>
      <c r="BW11" s="11"/>
      <c r="BX11" s="11"/>
      <c r="BY11" s="5">
        <f t="shared" ref="BY11:BY31" si="2">SUM(BR11:BX11)</f>
        <v>509.1</v>
      </c>
      <c r="CA11" s="5"/>
      <c r="CB11" s="5"/>
      <c r="CC11" s="5"/>
      <c r="CD11" s="5"/>
      <c r="CE11" s="11"/>
      <c r="CF11" s="5">
        <f>SUM(CA11:CE11)</f>
        <v>0</v>
      </c>
      <c r="CG11" s="11">
        <f>CF11/2</f>
        <v>0</v>
      </c>
      <c r="CH11" s="11">
        <f>BI11/4</f>
        <v>70.125</v>
      </c>
      <c r="CI11" s="11">
        <v>15</v>
      </c>
      <c r="CJ11" s="11"/>
      <c r="CK11" s="5">
        <f>SUM(CG11:CJ11)</f>
        <v>85.125</v>
      </c>
      <c r="CL11" s="5">
        <f>SUM(CK11-CG11)/2</f>
        <v>42.5625</v>
      </c>
      <c r="CM11" s="11">
        <v>1.5</v>
      </c>
      <c r="CN11" s="11">
        <v>80</v>
      </c>
      <c r="CO11" s="11">
        <v>54</v>
      </c>
      <c r="CP11" s="11"/>
      <c r="CQ11" s="5">
        <f>SUM(CL11:CO11)</f>
        <v>178.0625</v>
      </c>
      <c r="CR11" s="5">
        <f t="shared" ref="CR11:CR31" si="3">(CQ11-CL11)/2</f>
        <v>67.75</v>
      </c>
      <c r="CS11" s="11">
        <v>15</v>
      </c>
      <c r="CT11" s="11"/>
      <c r="CU11" s="11">
        <v>5</v>
      </c>
      <c r="CV11" s="21">
        <f>SUM(CR11:CU11)</f>
        <v>87.75</v>
      </c>
    </row>
    <row r="12" spans="1:100" x14ac:dyDescent="0.25">
      <c r="A12">
        <v>2</v>
      </c>
      <c r="B12" s="5" t="s">
        <v>79</v>
      </c>
      <c r="C12" s="5"/>
      <c r="D12" s="5" t="s">
        <v>567</v>
      </c>
      <c r="E12" s="5" t="s">
        <v>531</v>
      </c>
      <c r="F12" s="5"/>
      <c r="G12" s="5"/>
      <c r="H12" s="5"/>
      <c r="I12" s="5"/>
      <c r="J12" s="5"/>
      <c r="K12" s="5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5"/>
      <c r="AA12" s="5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11">
        <v>2.4</v>
      </c>
      <c r="BL12" s="11">
        <v>80</v>
      </c>
      <c r="BM12" s="11">
        <v>54</v>
      </c>
      <c r="BN12" s="11">
        <v>10</v>
      </c>
      <c r="BO12" s="11"/>
      <c r="BP12" s="11"/>
      <c r="BQ12" s="5">
        <f t="shared" si="0"/>
        <v>146.4</v>
      </c>
      <c r="BR12" s="5">
        <f t="shared" si="1"/>
        <v>73.2</v>
      </c>
      <c r="BS12" s="11">
        <v>48</v>
      </c>
      <c r="BT12" s="11"/>
      <c r="BU12" s="11">
        <v>75</v>
      </c>
      <c r="BV12" s="11">
        <v>80</v>
      </c>
      <c r="BW12" s="11">
        <v>36</v>
      </c>
      <c r="BX12" s="11"/>
      <c r="BY12" s="5">
        <f t="shared" si="2"/>
        <v>312.2</v>
      </c>
      <c r="CA12" s="5"/>
      <c r="CB12" s="5"/>
      <c r="CC12" s="5"/>
      <c r="CD12" s="5"/>
      <c r="CE12" s="11"/>
      <c r="CF12" s="5"/>
      <c r="CG12" s="5"/>
      <c r="CH12" s="5"/>
      <c r="CI12" s="11"/>
      <c r="CJ12" s="11"/>
      <c r="CK12" s="5">
        <f>SUM(CG12:CJ12)</f>
        <v>0</v>
      </c>
      <c r="CL12" s="5">
        <f>SUM(CK12-CG12)/2</f>
        <v>0</v>
      </c>
      <c r="CM12" s="11"/>
      <c r="CN12" s="11"/>
      <c r="CO12" s="11"/>
      <c r="CP12" s="11"/>
      <c r="CQ12" s="5">
        <f>SUM(CL12:CP12)</f>
        <v>0</v>
      </c>
      <c r="CR12" s="5">
        <f t="shared" si="3"/>
        <v>0</v>
      </c>
      <c r="CS12" s="11"/>
      <c r="CT12" s="11"/>
      <c r="CU12" s="11"/>
      <c r="CV12" s="5">
        <f>SUM(CR12:CS12)</f>
        <v>0</v>
      </c>
    </row>
    <row r="13" spans="1:100" x14ac:dyDescent="0.25">
      <c r="A13">
        <v>3</v>
      </c>
      <c r="B13" s="20" t="s">
        <v>380</v>
      </c>
      <c r="C13" s="20"/>
      <c r="D13" s="20" t="s">
        <v>71</v>
      </c>
      <c r="E13" s="20" t="s">
        <v>10</v>
      </c>
      <c r="F13" s="5"/>
      <c r="G13" s="5"/>
      <c r="H13" s="5"/>
      <c r="I13" s="5"/>
      <c r="J13" s="5"/>
      <c r="K13" s="5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5"/>
      <c r="AA13" s="5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5"/>
      <c r="AQ13" s="5"/>
      <c r="AR13" s="5"/>
      <c r="AS13" s="5"/>
      <c r="AT13" s="5"/>
      <c r="AU13" s="5"/>
      <c r="AV13" s="5">
        <v>7.5</v>
      </c>
      <c r="AW13" s="5"/>
      <c r="AX13" s="5"/>
      <c r="AY13" s="5"/>
      <c r="AZ13" s="5"/>
      <c r="BA13" s="5"/>
      <c r="BB13" s="5"/>
      <c r="BC13" s="5">
        <v>2.4</v>
      </c>
      <c r="BD13" s="5"/>
      <c r="BE13" s="5"/>
      <c r="BF13" s="5"/>
      <c r="BG13" s="5">
        <v>7.5</v>
      </c>
      <c r="BH13" s="5">
        <v>160</v>
      </c>
      <c r="BI13" s="5">
        <f>SUM(AQ13:BH13)</f>
        <v>177.4</v>
      </c>
      <c r="BJ13" s="5">
        <f>(BI13-AQ13)/2</f>
        <v>88.7</v>
      </c>
      <c r="BK13" s="11">
        <v>36</v>
      </c>
      <c r="BL13" s="11">
        <v>48</v>
      </c>
      <c r="BM13" s="11">
        <v>75</v>
      </c>
      <c r="BN13" s="11">
        <v>44.8</v>
      </c>
      <c r="BO13" s="11">
        <v>54</v>
      </c>
      <c r="BP13" s="11">
        <v>52</v>
      </c>
      <c r="BQ13" s="5">
        <f t="shared" si="0"/>
        <v>398.5</v>
      </c>
      <c r="BR13" s="5">
        <f t="shared" si="1"/>
        <v>154.9</v>
      </c>
      <c r="BS13" s="11">
        <v>36</v>
      </c>
      <c r="BT13" s="11">
        <v>48</v>
      </c>
      <c r="BU13" s="11">
        <v>7.5</v>
      </c>
      <c r="BV13" s="11">
        <v>56</v>
      </c>
      <c r="BW13" s="11"/>
      <c r="BX13" s="11"/>
      <c r="BY13" s="5">
        <f t="shared" si="2"/>
        <v>302.39999999999998</v>
      </c>
      <c r="CA13" s="5"/>
      <c r="CB13" s="5"/>
      <c r="CC13" s="5"/>
      <c r="CD13" s="5"/>
      <c r="CE13" s="11"/>
      <c r="CF13" s="5">
        <f>SUM(CA13:CE13)</f>
        <v>0</v>
      </c>
      <c r="CG13" s="11">
        <f>CF13/2</f>
        <v>0</v>
      </c>
      <c r="CH13" s="11">
        <f>BI13/4</f>
        <v>44.35</v>
      </c>
      <c r="CI13" s="11"/>
      <c r="CJ13" s="11">
        <v>2</v>
      </c>
      <c r="CK13" s="5">
        <f>SUM(CG13:CJ13)</f>
        <v>46.35</v>
      </c>
      <c r="CL13" s="5">
        <f>SUM(CK13-CG13)/2</f>
        <v>23.175000000000001</v>
      </c>
      <c r="CM13" s="11">
        <v>21</v>
      </c>
      <c r="CN13" s="11">
        <v>56</v>
      </c>
      <c r="CO13" s="11"/>
      <c r="CP13" s="11">
        <v>2.5</v>
      </c>
      <c r="CQ13" s="5">
        <f>SUM(CL13:CP13)</f>
        <v>102.675</v>
      </c>
      <c r="CR13" s="5">
        <f t="shared" si="3"/>
        <v>39.75</v>
      </c>
      <c r="CS13" s="11"/>
      <c r="CT13" s="11"/>
      <c r="CU13" s="11">
        <v>100</v>
      </c>
      <c r="CV13" s="20">
        <f>SUM(CR13:CU13)</f>
        <v>139.75</v>
      </c>
    </row>
    <row r="14" spans="1:100" x14ac:dyDescent="0.25">
      <c r="A14" s="46">
        <v>4</v>
      </c>
      <c r="B14" s="5" t="s">
        <v>504</v>
      </c>
      <c r="C14" s="5"/>
      <c r="D14" s="5" t="s">
        <v>113</v>
      </c>
      <c r="E14" s="5" t="s">
        <v>69</v>
      </c>
      <c r="F14" s="5"/>
      <c r="G14" s="5"/>
      <c r="H14" s="5"/>
      <c r="I14" s="5"/>
      <c r="J14" s="5"/>
      <c r="K14" s="5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5"/>
      <c r="AA14" s="5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11">
        <v>36</v>
      </c>
      <c r="BL14" s="11">
        <v>3.2</v>
      </c>
      <c r="BM14" s="11">
        <v>75</v>
      </c>
      <c r="BN14" s="11">
        <v>54</v>
      </c>
      <c r="BO14" s="11">
        <v>36</v>
      </c>
      <c r="BP14" s="11">
        <v>10</v>
      </c>
      <c r="BQ14" s="5">
        <f t="shared" si="0"/>
        <v>214.2</v>
      </c>
      <c r="BR14" s="5">
        <f t="shared" si="1"/>
        <v>107.1</v>
      </c>
      <c r="BS14" s="11">
        <v>36</v>
      </c>
      <c r="BT14" s="11">
        <v>48</v>
      </c>
      <c r="BU14" s="11">
        <v>36</v>
      </c>
      <c r="BV14" s="11"/>
      <c r="BW14" s="11"/>
      <c r="BX14" s="11"/>
      <c r="BY14" s="5">
        <f t="shared" si="2"/>
        <v>227.1</v>
      </c>
      <c r="CA14" s="5"/>
      <c r="CB14" s="5"/>
      <c r="CC14" s="5"/>
      <c r="CD14" s="5"/>
      <c r="CE14" s="11"/>
      <c r="CF14" s="5"/>
      <c r="CG14" s="5"/>
      <c r="CH14" s="5"/>
      <c r="CI14" s="11"/>
      <c r="CJ14" s="11"/>
      <c r="CK14" s="5"/>
      <c r="CL14" s="5"/>
      <c r="CM14" s="11">
        <v>1.5</v>
      </c>
      <c r="CN14" s="11"/>
      <c r="CO14" s="11"/>
      <c r="CP14" s="11">
        <v>2.5</v>
      </c>
      <c r="CQ14" s="5">
        <f>SUM(CL14:CP14)</f>
        <v>4</v>
      </c>
      <c r="CR14" s="5">
        <f t="shared" si="3"/>
        <v>2</v>
      </c>
      <c r="CS14" s="11"/>
      <c r="CT14" s="11"/>
      <c r="CU14" s="11"/>
      <c r="CV14" s="5">
        <f>SUM(CR14:CS14)</f>
        <v>2</v>
      </c>
    </row>
    <row r="15" spans="1:100" x14ac:dyDescent="0.25">
      <c r="A15">
        <v>5</v>
      </c>
      <c r="B15" s="45" t="s">
        <v>308</v>
      </c>
      <c r="C15" s="45"/>
      <c r="D15" s="45" t="s">
        <v>309</v>
      </c>
      <c r="E15" s="45" t="s">
        <v>131</v>
      </c>
      <c r="F15" s="5"/>
      <c r="G15" s="5"/>
      <c r="H15" s="5"/>
      <c r="I15" s="5"/>
      <c r="J15" s="5"/>
      <c r="K15" s="5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5"/>
      <c r="AA15" s="5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11">
        <v>33.6</v>
      </c>
      <c r="BL15" s="11">
        <v>56</v>
      </c>
      <c r="BM15" s="11">
        <v>75</v>
      </c>
      <c r="BN15" s="11">
        <v>52</v>
      </c>
      <c r="BO15" s="11"/>
      <c r="BP15" s="11"/>
      <c r="BQ15" s="5">
        <f t="shared" si="0"/>
        <v>216.6</v>
      </c>
      <c r="BR15" s="5">
        <f t="shared" si="1"/>
        <v>108.3</v>
      </c>
      <c r="BS15" s="11"/>
      <c r="BT15" s="11"/>
      <c r="BU15" s="11">
        <v>105</v>
      </c>
      <c r="BV15" s="11"/>
      <c r="BW15" s="11"/>
      <c r="BX15" s="11"/>
      <c r="BY15" s="5">
        <f t="shared" si="2"/>
        <v>213.3</v>
      </c>
      <c r="CA15" s="5"/>
      <c r="CB15" s="5"/>
      <c r="CC15" s="5"/>
      <c r="CD15" s="5"/>
      <c r="CE15" s="11"/>
      <c r="CF15" s="5"/>
      <c r="CG15" s="5"/>
      <c r="CH15" s="5"/>
      <c r="CI15" s="11"/>
      <c r="CJ15" s="11"/>
      <c r="CK15" s="5">
        <f>SUM(CG15:CJ15)</f>
        <v>0</v>
      </c>
      <c r="CL15" s="5">
        <f>SUM(CK15-CG15)/2</f>
        <v>0</v>
      </c>
      <c r="CM15" s="11"/>
      <c r="CN15" s="11"/>
      <c r="CO15" s="11"/>
      <c r="CP15" s="11"/>
      <c r="CQ15" s="5">
        <f>SUM(CL15:CP15)</f>
        <v>0</v>
      </c>
      <c r="CR15" s="5">
        <f t="shared" si="3"/>
        <v>0</v>
      </c>
      <c r="CS15" s="11"/>
      <c r="CT15" s="11">
        <v>105</v>
      </c>
      <c r="CU15" s="11"/>
      <c r="CV15" s="45">
        <f>SUM(CR15:CT15)</f>
        <v>105</v>
      </c>
    </row>
    <row r="16" spans="1:100" x14ac:dyDescent="0.25">
      <c r="A16">
        <v>6</v>
      </c>
      <c r="B16" s="5" t="s">
        <v>401</v>
      </c>
      <c r="C16" s="5"/>
      <c r="D16" s="5" t="s">
        <v>402</v>
      </c>
      <c r="E16" s="5" t="s">
        <v>75</v>
      </c>
      <c r="F16" s="5"/>
      <c r="G16" s="5"/>
      <c r="H16" s="5"/>
      <c r="I16" s="5"/>
      <c r="J16" s="5"/>
      <c r="K16" s="5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5"/>
      <c r="AA16" s="5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5"/>
      <c r="AQ16" s="5"/>
      <c r="AR16" s="5"/>
      <c r="AS16" s="5"/>
      <c r="AT16" s="5"/>
      <c r="AU16" s="5"/>
      <c r="AV16" s="5"/>
      <c r="AW16" s="5"/>
      <c r="AX16" s="5">
        <v>4</v>
      </c>
      <c r="AY16" s="5"/>
      <c r="AZ16" s="5"/>
      <c r="BA16" s="5"/>
      <c r="BB16" s="5">
        <v>54</v>
      </c>
      <c r="BC16" s="5"/>
      <c r="BD16" s="5"/>
      <c r="BE16" s="5"/>
      <c r="BF16" s="5"/>
      <c r="BG16" s="5"/>
      <c r="BH16" s="5"/>
      <c r="BI16" s="5">
        <f>SUM(AQ16:BH16)</f>
        <v>58</v>
      </c>
      <c r="BJ16" s="5">
        <f>(BI16-AQ16)/2</f>
        <v>29</v>
      </c>
      <c r="BK16" s="11"/>
      <c r="BL16" s="11"/>
      <c r="BM16" s="11">
        <v>75</v>
      </c>
      <c r="BN16" s="11">
        <v>80</v>
      </c>
      <c r="BO16" s="11">
        <v>105</v>
      </c>
      <c r="BP16" s="11">
        <v>140</v>
      </c>
      <c r="BQ16" s="5">
        <f t="shared" si="0"/>
        <v>429</v>
      </c>
      <c r="BR16" s="5">
        <f t="shared" si="1"/>
        <v>200</v>
      </c>
      <c r="BS16" s="11"/>
      <c r="BT16" s="11"/>
      <c r="BU16" s="11"/>
      <c r="BV16" s="11"/>
      <c r="BW16" s="11"/>
      <c r="BX16" s="11"/>
      <c r="BY16" s="5">
        <f t="shared" si="2"/>
        <v>200</v>
      </c>
      <c r="CF16" s="5">
        <f>SUM(CA16:CE16)</f>
        <v>0</v>
      </c>
      <c r="CG16" s="11">
        <f>CF16/2</f>
        <v>0</v>
      </c>
      <c r="CH16" s="11">
        <f>BI16/4</f>
        <v>14.5</v>
      </c>
      <c r="CI16" s="11"/>
      <c r="CJ16" s="11"/>
      <c r="CK16" s="5">
        <f>SUM(CG16:CJ16)</f>
        <v>14.5</v>
      </c>
      <c r="CL16" s="5">
        <f>SUM(CK16-CG16)/2</f>
        <v>7.25</v>
      </c>
      <c r="CM16" s="11">
        <v>18</v>
      </c>
      <c r="CN16" s="11"/>
      <c r="CO16" s="11"/>
      <c r="CP16" s="11"/>
      <c r="CQ16" s="5">
        <f>SUM(CL16:CN16)</f>
        <v>25.25</v>
      </c>
      <c r="CR16" s="5">
        <f t="shared" si="3"/>
        <v>9</v>
      </c>
      <c r="CS16" s="11"/>
      <c r="CT16" s="11"/>
      <c r="CU16" s="11"/>
      <c r="CV16" s="5">
        <f t="shared" ref="CV16:CV31" si="4">SUM(CR16:CS16)</f>
        <v>9</v>
      </c>
    </row>
    <row r="17" spans="1:100" x14ac:dyDescent="0.25">
      <c r="A17">
        <v>7</v>
      </c>
      <c r="B17" s="5" t="s">
        <v>547</v>
      </c>
      <c r="C17" s="5"/>
      <c r="D17" s="5" t="s">
        <v>548</v>
      </c>
      <c r="E17" s="5" t="s">
        <v>529</v>
      </c>
      <c r="F17" s="5"/>
      <c r="G17" s="5"/>
      <c r="H17" s="5"/>
      <c r="I17" s="5"/>
      <c r="J17" s="5"/>
      <c r="K17" s="5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5"/>
      <c r="AA17" s="5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11">
        <v>48</v>
      </c>
      <c r="BL17" s="11">
        <v>44.8</v>
      </c>
      <c r="BM17" s="11">
        <v>105</v>
      </c>
      <c r="BN17" s="11">
        <v>100</v>
      </c>
      <c r="BO17" s="11">
        <v>44.8</v>
      </c>
      <c r="BP17" s="11">
        <v>36</v>
      </c>
      <c r="BQ17" s="5">
        <f t="shared" si="0"/>
        <v>378.6</v>
      </c>
      <c r="BR17" s="5">
        <f t="shared" si="1"/>
        <v>189.3</v>
      </c>
      <c r="BS17" s="11"/>
      <c r="BT17" s="11"/>
      <c r="BU17" s="11"/>
      <c r="BV17" s="11"/>
      <c r="BW17" s="11"/>
      <c r="BX17" s="11"/>
      <c r="BY17" s="5">
        <f t="shared" si="2"/>
        <v>189.3</v>
      </c>
      <c r="CF17" s="5"/>
      <c r="CG17" s="5"/>
      <c r="CH17" s="5"/>
      <c r="CI17" s="11"/>
      <c r="CJ17" s="11"/>
      <c r="CK17" s="5"/>
      <c r="CL17" s="5"/>
      <c r="CM17" s="11"/>
      <c r="CN17" s="11"/>
      <c r="CO17" s="11"/>
      <c r="CP17" s="11">
        <v>2.5</v>
      </c>
      <c r="CQ17" s="5">
        <f t="shared" ref="CQ17:CQ31" si="5">SUM(CL17:CP17)</f>
        <v>2.5</v>
      </c>
      <c r="CR17" s="5">
        <f t="shared" si="3"/>
        <v>1.25</v>
      </c>
      <c r="CS17" s="11"/>
      <c r="CT17" s="11"/>
      <c r="CU17" s="11"/>
      <c r="CV17" s="5">
        <f t="shared" si="4"/>
        <v>1.25</v>
      </c>
    </row>
    <row r="18" spans="1:100" x14ac:dyDescent="0.25">
      <c r="A18">
        <v>8</v>
      </c>
      <c r="B18" s="5" t="s">
        <v>241</v>
      </c>
      <c r="C18" s="5"/>
      <c r="D18" s="5" t="s">
        <v>11</v>
      </c>
      <c r="E18" s="5" t="s">
        <v>488</v>
      </c>
      <c r="F18" s="5"/>
      <c r="G18" s="5"/>
      <c r="H18" s="5"/>
      <c r="I18" s="5"/>
      <c r="J18" s="5"/>
      <c r="K18" s="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5"/>
      <c r="AA18" s="5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11">
        <v>48</v>
      </c>
      <c r="BL18" s="11">
        <v>64</v>
      </c>
      <c r="BM18" s="11">
        <v>7.5</v>
      </c>
      <c r="BN18" s="11">
        <v>5</v>
      </c>
      <c r="BO18" s="11">
        <v>4</v>
      </c>
      <c r="BP18" s="11">
        <v>52</v>
      </c>
      <c r="BQ18" s="5">
        <f t="shared" si="0"/>
        <v>180.5</v>
      </c>
      <c r="BR18" s="5">
        <f t="shared" si="1"/>
        <v>90.25</v>
      </c>
      <c r="BS18" s="11">
        <v>36</v>
      </c>
      <c r="BT18" s="11"/>
      <c r="BU18" s="11"/>
      <c r="BV18" s="11"/>
      <c r="BW18" s="11"/>
      <c r="BX18" s="11"/>
      <c r="BY18" s="5">
        <f t="shared" si="2"/>
        <v>126.25</v>
      </c>
      <c r="CF18" s="5"/>
      <c r="CG18" s="5"/>
      <c r="CH18" s="5"/>
      <c r="CI18" s="11"/>
      <c r="CJ18" s="11"/>
      <c r="CK18" s="5">
        <f t="shared" ref="CK18:CK24" si="6">SUM(CG18:CJ18)</f>
        <v>0</v>
      </c>
      <c r="CL18" s="5">
        <f t="shared" ref="CL18:CL24" si="7">SUM(CK18-CG18)/2</f>
        <v>0</v>
      </c>
      <c r="CM18" s="11"/>
      <c r="CN18" s="11"/>
      <c r="CO18" s="11"/>
      <c r="CP18" s="11"/>
      <c r="CQ18" s="5">
        <f t="shared" si="5"/>
        <v>0</v>
      </c>
      <c r="CR18" s="5">
        <f t="shared" si="3"/>
        <v>0</v>
      </c>
      <c r="CS18" s="11"/>
      <c r="CT18" s="11"/>
      <c r="CU18" s="11"/>
      <c r="CV18" s="5">
        <f t="shared" si="4"/>
        <v>0</v>
      </c>
    </row>
    <row r="19" spans="1:100" x14ac:dyDescent="0.25">
      <c r="A19">
        <v>9</v>
      </c>
      <c r="B19" s="5" t="s">
        <v>51</v>
      </c>
      <c r="C19" s="5"/>
      <c r="D19" s="5" t="s">
        <v>60</v>
      </c>
      <c r="E19" s="5" t="s">
        <v>452</v>
      </c>
      <c r="F19" s="5"/>
      <c r="G19" s="5"/>
      <c r="H19" s="5"/>
      <c r="I19" s="5"/>
      <c r="J19" s="5"/>
      <c r="K19" s="5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5"/>
      <c r="AA19" s="5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f>SUM(AQ19:BH19)</f>
        <v>0</v>
      </c>
      <c r="BJ19" s="5">
        <f>(BI19-AQ19)/2</f>
        <v>0</v>
      </c>
      <c r="BK19" s="11">
        <v>48</v>
      </c>
      <c r="BL19" s="11">
        <v>3.2</v>
      </c>
      <c r="BM19" s="11">
        <v>100</v>
      </c>
      <c r="BN19" s="11">
        <v>54</v>
      </c>
      <c r="BO19" s="11">
        <v>10</v>
      </c>
      <c r="BP19" s="11"/>
      <c r="BQ19" s="5">
        <f t="shared" si="0"/>
        <v>215.2</v>
      </c>
      <c r="BR19" s="5">
        <f t="shared" si="1"/>
        <v>107.6</v>
      </c>
      <c r="BS19" s="11"/>
      <c r="BT19" s="11"/>
      <c r="BU19" s="11"/>
      <c r="BV19" s="11"/>
      <c r="BW19" s="11"/>
      <c r="BX19" s="11"/>
      <c r="BY19" s="5">
        <f t="shared" si="2"/>
        <v>107.6</v>
      </c>
      <c r="CJ19" s="7">
        <v>40</v>
      </c>
      <c r="CK19" s="5">
        <f t="shared" si="6"/>
        <v>40</v>
      </c>
      <c r="CL19" s="5">
        <f t="shared" si="7"/>
        <v>20</v>
      </c>
      <c r="CM19" s="11">
        <v>18</v>
      </c>
      <c r="CN19" s="11"/>
      <c r="CO19" s="11"/>
      <c r="CP19" s="11">
        <v>35</v>
      </c>
      <c r="CQ19" s="5">
        <f t="shared" si="5"/>
        <v>73</v>
      </c>
      <c r="CR19" s="5">
        <f t="shared" si="3"/>
        <v>26.5</v>
      </c>
      <c r="CS19" s="11"/>
      <c r="CT19" s="11"/>
      <c r="CU19" s="11"/>
      <c r="CV19" s="5">
        <f t="shared" si="4"/>
        <v>26.5</v>
      </c>
    </row>
    <row r="20" spans="1:100" x14ac:dyDescent="0.25">
      <c r="A20">
        <v>10</v>
      </c>
      <c r="B20" s="5" t="s">
        <v>90</v>
      </c>
      <c r="C20" s="5"/>
      <c r="D20" s="5" t="s">
        <v>91</v>
      </c>
      <c r="E20" s="5" t="s">
        <v>9</v>
      </c>
      <c r="F20" s="5"/>
      <c r="G20" s="5"/>
      <c r="H20" s="5"/>
      <c r="I20" s="5"/>
      <c r="J20" s="5"/>
      <c r="K20" s="5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5"/>
      <c r="AA20" s="5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11"/>
      <c r="BL20" s="11"/>
      <c r="BM20" s="11">
        <v>150</v>
      </c>
      <c r="BN20" s="11"/>
      <c r="BO20" s="11"/>
      <c r="BP20" s="11"/>
      <c r="BQ20" s="5">
        <f t="shared" si="0"/>
        <v>150</v>
      </c>
      <c r="BR20" s="5">
        <f t="shared" si="1"/>
        <v>75</v>
      </c>
      <c r="BS20" s="11"/>
      <c r="BT20" s="11"/>
      <c r="BU20" s="11"/>
      <c r="BV20" s="11"/>
      <c r="BW20" s="11"/>
      <c r="BX20" s="11"/>
      <c r="BY20" s="5">
        <f t="shared" si="2"/>
        <v>75</v>
      </c>
      <c r="CK20" s="5">
        <f t="shared" si="6"/>
        <v>0</v>
      </c>
      <c r="CL20" s="5">
        <f t="shared" si="7"/>
        <v>0</v>
      </c>
      <c r="CM20" s="11"/>
      <c r="CN20" s="11"/>
      <c r="CO20" s="11"/>
      <c r="CP20" s="11"/>
      <c r="CQ20" s="5">
        <f t="shared" si="5"/>
        <v>0</v>
      </c>
      <c r="CR20" s="5">
        <f t="shared" si="3"/>
        <v>0</v>
      </c>
      <c r="CS20" s="11"/>
      <c r="CT20" s="11"/>
      <c r="CU20" s="11"/>
      <c r="CV20" s="5">
        <f t="shared" si="4"/>
        <v>0</v>
      </c>
    </row>
    <row r="21" spans="1:100" x14ac:dyDescent="0.25">
      <c r="A21">
        <v>11</v>
      </c>
      <c r="B21" s="5" t="s">
        <v>64</v>
      </c>
      <c r="C21" s="5"/>
      <c r="D21" s="5" t="s">
        <v>137</v>
      </c>
      <c r="E21" s="5" t="s">
        <v>170</v>
      </c>
      <c r="F21" s="5"/>
      <c r="G21" s="5"/>
      <c r="H21" s="5"/>
      <c r="I21" s="5"/>
      <c r="J21" s="5"/>
      <c r="K21" s="5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5"/>
      <c r="AA21" s="5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5">
        <f>SUM(AA21:AO21)</f>
        <v>0</v>
      </c>
      <c r="AQ21" s="5">
        <f>(AP21-AA21)/2</f>
        <v>0</v>
      </c>
      <c r="AR21" s="5"/>
      <c r="AS21" s="5"/>
      <c r="AT21" s="5">
        <v>48</v>
      </c>
      <c r="AU21" s="5"/>
      <c r="AV21" s="5"/>
      <c r="AW21" s="5"/>
      <c r="AX21" s="5">
        <v>56</v>
      </c>
      <c r="AY21" s="5"/>
      <c r="AZ21" s="5"/>
      <c r="BA21" s="5"/>
      <c r="BB21" s="5">
        <v>75</v>
      </c>
      <c r="BC21" s="5"/>
      <c r="BD21" s="5">
        <v>36</v>
      </c>
      <c r="BE21" s="5"/>
      <c r="BF21" s="5"/>
      <c r="BG21" s="5"/>
      <c r="BH21" s="5">
        <v>112</v>
      </c>
      <c r="BI21" s="5">
        <f>SUM(AQ21:BH21)</f>
        <v>327</v>
      </c>
      <c r="BJ21" s="5">
        <f>(BI21-AQ21)/2</f>
        <v>163.5</v>
      </c>
      <c r="BK21" s="11"/>
      <c r="BL21" s="11">
        <v>64</v>
      </c>
      <c r="BM21" s="11">
        <v>10</v>
      </c>
      <c r="BN21" s="11">
        <v>75</v>
      </c>
      <c r="BO21" s="11"/>
      <c r="BP21" s="11"/>
      <c r="BQ21" s="5">
        <f t="shared" si="0"/>
        <v>312.5</v>
      </c>
      <c r="BR21" s="5">
        <f t="shared" si="1"/>
        <v>74.5</v>
      </c>
      <c r="BS21" s="11"/>
      <c r="BT21" s="11"/>
      <c r="BU21" s="11"/>
      <c r="BV21" s="11"/>
      <c r="BW21" s="11"/>
      <c r="BX21" s="11"/>
      <c r="BY21" s="5">
        <f t="shared" si="2"/>
        <v>74.5</v>
      </c>
      <c r="CF21">
        <f>SUM(CA21:CE21)</f>
        <v>0</v>
      </c>
      <c r="CG21" s="7">
        <f>CF21/2</f>
        <v>0</v>
      </c>
      <c r="CH21" s="7">
        <f>BI21/4</f>
        <v>81.75</v>
      </c>
      <c r="CI21" s="7">
        <v>30</v>
      </c>
      <c r="CK21" s="5">
        <f t="shared" si="6"/>
        <v>111.75</v>
      </c>
      <c r="CL21" s="5">
        <f t="shared" si="7"/>
        <v>55.875</v>
      </c>
      <c r="CM21" s="11"/>
      <c r="CN21" s="11"/>
      <c r="CO21" s="11"/>
      <c r="CP21" s="11"/>
      <c r="CQ21" s="5">
        <f t="shared" si="5"/>
        <v>55.875</v>
      </c>
      <c r="CR21" s="5">
        <f t="shared" si="3"/>
        <v>0</v>
      </c>
      <c r="CS21" s="11"/>
      <c r="CT21" s="11"/>
      <c r="CU21" s="11"/>
      <c r="CV21" s="5">
        <f t="shared" si="4"/>
        <v>0</v>
      </c>
    </row>
    <row r="22" spans="1:100" x14ac:dyDescent="0.25">
      <c r="A22">
        <v>12</v>
      </c>
      <c r="B22" s="5" t="s">
        <v>118</v>
      </c>
      <c r="C22" s="5"/>
      <c r="D22" s="5" t="s">
        <v>425</v>
      </c>
      <c r="E22" s="5" t="s">
        <v>15</v>
      </c>
      <c r="F22" s="5"/>
      <c r="G22" s="5"/>
      <c r="H22" s="5"/>
      <c r="I22" s="5"/>
      <c r="J22" s="5"/>
      <c r="K22" s="5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5"/>
      <c r="AA22" s="5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11">
        <v>36</v>
      </c>
      <c r="BL22" s="11">
        <v>40</v>
      </c>
      <c r="BM22" s="11"/>
      <c r="BN22" s="11"/>
      <c r="BO22" s="11"/>
      <c r="BP22" s="11"/>
      <c r="BQ22" s="5">
        <f t="shared" si="0"/>
        <v>76</v>
      </c>
      <c r="BR22" s="5">
        <f t="shared" si="1"/>
        <v>38</v>
      </c>
      <c r="BS22" s="11">
        <v>36</v>
      </c>
      <c r="BT22" s="11"/>
      <c r="BU22" s="11"/>
      <c r="BV22" s="11"/>
      <c r="BW22" s="11"/>
      <c r="BX22" s="11"/>
      <c r="BY22" s="5">
        <f t="shared" si="2"/>
        <v>74</v>
      </c>
      <c r="CK22" s="5">
        <f t="shared" si="6"/>
        <v>0</v>
      </c>
      <c r="CL22" s="5">
        <f t="shared" si="7"/>
        <v>0</v>
      </c>
      <c r="CM22" s="11"/>
      <c r="CN22" s="11"/>
      <c r="CO22" s="11"/>
      <c r="CP22" s="11"/>
      <c r="CQ22" s="5">
        <f t="shared" si="5"/>
        <v>0</v>
      </c>
      <c r="CR22" s="5">
        <f t="shared" si="3"/>
        <v>0</v>
      </c>
      <c r="CS22" s="11"/>
      <c r="CT22" s="11"/>
      <c r="CU22" s="11"/>
      <c r="CV22" s="5">
        <f t="shared" si="4"/>
        <v>0</v>
      </c>
    </row>
    <row r="23" spans="1:100" x14ac:dyDescent="0.25">
      <c r="A23">
        <v>13</v>
      </c>
      <c r="B23" s="5" t="s">
        <v>619</v>
      </c>
      <c r="C23" s="5"/>
      <c r="D23" s="5" t="s">
        <v>63</v>
      </c>
      <c r="E23" s="5" t="s">
        <v>532</v>
      </c>
      <c r="F23" s="5"/>
      <c r="G23" s="5"/>
      <c r="H23" s="5"/>
      <c r="I23" s="5"/>
      <c r="J23" s="5"/>
      <c r="K23" s="5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5"/>
      <c r="AA23" s="5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11"/>
      <c r="BL23" s="11"/>
      <c r="BM23" s="11">
        <v>24</v>
      </c>
      <c r="BN23" s="11"/>
      <c r="BO23" s="11"/>
      <c r="BP23" s="11"/>
      <c r="BQ23" s="5">
        <f t="shared" si="0"/>
        <v>24</v>
      </c>
      <c r="BR23" s="5">
        <f t="shared" si="1"/>
        <v>12</v>
      </c>
      <c r="BS23" s="11">
        <v>2.4</v>
      </c>
      <c r="BT23" s="11">
        <v>44.8</v>
      </c>
      <c r="BU23" s="11"/>
      <c r="BV23" s="11"/>
      <c r="BW23" s="11"/>
      <c r="BX23" s="11"/>
      <c r="BY23" s="5">
        <f t="shared" si="2"/>
        <v>59.199999999999996</v>
      </c>
      <c r="CK23" s="5">
        <f t="shared" si="6"/>
        <v>0</v>
      </c>
      <c r="CL23" s="5">
        <f t="shared" si="7"/>
        <v>0</v>
      </c>
      <c r="CM23" s="11"/>
      <c r="CN23" s="11"/>
      <c r="CO23" s="11"/>
      <c r="CP23" s="11"/>
      <c r="CQ23" s="5">
        <f t="shared" si="5"/>
        <v>0</v>
      </c>
      <c r="CR23" s="5">
        <f t="shared" si="3"/>
        <v>0</v>
      </c>
      <c r="CS23" s="11"/>
      <c r="CT23" s="11"/>
      <c r="CU23" s="11"/>
      <c r="CV23" s="5">
        <f t="shared" si="4"/>
        <v>0</v>
      </c>
    </row>
    <row r="24" spans="1:100" x14ac:dyDescent="0.25">
      <c r="A24">
        <v>14</v>
      </c>
      <c r="B24" s="5" t="s">
        <v>35</v>
      </c>
      <c r="C24" s="5"/>
      <c r="D24" s="5" t="s">
        <v>89</v>
      </c>
      <c r="E24" s="5" t="s">
        <v>501</v>
      </c>
      <c r="F24" s="5"/>
      <c r="G24" s="5"/>
      <c r="H24" s="5"/>
      <c r="I24" s="5"/>
      <c r="J24" s="5"/>
      <c r="K24" s="5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5"/>
      <c r="AA24" s="5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11"/>
      <c r="BL24" s="11"/>
      <c r="BM24" s="11">
        <v>105</v>
      </c>
      <c r="BN24" s="11"/>
      <c r="BO24" s="11"/>
      <c r="BP24" s="11"/>
      <c r="BQ24" s="5">
        <f t="shared" si="0"/>
        <v>105</v>
      </c>
      <c r="BR24" s="5">
        <f t="shared" si="1"/>
        <v>52.5</v>
      </c>
      <c r="BS24" s="11"/>
      <c r="BT24" s="11"/>
      <c r="BU24" s="11"/>
      <c r="BV24" s="11"/>
      <c r="BW24" s="11"/>
      <c r="BX24" s="11"/>
      <c r="BY24" s="5">
        <f t="shared" si="2"/>
        <v>52.5</v>
      </c>
      <c r="CK24" s="5">
        <f t="shared" si="6"/>
        <v>0</v>
      </c>
      <c r="CL24" s="5">
        <f t="shared" si="7"/>
        <v>0</v>
      </c>
      <c r="CM24" s="11"/>
      <c r="CN24" s="11"/>
      <c r="CO24" s="11"/>
      <c r="CP24" s="11">
        <v>25</v>
      </c>
      <c r="CQ24" s="5">
        <f t="shared" si="5"/>
        <v>25</v>
      </c>
      <c r="CR24" s="5">
        <f t="shared" si="3"/>
        <v>12.5</v>
      </c>
      <c r="CS24" s="11"/>
      <c r="CT24" s="11"/>
      <c r="CU24" s="11"/>
      <c r="CV24" s="5">
        <f t="shared" si="4"/>
        <v>12.5</v>
      </c>
    </row>
    <row r="25" spans="1:100" x14ac:dyDescent="0.25">
      <c r="A25">
        <v>15</v>
      </c>
      <c r="B25" s="29" t="s">
        <v>516</v>
      </c>
      <c r="C25" s="29"/>
      <c r="D25" s="29" t="s">
        <v>63</v>
      </c>
      <c r="E25" s="29" t="s">
        <v>103</v>
      </c>
      <c r="BI25" s="29"/>
      <c r="BJ25" s="29"/>
      <c r="BK25" s="28"/>
      <c r="BL25" s="28"/>
      <c r="BM25" s="28"/>
      <c r="BN25" s="28"/>
      <c r="BO25" s="28"/>
      <c r="BP25" s="28"/>
      <c r="BQ25" s="5"/>
      <c r="BR25" s="5"/>
      <c r="BS25" s="11">
        <v>36</v>
      </c>
      <c r="BT25" s="11"/>
      <c r="BU25" s="11"/>
      <c r="BV25" s="11"/>
      <c r="BW25" s="11"/>
      <c r="BX25" s="11"/>
      <c r="BY25" s="5">
        <f t="shared" si="2"/>
        <v>36</v>
      </c>
      <c r="CK25" s="5"/>
      <c r="CL25" s="5"/>
      <c r="CM25" s="11"/>
      <c r="CN25" s="11"/>
      <c r="CO25" s="11"/>
      <c r="CP25" s="11"/>
      <c r="CQ25" s="5">
        <f t="shared" si="5"/>
        <v>0</v>
      </c>
      <c r="CR25" s="5">
        <f t="shared" si="3"/>
        <v>0</v>
      </c>
      <c r="CS25" s="11"/>
      <c r="CT25" s="11"/>
      <c r="CU25" s="11"/>
      <c r="CV25" s="5">
        <f t="shared" si="4"/>
        <v>0</v>
      </c>
    </row>
    <row r="26" spans="1:100" x14ac:dyDescent="0.25">
      <c r="A26">
        <v>16</v>
      </c>
      <c r="B26" s="5" t="s">
        <v>49</v>
      </c>
      <c r="C26" s="5" t="s">
        <v>325</v>
      </c>
      <c r="D26" s="5" t="s">
        <v>89</v>
      </c>
      <c r="E26" s="5" t="s">
        <v>253</v>
      </c>
      <c r="F26" s="5"/>
      <c r="G26" s="5"/>
      <c r="H26" s="5"/>
      <c r="I26" s="5"/>
      <c r="J26" s="5"/>
      <c r="K26" s="5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5"/>
      <c r="AA26" s="5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11"/>
      <c r="BL26" s="11"/>
      <c r="BM26" s="11"/>
      <c r="BN26" s="11"/>
      <c r="BO26" s="11"/>
      <c r="BP26" s="11"/>
      <c r="BQ26" s="5"/>
      <c r="BR26" s="5"/>
      <c r="BS26" s="11">
        <v>36</v>
      </c>
      <c r="BT26" s="11"/>
      <c r="BU26" s="11"/>
      <c r="BV26" s="11"/>
      <c r="BW26" s="11"/>
      <c r="BX26" s="11"/>
      <c r="BY26" s="5">
        <f t="shared" si="2"/>
        <v>36</v>
      </c>
      <c r="CK26" s="5"/>
      <c r="CL26" s="5"/>
      <c r="CM26" s="11"/>
      <c r="CN26" s="11"/>
      <c r="CO26" s="11"/>
      <c r="CP26" s="11"/>
      <c r="CQ26" s="5">
        <f t="shared" si="5"/>
        <v>0</v>
      </c>
      <c r="CR26" s="5">
        <f t="shared" si="3"/>
        <v>0</v>
      </c>
      <c r="CS26" s="11"/>
      <c r="CT26" s="11"/>
      <c r="CU26" s="11"/>
      <c r="CV26" s="5">
        <f t="shared" si="4"/>
        <v>0</v>
      </c>
    </row>
    <row r="27" spans="1:100" x14ac:dyDescent="0.25">
      <c r="A27">
        <v>17</v>
      </c>
      <c r="B27" s="5" t="s">
        <v>292</v>
      </c>
      <c r="C27" s="5"/>
      <c r="D27" s="5" t="s">
        <v>202</v>
      </c>
      <c r="E27" s="5" t="s">
        <v>75</v>
      </c>
      <c r="F27" s="5"/>
      <c r="G27" s="5"/>
      <c r="H27" s="5"/>
      <c r="I27" s="5"/>
      <c r="J27" s="5"/>
      <c r="K27" s="5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5"/>
      <c r="AA27" s="5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5">
        <f>SUM(AA27:AO27)</f>
        <v>0</v>
      </c>
      <c r="AQ27" s="5">
        <f>(AP27-AA27)/2</f>
        <v>0</v>
      </c>
      <c r="AR27" s="5"/>
      <c r="AS27" s="5"/>
      <c r="AT27" s="5"/>
      <c r="AU27" s="5"/>
      <c r="AV27" s="5"/>
      <c r="AW27" s="5"/>
      <c r="AX27" s="5"/>
      <c r="AY27" s="5"/>
      <c r="AZ27" s="5">
        <v>64</v>
      </c>
      <c r="BA27" s="5"/>
      <c r="BB27" s="5"/>
      <c r="BC27" s="5"/>
      <c r="BD27" s="5"/>
      <c r="BE27" s="5"/>
      <c r="BF27" s="5"/>
      <c r="BG27" s="5"/>
      <c r="BH27" s="5"/>
      <c r="BI27" s="5">
        <f>SUM(AQ27:BH27)</f>
        <v>64</v>
      </c>
      <c r="BJ27" s="5">
        <f>(BI27-AQ27)/2</f>
        <v>32</v>
      </c>
      <c r="BK27" s="11"/>
      <c r="BL27" s="11">
        <v>64</v>
      </c>
      <c r="BM27" s="11"/>
      <c r="BN27" s="11"/>
      <c r="BO27" s="11"/>
      <c r="BP27" s="11"/>
      <c r="BQ27" s="5">
        <f>SUM(BJ27:BP27)</f>
        <v>96</v>
      </c>
      <c r="BR27" s="5">
        <f>(BQ27-BJ27)/2</f>
        <v>32</v>
      </c>
      <c r="BS27" s="11"/>
      <c r="BT27" s="11"/>
      <c r="BU27" s="11"/>
      <c r="BV27" s="11"/>
      <c r="BW27" s="11"/>
      <c r="BX27" s="11"/>
      <c r="BY27" s="5">
        <f t="shared" si="2"/>
        <v>32</v>
      </c>
      <c r="CF27">
        <f>SUM(CA27:CE27)</f>
        <v>0</v>
      </c>
      <c r="CG27" s="7">
        <f>CF27/2</f>
        <v>0</v>
      </c>
      <c r="CH27" s="7">
        <f>BI27/4</f>
        <v>16</v>
      </c>
      <c r="CI27" s="7">
        <v>22.5</v>
      </c>
      <c r="CK27" s="5">
        <f>SUM(CG27:CJ27)</f>
        <v>38.5</v>
      </c>
      <c r="CL27" s="5">
        <f>SUM(CK27-CG27)/2</f>
        <v>19.25</v>
      </c>
      <c r="CM27" s="11"/>
      <c r="CN27" s="11"/>
      <c r="CO27" s="11"/>
      <c r="CP27" s="11">
        <v>50</v>
      </c>
      <c r="CQ27" s="5">
        <f t="shared" si="5"/>
        <v>69.25</v>
      </c>
      <c r="CR27" s="5">
        <f t="shared" si="3"/>
        <v>25</v>
      </c>
      <c r="CS27" s="11"/>
      <c r="CT27" s="11"/>
      <c r="CU27" s="11"/>
      <c r="CV27" s="5">
        <f t="shared" si="4"/>
        <v>25</v>
      </c>
    </row>
    <row r="28" spans="1:100" x14ac:dyDescent="0.25">
      <c r="A28">
        <v>18</v>
      </c>
      <c r="B28" s="5" t="s">
        <v>633</v>
      </c>
      <c r="C28" s="5"/>
      <c r="D28" s="5" t="s">
        <v>634</v>
      </c>
      <c r="E28" s="5" t="s">
        <v>194</v>
      </c>
      <c r="F28" s="5"/>
      <c r="G28" s="5"/>
      <c r="H28" s="5"/>
      <c r="I28" s="5"/>
      <c r="J28" s="5"/>
      <c r="K28" s="5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5"/>
      <c r="AA28" s="5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11">
        <v>36</v>
      </c>
      <c r="BL28" s="11"/>
      <c r="BM28" s="11"/>
      <c r="BN28" s="11"/>
      <c r="BO28" s="11"/>
      <c r="BP28" s="11"/>
      <c r="BQ28" s="5">
        <f>SUM(BJ28:BP28)</f>
        <v>36</v>
      </c>
      <c r="BR28" s="5">
        <f>(BQ28-BJ28)/2</f>
        <v>18</v>
      </c>
      <c r="BS28" s="11"/>
      <c r="BT28" s="11"/>
      <c r="BU28" s="11"/>
      <c r="BV28" s="11"/>
      <c r="BW28" s="11"/>
      <c r="BX28" s="11"/>
      <c r="BY28" s="5">
        <f t="shared" si="2"/>
        <v>18</v>
      </c>
      <c r="CK28" s="5">
        <f>SUM(CG28:CJ28)</f>
        <v>0</v>
      </c>
      <c r="CL28" s="5">
        <f>SUM(CK28-CG28)/2</f>
        <v>0</v>
      </c>
      <c r="CM28" s="11"/>
      <c r="CN28" s="11"/>
      <c r="CO28" s="11"/>
      <c r="CP28" s="11"/>
      <c r="CQ28" s="5">
        <f t="shared" si="5"/>
        <v>0</v>
      </c>
      <c r="CR28" s="5">
        <f t="shared" si="3"/>
        <v>0</v>
      </c>
      <c r="CS28" s="11"/>
      <c r="CT28" s="11"/>
      <c r="CU28" s="11"/>
      <c r="CV28" s="5">
        <f t="shared" si="4"/>
        <v>0</v>
      </c>
    </row>
    <row r="29" spans="1:100" x14ac:dyDescent="0.25">
      <c r="A29">
        <v>19</v>
      </c>
      <c r="B29" s="5" t="s">
        <v>210</v>
      </c>
      <c r="C29" s="5"/>
      <c r="D29" s="5" t="s">
        <v>428</v>
      </c>
      <c r="E29" s="5" t="s">
        <v>166</v>
      </c>
      <c r="F29" s="5"/>
      <c r="G29" s="5"/>
      <c r="H29" s="5"/>
      <c r="I29" s="5"/>
      <c r="J29" s="5"/>
      <c r="K29" s="5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5"/>
      <c r="AA29" s="5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11">
        <v>2.4</v>
      </c>
      <c r="BL29" s="11"/>
      <c r="BM29" s="11">
        <v>7.5</v>
      </c>
      <c r="BN29" s="11"/>
      <c r="BO29" s="11"/>
      <c r="BP29" s="11"/>
      <c r="BQ29" s="5">
        <f>SUM(BJ29:BP29)</f>
        <v>9.9</v>
      </c>
      <c r="BR29" s="5">
        <f>(BQ29-BJ29)/2</f>
        <v>4.95</v>
      </c>
      <c r="BS29" s="11"/>
      <c r="BT29" s="11"/>
      <c r="BU29" s="11"/>
      <c r="BV29" s="11"/>
      <c r="BW29" s="11"/>
      <c r="BX29" s="11"/>
      <c r="BY29" s="5">
        <f t="shared" si="2"/>
        <v>4.95</v>
      </c>
      <c r="CK29" s="5">
        <f>SUM(CG29:CJ29)</f>
        <v>0</v>
      </c>
      <c r="CL29" s="5">
        <f>SUM(CK29-CG29)/2</f>
        <v>0</v>
      </c>
      <c r="CM29" s="11"/>
      <c r="CN29" s="11"/>
      <c r="CO29" s="11"/>
      <c r="CP29" s="11"/>
      <c r="CQ29" s="5">
        <f t="shared" si="5"/>
        <v>0</v>
      </c>
      <c r="CR29" s="5">
        <f t="shared" si="3"/>
        <v>0</v>
      </c>
      <c r="CS29" s="11"/>
      <c r="CT29" s="11"/>
      <c r="CU29" s="11"/>
      <c r="CV29" s="5">
        <f t="shared" si="4"/>
        <v>0</v>
      </c>
    </row>
    <row r="30" spans="1:100" x14ac:dyDescent="0.25">
      <c r="A30">
        <v>20</v>
      </c>
      <c r="B30" s="5" t="s">
        <v>620</v>
      </c>
      <c r="C30" s="5"/>
      <c r="D30" s="5" t="s">
        <v>621</v>
      </c>
      <c r="E30" s="5" t="s">
        <v>15</v>
      </c>
      <c r="F30" s="5"/>
      <c r="G30" s="5"/>
      <c r="H30" s="5"/>
      <c r="I30" s="5"/>
      <c r="J30" s="5"/>
      <c r="K30" s="5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5"/>
      <c r="AA30" s="5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11"/>
      <c r="BL30" s="11"/>
      <c r="BM30" s="11">
        <v>7.5</v>
      </c>
      <c r="BN30" s="11"/>
      <c r="BO30" s="11"/>
      <c r="BP30" s="11"/>
      <c r="BQ30" s="5">
        <f>SUM(BJ30:BP30)</f>
        <v>7.5</v>
      </c>
      <c r="BR30" s="5">
        <f>(BQ30-BJ30)/2</f>
        <v>3.75</v>
      </c>
      <c r="BS30" s="11"/>
      <c r="BT30" s="11"/>
      <c r="BU30" s="11"/>
      <c r="BV30" s="11"/>
      <c r="BW30" s="11"/>
      <c r="BX30" s="11"/>
      <c r="BY30" s="5">
        <f t="shared" si="2"/>
        <v>3.75</v>
      </c>
      <c r="CK30">
        <f>SUM(CG30:CJ30)</f>
        <v>0</v>
      </c>
      <c r="CL30">
        <f>SUM(CK30-CG30)/2</f>
        <v>0</v>
      </c>
      <c r="CQ30" s="5">
        <f t="shared" si="5"/>
        <v>0</v>
      </c>
      <c r="CR30" s="5">
        <f t="shared" si="3"/>
        <v>0</v>
      </c>
      <c r="CS30" s="11"/>
      <c r="CT30" s="11"/>
      <c r="CU30" s="11"/>
      <c r="CV30" s="5">
        <f t="shared" si="4"/>
        <v>0</v>
      </c>
    </row>
    <row r="31" spans="1:100" x14ac:dyDescent="0.25">
      <c r="A31">
        <v>21</v>
      </c>
      <c r="B31" s="5" t="s">
        <v>624</v>
      </c>
      <c r="C31" s="5"/>
      <c r="D31" s="5" t="s">
        <v>625</v>
      </c>
      <c r="E31" s="5" t="s">
        <v>529</v>
      </c>
      <c r="BK31" s="7">
        <v>2.4</v>
      </c>
      <c r="BQ31" s="5">
        <f>SUM(BJ31:BP31)</f>
        <v>2.4</v>
      </c>
      <c r="BR31" s="5">
        <f>(BQ31-BJ31)/2</f>
        <v>1.2</v>
      </c>
      <c r="BS31" s="11"/>
      <c r="BT31" s="11"/>
      <c r="BU31" s="11"/>
      <c r="BV31" s="11"/>
      <c r="BW31" s="11"/>
      <c r="BX31" s="11"/>
      <c r="BY31" s="5">
        <f t="shared" si="2"/>
        <v>1.2</v>
      </c>
      <c r="CK31">
        <f>SUM(CG31:CJ31)</f>
        <v>0</v>
      </c>
      <c r="CL31">
        <f>SUM(CK31-CG31)/2</f>
        <v>0</v>
      </c>
      <c r="CQ31" s="5">
        <f t="shared" si="5"/>
        <v>0</v>
      </c>
      <c r="CR31" s="5">
        <f t="shared" si="3"/>
        <v>0</v>
      </c>
      <c r="CS31" s="11"/>
      <c r="CT31" s="11"/>
      <c r="CU31" s="11"/>
      <c r="CV31" s="5">
        <f t="shared" si="4"/>
        <v>0</v>
      </c>
    </row>
  </sheetData>
  <sortState xmlns:xlrd2="http://schemas.microsoft.com/office/spreadsheetml/2017/richdata2" ref="B11:CV31">
    <sortCondition descending="1" ref="BY11:BY31"/>
  </sortState>
  <mergeCells count="6">
    <mergeCell ref="B1:CV1"/>
    <mergeCell ref="B8:C10"/>
    <mergeCell ref="BM9:BP9"/>
    <mergeCell ref="BU9:BX9"/>
    <mergeCell ref="D4:BY5"/>
    <mergeCell ref="CA4:CV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C18"/>
  <sheetViews>
    <sheetView zoomScale="80" zoomScaleNormal="80" workbookViewId="0">
      <selection activeCell="AY13" sqref="AY13"/>
    </sheetView>
  </sheetViews>
  <sheetFormatPr baseColWidth="10" defaultRowHeight="15" x14ac:dyDescent="0.25"/>
  <cols>
    <col min="1" max="1" width="3.140625" bestFit="1" customWidth="1"/>
    <col min="2" max="2" width="13.42578125" bestFit="1" customWidth="1"/>
    <col min="5" max="5" width="19.42578125" bestFit="1" customWidth="1"/>
    <col min="6" max="6" width="6.7109375" hidden="1" customWidth="1"/>
    <col min="7" max="9" width="6.42578125" hidden="1" customWidth="1"/>
    <col min="10" max="11" width="7.28515625" hidden="1" customWidth="1"/>
    <col min="12" max="17" width="7.28515625" style="7" hidden="1" customWidth="1"/>
    <col min="18" max="18" width="6.140625" style="7" hidden="1" customWidth="1"/>
    <col min="19" max="20" width="0" hidden="1" customWidth="1"/>
    <col min="21" max="25" width="5.5703125" hidden="1" customWidth="1"/>
    <col min="26" max="26" width="6.28515625" hidden="1" customWidth="1"/>
    <col min="27" max="28" width="6.85546875" hidden="1" customWidth="1"/>
    <col min="29" max="39" width="6.28515625" hidden="1" customWidth="1"/>
    <col min="40" max="40" width="7.85546875" hidden="1" customWidth="1"/>
    <col min="41" max="46" width="6.28515625" style="7" hidden="1" customWidth="1"/>
    <col min="47" max="47" width="6.28515625" customWidth="1"/>
    <col min="48" max="48" width="7.85546875" bestFit="1" customWidth="1"/>
    <col min="49" max="50" width="6.28515625" customWidth="1"/>
    <col min="51" max="51" width="6.28515625" style="7" customWidth="1"/>
    <col min="52" max="54" width="6.28515625" customWidth="1"/>
    <col min="55" max="55" width="7.42578125" bestFit="1" customWidth="1"/>
    <col min="57" max="57" width="0" hidden="1" customWidth="1"/>
    <col min="58" max="59" width="6.5703125" hidden="1" customWidth="1"/>
    <col min="60" max="60" width="7.7109375" hidden="1" customWidth="1"/>
    <col min="61" max="61" width="6.28515625" hidden="1" customWidth="1"/>
    <col min="62" max="64" width="0" hidden="1" customWidth="1"/>
    <col min="65" max="68" width="6.5703125" hidden="1" customWidth="1"/>
    <col min="69" max="70" width="0" hidden="1" customWidth="1"/>
    <col min="71" max="71" width="4" style="7" hidden="1" customWidth="1"/>
    <col min="72" max="75" width="5.5703125" style="7" hidden="1" customWidth="1"/>
    <col min="76" max="76" width="6.28515625" style="7" hidden="1" customWidth="1"/>
    <col min="79" max="79" width="6" bestFit="1" customWidth="1"/>
    <col min="80" max="80" width="6" customWidth="1"/>
  </cols>
  <sheetData>
    <row r="1" spans="1:81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</row>
    <row r="2" spans="1:81" ht="15.75" thickBot="1" x14ac:dyDescent="0.3">
      <c r="C2" s="7"/>
      <c r="D2" s="7"/>
      <c r="E2" s="7"/>
      <c r="F2" s="7"/>
    </row>
    <row r="3" spans="1:81" ht="15.75" thickTop="1" x14ac:dyDescent="0.25">
      <c r="B3" s="1" t="s">
        <v>0</v>
      </c>
      <c r="C3" s="4" t="s">
        <v>29</v>
      </c>
    </row>
    <row r="4" spans="1:81" ht="14.65" customHeight="1" x14ac:dyDescent="0.25">
      <c r="B4" s="2" t="s">
        <v>1</v>
      </c>
      <c r="C4" s="10" t="s">
        <v>30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E4" s="56" t="s">
        <v>641</v>
      </c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</row>
    <row r="5" spans="1:81" ht="15" customHeight="1" thickBot="1" x14ac:dyDescent="0.3">
      <c r="B5" s="3" t="s">
        <v>2</v>
      </c>
      <c r="C5" s="34">
        <v>-100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</row>
    <row r="6" spans="1:81" ht="15.75" thickTop="1" x14ac:dyDescent="0.25"/>
    <row r="7" spans="1:81" ht="15.75" thickBot="1" x14ac:dyDescent="0.3"/>
    <row r="8" spans="1:81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27</v>
      </c>
      <c r="H8" s="4" t="s">
        <v>31</v>
      </c>
      <c r="I8" s="4" t="s">
        <v>72</v>
      </c>
      <c r="J8" s="4" t="s">
        <v>99</v>
      </c>
      <c r="K8" s="4" t="s">
        <v>132</v>
      </c>
      <c r="L8" s="4" t="s">
        <v>141</v>
      </c>
      <c r="M8" s="4" t="s">
        <v>146</v>
      </c>
      <c r="N8" s="4" t="s">
        <v>151</v>
      </c>
      <c r="O8" s="4" t="s">
        <v>27</v>
      </c>
      <c r="P8" s="4" t="s">
        <v>168</v>
      </c>
      <c r="Q8" s="4" t="s">
        <v>171</v>
      </c>
      <c r="R8" s="4" t="s">
        <v>173</v>
      </c>
      <c r="S8" s="1"/>
      <c r="T8" s="12">
        <v>44927</v>
      </c>
      <c r="U8" s="17" t="s">
        <v>173</v>
      </c>
      <c r="V8" s="17" t="s">
        <v>217</v>
      </c>
      <c r="W8" s="17" t="s">
        <v>173</v>
      </c>
      <c r="X8" s="17" t="s">
        <v>173</v>
      </c>
      <c r="Y8" s="17" t="s">
        <v>174</v>
      </c>
      <c r="Z8" s="4" t="s">
        <v>6</v>
      </c>
      <c r="AA8" s="16">
        <v>45292</v>
      </c>
      <c r="AB8" s="16" t="s">
        <v>27</v>
      </c>
      <c r="AC8" s="16" t="s">
        <v>27</v>
      </c>
      <c r="AD8" s="16" t="s">
        <v>173</v>
      </c>
      <c r="AE8" s="16" t="s">
        <v>173</v>
      </c>
      <c r="AF8" s="16" t="s">
        <v>217</v>
      </c>
      <c r="AG8" s="16" t="s">
        <v>217</v>
      </c>
      <c r="AH8" s="16" t="s">
        <v>173</v>
      </c>
      <c r="AI8" s="16" t="s">
        <v>27</v>
      </c>
      <c r="AJ8" s="16" t="s">
        <v>27</v>
      </c>
      <c r="AK8" s="16" t="s">
        <v>173</v>
      </c>
      <c r="AL8" s="16" t="s">
        <v>174</v>
      </c>
      <c r="AM8" s="16" t="s">
        <v>6</v>
      </c>
      <c r="AN8" s="16">
        <v>45658</v>
      </c>
      <c r="AO8" s="16"/>
      <c r="AP8" s="16"/>
      <c r="AQ8" s="38"/>
      <c r="AR8" s="39"/>
      <c r="AS8" s="39"/>
      <c r="AT8" s="40"/>
      <c r="AU8" s="16" t="s">
        <v>6</v>
      </c>
      <c r="AV8" s="16">
        <v>46023</v>
      </c>
      <c r="AW8" s="16"/>
      <c r="AX8" s="16"/>
      <c r="AY8" s="38"/>
      <c r="AZ8" s="39"/>
      <c r="BA8" s="39"/>
      <c r="BB8" s="40"/>
      <c r="BC8" s="16" t="s">
        <v>178</v>
      </c>
      <c r="BE8" s="1" t="s">
        <v>175</v>
      </c>
      <c r="BF8" s="1" t="s">
        <v>214</v>
      </c>
      <c r="BG8" s="1" t="s">
        <v>171</v>
      </c>
      <c r="BH8" s="17" t="s">
        <v>262</v>
      </c>
      <c r="BI8" s="17" t="s">
        <v>275</v>
      </c>
      <c r="BJ8" s="1" t="s">
        <v>6</v>
      </c>
      <c r="BK8" s="16">
        <v>45292</v>
      </c>
      <c r="BL8" s="4" t="s">
        <v>175</v>
      </c>
      <c r="BM8" s="4" t="s">
        <v>296</v>
      </c>
      <c r="BN8" s="4" t="s">
        <v>164</v>
      </c>
      <c r="BO8" s="4" t="s">
        <v>171</v>
      </c>
      <c r="BP8" s="4" t="s">
        <v>283</v>
      </c>
      <c r="BQ8" s="4" t="s">
        <v>6</v>
      </c>
      <c r="BR8" s="16">
        <v>45658</v>
      </c>
      <c r="BS8" s="4" t="s">
        <v>296</v>
      </c>
      <c r="BT8" s="4" t="s">
        <v>164</v>
      </c>
      <c r="BU8" s="4" t="s">
        <v>31</v>
      </c>
      <c r="BV8" s="4" t="s">
        <v>275</v>
      </c>
      <c r="BW8" s="4" t="s">
        <v>171</v>
      </c>
      <c r="BX8" s="4" t="s">
        <v>283</v>
      </c>
      <c r="BY8" s="4" t="s">
        <v>178</v>
      </c>
      <c r="BZ8" s="16">
        <v>46023</v>
      </c>
      <c r="CA8" s="4" t="s">
        <v>31</v>
      </c>
      <c r="CB8" s="4" t="s">
        <v>171</v>
      </c>
      <c r="CC8" s="1" t="s">
        <v>6</v>
      </c>
    </row>
    <row r="9" spans="1:81" x14ac:dyDescent="0.25">
      <c r="B9" s="50"/>
      <c r="C9" s="51"/>
      <c r="D9" s="2"/>
      <c r="E9" s="2"/>
      <c r="F9" s="10" t="s">
        <v>73</v>
      </c>
      <c r="G9" s="8" t="s">
        <v>56</v>
      </c>
      <c r="H9" s="8" t="s">
        <v>32</v>
      </c>
      <c r="I9" s="10" t="s">
        <v>73</v>
      </c>
      <c r="J9" s="10" t="s">
        <v>100</v>
      </c>
      <c r="K9" s="10" t="s">
        <v>133</v>
      </c>
      <c r="L9" s="10" t="s">
        <v>140</v>
      </c>
      <c r="M9" s="10" t="s">
        <v>73</v>
      </c>
      <c r="N9" s="10" t="s">
        <v>152</v>
      </c>
      <c r="O9" s="10" t="s">
        <v>162</v>
      </c>
      <c r="P9" s="10" t="s">
        <v>169</v>
      </c>
      <c r="Q9" s="10" t="s">
        <v>172</v>
      </c>
      <c r="R9" s="10" t="s">
        <v>174</v>
      </c>
      <c r="S9" s="2" t="s">
        <v>6</v>
      </c>
      <c r="T9" s="2"/>
      <c r="U9" s="18" t="s">
        <v>134</v>
      </c>
      <c r="V9" s="18" t="s">
        <v>132</v>
      </c>
      <c r="W9" s="18" t="s">
        <v>132</v>
      </c>
      <c r="X9" s="18" t="s">
        <v>141</v>
      </c>
      <c r="Y9" s="18"/>
      <c r="Z9" s="2"/>
      <c r="AA9" s="10"/>
      <c r="AB9" s="10" t="s">
        <v>346</v>
      </c>
      <c r="AC9" s="10" t="s">
        <v>56</v>
      </c>
      <c r="AD9" s="10" t="s">
        <v>132</v>
      </c>
      <c r="AE9" s="10" t="s">
        <v>396</v>
      </c>
      <c r="AF9" s="10" t="s">
        <v>134</v>
      </c>
      <c r="AG9" s="10" t="s">
        <v>141</v>
      </c>
      <c r="AH9" s="10" t="s">
        <v>134</v>
      </c>
      <c r="AI9" s="10" t="s">
        <v>159</v>
      </c>
      <c r="AJ9" s="10" t="s">
        <v>56</v>
      </c>
      <c r="AK9" s="10" t="s">
        <v>141</v>
      </c>
      <c r="AL9" s="10" t="s">
        <v>475</v>
      </c>
      <c r="AM9" s="10"/>
      <c r="AN9" s="10"/>
      <c r="AO9" s="8" t="s">
        <v>27</v>
      </c>
      <c r="AP9" s="8" t="s">
        <v>217</v>
      </c>
      <c r="AQ9" s="52" t="s">
        <v>477</v>
      </c>
      <c r="AR9" s="53"/>
      <c r="AS9" s="53"/>
      <c r="AT9" s="54"/>
      <c r="AU9" s="10"/>
      <c r="AV9" s="10"/>
      <c r="AW9" s="8" t="s">
        <v>27</v>
      </c>
      <c r="AX9" s="8" t="s">
        <v>217</v>
      </c>
      <c r="AY9" s="52" t="s">
        <v>477</v>
      </c>
      <c r="AZ9" s="53"/>
      <c r="BA9" s="53"/>
      <c r="BB9" s="54"/>
      <c r="BC9" s="8"/>
      <c r="BE9" s="2" t="s">
        <v>176</v>
      </c>
      <c r="BF9" s="2"/>
      <c r="BG9" s="2" t="s">
        <v>255</v>
      </c>
      <c r="BH9" s="18" t="s">
        <v>263</v>
      </c>
      <c r="BI9" s="18" t="s">
        <v>276</v>
      </c>
      <c r="BJ9" s="2"/>
      <c r="BK9" s="7"/>
      <c r="BL9" s="10" t="s">
        <v>176</v>
      </c>
      <c r="BM9" s="10"/>
      <c r="BN9" s="10" t="s">
        <v>255</v>
      </c>
      <c r="BO9" s="10" t="s">
        <v>255</v>
      </c>
      <c r="BP9" s="10" t="s">
        <v>73</v>
      </c>
      <c r="BQ9" s="10"/>
      <c r="BR9" s="10"/>
      <c r="BS9" s="10"/>
      <c r="BT9" s="10" t="s">
        <v>100</v>
      </c>
      <c r="BU9" s="10" t="s">
        <v>419</v>
      </c>
      <c r="BV9" s="10" t="s">
        <v>419</v>
      </c>
      <c r="BW9" s="10" t="s">
        <v>255</v>
      </c>
      <c r="BX9" s="10" t="s">
        <v>73</v>
      </c>
      <c r="BY9" s="10"/>
      <c r="BZ9" s="10"/>
      <c r="CA9" s="10" t="s">
        <v>152</v>
      </c>
      <c r="CB9" s="10" t="s">
        <v>419</v>
      </c>
      <c r="CC9" s="2"/>
    </row>
    <row r="10" spans="1:81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44660</v>
      </c>
      <c r="H10" s="9">
        <v>44661</v>
      </c>
      <c r="I10" s="9">
        <v>44681</v>
      </c>
      <c r="J10" s="9">
        <v>44695</v>
      </c>
      <c r="K10" s="9">
        <v>44730</v>
      </c>
      <c r="L10" s="9">
        <v>44737</v>
      </c>
      <c r="M10" s="9">
        <v>44758</v>
      </c>
      <c r="N10" s="9">
        <v>44783</v>
      </c>
      <c r="O10" s="9">
        <v>44814</v>
      </c>
      <c r="P10" s="9">
        <v>44829</v>
      </c>
      <c r="Q10" s="9">
        <v>44867</v>
      </c>
      <c r="R10" s="9">
        <v>44906</v>
      </c>
      <c r="S10" s="2">
        <v>2022</v>
      </c>
      <c r="T10" s="2"/>
      <c r="U10" s="18" t="s">
        <v>193</v>
      </c>
      <c r="V10" s="18" t="s">
        <v>218</v>
      </c>
      <c r="W10" s="18" t="s">
        <v>242</v>
      </c>
      <c r="X10" s="18" t="s">
        <v>268</v>
      </c>
      <c r="Y10" s="18" t="s">
        <v>289</v>
      </c>
      <c r="Z10" s="2">
        <v>2023</v>
      </c>
      <c r="AA10" s="31"/>
      <c r="AB10" s="31" t="s">
        <v>317</v>
      </c>
      <c r="AC10" s="31" t="s">
        <v>373</v>
      </c>
      <c r="AD10" s="31" t="s">
        <v>384</v>
      </c>
      <c r="AE10" s="31" t="s">
        <v>397</v>
      </c>
      <c r="AF10" s="31" t="s">
        <v>405</v>
      </c>
      <c r="AG10" s="31" t="s">
        <v>416</v>
      </c>
      <c r="AH10" s="31" t="s">
        <v>421</v>
      </c>
      <c r="AI10" s="31" t="s">
        <v>445</v>
      </c>
      <c r="AJ10" s="31" t="s">
        <v>445</v>
      </c>
      <c r="AK10" s="31" t="s">
        <v>465</v>
      </c>
      <c r="AL10" s="31" t="s">
        <v>476</v>
      </c>
      <c r="AM10" s="31">
        <v>2024</v>
      </c>
      <c r="AN10" s="10"/>
      <c r="AO10" s="10"/>
      <c r="AP10" s="10"/>
      <c r="AQ10" s="10">
        <v>1</v>
      </c>
      <c r="AR10" s="10">
        <v>2</v>
      </c>
      <c r="AS10" s="10">
        <v>3</v>
      </c>
      <c r="AT10" s="10">
        <v>4</v>
      </c>
      <c r="AU10" s="10">
        <v>2025</v>
      </c>
      <c r="AV10" s="10"/>
      <c r="AW10" s="10"/>
      <c r="AX10" s="10"/>
      <c r="AY10" s="10">
        <v>1</v>
      </c>
      <c r="AZ10" s="10">
        <v>2</v>
      </c>
      <c r="BA10" s="10">
        <v>3</v>
      </c>
      <c r="BB10" s="10">
        <v>4</v>
      </c>
      <c r="BC10" s="10">
        <v>2026</v>
      </c>
      <c r="BE10" s="2"/>
      <c r="BF10" s="14">
        <v>45078</v>
      </c>
      <c r="BG10" s="14">
        <v>45154</v>
      </c>
      <c r="BH10" s="26">
        <v>45178</v>
      </c>
      <c r="BI10" s="27">
        <v>45204</v>
      </c>
      <c r="BJ10" s="2">
        <v>2023</v>
      </c>
      <c r="BK10" s="7"/>
      <c r="BL10" s="10"/>
      <c r="BM10" s="9">
        <v>45347</v>
      </c>
      <c r="BN10" s="9" t="s">
        <v>456</v>
      </c>
      <c r="BO10" s="9" t="s">
        <v>457</v>
      </c>
      <c r="BP10" s="9" t="s">
        <v>474</v>
      </c>
      <c r="BQ10" s="10">
        <v>2024</v>
      </c>
      <c r="BR10" s="10"/>
      <c r="BS10" s="10" t="s">
        <v>480</v>
      </c>
      <c r="BT10" s="10" t="s">
        <v>317</v>
      </c>
      <c r="BU10" s="10" t="s">
        <v>527</v>
      </c>
      <c r="BV10" s="10" t="s">
        <v>616</v>
      </c>
      <c r="BW10" s="10" t="s">
        <v>632</v>
      </c>
      <c r="BX10" s="10" t="s">
        <v>474</v>
      </c>
      <c r="BY10" s="10">
        <v>2025</v>
      </c>
      <c r="BZ10" s="10"/>
      <c r="CA10" s="10" t="s">
        <v>193</v>
      </c>
      <c r="CB10" s="10" t="s">
        <v>723</v>
      </c>
      <c r="CC10" s="2">
        <v>2026</v>
      </c>
    </row>
    <row r="11" spans="1:81" x14ac:dyDescent="0.25">
      <c r="A11">
        <v>1</v>
      </c>
      <c r="B11" s="20" t="s">
        <v>70</v>
      </c>
      <c r="C11" s="20"/>
      <c r="D11" s="20" t="s">
        <v>305</v>
      </c>
      <c r="E11" s="20" t="s">
        <v>301</v>
      </c>
      <c r="F11" s="5"/>
      <c r="G11" s="5"/>
      <c r="H11" s="5"/>
      <c r="I11" s="5"/>
      <c r="J11" s="5"/>
      <c r="K11" s="5"/>
      <c r="L11" s="11"/>
      <c r="M11" s="11"/>
      <c r="N11" s="11"/>
      <c r="O11" s="11"/>
      <c r="P11" s="11"/>
      <c r="Q11" s="11"/>
      <c r="R11" s="11"/>
      <c r="S11" s="5"/>
      <c r="T11" s="5"/>
      <c r="U11" s="5"/>
      <c r="V11" s="5"/>
      <c r="W11" s="5"/>
      <c r="X11" s="5"/>
      <c r="Y11" s="5"/>
      <c r="Z11" s="5">
        <f>SUM(T11:Y11)</f>
        <v>0</v>
      </c>
      <c r="AA11" s="5">
        <f>(Z11-T11)/2</f>
        <v>0</v>
      </c>
      <c r="AB11" s="5"/>
      <c r="AC11" s="5">
        <v>36</v>
      </c>
      <c r="AD11" s="5">
        <v>84</v>
      </c>
      <c r="AE11" s="5">
        <v>4</v>
      </c>
      <c r="AF11" s="5"/>
      <c r="AG11" s="5">
        <v>48</v>
      </c>
      <c r="AH11" s="5">
        <v>120</v>
      </c>
      <c r="AI11" s="5"/>
      <c r="AJ11" s="5">
        <v>36</v>
      </c>
      <c r="AK11" s="5">
        <v>84</v>
      </c>
      <c r="AL11" s="5">
        <v>120</v>
      </c>
      <c r="AM11" s="5">
        <f>SUM(AA11:AL11)</f>
        <v>532</v>
      </c>
      <c r="AN11" s="5">
        <f>(AM11-AA11)/2</f>
        <v>266</v>
      </c>
      <c r="AO11" s="11">
        <v>36</v>
      </c>
      <c r="AP11" s="11">
        <v>64</v>
      </c>
      <c r="AQ11" s="11">
        <v>90</v>
      </c>
      <c r="AR11" s="11">
        <v>36</v>
      </c>
      <c r="AS11" s="11">
        <v>120</v>
      </c>
      <c r="AT11" s="11">
        <v>120</v>
      </c>
      <c r="AU11" s="5">
        <f>SUM(AN11:AT11)</f>
        <v>732</v>
      </c>
      <c r="AV11" s="5">
        <f>(AU11-AN11)/2</f>
        <v>233</v>
      </c>
      <c r="AW11" s="5">
        <v>48</v>
      </c>
      <c r="AX11" s="5">
        <v>48</v>
      </c>
      <c r="AY11" s="11">
        <v>120</v>
      </c>
      <c r="AZ11" s="5"/>
      <c r="BA11" s="5"/>
      <c r="BB11" s="5"/>
      <c r="BC11" s="5">
        <f t="shared" ref="BC11:BC18" si="0">SUM(AV11:BB11)</f>
        <v>449</v>
      </c>
      <c r="BE11" s="5"/>
      <c r="BF11" s="5"/>
      <c r="BG11" s="5"/>
      <c r="BH11" s="5"/>
      <c r="BI11" s="5"/>
      <c r="BJ11" s="5">
        <f>SUM(BE11:BF11)</f>
        <v>0</v>
      </c>
      <c r="BK11" s="11">
        <f>BJ11/2</f>
        <v>0</v>
      </c>
      <c r="BL11" s="11">
        <f>AM11/4</f>
        <v>133</v>
      </c>
      <c r="BM11" s="5">
        <v>20</v>
      </c>
      <c r="BN11" s="5">
        <v>7.5</v>
      </c>
      <c r="BO11" s="5">
        <v>100</v>
      </c>
      <c r="BP11" s="11">
        <v>30</v>
      </c>
      <c r="BQ11" s="11">
        <f>SUM(BK11:BP11)</f>
        <v>290.5</v>
      </c>
      <c r="BR11" s="5">
        <f>(BQ11-BK11)/2</f>
        <v>145.25</v>
      </c>
      <c r="BS11" s="11">
        <v>20</v>
      </c>
      <c r="BT11" s="11">
        <v>105</v>
      </c>
      <c r="BU11" s="11">
        <v>108</v>
      </c>
      <c r="BV11" s="11">
        <v>25</v>
      </c>
      <c r="BW11" s="11">
        <v>60</v>
      </c>
      <c r="BX11" s="11"/>
      <c r="BY11" s="5">
        <f>SUM(BR11:BW11)</f>
        <v>463.25</v>
      </c>
      <c r="BZ11" s="5">
        <f t="shared" ref="BZ11:BZ18" si="1">(BY11-BR11)/2</f>
        <v>159</v>
      </c>
      <c r="CA11" s="5">
        <v>108</v>
      </c>
      <c r="CB11" s="5">
        <v>100</v>
      </c>
      <c r="CC11" s="20">
        <f>SUM(BZ11:CB11)</f>
        <v>367</v>
      </c>
    </row>
    <row r="12" spans="1:81" x14ac:dyDescent="0.25">
      <c r="A12">
        <v>2</v>
      </c>
      <c r="B12" s="21" t="s">
        <v>57</v>
      </c>
      <c r="C12" s="21"/>
      <c r="D12" s="21" t="s">
        <v>583</v>
      </c>
      <c r="E12" s="21" t="s">
        <v>435</v>
      </c>
      <c r="F12" s="5"/>
      <c r="G12" s="5"/>
      <c r="H12" s="5"/>
      <c r="I12" s="5"/>
      <c r="J12" s="5"/>
      <c r="K12" s="5"/>
      <c r="L12" s="11"/>
      <c r="M12" s="11"/>
      <c r="N12" s="11"/>
      <c r="O12" s="11"/>
      <c r="P12" s="11"/>
      <c r="Q12" s="11"/>
      <c r="R12" s="11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11">
        <v>36</v>
      </c>
      <c r="AP12" s="11">
        <v>48</v>
      </c>
      <c r="AQ12" s="11">
        <v>90</v>
      </c>
      <c r="AR12" s="11">
        <v>60</v>
      </c>
      <c r="AS12" s="11">
        <v>7.5</v>
      </c>
      <c r="AT12" s="11">
        <v>3.2</v>
      </c>
      <c r="AU12" s="5">
        <f>SUM(AN12:AT12)</f>
        <v>244.7</v>
      </c>
      <c r="AV12" s="5">
        <f>(AU12-AN12)/2</f>
        <v>122.35</v>
      </c>
      <c r="AW12" s="5">
        <v>36</v>
      </c>
      <c r="AX12" s="5"/>
      <c r="AY12" s="11">
        <v>36</v>
      </c>
      <c r="AZ12" s="5"/>
      <c r="BA12" s="5"/>
      <c r="BB12" s="5"/>
      <c r="BC12" s="5">
        <f t="shared" si="0"/>
        <v>194.35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11">
        <f>SUM(BK12:BM12)</f>
        <v>0</v>
      </c>
      <c r="BR12" s="5">
        <f>(BQ12-BK12)/2</f>
        <v>0</v>
      </c>
      <c r="BS12" s="11"/>
      <c r="BT12" s="11"/>
      <c r="BU12" s="11"/>
      <c r="BV12" s="11"/>
      <c r="BW12" s="11"/>
      <c r="BX12" s="11">
        <v>30</v>
      </c>
      <c r="BY12" s="5">
        <f t="shared" ref="BY12:BY18" si="2">SUM(BR12:BX12)</f>
        <v>30</v>
      </c>
      <c r="BZ12" s="5">
        <f t="shared" si="1"/>
        <v>15</v>
      </c>
      <c r="CA12" s="5"/>
      <c r="CB12" s="5"/>
      <c r="CC12" s="21">
        <f t="shared" ref="CC12:CC18" si="3">SUM(BZ12:CA12)</f>
        <v>15</v>
      </c>
    </row>
    <row r="13" spans="1:81" x14ac:dyDescent="0.25">
      <c r="A13">
        <v>3</v>
      </c>
      <c r="B13" s="5" t="s">
        <v>709</v>
      </c>
      <c r="C13" s="5"/>
      <c r="D13" s="5" t="s">
        <v>543</v>
      </c>
      <c r="E13" s="5" t="s">
        <v>304</v>
      </c>
      <c r="F13" s="5"/>
      <c r="G13" s="5"/>
      <c r="H13" s="5"/>
      <c r="I13" s="5"/>
      <c r="J13" s="5"/>
      <c r="K13" s="5"/>
      <c r="L13" s="11"/>
      <c r="M13" s="11"/>
      <c r="N13" s="11"/>
      <c r="O13" s="11"/>
      <c r="P13" s="11"/>
      <c r="Q13" s="11"/>
      <c r="R13" s="11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11"/>
      <c r="AP13" s="11"/>
      <c r="AQ13" s="11"/>
      <c r="AR13" s="11"/>
      <c r="AS13" s="11"/>
      <c r="AT13" s="11"/>
      <c r="AU13" s="5"/>
      <c r="AV13" s="5"/>
      <c r="AW13" s="5"/>
      <c r="AX13" s="5">
        <v>64</v>
      </c>
      <c r="AY13" s="11"/>
      <c r="AZ13" s="5"/>
      <c r="BA13" s="5"/>
      <c r="BB13" s="5"/>
      <c r="BC13" s="5">
        <f t="shared" si="0"/>
        <v>64</v>
      </c>
      <c r="BJ13" s="5"/>
      <c r="BK13" s="5"/>
      <c r="BL13" s="5"/>
      <c r="BM13" s="5"/>
      <c r="BN13" s="5"/>
      <c r="BO13" s="5"/>
      <c r="BP13" s="5"/>
      <c r="BQ13" s="5"/>
      <c r="BR13" s="5"/>
      <c r="BS13" s="11"/>
      <c r="BT13" s="11"/>
      <c r="BU13" s="11"/>
      <c r="BV13" s="11"/>
      <c r="BW13" s="11"/>
      <c r="BX13" s="11"/>
      <c r="BY13" s="5">
        <f t="shared" si="2"/>
        <v>0</v>
      </c>
      <c r="BZ13" s="5">
        <f t="shared" si="1"/>
        <v>0</v>
      </c>
      <c r="CA13" s="5"/>
      <c r="CB13" s="5"/>
      <c r="CC13" s="5">
        <f t="shared" si="3"/>
        <v>0</v>
      </c>
    </row>
    <row r="14" spans="1:81" x14ac:dyDescent="0.25">
      <c r="A14" s="46">
        <v>4</v>
      </c>
      <c r="B14" s="5" t="s">
        <v>270</v>
      </c>
      <c r="C14" s="5"/>
      <c r="D14" s="5" t="s">
        <v>84</v>
      </c>
      <c r="E14" s="5" t="s">
        <v>529</v>
      </c>
      <c r="F14" s="5"/>
      <c r="G14" s="5"/>
      <c r="H14" s="5"/>
      <c r="I14" s="5"/>
      <c r="J14" s="5"/>
      <c r="K14" s="5"/>
      <c r="L14" s="11"/>
      <c r="M14" s="11"/>
      <c r="N14" s="11"/>
      <c r="O14" s="11"/>
      <c r="P14" s="11"/>
      <c r="Q14" s="11"/>
      <c r="R14" s="11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11"/>
      <c r="AP14" s="11"/>
      <c r="AQ14" s="11"/>
      <c r="AR14" s="11"/>
      <c r="AS14" s="11"/>
      <c r="AT14" s="11"/>
      <c r="AU14" s="5"/>
      <c r="AV14" s="5"/>
      <c r="AW14" s="5">
        <v>36</v>
      </c>
      <c r="AX14" s="5">
        <v>3.2</v>
      </c>
      <c r="AY14" s="11">
        <v>6</v>
      </c>
      <c r="AZ14" s="5"/>
      <c r="BA14" s="5"/>
      <c r="BB14" s="5"/>
      <c r="BC14" s="5">
        <f t="shared" si="0"/>
        <v>45.2</v>
      </c>
      <c r="BJ14" s="5"/>
      <c r="BK14" s="5"/>
      <c r="BL14" s="5"/>
      <c r="BM14" s="5"/>
      <c r="BN14" s="5"/>
      <c r="BO14" s="5"/>
      <c r="BP14" s="5"/>
      <c r="BQ14" s="5"/>
      <c r="BR14" s="5"/>
      <c r="BS14" s="11"/>
      <c r="BT14" s="11"/>
      <c r="BU14" s="11"/>
      <c r="BV14" s="11"/>
      <c r="BW14" s="11"/>
      <c r="BX14" s="11"/>
      <c r="BY14" s="5">
        <f t="shared" si="2"/>
        <v>0</v>
      </c>
      <c r="BZ14" s="5">
        <f t="shared" si="1"/>
        <v>0</v>
      </c>
      <c r="CA14" s="5"/>
      <c r="CB14" s="5"/>
      <c r="CC14" s="5">
        <f t="shared" si="3"/>
        <v>0</v>
      </c>
    </row>
    <row r="15" spans="1:81" x14ac:dyDescent="0.25">
      <c r="A15">
        <v>5</v>
      </c>
      <c r="B15" s="5" t="s">
        <v>499</v>
      </c>
      <c r="C15" s="5"/>
      <c r="D15" s="5" t="s">
        <v>157</v>
      </c>
      <c r="E15" s="5" t="s">
        <v>194</v>
      </c>
      <c r="F15" s="5"/>
      <c r="G15" s="5"/>
      <c r="H15" s="5"/>
      <c r="I15" s="5"/>
      <c r="J15" s="5"/>
      <c r="K15" s="5"/>
      <c r="L15" s="11"/>
      <c r="M15" s="11"/>
      <c r="N15" s="11"/>
      <c r="O15" s="11"/>
      <c r="P15" s="11"/>
      <c r="Q15" s="11"/>
      <c r="R15" s="11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11">
        <v>36</v>
      </c>
      <c r="AP15" s="11">
        <v>48</v>
      </c>
      <c r="AQ15" s="11"/>
      <c r="AR15" s="11"/>
      <c r="AS15" s="11"/>
      <c r="AT15" s="11"/>
      <c r="AU15" s="5">
        <f>SUM(AN15:AT15)</f>
        <v>84</v>
      </c>
      <c r="AV15" s="5">
        <f>(AU15-AN15)/2</f>
        <v>42</v>
      </c>
      <c r="AW15" s="5"/>
      <c r="AX15" s="5"/>
      <c r="AY15" s="11"/>
      <c r="AZ15" s="5"/>
      <c r="BA15" s="5"/>
      <c r="BB15" s="5"/>
      <c r="BC15" s="5">
        <f t="shared" si="0"/>
        <v>42</v>
      </c>
      <c r="BJ15" s="5"/>
      <c r="BK15" s="5"/>
      <c r="BL15" s="5"/>
      <c r="BM15" s="5"/>
      <c r="BN15" s="5"/>
      <c r="BO15" s="5"/>
      <c r="BP15" s="5"/>
      <c r="BQ15" s="11">
        <f>SUM(BK15:BM15)</f>
        <v>0</v>
      </c>
      <c r="BR15" s="5">
        <f>(BQ15-BK15)/2</f>
        <v>0</v>
      </c>
      <c r="BS15" s="11"/>
      <c r="BT15" s="11"/>
      <c r="BU15" s="11"/>
      <c r="BV15" s="11"/>
      <c r="BW15" s="11"/>
      <c r="BX15" s="11"/>
      <c r="BY15" s="5">
        <f t="shared" si="2"/>
        <v>0</v>
      </c>
      <c r="BZ15" s="5">
        <f t="shared" si="1"/>
        <v>0</v>
      </c>
      <c r="CA15" s="5"/>
      <c r="CB15" s="5"/>
      <c r="CC15" s="5">
        <f t="shared" si="3"/>
        <v>0</v>
      </c>
    </row>
    <row r="16" spans="1:81" x14ac:dyDescent="0.25">
      <c r="A16">
        <v>6</v>
      </c>
      <c r="B16" s="5" t="s">
        <v>607</v>
      </c>
      <c r="C16" s="5"/>
      <c r="D16" s="5" t="s">
        <v>205</v>
      </c>
      <c r="E16" s="5" t="s">
        <v>102</v>
      </c>
      <c r="F16" s="5"/>
      <c r="G16" s="5"/>
      <c r="H16" s="5"/>
      <c r="I16" s="5"/>
      <c r="J16" s="5"/>
      <c r="K16" s="5"/>
      <c r="L16" s="11"/>
      <c r="M16" s="11"/>
      <c r="N16" s="11"/>
      <c r="O16" s="11"/>
      <c r="P16" s="11"/>
      <c r="Q16" s="11"/>
      <c r="R16" s="11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11">
        <v>48</v>
      </c>
      <c r="AP16" s="11"/>
      <c r="AQ16" s="11"/>
      <c r="AR16" s="11"/>
      <c r="AS16" s="11"/>
      <c r="AT16" s="11"/>
      <c r="AU16" s="5">
        <f>SUM(AN16:AT16)</f>
        <v>48</v>
      </c>
      <c r="AV16" s="5">
        <f>(AU16-AN16)/2</f>
        <v>24</v>
      </c>
      <c r="AW16" s="5"/>
      <c r="AX16" s="5"/>
      <c r="AY16" s="11"/>
      <c r="AZ16" s="5"/>
      <c r="BA16" s="5"/>
      <c r="BB16" s="5"/>
      <c r="BC16" s="5">
        <f t="shared" si="0"/>
        <v>24</v>
      </c>
      <c r="BQ16" s="7">
        <f>SUM(BK16:BM16)</f>
        <v>0</v>
      </c>
      <c r="BR16">
        <f>(BQ16-BK16)/2</f>
        <v>0</v>
      </c>
      <c r="BY16" s="5">
        <f t="shared" si="2"/>
        <v>0</v>
      </c>
      <c r="BZ16" s="5">
        <f t="shared" si="1"/>
        <v>0</v>
      </c>
      <c r="CA16" s="5"/>
      <c r="CB16" s="5"/>
      <c r="CC16" s="5">
        <f t="shared" si="3"/>
        <v>0</v>
      </c>
    </row>
    <row r="17" spans="1:81" x14ac:dyDescent="0.25">
      <c r="A17">
        <v>7</v>
      </c>
      <c r="B17" s="5" t="s">
        <v>87</v>
      </c>
      <c r="C17" s="5"/>
      <c r="D17" s="5" t="s">
        <v>88</v>
      </c>
      <c r="E17" s="5" t="s">
        <v>18</v>
      </c>
      <c r="F17" s="5"/>
      <c r="G17" s="5"/>
      <c r="H17" s="5"/>
      <c r="I17" s="5"/>
      <c r="J17" s="5"/>
      <c r="K17" s="5"/>
      <c r="L17" s="11"/>
      <c r="M17" s="11"/>
      <c r="N17" s="11"/>
      <c r="O17" s="11"/>
      <c r="P17" s="11"/>
      <c r="Q17" s="11"/>
      <c r="R17" s="11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11">
        <v>36</v>
      </c>
      <c r="AP17" s="11"/>
      <c r="AQ17" s="11"/>
      <c r="AR17" s="11"/>
      <c r="AS17" s="11"/>
      <c r="AT17" s="11"/>
      <c r="AU17" s="5">
        <f>SUM(AN17:AT17)</f>
        <v>36</v>
      </c>
      <c r="AV17" s="5">
        <f>(AU17-AN17)/2</f>
        <v>18</v>
      </c>
      <c r="AW17" s="5"/>
      <c r="AX17" s="5"/>
      <c r="AY17" s="11"/>
      <c r="AZ17" s="5"/>
      <c r="BA17" s="5"/>
      <c r="BB17" s="5"/>
      <c r="BC17" s="5">
        <f t="shared" si="0"/>
        <v>18</v>
      </c>
      <c r="BQ17" s="7">
        <f>SUM(BK17:BM17)</f>
        <v>0</v>
      </c>
      <c r="BR17">
        <f>(BQ17-BK17)/2</f>
        <v>0</v>
      </c>
      <c r="BY17" s="5">
        <f t="shared" si="2"/>
        <v>0</v>
      </c>
      <c r="BZ17" s="5">
        <f t="shared" si="1"/>
        <v>0</v>
      </c>
      <c r="CA17" s="5"/>
      <c r="CB17" s="5"/>
      <c r="CC17" s="5">
        <f t="shared" si="3"/>
        <v>0</v>
      </c>
    </row>
    <row r="18" spans="1:81" x14ac:dyDescent="0.25">
      <c r="A18">
        <v>8</v>
      </c>
      <c r="B18" s="5" t="s">
        <v>679</v>
      </c>
      <c r="C18" s="5"/>
      <c r="D18" s="5" t="s">
        <v>680</v>
      </c>
      <c r="E18" s="5" t="s">
        <v>379</v>
      </c>
      <c r="F18" s="5"/>
      <c r="G18" s="5"/>
      <c r="H18" s="5"/>
      <c r="I18" s="5"/>
      <c r="J18" s="5"/>
      <c r="K18" s="5"/>
      <c r="L18" s="11"/>
      <c r="M18" s="11"/>
      <c r="N18" s="11"/>
      <c r="O18" s="11"/>
      <c r="P18" s="11"/>
      <c r="Q18" s="11"/>
      <c r="R18" s="11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11"/>
      <c r="AP18" s="11"/>
      <c r="AQ18" s="11"/>
      <c r="AR18" s="11"/>
      <c r="AS18" s="11"/>
      <c r="AT18" s="11"/>
      <c r="AU18" s="5"/>
      <c r="AV18" s="5"/>
      <c r="AW18" s="5">
        <v>2.4</v>
      </c>
      <c r="AX18" s="5"/>
      <c r="AY18" s="11"/>
      <c r="AZ18" s="5"/>
      <c r="BA18" s="5"/>
      <c r="BB18" s="5"/>
      <c r="BC18" s="5">
        <f t="shared" si="0"/>
        <v>2.4</v>
      </c>
      <c r="BY18" s="5">
        <f t="shared" si="2"/>
        <v>0</v>
      </c>
      <c r="BZ18" s="5">
        <f t="shared" si="1"/>
        <v>0</v>
      </c>
      <c r="CA18" s="5"/>
      <c r="CB18" s="5"/>
      <c r="CC18" s="5">
        <f t="shared" si="3"/>
        <v>0</v>
      </c>
    </row>
  </sheetData>
  <sortState xmlns:xlrd2="http://schemas.microsoft.com/office/spreadsheetml/2017/richdata2" ref="B11:CC18">
    <sortCondition descending="1" ref="BC11:BC18"/>
  </sortState>
  <mergeCells count="6">
    <mergeCell ref="B1:CC1"/>
    <mergeCell ref="B8:C10"/>
    <mergeCell ref="AQ9:AT9"/>
    <mergeCell ref="AY9:BB9"/>
    <mergeCell ref="D4:BC5"/>
    <mergeCell ref="BE4:CC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C13"/>
  <sheetViews>
    <sheetView zoomScale="80" zoomScaleNormal="80" workbookViewId="0">
      <selection activeCell="AY36" sqref="AY36"/>
    </sheetView>
  </sheetViews>
  <sheetFormatPr baseColWidth="10" defaultRowHeight="15" x14ac:dyDescent="0.25"/>
  <cols>
    <col min="1" max="1" width="2" bestFit="1" customWidth="1"/>
    <col min="2" max="2" width="12.42578125" bestFit="1" customWidth="1"/>
    <col min="3" max="3" width="13.7109375" bestFit="1" customWidth="1"/>
    <col min="4" max="4" width="12.7109375" bestFit="1" customWidth="1"/>
    <col min="5" max="5" width="17.7109375" bestFit="1" customWidth="1"/>
    <col min="6" max="6" width="6.7109375" hidden="1" customWidth="1"/>
    <col min="7" max="7" width="6.42578125" hidden="1" customWidth="1"/>
    <col min="8" max="9" width="7.28515625" hidden="1" customWidth="1"/>
    <col min="10" max="11" width="6.28515625" hidden="1" customWidth="1"/>
    <col min="12" max="12" width="6.7109375" hidden="1" customWidth="1"/>
    <col min="13" max="16" width="7.28515625" style="7" hidden="1" customWidth="1"/>
    <col min="17" max="18" width="0" hidden="1" customWidth="1"/>
    <col min="19" max="25" width="5.5703125" hidden="1" customWidth="1"/>
    <col min="26" max="26" width="6.28515625" hidden="1" customWidth="1"/>
    <col min="27" max="27" width="6.85546875" hidden="1" customWidth="1"/>
    <col min="28" max="30" width="6.28515625" hidden="1" customWidth="1"/>
    <col min="31" max="37" width="6.28515625" style="7" hidden="1" customWidth="1"/>
    <col min="38" max="38" width="6.28515625" hidden="1" customWidth="1"/>
    <col min="39" max="39" width="7.85546875" hidden="1" customWidth="1"/>
    <col min="40" max="45" width="6.28515625" style="7" hidden="1" customWidth="1"/>
    <col min="46" max="46" width="6.28515625" customWidth="1"/>
    <col min="47" max="47" width="7.85546875" bestFit="1" customWidth="1"/>
    <col min="48" max="49" width="6.28515625" customWidth="1"/>
    <col min="50" max="50" width="6.28515625" style="7" customWidth="1"/>
    <col min="51" max="53" width="6.28515625" customWidth="1"/>
    <col min="54" max="54" width="7.42578125" bestFit="1" customWidth="1"/>
    <col min="56" max="56" width="0" hidden="1" customWidth="1"/>
    <col min="57" max="58" width="6.5703125" hidden="1" customWidth="1"/>
    <col min="59" max="59" width="7.7109375" hidden="1" customWidth="1"/>
    <col min="60" max="60" width="7.7109375" style="7" hidden="1" customWidth="1"/>
    <col min="61" max="63" width="0" hidden="1" customWidth="1"/>
    <col min="64" max="69" width="6.5703125" hidden="1" customWidth="1"/>
    <col min="70" max="71" width="0" hidden="1" customWidth="1"/>
    <col min="72" max="72" width="4" style="7" hidden="1" customWidth="1"/>
    <col min="73" max="75" width="5.5703125" style="7" hidden="1" customWidth="1"/>
    <col min="76" max="76" width="6.28515625" style="7" hidden="1" customWidth="1"/>
    <col min="79" max="79" width="6" bestFit="1" customWidth="1"/>
    <col min="80" max="80" width="6" customWidth="1"/>
  </cols>
  <sheetData>
    <row r="1" spans="1:81" ht="26.25" x14ac:dyDescent="0.4">
      <c r="B1" s="47" t="s">
        <v>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</row>
    <row r="2" spans="1:81" ht="15.75" thickBot="1" x14ac:dyDescent="0.3">
      <c r="C2" s="7"/>
      <c r="D2" s="7"/>
      <c r="E2" s="7"/>
      <c r="F2" s="7"/>
    </row>
    <row r="3" spans="1:81" ht="15.75" thickTop="1" x14ac:dyDescent="0.25">
      <c r="B3" s="1" t="s">
        <v>0</v>
      </c>
      <c r="C3" s="4" t="s">
        <v>29</v>
      </c>
    </row>
    <row r="4" spans="1:81" ht="14.65" customHeight="1" x14ac:dyDescent="0.25">
      <c r="B4" s="2" t="s">
        <v>1</v>
      </c>
      <c r="C4" s="10" t="s">
        <v>30</v>
      </c>
      <c r="D4" s="55" t="s">
        <v>640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D4" s="56" t="s">
        <v>641</v>
      </c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</row>
    <row r="5" spans="1:81" ht="15" customHeight="1" thickBot="1" x14ac:dyDescent="0.3">
      <c r="B5" s="3" t="s">
        <v>2</v>
      </c>
      <c r="C5" s="34" t="s">
        <v>26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</row>
    <row r="6" spans="1:81" ht="15.75" thickTop="1" x14ac:dyDescent="0.25"/>
    <row r="7" spans="1:81" ht="15.75" thickBot="1" x14ac:dyDescent="0.3"/>
    <row r="8" spans="1:81" ht="15.75" thickTop="1" x14ac:dyDescent="0.25">
      <c r="B8" s="48" t="s">
        <v>22</v>
      </c>
      <c r="C8" s="49"/>
      <c r="D8" s="1"/>
      <c r="E8" s="1"/>
      <c r="F8" s="4" t="s">
        <v>117</v>
      </c>
      <c r="G8" s="4" t="s">
        <v>31</v>
      </c>
      <c r="H8" s="4" t="s">
        <v>99</v>
      </c>
      <c r="I8" s="4" t="s">
        <v>27</v>
      </c>
      <c r="J8" s="4" t="s">
        <v>132</v>
      </c>
      <c r="K8" s="4" t="s">
        <v>146</v>
      </c>
      <c r="L8" s="4" t="s">
        <v>27</v>
      </c>
      <c r="M8" s="4" t="s">
        <v>27</v>
      </c>
      <c r="N8" s="4" t="s">
        <v>168</v>
      </c>
      <c r="O8" s="4" t="s">
        <v>171</v>
      </c>
      <c r="P8" s="4" t="s">
        <v>173</v>
      </c>
      <c r="Q8" s="1"/>
      <c r="R8" s="12">
        <v>44927</v>
      </c>
      <c r="S8" s="4" t="s">
        <v>27</v>
      </c>
      <c r="T8" s="17" t="s">
        <v>173</v>
      </c>
      <c r="U8" s="17" t="s">
        <v>217</v>
      </c>
      <c r="V8" s="17" t="s">
        <v>173</v>
      </c>
      <c r="W8" s="17" t="s">
        <v>27</v>
      </c>
      <c r="X8" s="17" t="s">
        <v>173</v>
      </c>
      <c r="Y8" s="17" t="s">
        <v>174</v>
      </c>
      <c r="Z8" s="4" t="s">
        <v>6</v>
      </c>
      <c r="AA8" s="16">
        <v>45292</v>
      </c>
      <c r="AB8" s="16" t="s">
        <v>27</v>
      </c>
      <c r="AC8" s="16" t="s">
        <v>27</v>
      </c>
      <c r="AD8" s="16" t="s">
        <v>173</v>
      </c>
      <c r="AE8" s="16" t="s">
        <v>173</v>
      </c>
      <c r="AF8" s="16" t="s">
        <v>217</v>
      </c>
      <c r="AG8" s="16" t="s">
        <v>173</v>
      </c>
      <c r="AH8" s="16" t="s">
        <v>27</v>
      </c>
      <c r="AI8" s="16" t="s">
        <v>27</v>
      </c>
      <c r="AJ8" s="16" t="s">
        <v>173</v>
      </c>
      <c r="AK8" s="16" t="s">
        <v>174</v>
      </c>
      <c r="AL8" s="16" t="s">
        <v>6</v>
      </c>
      <c r="AM8" s="16">
        <v>45658</v>
      </c>
      <c r="AN8" s="16"/>
      <c r="AO8" s="16"/>
      <c r="AP8" s="38"/>
      <c r="AQ8" s="39"/>
      <c r="AR8" s="39"/>
      <c r="AS8" s="40"/>
      <c r="AT8" s="16" t="s">
        <v>6</v>
      </c>
      <c r="AU8" s="16">
        <v>46023</v>
      </c>
      <c r="AV8" s="16"/>
      <c r="AW8" s="16"/>
      <c r="AX8" s="38"/>
      <c r="AY8" s="39"/>
      <c r="AZ8" s="39"/>
      <c r="BA8" s="40"/>
      <c r="BB8" s="16" t="s">
        <v>178</v>
      </c>
      <c r="BD8" s="1" t="s">
        <v>175</v>
      </c>
      <c r="BE8" s="1" t="s">
        <v>214</v>
      </c>
      <c r="BF8" s="1" t="s">
        <v>171</v>
      </c>
      <c r="BG8" s="17" t="s">
        <v>262</v>
      </c>
      <c r="BH8" s="4" t="s">
        <v>283</v>
      </c>
      <c r="BI8" s="1" t="s">
        <v>6</v>
      </c>
      <c r="BJ8" s="16">
        <v>45292</v>
      </c>
      <c r="BK8" s="4" t="s">
        <v>175</v>
      </c>
      <c r="BL8" s="4" t="s">
        <v>296</v>
      </c>
      <c r="BM8" s="4" t="s">
        <v>31</v>
      </c>
      <c r="BN8" s="4" t="s">
        <v>164</v>
      </c>
      <c r="BO8" s="4" t="s">
        <v>164</v>
      </c>
      <c r="BP8" s="4" t="s">
        <v>171</v>
      </c>
      <c r="BQ8" s="4" t="s">
        <v>283</v>
      </c>
      <c r="BR8" s="4" t="s">
        <v>6</v>
      </c>
      <c r="BS8" s="16">
        <v>45658</v>
      </c>
      <c r="BT8" s="4" t="s">
        <v>296</v>
      </c>
      <c r="BU8" s="4" t="s">
        <v>164</v>
      </c>
      <c r="BV8" s="4" t="s">
        <v>31</v>
      </c>
      <c r="BW8" s="4" t="s">
        <v>171</v>
      </c>
      <c r="BX8" s="4" t="s">
        <v>283</v>
      </c>
      <c r="BY8" s="4" t="s">
        <v>178</v>
      </c>
      <c r="BZ8" s="16">
        <v>46023</v>
      </c>
      <c r="CA8" s="4" t="s">
        <v>31</v>
      </c>
      <c r="CB8" s="4" t="s">
        <v>171</v>
      </c>
      <c r="CC8" s="1" t="s">
        <v>6</v>
      </c>
    </row>
    <row r="9" spans="1:81" x14ac:dyDescent="0.25">
      <c r="B9" s="50"/>
      <c r="C9" s="51"/>
      <c r="D9" s="2"/>
      <c r="E9" s="2"/>
      <c r="F9" s="10" t="s">
        <v>73</v>
      </c>
      <c r="G9" s="8" t="s">
        <v>32</v>
      </c>
      <c r="H9" s="10" t="s">
        <v>100</v>
      </c>
      <c r="I9" s="10" t="s">
        <v>125</v>
      </c>
      <c r="J9" s="10" t="s">
        <v>140</v>
      </c>
      <c r="K9" s="10" t="s">
        <v>73</v>
      </c>
      <c r="L9" s="10" t="s">
        <v>56</v>
      </c>
      <c r="M9" s="10" t="s">
        <v>61</v>
      </c>
      <c r="N9" s="10" t="s">
        <v>169</v>
      </c>
      <c r="O9" s="10" t="s">
        <v>172</v>
      </c>
      <c r="P9" s="10" t="s">
        <v>174</v>
      </c>
      <c r="Q9" s="2" t="s">
        <v>6</v>
      </c>
      <c r="R9" s="2"/>
      <c r="S9" s="10" t="s">
        <v>56</v>
      </c>
      <c r="T9" s="18" t="s">
        <v>134</v>
      </c>
      <c r="U9" s="18" t="s">
        <v>141</v>
      </c>
      <c r="V9" s="18" t="s">
        <v>132</v>
      </c>
      <c r="W9" s="18" t="s">
        <v>56</v>
      </c>
      <c r="X9" s="18" t="s">
        <v>141</v>
      </c>
      <c r="Y9" s="18"/>
      <c r="Z9" s="2"/>
      <c r="AA9" s="10"/>
      <c r="AB9" s="10" t="s">
        <v>346</v>
      </c>
      <c r="AC9" s="10" t="s">
        <v>56</v>
      </c>
      <c r="AD9" s="10" t="s">
        <v>132</v>
      </c>
      <c r="AE9" s="10" t="s">
        <v>396</v>
      </c>
      <c r="AF9" s="10" t="s">
        <v>134</v>
      </c>
      <c r="AG9" s="10" t="s">
        <v>134</v>
      </c>
      <c r="AH9" s="10" t="s">
        <v>346</v>
      </c>
      <c r="AI9" s="10" t="s">
        <v>56</v>
      </c>
      <c r="AJ9" s="10" t="s">
        <v>141</v>
      </c>
      <c r="AK9" s="10" t="s">
        <v>475</v>
      </c>
      <c r="AL9" s="10"/>
      <c r="AM9" s="10"/>
      <c r="AN9" s="8" t="s">
        <v>27</v>
      </c>
      <c r="AO9" s="8" t="s">
        <v>217</v>
      </c>
      <c r="AP9" s="52" t="s">
        <v>477</v>
      </c>
      <c r="AQ9" s="53"/>
      <c r="AR9" s="53"/>
      <c r="AS9" s="54"/>
      <c r="AT9" s="10"/>
      <c r="AU9" s="10"/>
      <c r="AV9" s="8" t="s">
        <v>27</v>
      </c>
      <c r="AW9" s="8" t="s">
        <v>217</v>
      </c>
      <c r="AX9" s="52" t="s">
        <v>477</v>
      </c>
      <c r="AY9" s="53"/>
      <c r="AZ9" s="53"/>
      <c r="BA9" s="54"/>
      <c r="BB9" s="8"/>
      <c r="BD9" s="2" t="s">
        <v>176</v>
      </c>
      <c r="BE9" s="2"/>
      <c r="BF9" s="2" t="s">
        <v>255</v>
      </c>
      <c r="BG9" s="18" t="s">
        <v>263</v>
      </c>
      <c r="BH9" s="10" t="s">
        <v>284</v>
      </c>
      <c r="BI9" s="2"/>
      <c r="BJ9" s="7"/>
      <c r="BK9" s="10" t="s">
        <v>176</v>
      </c>
      <c r="BL9" s="10"/>
      <c r="BM9" s="10" t="s">
        <v>354</v>
      </c>
      <c r="BN9" s="10" t="s">
        <v>419</v>
      </c>
      <c r="BO9" s="10" t="s">
        <v>255</v>
      </c>
      <c r="BP9" s="10" t="s">
        <v>255</v>
      </c>
      <c r="BQ9" s="10" t="s">
        <v>73</v>
      </c>
      <c r="BR9" s="10"/>
      <c r="BS9" s="10"/>
      <c r="BT9" s="10"/>
      <c r="BU9" s="10" t="s">
        <v>100</v>
      </c>
      <c r="BV9" s="10" t="s">
        <v>419</v>
      </c>
      <c r="BW9" s="10" t="s">
        <v>255</v>
      </c>
      <c r="BX9" s="10" t="s">
        <v>73</v>
      </c>
      <c r="BY9" s="10"/>
      <c r="BZ9" s="10"/>
      <c r="CA9" s="10" t="s">
        <v>152</v>
      </c>
      <c r="CB9" s="10" t="s">
        <v>419</v>
      </c>
      <c r="CC9" s="2"/>
    </row>
    <row r="10" spans="1:81" x14ac:dyDescent="0.25">
      <c r="B10" s="50"/>
      <c r="C10" s="51"/>
      <c r="D10" s="2" t="s">
        <v>4</v>
      </c>
      <c r="E10" s="2" t="s">
        <v>5</v>
      </c>
      <c r="F10" s="9">
        <v>44577</v>
      </c>
      <c r="G10" s="9">
        <v>44661</v>
      </c>
      <c r="H10" s="9">
        <v>44695</v>
      </c>
      <c r="I10" s="9">
        <v>44709</v>
      </c>
      <c r="J10" s="9">
        <v>44737</v>
      </c>
      <c r="K10" s="9">
        <v>44758</v>
      </c>
      <c r="L10" s="9">
        <v>44779</v>
      </c>
      <c r="M10" s="9">
        <v>44807</v>
      </c>
      <c r="N10" s="9">
        <v>44829</v>
      </c>
      <c r="O10" s="9">
        <v>44867</v>
      </c>
      <c r="P10" s="9">
        <v>44906</v>
      </c>
      <c r="Q10" s="2">
        <v>2022</v>
      </c>
      <c r="R10" s="2"/>
      <c r="S10" s="2" t="s">
        <v>180</v>
      </c>
      <c r="T10" s="18" t="s">
        <v>193</v>
      </c>
      <c r="U10" s="18" t="s">
        <v>228</v>
      </c>
      <c r="V10" s="18" t="s">
        <v>242</v>
      </c>
      <c r="W10" s="18" t="s">
        <v>254</v>
      </c>
      <c r="X10" s="18" t="s">
        <v>268</v>
      </c>
      <c r="Y10" s="18" t="s">
        <v>289</v>
      </c>
      <c r="Z10" s="2">
        <v>2023</v>
      </c>
      <c r="AA10" s="31"/>
      <c r="AB10" s="31" t="s">
        <v>317</v>
      </c>
      <c r="AC10" s="31" t="s">
        <v>373</v>
      </c>
      <c r="AD10" s="31" t="s">
        <v>384</v>
      </c>
      <c r="AE10" s="31" t="s">
        <v>397</v>
      </c>
      <c r="AF10" s="31" t="s">
        <v>405</v>
      </c>
      <c r="AG10" s="31" t="s">
        <v>421</v>
      </c>
      <c r="AH10" s="31" t="s">
        <v>441</v>
      </c>
      <c r="AI10" s="31" t="s">
        <v>445</v>
      </c>
      <c r="AJ10" s="31" t="s">
        <v>465</v>
      </c>
      <c r="AK10" s="31" t="s">
        <v>476</v>
      </c>
      <c r="AL10" s="31">
        <v>2024</v>
      </c>
      <c r="AM10" s="10"/>
      <c r="AN10" s="10"/>
      <c r="AO10" s="10"/>
      <c r="AP10" s="10">
        <v>1</v>
      </c>
      <c r="AQ10" s="10">
        <v>2</v>
      </c>
      <c r="AR10" s="10">
        <v>3</v>
      </c>
      <c r="AS10" s="10">
        <v>4</v>
      </c>
      <c r="AT10" s="10">
        <v>2025</v>
      </c>
      <c r="AU10" s="10"/>
      <c r="AV10" s="10"/>
      <c r="AW10" s="10">
        <v>48</v>
      </c>
      <c r="AX10" s="10">
        <v>1</v>
      </c>
      <c r="AY10" s="10">
        <v>2</v>
      </c>
      <c r="AZ10" s="10">
        <v>3</v>
      </c>
      <c r="BA10" s="10">
        <v>4</v>
      </c>
      <c r="BB10" s="10">
        <v>2026</v>
      </c>
      <c r="BD10" s="2"/>
      <c r="BE10" s="14">
        <v>45078</v>
      </c>
      <c r="BF10" s="14">
        <v>45154</v>
      </c>
      <c r="BG10" s="26">
        <v>45178</v>
      </c>
      <c r="BH10" s="8">
        <v>45255</v>
      </c>
      <c r="BI10" s="2">
        <v>2023</v>
      </c>
      <c r="BJ10" s="7"/>
      <c r="BK10" s="10"/>
      <c r="BL10" s="9">
        <v>45347</v>
      </c>
      <c r="BM10" s="9" t="s">
        <v>355</v>
      </c>
      <c r="BN10" s="9" t="s">
        <v>228</v>
      </c>
      <c r="BO10" s="9" t="s">
        <v>456</v>
      </c>
      <c r="BP10" s="9" t="s">
        <v>457</v>
      </c>
      <c r="BQ10" s="9" t="s">
        <v>474</v>
      </c>
      <c r="BR10" s="10">
        <v>2024</v>
      </c>
      <c r="BS10" s="10"/>
      <c r="BT10" s="10" t="s">
        <v>480</v>
      </c>
      <c r="BU10" s="10" t="s">
        <v>317</v>
      </c>
      <c r="BV10" s="10" t="s">
        <v>527</v>
      </c>
      <c r="BW10" s="10" t="s">
        <v>632</v>
      </c>
      <c r="BX10" s="10" t="s">
        <v>474</v>
      </c>
      <c r="BY10" s="10">
        <v>2025</v>
      </c>
      <c r="BZ10" s="10"/>
      <c r="CA10" s="10" t="s">
        <v>193</v>
      </c>
      <c r="CB10" s="10" t="s">
        <v>723</v>
      </c>
      <c r="CC10" s="2">
        <v>2026</v>
      </c>
    </row>
    <row r="11" spans="1:81" x14ac:dyDescent="0.25">
      <c r="A11">
        <v>1</v>
      </c>
      <c r="B11" s="20" t="s">
        <v>105</v>
      </c>
      <c r="C11" s="20" t="s">
        <v>114</v>
      </c>
      <c r="D11" s="20" t="s">
        <v>106</v>
      </c>
      <c r="E11" s="20" t="s">
        <v>15</v>
      </c>
      <c r="F11" s="5"/>
      <c r="G11" s="6"/>
      <c r="H11" s="6">
        <v>60</v>
      </c>
      <c r="I11" s="6"/>
      <c r="J11" s="6">
        <v>48</v>
      </c>
      <c r="K11" s="6">
        <v>4</v>
      </c>
      <c r="L11" s="6">
        <v>36</v>
      </c>
      <c r="M11" s="6"/>
      <c r="N11" s="6">
        <v>60</v>
      </c>
      <c r="O11" s="6"/>
      <c r="P11" s="6">
        <v>6</v>
      </c>
      <c r="Q11" s="6">
        <f>SUM(F11:P11)</f>
        <v>214</v>
      </c>
      <c r="R11" s="5">
        <f>Q11/2</f>
        <v>107</v>
      </c>
      <c r="S11" s="5">
        <v>36</v>
      </c>
      <c r="T11" s="5">
        <v>60</v>
      </c>
      <c r="U11" s="5">
        <v>48</v>
      </c>
      <c r="V11" s="5">
        <v>60</v>
      </c>
      <c r="W11" s="5">
        <v>36</v>
      </c>
      <c r="X11" s="5">
        <v>60</v>
      </c>
      <c r="Y11" s="5">
        <v>90</v>
      </c>
      <c r="Z11" s="5">
        <f>SUM(R11:Y11)</f>
        <v>497</v>
      </c>
      <c r="AA11" s="5">
        <f>(Z11-R11)/2</f>
        <v>195</v>
      </c>
      <c r="AB11" s="5"/>
      <c r="AC11" s="5">
        <v>36</v>
      </c>
      <c r="AD11" s="5">
        <v>90</v>
      </c>
      <c r="AE11" s="11"/>
      <c r="AF11" s="11"/>
      <c r="AG11" s="11">
        <v>120</v>
      </c>
      <c r="AH11" s="11"/>
      <c r="AI11" s="11">
        <v>36</v>
      </c>
      <c r="AJ11" s="11">
        <v>90</v>
      </c>
      <c r="AK11" s="11">
        <v>160</v>
      </c>
      <c r="AL11" s="5">
        <f>SUM(AA11:AK11)</f>
        <v>727</v>
      </c>
      <c r="AM11" s="5">
        <f>(AL11-AA11)/2</f>
        <v>266</v>
      </c>
      <c r="AN11" s="11">
        <v>36</v>
      </c>
      <c r="AO11" s="11">
        <v>48</v>
      </c>
      <c r="AP11" s="11">
        <v>90</v>
      </c>
      <c r="AQ11" s="11">
        <v>80</v>
      </c>
      <c r="AR11" s="11">
        <v>90</v>
      </c>
      <c r="AS11" s="11">
        <v>160</v>
      </c>
      <c r="AT11" s="5">
        <f>SUM(AM11:AS11)</f>
        <v>770</v>
      </c>
      <c r="AU11" s="5">
        <f>(AT11-AM11)/2</f>
        <v>252</v>
      </c>
      <c r="AV11" s="5">
        <v>36</v>
      </c>
      <c r="AW11" s="5"/>
      <c r="AX11" s="11">
        <v>120</v>
      </c>
      <c r="AY11" s="5"/>
      <c r="AZ11" s="5"/>
      <c r="BA11" s="5"/>
      <c r="BB11" s="5">
        <f>SUM(AU11:BA11)</f>
        <v>408</v>
      </c>
      <c r="BD11" s="5">
        <f>Z11/4</f>
        <v>124.25</v>
      </c>
      <c r="BE11" s="5">
        <v>100</v>
      </c>
      <c r="BF11" s="5">
        <v>100</v>
      </c>
      <c r="BG11" s="6">
        <v>15</v>
      </c>
      <c r="BH11" s="6"/>
      <c r="BI11" s="5">
        <f>SUM(BD11:BG11)</f>
        <v>339.25</v>
      </c>
      <c r="BJ11" s="11">
        <f>BI11/2</f>
        <v>169.625</v>
      </c>
      <c r="BK11" s="11">
        <f>AL11/4</f>
        <v>181.75</v>
      </c>
      <c r="BL11" s="11">
        <v>20</v>
      </c>
      <c r="BM11" s="11">
        <v>150</v>
      </c>
      <c r="BN11" s="11">
        <v>75</v>
      </c>
      <c r="BO11" s="11">
        <v>105</v>
      </c>
      <c r="BP11" s="11">
        <v>100</v>
      </c>
      <c r="BQ11" s="11">
        <v>30</v>
      </c>
      <c r="BR11" s="11">
        <f>SUM(BJ11:BQ11)</f>
        <v>831.375</v>
      </c>
      <c r="BS11" s="5">
        <f>(BR11-BJ11)/2</f>
        <v>330.875</v>
      </c>
      <c r="BT11" s="11">
        <v>20</v>
      </c>
      <c r="BU11" s="11">
        <v>75</v>
      </c>
      <c r="BV11" s="11">
        <v>108</v>
      </c>
      <c r="BW11" s="11">
        <v>60</v>
      </c>
      <c r="BX11" s="11">
        <v>30</v>
      </c>
      <c r="BY11" s="5">
        <f>SUM(BS11:BX11)</f>
        <v>623.875</v>
      </c>
      <c r="BZ11" s="5">
        <f>(BY11-BS11)/2</f>
        <v>146.5</v>
      </c>
      <c r="CA11" s="5">
        <v>300</v>
      </c>
      <c r="CB11" s="5">
        <v>70</v>
      </c>
      <c r="CC11" s="20">
        <f>SUM(BZ11:CB11)</f>
        <v>516.5</v>
      </c>
    </row>
    <row r="12" spans="1:81" x14ac:dyDescent="0.25">
      <c r="A12">
        <v>2</v>
      </c>
      <c r="B12" s="5" t="s">
        <v>571</v>
      </c>
      <c r="C12" s="5"/>
      <c r="D12" s="5" t="s">
        <v>572</v>
      </c>
      <c r="E12" s="5" t="s">
        <v>10</v>
      </c>
      <c r="F12" s="5"/>
      <c r="G12" s="5"/>
      <c r="H12" s="5"/>
      <c r="I12" s="5"/>
      <c r="J12" s="5"/>
      <c r="K12" s="5"/>
      <c r="L12" s="5"/>
      <c r="M12" s="11"/>
      <c r="N12" s="11"/>
      <c r="O12" s="11"/>
      <c r="P12" s="11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11"/>
      <c r="AF12" s="11"/>
      <c r="AG12" s="11"/>
      <c r="AH12" s="11"/>
      <c r="AI12" s="11"/>
      <c r="AJ12" s="11"/>
      <c r="AK12" s="11"/>
      <c r="AL12" s="5"/>
      <c r="AM12" s="5"/>
      <c r="AN12" s="11"/>
      <c r="AO12" s="11">
        <v>48</v>
      </c>
      <c r="AP12" s="11">
        <v>8</v>
      </c>
      <c r="AQ12" s="11">
        <v>6</v>
      </c>
      <c r="AR12" s="11">
        <v>60</v>
      </c>
      <c r="AS12" s="11">
        <v>48</v>
      </c>
      <c r="AT12" s="5">
        <f>SUM(AM12:AS12)</f>
        <v>170</v>
      </c>
      <c r="AU12" s="5">
        <f t="shared" ref="AU12:AU13" si="0">(AT12-AM12)/2</f>
        <v>85</v>
      </c>
      <c r="AV12" s="5">
        <v>36</v>
      </c>
      <c r="AW12" s="5"/>
      <c r="AX12" s="11">
        <v>6</v>
      </c>
      <c r="AY12" s="5">
        <v>36</v>
      </c>
      <c r="AZ12" s="5"/>
      <c r="BA12" s="5"/>
      <c r="BB12" s="5">
        <f t="shared" ref="BB12:BB13" si="1">SUM(AU12:BA12)</f>
        <v>163</v>
      </c>
      <c r="BD12" s="5"/>
      <c r="BE12" s="5"/>
      <c r="BF12" s="5"/>
      <c r="BG12" s="5"/>
      <c r="BH12" s="11"/>
      <c r="BI12" s="5"/>
      <c r="BJ12" s="5"/>
      <c r="BK12" s="5"/>
      <c r="BL12" s="5"/>
      <c r="BM12" s="5"/>
      <c r="BN12" s="5"/>
      <c r="BO12" s="5"/>
      <c r="BP12" s="5"/>
      <c r="BQ12" s="5"/>
      <c r="BR12" s="11">
        <f>SUM(BJ12:BL12)</f>
        <v>0</v>
      </c>
      <c r="BS12" s="5">
        <f>(BR12-BJ12)/2</f>
        <v>0</v>
      </c>
      <c r="BT12" s="11"/>
      <c r="BU12" s="11"/>
      <c r="BV12" s="11"/>
      <c r="BW12" s="11"/>
      <c r="BX12" s="11"/>
      <c r="BY12" s="5">
        <f>SUM(BS12:BU12)</f>
        <v>0</v>
      </c>
      <c r="BZ12" s="5">
        <f>(BY12-BS12)/2</f>
        <v>0</v>
      </c>
      <c r="CA12" s="5"/>
      <c r="CB12" s="5"/>
      <c r="CC12" s="5">
        <f t="shared" ref="CC12:CC13" si="2">SUM(BZ12:CA12)</f>
        <v>0</v>
      </c>
    </row>
    <row r="13" spans="1:81" x14ac:dyDescent="0.25">
      <c r="A13" s="46">
        <v>3</v>
      </c>
      <c r="B13" s="5" t="s">
        <v>118</v>
      </c>
      <c r="C13" s="5"/>
      <c r="D13" s="5" t="s">
        <v>286</v>
      </c>
      <c r="E13" s="5" t="s">
        <v>595</v>
      </c>
      <c r="F13" s="5"/>
      <c r="G13" s="5"/>
      <c r="H13" s="5"/>
      <c r="I13" s="5"/>
      <c r="J13" s="5"/>
      <c r="K13" s="5"/>
      <c r="L13" s="5"/>
      <c r="M13" s="11"/>
      <c r="N13" s="11"/>
      <c r="O13" s="11"/>
      <c r="P13" s="11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11"/>
      <c r="AF13" s="11"/>
      <c r="AG13" s="11"/>
      <c r="AH13" s="11"/>
      <c r="AI13" s="11"/>
      <c r="AJ13" s="11"/>
      <c r="AK13" s="11"/>
      <c r="AL13" s="5"/>
      <c r="AM13" s="5"/>
      <c r="AN13" s="11">
        <v>36</v>
      </c>
      <c r="AO13" s="11"/>
      <c r="AP13" s="11">
        <v>120</v>
      </c>
      <c r="AQ13" s="11"/>
      <c r="AR13" s="11"/>
      <c r="AS13" s="11"/>
      <c r="AT13" s="5">
        <f>SUM(AM13:AS13)</f>
        <v>156</v>
      </c>
      <c r="AU13" s="5">
        <f t="shared" si="0"/>
        <v>78</v>
      </c>
      <c r="AV13" s="5"/>
      <c r="AW13" s="5"/>
      <c r="AX13" s="11"/>
      <c r="AY13" s="5"/>
      <c r="AZ13" s="5"/>
      <c r="BA13" s="5"/>
      <c r="BB13" s="5">
        <f t="shared" si="1"/>
        <v>78</v>
      </c>
      <c r="BI13" s="5"/>
      <c r="BJ13" s="5"/>
      <c r="BK13" s="5"/>
      <c r="BL13" s="5"/>
      <c r="BM13" s="5"/>
      <c r="BN13" s="5"/>
      <c r="BO13" s="5"/>
      <c r="BP13" s="5"/>
      <c r="BQ13" s="5"/>
      <c r="BR13" s="11">
        <f>SUM(BJ13:BL13)</f>
        <v>0</v>
      </c>
      <c r="BS13" s="5">
        <f>(BR13-BJ13)/2</f>
        <v>0</v>
      </c>
      <c r="BT13" s="11"/>
      <c r="BU13" s="11"/>
      <c r="BV13" s="11"/>
      <c r="BW13" s="11"/>
      <c r="BX13" s="11"/>
      <c r="BY13" s="5">
        <f>SUM(BS13:BU13)</f>
        <v>0</v>
      </c>
      <c r="BZ13" s="5">
        <f>(BY13-BS13)/2</f>
        <v>0</v>
      </c>
      <c r="CA13" s="5"/>
      <c r="CB13" s="5"/>
      <c r="CC13" s="5">
        <f t="shared" si="2"/>
        <v>0</v>
      </c>
    </row>
  </sheetData>
  <sortState xmlns:xlrd2="http://schemas.microsoft.com/office/spreadsheetml/2017/richdata2" ref="B11:BY13">
    <sortCondition descending="1" ref="AT11:AT13"/>
  </sortState>
  <mergeCells count="6">
    <mergeCell ref="B1:CC1"/>
    <mergeCell ref="B8:C10"/>
    <mergeCell ref="AP9:AS9"/>
    <mergeCell ref="AX9:BA9"/>
    <mergeCell ref="D4:BB5"/>
    <mergeCell ref="BD4:C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-48</vt:lpstr>
      <vt:lpstr>-52</vt:lpstr>
      <vt:lpstr>-57</vt:lpstr>
      <vt:lpstr>-63</vt:lpstr>
      <vt:lpstr>-70</vt:lpstr>
      <vt:lpstr>-78</vt:lpstr>
      <vt:lpstr>+78</vt:lpstr>
      <vt:lpstr>-60</vt:lpstr>
      <vt:lpstr>-66</vt:lpstr>
      <vt:lpstr>-73</vt:lpstr>
      <vt:lpstr>-81</vt:lpstr>
      <vt:lpstr>-90</vt:lpstr>
      <vt:lpstr>-100</vt:lpstr>
      <vt:lpstr>+100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01fejuchile 2025</cp:lastModifiedBy>
  <cp:lastPrinted>2015-03-13T14:15:56Z</cp:lastPrinted>
  <dcterms:created xsi:type="dcterms:W3CDTF">2015-01-14T22:24:54Z</dcterms:created>
  <dcterms:modified xsi:type="dcterms:W3CDTF">2026-09-02T15:25:31Z</dcterms:modified>
</cp:coreProperties>
</file>